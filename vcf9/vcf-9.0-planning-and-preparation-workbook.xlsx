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codeName="ThisWorkbook" defaultThemeVersion="166925"/>
  <mc:AlternateContent xmlns:mc="http://schemas.openxmlformats.org/markup-compatibility/2006">
    <mc:Choice Requires="x15">
      <x15ac:absPath xmlns:x15ac="http://schemas.microsoft.com/office/spreadsheetml/2010/11/ac" url="/Users/cahillc/Library/CloudStorage/Box-Box/Planning and Preparation Workbook/9.0.x/"/>
    </mc:Choice>
  </mc:AlternateContent>
  <xr:revisionPtr revIDLastSave="0" documentId="13_ncr:1_{BA1A212C-4B3B-C44E-A5F6-B3E9B9C4EA0E}" xr6:coauthVersionLast="47" xr6:coauthVersionMax="47" xr10:uidLastSave="{00000000-0000-0000-0000-000000000000}"/>
  <workbookProtection workbookAlgorithmName="SHA-512" workbookHashValue="b6NGrcv+k6BgApne0FmsHTE0/saezgLgCPX1S54w/oMZsSpjFA0rkWHe6I8vrK6n4qtTn60V7N7gwRfCd5l18Q==" workbookSaltValue="O9dUODuLOD7ikRn2Qufwpg==" workbookSpinCount="100000" lockStructure="1"/>
  <bookViews>
    <workbookView xWindow="34560" yWindow="1120" windowWidth="51200" windowHeight="28200" firstSheet="1" activeTab="1" xr2:uid="{98612615-D5B3-EF47-AF34-679F20CCC578}"/>
  </bookViews>
  <sheets>
    <sheet name="Prerequisite Checklist" sheetId="35" r:id="rId1"/>
    <sheet name="VCF &amp; VVF Planning" sheetId="106" r:id="rId2"/>
    <sheet name="Management Domain Sizing" sheetId="54" r:id="rId3"/>
    <sheet name="Deploy Management Domain" sheetId="62" r:id="rId4"/>
    <sheet name="Configure Management Domain" sheetId="108" r:id="rId5"/>
    <sheet name="Deploy Fleet Management Day-N" sheetId="118" r:id="rId6"/>
    <sheet name="Deploy Workload Domain" sheetId="65" r:id="rId7"/>
    <sheet name="Arkham" sheetId="123" state="hidden" r:id="rId8"/>
    <sheet name="Configure Workload Domain" sheetId="109" r:id="rId9"/>
    <sheet name="Deploy Cluster" sheetId="115" r:id="rId10"/>
    <sheet name="Change Control" sheetId="126" state="hidden" r:id="rId11"/>
    <sheet name="Value Reference Tables - MR" sheetId="87" state="hidden" r:id="rId12"/>
    <sheet name="Value Reference Tables" sheetId="63" state="hidden" r:id="rId13"/>
    <sheet name="Static Reference Tables" sheetId="56" state="hidden" r:id="rId14"/>
    <sheet name="Dumping Ground" sheetId="120" state="hidden" r:id="rId15"/>
    <sheet name="Additional Racks" sheetId="117" r:id="rId16"/>
    <sheet name="Site Protection &amp; DR" sheetId="75" r:id="rId17"/>
    <sheet name="On-Premises Ransomware Recovery" sheetId="119" r:id="rId18"/>
    <sheet name="Management Domain As Built" sheetId="113" r:id="rId19"/>
    <sheet name="Workload Domain As Built" sheetId="116" r:id="rId20"/>
    <sheet name="Public Reference Sheet" sheetId="112" state="hidden" r:id="rId21"/>
    <sheet name="Version History" sheetId="122" r:id="rId22"/>
    <sheet name="Private AI Ready Infrastructure" sheetId="95" state="hidden" r:id="rId23"/>
    <sheet name="Cloud-Based Ransomware Recovery" sheetId="86" state="hidden" r:id="rId24"/>
    <sheet name="Cross Cloud Mobility" sheetId="85" state="hidden" r:id="rId25"/>
    <sheet name="Active Directory Inputs" sheetId="34" state="hidden" r:id="rId26"/>
  </sheets>
  <definedNames>
    <definedName name="Additional_Instance">'Static Reference Tables'!$H$11:$H$13</definedName>
    <definedName name="administrator_vsphere_local_password">'Value Reference Tables'!$L$14</definedName>
    <definedName name="air_GPU_network_operator_namespace">'Value Reference Tables'!$U$47</definedName>
    <definedName name="air_GPU_operator_namespace">'Value Reference Tables'!$U$46</definedName>
    <definedName name="air_GPU_VM_class">'Value Reference Tables'!$U$45</definedName>
    <definedName name="air_license">'Value Reference Tables'!$U$44</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vilb_root_password">'Value Reference Tables'!$L$32</definedName>
    <definedName name="aws_regions">'Static Reference Tables'!$B$347:$B$374</definedName>
    <definedName name="ca_administrator_password">'Value Reference Tables'!$L$31</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br_aria_logs_key">'Value Reference Tables'!$U$153</definedName>
    <definedName name="cbr_aria_logs_url">'Value Reference Tables'!$U$152</definedName>
    <definedName name="cbr_chosen">'Management Domain Sizing'!$B$65</definedName>
    <definedName name="cbr_firewall_rule_vcenter">'Value Reference Tables'!$U$138</definedName>
    <definedName name="cbr_recovery_host_count">'Value Reference Tables'!$U$134</definedName>
    <definedName name="cbr_recovery_host_type">'Value Reference Tables'!$U$133</definedName>
    <definedName name="cbr_recovery_management_subnet">'Value Reference Tables'!$U$137</definedName>
    <definedName name="cbr_recovery_region">'Value Reference Tables'!$U$132</definedName>
    <definedName name="cbr_recovery_sddc_name">'Value Reference Tables'!$U$131</definedName>
    <definedName name="cbr_recovery_subnet">'Value Reference Tables'!$U$136</definedName>
    <definedName name="cbr_recovery_vpc">'Value Reference Tables'!$U$135</definedName>
    <definedName name="cbr_result">'Management Domain Sizing'!$I$65</definedName>
    <definedName name="cbr_vcdr_anti_affinity">'Value Reference Tables'!$U$149</definedName>
    <definedName name="cbr_vcdr_cdp1_hostname">'Value Reference Tables'!$U$141</definedName>
    <definedName name="cbr_vcdr_cdp1_ip">'Value Reference Tables'!$U$142</definedName>
    <definedName name="cbr_vcdr_cdp2_hostname">'Value Reference Tables'!$U$143</definedName>
    <definedName name="cbr_vcdr_cdp2_ip">'Value Reference Tables'!$U$144</definedName>
    <definedName name="cbr_vcdr_email_recipient">'Value Reference Tables'!$U$150</definedName>
    <definedName name="cbr_vcdr_email_sender">'Value Reference Tables'!$U$151</definedName>
    <definedName name="cbr_vcdr_label">'Value Reference Tables'!$U$148</definedName>
    <definedName name="cbr_vcdr_orchestrator_fqdn">'Value Reference Tables'!$U$146</definedName>
    <definedName name="cbr_vcdr_ova">'Value Reference Tables'!$U$145</definedName>
    <definedName name="cbr_vcdr_passcode">'Value Reference Tables'!$U$147</definedName>
    <definedName name="cbr_vcdr_site_name">'Value Reference Tables'!$U$139</definedName>
    <definedName name="cbr_vcdr_timezone">'Value Reference Tables'!$U$140</definedName>
    <definedName name="cbr_vcdr_vsphere_role">'Value Reference Tables'!$U$127</definedName>
    <definedName name="cbr_vm_folder">'Value Reference Tables'!$U$130</definedName>
    <definedName name="ccm_aws_admin_password">'Value Reference Tables'!$U$184</definedName>
    <definedName name="ccm_aws_admin_ssouser">'Value Reference Tables'!$U$183</definedName>
    <definedName name="ccm_aws_host_count">'Value Reference Tables'!$U$168</definedName>
    <definedName name="ccm_aws_host_type">'Value Reference Tables'!$U$167</definedName>
    <definedName name="ccm_aws_management_subnet">'Value Reference Tables'!$U$171</definedName>
    <definedName name="ccm_aws_region">'Value Reference Tables'!$U$166</definedName>
    <definedName name="ccm_aws_sddc_name">'Value Reference Tables'!$U$165</definedName>
    <definedName name="ccm_aws_subnet">'Value Reference Tables'!$U$170</definedName>
    <definedName name="ccm_aws_vpc">'Value Reference Tables'!$U$169</definedName>
    <definedName name="ccm_chosen">'Management Domain Sizing'!$B$66</definedName>
    <definedName name="ccm_firewall_group">'Value Reference Tables'!$U$174</definedName>
    <definedName name="ccm_firewall_ip_addresses">'Value Reference Tables'!$U$175</definedName>
    <definedName name="ccm_firewall_rule_hcx">'Value Reference Tables'!$U$173</definedName>
    <definedName name="ccm_firewall_rule_vcenter">'Value Reference Tables'!$U$172</definedName>
    <definedName name="ccm_hcx_admin_password">'Value Reference Tables'!$U$179</definedName>
    <definedName name="ccm_hcx_cdp_hostname">'Value Reference Tables'!$U$178</definedName>
    <definedName name="ccm_hcx_cdp_ip">'Value Reference Tables'!$U$181</definedName>
    <definedName name="ccm_hcx_compute_profile">'Value Reference Tables'!$U$187</definedName>
    <definedName name="ccm_hcx_dc_location">'Value Reference Tables'!$U$177</definedName>
    <definedName name="ccm_hcx_license">'Value Reference Tables'!$U$176</definedName>
    <definedName name="ccm_hcx_mgmt_network_ip_range">'Value Reference Tables'!$U$185</definedName>
    <definedName name="ccm_hcx_nsx_svc_password">'Value Reference Tables'!$U$164</definedName>
    <definedName name="ccm_hcx_nsx_svc_user">'Value Reference Tables'!$U$163</definedName>
    <definedName name="ccm_hcx_remote_url">'Value Reference Tables'!$U$182</definedName>
    <definedName name="ccm_hcx_resource_pool">'Value Reference Tables'!$U$162</definedName>
    <definedName name="ccm_hcx_root_password">'Value Reference Tables'!$U$180</definedName>
    <definedName name="ccm_hcx_service_mesh">'Value Reference Tables'!$U$188</definedName>
    <definedName name="ccm_hcx_vm_folder">'Value Reference Tables'!$U$161</definedName>
    <definedName name="ccm_hcx_vmotion_network_ip_range">'Value Reference Tables'!$U$186</definedName>
    <definedName name="ccm_hcx_vsphere_role">'Value Reference Tables'!$U$157</definedName>
    <definedName name="ccm_hcx_vsphere_svc_password">'Value Reference Tables'!$U$159</definedName>
    <definedName name="ccm_hcx_vsphere_svc_user">'Value Reference Tables'!$U$158</definedName>
    <definedName name="ccm_result">'Management Domain Sizing'!$I$66</definedName>
    <definedName name="ccm_vm_folder">'Value Reference Tables'!$U$160</definedName>
    <definedName name="certificate_authority_fqdn">'Value Reference Tables'!$L$58</definedName>
    <definedName name="certificate_authority_model">'Value Reference Tables'!$O$9</definedName>
    <definedName name="certificate_authority_name">'Value Reference Tables'!$L$59</definedName>
    <definedName name="change_control_new">'Change Control'!$B$2:$B$100</definedName>
    <definedName name="change_control_old">'Change Control'!$C$2:$C$100</definedName>
    <definedName name="child_ad_groups_ou">'Value Reference Tables'!$L$83</definedName>
    <definedName name="child_ad_users_ou">'Value Reference Tables'!$L$88</definedName>
    <definedName name="child_dns_zone">'Value Reference Tables'!$L$67</definedName>
    <definedName name="child_svc_nsx_ad_password">'Value Reference Tables'!$L$112</definedName>
    <definedName name="child_svc_nsx_ad_user">'Value Reference Tables'!$L$127</definedName>
    <definedName name="child_svc_vsphere_ad_password">'Value Reference Tables'!$L$111</definedName>
    <definedName name="child_svc_vsphere_ad_user">'Value Reference Tables'!$L$126</definedName>
    <definedName name="cluster_az1_host_fqdns">'Value Reference Tables'!$I$71:$I$86</definedName>
    <definedName name="cluster_az1_host_mgmt_ips">'Value Reference Tables'!$I$53:$I$68</definedName>
    <definedName name="cluster_az1_host_overlay_cidr">'Value Reference Tables'!$I$163</definedName>
    <definedName name="cluster_az1_host_overlay_gateway_ip">'Value Reference Tables'!$I$166</definedName>
    <definedName name="cluster_az1_host_overlay_network_pool_description">'Value Reference Tables'!$I$162</definedName>
    <definedName name="cluster_az1_host_overlay_network_pool_name">'Value Reference Tables'!$I$161</definedName>
    <definedName name="cluster_az1_host_overlay_network_profile_name">'Value Reference Tables'!$I$109</definedName>
    <definedName name="cluster_az1_host_overlay_new_pool_chosen">'Deploy Cluster'!$D$233</definedName>
    <definedName name="cluster_az1_host_overlay_pool_end_ip">'Value Reference Tables'!$I$165</definedName>
    <definedName name="cluster_az1_host_overlay_pool_start_ip">'Value Reference Tables'!$I$164</definedName>
    <definedName name="cluster_az1_host_overlay_transport_zone">'Value Reference Tables'!$I$157</definedName>
    <definedName name="cluster_az1_host_overlay_uplink_profile_name">'Value Reference Tables'!$I$171</definedName>
    <definedName name="cluster_az1_host_overlay_vlan">'Value Reference Tables'!$I$158</definedName>
    <definedName name="cluster_az1_host1_fqdn">'Value Reference Tables'!$I$71</definedName>
    <definedName name="cluster_az1_host1_mgmt_ip">'Value Reference Tables'!$I$53</definedName>
    <definedName name="cluster_az1_host10_fqdn">'Value Reference Tables'!$I$80</definedName>
    <definedName name="cluster_az1_host10_mgmt_ip">'Value Reference Tables'!$I$62</definedName>
    <definedName name="cluster_az1_host11_fqdn">'Value Reference Tables'!$I$81</definedName>
    <definedName name="cluster_az1_host11_mgmt_ip">'Value Reference Tables'!$I$63</definedName>
    <definedName name="cluster_az1_host12_fqdn">'Value Reference Tables'!$I$82</definedName>
    <definedName name="cluster_az1_host12_mgmt_ip">'Value Reference Tables'!$I$64</definedName>
    <definedName name="cluster_az1_host13_fqdn">'Value Reference Tables'!$I$83</definedName>
    <definedName name="cluster_az1_host13_mgmt_ip">'Value Reference Tables'!$I$65</definedName>
    <definedName name="cluster_az1_host14_fqdn">'Value Reference Tables'!$I$84</definedName>
    <definedName name="cluster_az1_host14_mgmt_ip">'Value Reference Tables'!$I$66</definedName>
    <definedName name="cluster_az1_host15_fqdn">'Value Reference Tables'!$I$85</definedName>
    <definedName name="cluster_az1_host15_mgmt_ip">'Value Reference Tables'!$I$67</definedName>
    <definedName name="cluster_az1_host16_fqdn">'Value Reference Tables'!$I$86</definedName>
    <definedName name="cluster_az1_host16_mgmt_ip">'Value Reference Tables'!$I$68</definedName>
    <definedName name="cluster_az1_host2_fqdn">'Value Reference Tables'!$I$72</definedName>
    <definedName name="cluster_az1_host2_mgmt_ip">'Value Reference Tables'!$I$54</definedName>
    <definedName name="cluster_az1_host3_fqdn">'Value Reference Tables'!$I$73</definedName>
    <definedName name="cluster_az1_host3_mgmt_ip">'Value Reference Tables'!$I$55</definedName>
    <definedName name="cluster_az1_host4_fqdn">'Value Reference Tables'!$I$74</definedName>
    <definedName name="cluster_az1_host4_mgmt_ip">'Value Reference Tables'!$I$56</definedName>
    <definedName name="cluster_az1_host5_fqdn">'Value Reference Tables'!$I$75</definedName>
    <definedName name="cluster_az1_host5_mgmt_ip">'Value Reference Tables'!$I$57</definedName>
    <definedName name="cluster_az1_host6_fqdn">'Value Reference Tables'!$I$76</definedName>
    <definedName name="cluster_az1_host6_mgmt_ip">'Value Reference Tables'!$I$58</definedName>
    <definedName name="cluster_az1_host7_fqdn">'Value Reference Tables'!$I$77</definedName>
    <definedName name="cluster_az1_host7_mgmt_ip">'Value Reference Tables'!$I$59</definedName>
    <definedName name="cluster_az1_host8_fqdn">'Value Reference Tables'!$I$78</definedName>
    <definedName name="cluster_az1_host8_mgmt_ip">'Value Reference Tables'!$I$60</definedName>
    <definedName name="cluster_az1_host9_fqdn">'Value Reference Tables'!$I$79</definedName>
    <definedName name="cluster_az1_host9_mgmt_ip">'Value Reference Tables'!$I$61</definedName>
    <definedName name="cluster_az1_mgmt_cidr">'Value Reference Tables'!$I$14</definedName>
    <definedName name="cluster_az1_mgmt_gateway_ip">'Value Reference Tables'!$I$13</definedName>
    <definedName name="cluster_az1_mgmt_lbt_chosen">'Deploy Cluster'!$D$201</definedName>
    <definedName name="cluster_az1_mgmt_mtu">'Value Reference Tables'!$I$15</definedName>
    <definedName name="cluster_az1_mgmt_pg">'Value Reference Tables'!$I$127</definedName>
    <definedName name="cluster_az1_mgmt_uplink1_chosen">'Deploy Cluster'!$D$202</definedName>
    <definedName name="cluster_az1_mgmt_uplink2_chosen">'Deploy Cluster'!$D$203</definedName>
    <definedName name="cluster_az1_mgmt_vlan">'Value Reference Tables'!$I$12</definedName>
    <definedName name="cluster_az1_mgmt_vm_lbt_chosen">'Deploy Cluster'!$D$206</definedName>
    <definedName name="cluster_az1_mgmt_vm_pg">'Value Reference Tables'!$I$132</definedName>
    <definedName name="cluster_az1_mgmt_vm_uplink1_chosen">'Deploy Cluster'!$D$207</definedName>
    <definedName name="cluster_az1_mgmt_vm_uplink2_chosen">'Deploy Cluster'!$D$208</definedName>
    <definedName name="cluster_az1_nsx_lbt_chosen">'Deploy Cluster'!$D$247</definedName>
    <definedName name="cluster_az1_nsx_uplink_count">'Value Reference Tables'!$I$168</definedName>
    <definedName name="cluster_az1_nsx_uplink1">'Value Reference Tables'!$I$169</definedName>
    <definedName name="cluster_az1_nsx_uplink1_active">'Value Reference Tables'!$I$173</definedName>
    <definedName name="cluster_az1_nsx_uplink2">'Value Reference Tables'!$I$170</definedName>
    <definedName name="cluster_az1_nsx_uplink2_active">'Value Reference Tables'!$I$174</definedName>
    <definedName name="cluster_az1_pool_name">'Value Reference Tables'!$I$69</definedName>
    <definedName name="cluster_az1_principal_storage_cidr">'Value Reference Tables'!$I$30</definedName>
    <definedName name="cluster_az1_principal_storage_gateway_ip">'Value Reference Tables'!$I$31</definedName>
    <definedName name="cluster_az1_principal_storage_lbt_chosen">'Deploy Cluster'!$D$216</definedName>
    <definedName name="cluster_az1_principal_storage_mask">'Value Reference Tables'!$I$29</definedName>
    <definedName name="cluster_az1_principal_storage_mtu">'Value Reference Tables'!$I$27</definedName>
    <definedName name="cluster_az1_principal_storage_network">'Value Reference Tables'!$I$28</definedName>
    <definedName name="cluster_az1_principal_storage_pg">'Value Reference Tables'!$I$142</definedName>
    <definedName name="cluster_az1_principal_storage_pool_end_ip">'Value Reference Tables'!$I$33</definedName>
    <definedName name="cluster_az1_principal_storage_pool_start_ip">'Value Reference Tables'!$I$32</definedName>
    <definedName name="cluster_az1_principal_storage_uplink1_chosen">'Deploy Cluster'!$D$217</definedName>
    <definedName name="cluster_az1_principal_storage_uplink2_chosen">'Deploy Cluster'!$D$218</definedName>
    <definedName name="cluster_az1_principal_storage_vlan">'Value Reference Tables'!$I$26</definedName>
    <definedName name="cluster_az1_reuse_vcf_networkpool_chosen">'Deploy Cluster'!$B$13</definedName>
    <definedName name="cluster_az1_reuse_vcf_networkpool_result">'Deploy Cluster'!$D$13</definedName>
    <definedName name="cluster_az1_secondary_storage_cidr">'Value Reference Tables'!$I$39</definedName>
    <definedName name="cluster_az1_secondary_storage_gateway_ip">'Value Reference Tables'!$I$40</definedName>
    <definedName name="cluster_az1_secondary_storage_mask">'Value Reference Tables'!$I$38</definedName>
    <definedName name="cluster_az1_secondary_storage_mtu">'Value Reference Tables'!$I$36</definedName>
    <definedName name="cluster_az1_secondary_storage_network">'Value Reference Tables'!$I$37</definedName>
    <definedName name="cluster_az1_secondary_storage_pool_end_ip">'Value Reference Tables'!$I$42</definedName>
    <definedName name="cluster_az1_secondary_storage_pool_start_ip">'Value Reference Tables'!$I$41</definedName>
    <definedName name="cluster_az1_secondary_storage_vlan">'Value Reference Tables'!$I$35</definedName>
    <definedName name="cluster_az1_storage_cluster_cidr">'Value Reference Tables'!$I$48</definedName>
    <definedName name="cluster_az1_storage_cluster_gateway_ip">'Value Reference Tables'!$I$49</definedName>
    <definedName name="cluster_az1_storage_cluster_mask">'Value Reference Tables'!$I$47</definedName>
    <definedName name="cluster_az1_storage_cluster_mtu">'Value Reference Tables'!$I$45</definedName>
    <definedName name="cluster_az1_storage_cluster_network">'Value Reference Tables'!$I$46</definedName>
    <definedName name="cluster_az1_storage_cluster_pool_end_ip">'Value Reference Tables'!$I$51</definedName>
    <definedName name="cluster_az1_storage_cluster_pool_start_ip">'Value Reference Tables'!$I$50</definedName>
    <definedName name="cluster_az1_storage_cluster_vlan">'Value Reference Tables'!$I$44</definedName>
    <definedName name="cluster_az1_vmotion_cidr">'Value Reference Tables'!$I$21</definedName>
    <definedName name="cluster_az1_vmotion_gateway_ip">'Value Reference Tables'!$I$22</definedName>
    <definedName name="cluster_az1_vmotion_lbt_chosen">'Deploy Cluster'!$D$211</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Tables'!$I$137</definedName>
    <definedName name="cluster_az1_vmotion_pool_end_ip">'Value Reference Tables'!$I$24</definedName>
    <definedName name="cluster_az1_vmotion_pool_start_ip">'Value Reference Tables'!$I$23</definedName>
    <definedName name="cluster_az1_vmotion_uplink1_chosen">'Deploy Cluster'!$D$212</definedName>
    <definedName name="cluster_az1_vmotion_uplink2_chosen">'Deploy Cluster'!$D$213</definedName>
    <definedName name="cluster_az1_vmotion_vlan">'Value Reference Tables'!$I$17</definedName>
    <definedName name="cluster_az1_vsan_storage_client_lbt_chosen">'Deploy Cluster'!$D$221</definedName>
    <definedName name="cluster_az1_vsan_storage_client_pg">'Value Reference Tables'!$I$147</definedName>
    <definedName name="cluster_az1_vsan_storage_client_uplink1">'Deploy Cluster'!$D$222</definedName>
    <definedName name="cluster_az1_vsan_storage_client_uplink2">'Deploy Cluster'!$D$223</definedName>
    <definedName name="cluster_az2_host_fqdns">'Value Reference Tables'!$I$292:$I$307</definedName>
    <definedName name="cluster_az2_host_mgmt_ips">'Value Reference Tables'!$I$205:$I$220</definedName>
    <definedName name="cluster_az2_host_overlay_cidr">'Value Reference Tables'!$I$286</definedName>
    <definedName name="cluster_az2_host_overlay_gateway_ip">'Value Reference Tables'!$I$287</definedName>
    <definedName name="cluster_az2_host_overlay_network_pool_name">'Value Reference Tables'!$I$283</definedName>
    <definedName name="cluster_az2_host_overlay_network_profile_name">'Value Reference Tables'!$I$282</definedName>
    <definedName name="cluster_az2_host_overlay_new_pool_chosen">'Deploy Cluster'!$D$406</definedName>
    <definedName name="cluster_az2_host_overlay_pool_end_ip">'Value Reference Tables'!$I$289</definedName>
    <definedName name="cluster_az2_host_overlay_pool_start_ip">'Value Reference Tables'!$I$288</definedName>
    <definedName name="cluster_az2_host_overlay_uplink_profile_name">'Value Reference Tables'!$I$284</definedName>
    <definedName name="cluster_az2_host_overlay_vlan">'Value Reference Tables'!$I$285</definedName>
    <definedName name="cluster_az2_host1_fqdn">'Value Reference Tables'!$I$292</definedName>
    <definedName name="cluster_az2_host1_mgmt_ip">'Value Reference Tables'!$I$205</definedName>
    <definedName name="cluster_az2_host10_fqdn">'Value Reference Tables'!$I$301</definedName>
    <definedName name="cluster_az2_host10_mgmt_ip">'Value Reference Tables'!$I$214</definedName>
    <definedName name="cluster_az2_host11_fqdn">'Value Reference Tables'!$I$302</definedName>
    <definedName name="cluster_az2_host11_mgmt_ip">'Value Reference Tables'!$I$215</definedName>
    <definedName name="cluster_az2_host12_fqdn">'Value Reference Tables'!$I$303</definedName>
    <definedName name="cluster_az2_host12_mgmt_ip">'Value Reference Tables'!$I$216</definedName>
    <definedName name="cluster_az2_host13_fqdn">'Value Reference Tables'!$I$304</definedName>
    <definedName name="cluster_az2_host13_mgmt_ip">'Value Reference Tables'!$I$217</definedName>
    <definedName name="cluster_az2_host14_fqdn">'Value Reference Tables'!$I$305</definedName>
    <definedName name="cluster_az2_host14_mgmt_ip">'Value Reference Tables'!$I$218</definedName>
    <definedName name="cluster_az2_host15_fqdn">'Value Reference Tables'!$I$306</definedName>
    <definedName name="cluster_az2_host15_mgmt_ip">'Value Reference Tables'!$I$219</definedName>
    <definedName name="cluster_az2_host16_fqdn">'Value Reference Tables'!$I$307</definedName>
    <definedName name="cluster_az2_host16_mgmt_ip">'Value Reference Tables'!$I$220</definedName>
    <definedName name="cluster_az2_host2_fqdn">'Value Reference Tables'!$I$293</definedName>
    <definedName name="cluster_az2_host2_mgmt_ip">'Value Reference Tables'!$I$206</definedName>
    <definedName name="cluster_az2_host3_fqdn">'Value Reference Tables'!$I$294</definedName>
    <definedName name="cluster_az2_host3_mgmt_ip">'Value Reference Tables'!$I$207</definedName>
    <definedName name="cluster_az2_host4_fqdn">'Value Reference Tables'!$I$295</definedName>
    <definedName name="cluster_az2_host4_mgmt_ip">'Value Reference Tables'!$I$208</definedName>
    <definedName name="cluster_az2_host5_fqdn">'Value Reference Tables'!$I$296</definedName>
    <definedName name="cluster_az2_host5_mgmt_ip">'Value Reference Tables'!$I$209</definedName>
    <definedName name="cluster_az2_host6_fqdn">'Value Reference Tables'!$I$297</definedName>
    <definedName name="cluster_az2_host6_mgmt_ip">'Value Reference Tables'!$I$210</definedName>
    <definedName name="cluster_az2_host7_fqdn">'Value Reference Tables'!$I$298</definedName>
    <definedName name="cluster_az2_host7_mgmt_ip">'Value Reference Tables'!$I$211</definedName>
    <definedName name="cluster_az2_host8_fqdn">'Value Reference Tables'!$I$299</definedName>
    <definedName name="cluster_az2_host8_mgmt_ip">'Value Reference Tables'!$I$212</definedName>
    <definedName name="cluster_az2_host9_fqdn">'Value Reference Tables'!$I$300</definedName>
    <definedName name="cluster_az2_host9_mgmt_ip">'Value Reference Tables'!$I$213</definedName>
    <definedName name="cluster_az2_mgmt_cidr">'Value Reference Tables'!$I$203</definedName>
    <definedName name="cluster_az2_mgmt_gateway_ip">'Value Reference Tables'!$I$202</definedName>
    <definedName name="cluster_az2_mgmt_mtu">'Value Reference Tables'!$I$204</definedName>
    <definedName name="cluster_az2_mgmt_vlan">'Value Reference Tables'!$I$201</definedName>
    <definedName name="cluster_az2_pool_name">'Value Reference Tables'!$I$221</definedName>
    <definedName name="cluster_az2_principal_storage_cidr">'Value Reference Tables'!$I$236</definedName>
    <definedName name="cluster_az2_principal_storage_gateway_ip">'Value Reference Tables'!$I$237</definedName>
    <definedName name="cluster_az2_principal_storage_mask">'Value Reference Tables'!$I$235</definedName>
    <definedName name="cluster_az2_principal_storage_mtu">'Value Reference Tables'!$I$233</definedName>
    <definedName name="cluster_az2_principal_storage_network">'Value Reference Tables'!$I$234</definedName>
    <definedName name="cluster_az2_principal_storage_pool_end_ip">'Value Reference Tables'!$I$239</definedName>
    <definedName name="cluster_az2_principal_storage_pool_start_ip">'Value Reference Tables'!$I$238</definedName>
    <definedName name="cluster_az2_principal_storage_vlan">'Value Reference Tables'!$I$232</definedName>
    <definedName name="cluster_az2_reuse_vcf_networkpool_chosen">'Deploy Cluster'!$D$280</definedName>
    <definedName name="cluster_az2_secondary_storage_gateway_ip">'Value Reference Tables'!$I$245</definedName>
    <definedName name="cluster_az2_secondary_storage_mask">'Value Reference Tables'!$I$244</definedName>
    <definedName name="cluster_az2_secondary_storage_mtu">'Value Reference Tables'!$I$242</definedName>
    <definedName name="cluster_az2_secondary_storage_network">'Value Reference Tables'!$I$243</definedName>
    <definedName name="cluster_az2_secondary_storage_pool_end_ip">'Value Reference Tables'!$I$247</definedName>
    <definedName name="cluster_az2_secondary_storage_pool_start_ip">'Value Reference Tables'!$I$246</definedName>
    <definedName name="cluster_az2_secondary_storage_vlan">'Value Reference Tables'!$I$241</definedName>
    <definedName name="cluster_az2_storage_cluster_cidr">'Value Reference Tables'!$I$253</definedName>
    <definedName name="cluster_az2_storage_cluster_gateway_ip">'Value Reference Tables'!$I$254</definedName>
    <definedName name="cluster_az2_storage_cluster_mask">'Value Reference Tables'!$I$252</definedName>
    <definedName name="cluster_az2_storage_cluster_mtu">'Value Reference Tables'!$I$250</definedName>
    <definedName name="cluster_az2_storage_cluster_network">'Value Reference Tables'!$I$251</definedName>
    <definedName name="cluster_az2_storage_cluster_pool_end_ip">'Value Reference Tables'!$I$256</definedName>
    <definedName name="cluster_az2_storage_cluster_pool_start_ip">'Value Reference Tables'!$I$255</definedName>
    <definedName name="cluster_az2_storage_cluster_vlan">'Value Reference Tables'!$I$249</definedName>
    <definedName name="cluster_az2_tor1_peer_asn">'Value Reference Tables'!$I$308</definedName>
    <definedName name="cluster_az2_tor1_peer_ip">'Value Reference Tables'!$I$309</definedName>
    <definedName name="cluster_az2_tor2_peer_asn">'Value Reference Tables'!$I$310</definedName>
    <definedName name="cluster_az2_tor2_peer_ip">'Value Reference Tables'!$I$311</definedName>
    <definedName name="cluster_az2_vmotion_cidr">'Value Reference Tables'!$I$227</definedName>
    <definedName name="cluster_az2_vmotion_gateway_ip">'Value Reference Tables'!$I$228</definedName>
    <definedName name="cluster_az2_vmotion_mask">'Value Reference Tables'!$I$226</definedName>
    <definedName name="cluster_az2_vmotion_mtu">'Value Reference Tables'!$I$224</definedName>
    <definedName name="cluster_az2_vmotion_network">'Value Reference Tables'!$I$225</definedName>
    <definedName name="cluster_az2_vmotion_pool_end_ip">'Value Reference Tables'!$I$230</definedName>
    <definedName name="cluster_az2_vmotion_pool_start_ip">'Value Reference Tables'!$I$229</definedName>
    <definedName name="cluster_az2_vmotion_vlan">'Value Reference Tables'!$I$223</definedName>
    <definedName name="cluster_chosen">'Deploy Cluster'!$B$8</definedName>
    <definedName name="cluster_cl01_vds_copy_profile_chosen">'Deploy Cluster'!$D$162</definedName>
    <definedName name="cluster_cluster_sddc_id">'Value Reference Tables'!$I$313</definedName>
    <definedName name="cluster_compute_hosts_per_rack_chosen">'Deploy Cluster'!$B$9</definedName>
    <definedName name="cluster_compute_hosts_per_rack_result">'Deploy Cluster'!$D$9</definedName>
    <definedName name="cluster_datacenter">'Value Reference Tables'!$I$280</definedName>
    <definedName name="cluster_domain_name">'Value Reference Tables'!$I$9</definedName>
    <definedName name="cluster_esx_root_password">'Value Reference Tables'!$I$92</definedName>
    <definedName name="cluster_esx_root_username">'Value Reference Tables'!$I$91</definedName>
    <definedName name="cluster_host_overlay_addressing_chosen">'Deploy Cluster'!$D$232</definedName>
    <definedName name="cluster_host_overlay_transportzone">'Value Reference Tables'!$I$312</definedName>
    <definedName name="cluster_image_name">'Value Reference Tables'!$I$94</definedName>
    <definedName name="cluster_multi_rack_count_chosen">'Deploy Cluster'!$B$10</definedName>
    <definedName name="cluster_multi_rack_count_result">'Deploy Cluster'!$D$10</definedName>
    <definedName name="cluster_name">'Value Reference Tables'!$I$93</definedName>
    <definedName name="cluster_nfs_datastore_name">'Value Reference Tables'!$I$102</definedName>
    <definedName name="cluster_nfs_server_address">'Value Reference Tables'!$I$104</definedName>
    <definedName name="cluster_nfs_share_path">'Value Reference Tables'!$I$103</definedName>
    <definedName name="cluster_nsx_default_operation_mode_chosen">'Deploy Cluster'!$D$225</definedName>
    <definedName name="cluster_nsx_operation_mode_chosen">'Deploy Cluster'!$D$226</definedName>
    <definedName name="cluster_nsx_overlay_transport_zone_chosen">'Deploy Cluster'!$D$227</definedName>
    <definedName name="cluster_nsx_vlan_transport_zone_chosen">'Deploy Cluster'!$D$228</definedName>
    <definedName name="cluster_nsx_vlan_transport_zone_name">'Value Reference Tables'!$I$167</definedName>
    <definedName name="cluster_nsxt_vip_fqdn">'Value Reference Tables'!$I$291</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Tables'!$I$279</definedName>
    <definedName name="cluster_vds_profile_chosen">'Deploy Cluster'!$D$161</definedName>
    <definedName name="cluster_vds01_lacp_mode_chosen">'Deploy Cluster'!$D$171</definedName>
    <definedName name="cluster_vds01_lacp_timeout_chosen">'Deploy Cluster'!$D$173</definedName>
    <definedName name="cluster_vds01_lag_lbt_chosen">'Deploy Cluster'!$D$172</definedName>
    <definedName name="cluster_vds01_lag_name">'Value Reference Tables'!$I$113</definedName>
    <definedName name="cluster_vds01_link_type_chosen">'Deploy Cluster'!$D$169</definedName>
    <definedName name="cluster_vds01_mtu">'Value Reference Tables'!$I$108</definedName>
    <definedName name="cluster_vds01_name">'Value Reference Tables'!$I$107</definedName>
    <definedName name="cluster_vds01_pnics">'Value Reference Tables'!$I$111</definedName>
    <definedName name="cluster_vds01_traffic_type">'Value Reference Tables'!$I$112</definedName>
    <definedName name="cluster_vds01_uplink_count">'Value Reference Tables'!$I$110</definedName>
    <definedName name="cluster_vds02_lacp_mode_chosen">'Deploy Cluster'!$D$182</definedName>
    <definedName name="cluster_vds02_lacp_timeout_chosen">'Deploy Cluster'!$D$184</definedName>
    <definedName name="cluster_vds02_lag_lbt_chosen">'Deploy Cluster'!$D$183</definedName>
    <definedName name="cluster_vds02_lag_name">'Value Reference Tables'!$I$119</definedName>
    <definedName name="cluster_vds02_link_type_chosen">'Deploy Cluster'!$D$180</definedName>
    <definedName name="cluster_vds02_mtu">'Value Reference Tables'!$I$115</definedName>
    <definedName name="cluster_vds02_name">'Value Reference Tables'!$I$114</definedName>
    <definedName name="cluster_vds02_pnics">'Value Reference Tables'!$I$117</definedName>
    <definedName name="cluster_vds02_traffic_type">'Value Reference Tables'!$I$118</definedName>
    <definedName name="cluster_vds02_uplink_count">'Value Reference Tables'!$I$116</definedName>
    <definedName name="cluster_vds03_lacp_mode_chosen">'Deploy Cluster'!$D$193</definedName>
    <definedName name="cluster_vds03_lacp_timeout_chosen">'Deploy Cluster'!$D$195</definedName>
    <definedName name="cluster_vds03_lag_lbt_chosen">'Deploy Cluster'!$D$194</definedName>
    <definedName name="cluster_vds03_lag_name">'Value Reference Tables'!$I$125</definedName>
    <definedName name="cluster_vds03_link_type_chosen">'Deploy Cluster'!$D$191</definedName>
    <definedName name="cluster_vds03_mtu">'Value Reference Tables'!$I$121</definedName>
    <definedName name="cluster_vds03_name">'Value Reference Tables'!$I$120</definedName>
    <definedName name="cluster_vds03_pnics">'Value Reference Tables'!$I$123</definedName>
    <definedName name="cluster_vds03_traffic_type">'Value Reference Tables'!$I$124</definedName>
    <definedName name="cluster_vds03_uplink_count">'Value Reference Tables'!$I$122</definedName>
    <definedName name="cluster_vmfs_datastore_name">'Value Reference Tables'!$I$101</definedName>
    <definedName name="cluster_vsan_client_network">'Deploy Cluster'!$D$130</definedName>
    <definedName name="cluster_vsan_compute_fault_domain_mapping_chosen">'Deploy Cluster'!$D$404</definedName>
    <definedName name="cluster_vsan_compute_network_topology_chosen">'Deploy Cluster'!$D$403</definedName>
    <definedName name="cluster_vsan_datastore">'Value Reference Tables'!$I$97</definedName>
    <definedName name="cluster_vsan_dedupe_compression_chosen">'Deploy Cluster'!$D$132</definedName>
    <definedName name="cluster_vsan_ftt_chosen">'Deploy Cluster'!$D$131</definedName>
    <definedName name="cluster_vsan_type">'Deploy Cluster'!$D$101</definedName>
    <definedName name="cluster_witness_cluster">'Value Reference Tables'!$I$266</definedName>
    <definedName name="cluster_witness_dns1_ip">'Value Reference Tables'!$I$275</definedName>
    <definedName name="cluster_witness_dns2_ip">'Value Reference Tables'!$I$276</definedName>
    <definedName name="cluster_witness_fqdn">'Value Reference Tables'!$I$281</definedName>
    <definedName name="cluster_witness_hostname">'Value Reference Tables'!$I$265</definedName>
    <definedName name="cluster_witness_ip">'Value Reference Tables'!$I$273</definedName>
    <definedName name="cluster_witness_mgmt_pg">'Value Reference Tables'!$I$269</definedName>
    <definedName name="cluster_witness_ntp1_server">'Value Reference Tables'!$I$277</definedName>
    <definedName name="cluster_witness_ntp2_server">'Value Reference Tables'!$I$278</definedName>
    <definedName name="cluster_witness_vm_folder">'Value Reference Tables'!$I$267</definedName>
    <definedName name="cluster_witness_vsan_datastore">'Value Reference Tables'!$I$268</definedName>
    <definedName name="cluster_witness_zone_vc_fqdn">'Value Reference Tables'!$I$264</definedName>
    <definedName name="cluster_witnessaz_mgmt_cidr">'Value Reference Tables'!$I$262</definedName>
    <definedName name="cluster_witnessaz_mgmt_gateway_ip">'Value Reference Tables'!$I$261</definedName>
    <definedName name="cluster_witnessaz_mgmt_mask">'Value Reference Tables'!$I$272</definedName>
    <definedName name="cluster_witnessaz_mgmt_mtu">'Value Reference Tables'!$I$263</definedName>
    <definedName name="cluster_witnessaz_mgmt_vlan">'Value Reference Tables'!$I$260</definedName>
    <definedName name="cluster_wld_domain_chosen">'Value Reference Tables'!$I$8</definedName>
    <definedName name="deployment_type_vcf">'Static Reference Tables'!$E$15:$E$18</definedName>
    <definedName name="deployment_type_vvf">'Static Reference Tables'!$E$22:$E$24</definedName>
    <definedName name="domain_controller_hostname">'Value Reference Tables'!$L$57</definedName>
    <definedName name="dri_dns_servers">'Value Reference Tables'!$U$39</definedName>
    <definedName name="dri_ec_name">'Value Reference Tables'!$U$21</definedName>
    <definedName name="dri_k8s_server_address">'Value Reference Tables'!$U$37</definedName>
    <definedName name="dri_k8s_size_hint">'Value Reference Tables'!$U$28</definedName>
    <definedName name="dri_load_balancer_ge">'Value Reference Tables'!$U$22</definedName>
    <definedName name="dri_load_balancer_le">'Value Reference Tables'!$U$23</definedName>
    <definedName name="dri_network_address_range_size">'Value Reference Tables'!$U$30</definedName>
    <definedName name="dri_network_mode">'Value Reference Tables'!$U$29</definedName>
    <definedName name="dri_nsxt_vip_fqdn">'Value Reference Tables'!$U$14</definedName>
    <definedName name="dri_ntp_servers">'Value Reference Tables'!$U$40</definedName>
    <definedName name="dri_overlay_transport_zone">'Value Reference Tables'!$U$17</definedName>
    <definedName name="dri_sddc_domain">'Value Reference Tables'!$U$8</definedName>
    <definedName name="dri_tier0_name">'Value Reference Tables'!$U$16</definedName>
    <definedName name="dri_vcenter_cluster">'Value Reference Tables'!$U$11</definedName>
    <definedName name="dri_vcenter_datacenter">'Value Reference Tables'!$U$10</definedName>
    <definedName name="dri_vcenter_fqdn">'Value Reference Tables'!$U$9</definedName>
    <definedName name="dri_vcenter_vds_name">'Value Reference Tables'!$U$12</definedName>
    <definedName name="dri_vcenter_vsan_datastore">'Value Reference Tables'!$U$13</definedName>
    <definedName name="esxi_root_password">'Value Reference Tables'!$L$13</definedName>
    <definedName name="first_domain_mgmt_only_viable">'Value Reference Tables'!$AA$100</definedName>
    <definedName name="first_domain_mgmt_vi_viable">'Value Reference Tables'!$AA$101</definedName>
    <definedName name="First_Instance">'Static Reference Tables'!$G$11:$G$13</definedName>
    <definedName name="flt_auto_node_pool_end_ip">Arkham!$R$35</definedName>
    <definedName name="flt_auto_node_pool_start_ip">Arkham!$R$34</definedName>
    <definedName name="flt_auto_sr_fqdn">Arkham!$R$32</definedName>
    <definedName name="flt_auto_sr_ip">Arkham!$R$26</definedName>
    <definedName name="flt_custom_management_cidr">Arkham!$B$3</definedName>
    <definedName name="flt_custom_management_gateway_ip">Arkham!$B$5</definedName>
    <definedName name="flt_custom_management_mask">Arkham!$B$6</definedName>
    <definedName name="flt_custom_management_mtu">Arkham!$B$7</definedName>
    <definedName name="flt_custom_management_network">Arkham!$B$4</definedName>
    <definedName name="flt_custom_management_vlan">Arkham!$B$8</definedName>
    <definedName name="flt_custom_network_auto_admin_password">'Value Reference Tables'!$L$321</definedName>
    <definedName name="flt_custom_network_auto_cluster_cidr_chosen">'Deploy Fleet Management Day-N'!$D$57</definedName>
    <definedName name="flt_custom_network_auto_nodea_ip">'Value Reference Tables'!$L$316</definedName>
    <definedName name="flt_custom_network_auto_nodeb_ip">'Value Reference Tables'!$L$317</definedName>
    <definedName name="flt_custom_network_auto_nodec_ip">'Value Reference Tables'!$L$318</definedName>
    <definedName name="flt_custom_network_auto_noded_ip">'Value Reference Tables'!$L$319</definedName>
    <definedName name="flt_custom_network_auto_nodee_ip">Arkham!$R$11</definedName>
    <definedName name="flt_custom_network_auto_nodef_ip">Arkham!$R$12</definedName>
    <definedName name="flt_custom_network_auto_prefix">'Value Reference Tables'!$L$314</definedName>
    <definedName name="flt_custom_network_auto_vip_fqdn">'Value Reference Tables'!$L$313</definedName>
    <definedName name="flt_custom_network_auto_vip_ip">'Value Reference Tables'!$L$315</definedName>
    <definedName name="flt_custom_network_chosen">'Deploy Fleet Management Day-N'!$B$7</definedName>
    <definedName name="flt_custom_network_flt_admin_password">'Value Reference Tables'!$L$295</definedName>
    <definedName name="flt_custom_network_flt_existing_chosen">'Deploy Fleet Management Day-N'!$D$25</definedName>
    <definedName name="flt_custom_network_flt_fqdn">'Value Reference Tables'!$L$292</definedName>
    <definedName name="flt_custom_network_flt_ip">'Value Reference Tables'!$L$293</definedName>
    <definedName name="flt_custom_network_flt_root_password">'Value Reference Tables'!$L$294</definedName>
    <definedName name="flt_custom_network_ha_mode_chosen">'Deploy Fleet Management Day-N'!$D$15</definedName>
    <definedName name="flt_custom_network_local_reg_gateway_ip">'Value Reference Tables'!$L$327</definedName>
    <definedName name="flt_custom_network_local_reg_mask">'Value Reference Tables'!$L$326</definedName>
    <definedName name="flt_custom_network_local_reg_pg">'Value Reference Tables'!$L$325</definedName>
    <definedName name="flt_custom_network_ops_admin_password">'Value Reference Tables'!$L$307</definedName>
    <definedName name="flt_custom_network_ops_collector_fqdn">'Value Reference Tables'!$L$308</definedName>
    <definedName name="flt_custom_network_ops_collector_ip">'Value Reference Tables'!$L$309</definedName>
    <definedName name="flt_custom_network_ops_collector_root_password">'Value Reference Tables'!$L$312</definedName>
    <definedName name="flt_custom_network_ops_collector_size_chosen">'Deploy Fleet Management Day-N'!$D$47</definedName>
    <definedName name="flt_custom_network_ops_collector_version">'Value Reference Tables'!$L$310</definedName>
    <definedName name="flt_custom_network_ops_existing_chosen">'Deploy Fleet Management Day-N'!$D$31</definedName>
    <definedName name="flt_custom_network_ops_nodea_fqdn">'Value Reference Tables'!$L$298</definedName>
    <definedName name="flt_custom_network_ops_nodea_ip">'Value Reference Tables'!$L$302</definedName>
    <definedName name="flt_custom_network_ops_nodeb_fqdn">'Value Reference Tables'!$L$299</definedName>
    <definedName name="flt_custom_network_ops_nodeb_ip">'Value Reference Tables'!$L$303</definedName>
    <definedName name="flt_custom_network_ops_nodec_fqdn">'Value Reference Tables'!$L$300</definedName>
    <definedName name="flt_custom_network_ops_nodec_ip">'Value Reference Tables'!$L$304</definedName>
    <definedName name="flt_custom_network_ops_root_password">'Value Reference Tables'!$L$306</definedName>
    <definedName name="flt_custom_network_ops_size_chosen">'Deploy Fleet Management Day-N'!$D$40</definedName>
    <definedName name="flt_custom_network_ops_vip_ip">'Value Reference Tables'!$L$301</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custom_network_x_reg_gateway_ip">'Value Reference Tables'!$L$324</definedName>
    <definedName name="flt_custom_network_x_reg_mask">'Value Reference Tables'!$L$323</definedName>
    <definedName name="flt_custom_network_x_reg_pg">'Value Reference Tables'!$L$322</definedName>
    <definedName name="flt_fc_fqdn">Arkham!$R$31</definedName>
    <definedName name="flt_fc_ip">Arkham!$R$25</definedName>
    <definedName name="flt_ic_fqdn">Arkham!$R$30</definedName>
    <definedName name="flt_ic_ip">Arkham!$R$24</definedName>
    <definedName name="flt_lc_fqdn">Arkham!$R$28</definedName>
    <definedName name="flt_lc_ip">Arkham!$R$22</definedName>
    <definedName name="flt_logs_admin_email">'Value Reference Tables'!$L$216</definedName>
    <definedName name="flt_logs_admin_password">'Value Reference Tables'!$L$208</definedName>
    <definedName name="flt_logs_admin_password_alias">'Value Reference Tables'!$L$207</definedName>
    <definedName name="flt_logs_admin_password_description">'Value Reference Tables'!$L$209</definedName>
    <definedName name="flt_logs_admin_username">'Value Reference Tables'!$L$210</definedName>
    <definedName name="flt_logs_affinty_rule_chosen">'Deploy Fleet Management Day-N'!$D$262</definedName>
    <definedName name="flt_logs_cert_alias">'Value Reference Tables'!$L$183</definedName>
    <definedName name="flt_logs_cert_country_code">'Value Reference Tables'!$L$187</definedName>
    <definedName name="flt_logs_cert_ip_addresses">'Value Reference Tables'!$L$195</definedName>
    <definedName name="flt_logs_cert_key_length_chosen">'Deploy Fleet Management Day-N'!$D$223</definedName>
    <definedName name="flt_logs_cert_locality">'Value Reference Tables'!$L$188</definedName>
    <definedName name="flt_logs_cert_organisation">'Value Reference Tables'!$L$185</definedName>
    <definedName name="flt_logs_cert_state">'Value Reference Tables'!$L$189</definedName>
    <definedName name="flt_logs_cert_type_chosen">'Deploy Fleet Management Day-N'!$D$213</definedName>
    <definedName name="flt_logs_chosen">'Deploy Fleet Management Day-N'!$B$10</definedName>
    <definedName name="flt_logs_cluster">'Value Reference Tables'!$L$205</definedName>
    <definedName name="flt_logs_common_name">'Value Reference Tables'!$L$184</definedName>
    <definedName name="flt_logs_configure_vip_chosen">'Deploy Fleet Management Day-N'!$D$263</definedName>
    <definedName name="flt_logs_datastore">'Value Reference Tables'!$L$206</definedName>
    <definedName name="flt_logs_disk_mode_chosen">'Deploy Fleet Management Day-N'!$D$240</definedName>
    <definedName name="flt_logs_fips_mode_chosen">'Deploy Fleet Management Day-N'!$D$260</definedName>
    <definedName name="flt_logs_folder">'Value Reference Tables'!$L$199</definedName>
    <definedName name="flt_logs_gateway_ip">'Value Reference Tables'!$L$202</definedName>
    <definedName name="flt_logs_ha_mode_chosen">'Deploy Fleet Management Day-N'!$D$211</definedName>
    <definedName name="flt_logs_install_type_chosen">'Deploy Fleet Management Day-N'!$D$209</definedName>
    <definedName name="flt_logs_install_version">'Deploy Fleet Management Day-N'!$D$210</definedName>
    <definedName name="flt_logs_mask">'Value Reference Tables'!$L$203</definedName>
    <definedName name="flt_logs_node_size_chosen">'Deploy Fleet Management Day-N'!$D$259</definedName>
    <definedName name="flt_logs_nodea_fqdn">'Value Reference Tables'!$L$192</definedName>
    <definedName name="flt_logs_nodea_hostname">'Value Reference Tables'!$L$217</definedName>
    <definedName name="flt_logs_nodea_ip">'Value Reference Tables'!$L$221</definedName>
    <definedName name="flt_logs_nodeb_fqdn">'Value Reference Tables'!$L$193</definedName>
    <definedName name="flt_logs_nodeb_hostname">'Value Reference Tables'!$L$218</definedName>
    <definedName name="flt_logs_nodeb_ip">'Value Reference Tables'!$L$222</definedName>
    <definedName name="flt_logs_nodec_fqdn">'Value Reference Tables'!$L$194</definedName>
    <definedName name="flt_logs_nodec_hostname">'Value Reference Tables'!$L$219</definedName>
    <definedName name="flt_logs_nodec_ip">'Value Reference Tables'!$L$223</definedName>
    <definedName name="flt_logs_ou_cert">'Value Reference Tables'!$L$186</definedName>
    <definedName name="flt_logs_portgroup">'Value Reference Tables'!$L$201</definedName>
    <definedName name="flt_logs_resource_pool">'Value Reference Tables'!$L$200</definedName>
    <definedName name="flt_logs_result">'Deploy Fleet Management Day-N'!$D$10</definedName>
    <definedName name="flt_logs_root_password">'Value Reference Tables'!$L$212</definedName>
    <definedName name="flt_logs_root_password_alias">'Value Reference Tables'!$L$211</definedName>
    <definedName name="flt_logs_root_password_description">'Value Reference Tables'!$L$213</definedName>
    <definedName name="flt_logs_root_username">'Value Reference Tables'!$L$214</definedName>
    <definedName name="flt_logs_time_sync_mode">'Deploy Fleet Management Day-N'!$D$268</definedName>
    <definedName name="flt_logs_time_sync_mode_chosen">'Deploy Fleet Management Day-N'!$D$245</definedName>
    <definedName name="flt_logs_upgrade_vm_compatabilty_chosen">'Deploy Fleet Management Day-N'!$D$264</definedName>
    <definedName name="flt_logs_use_english_chosen">'Deploy Fleet Management Day-N'!$D$265</definedName>
    <definedName name="flt_logs_vcenter_fqdn">'Value Reference Tables'!$L$204</definedName>
    <definedName name="flt_logs_vip_fqdn">'Value Reference Tables'!$L$191</definedName>
    <definedName name="flt_logs_vip_ip">'Value Reference Tables'!$L$220</definedName>
    <definedName name="flt_net_admin_password">'Value Reference Tables'!$L$270</definedName>
    <definedName name="flt_net_admin_password_alias">'Value Reference Tables'!$L$269</definedName>
    <definedName name="flt_net_admin_password_description">'Value Reference Tables'!$L$271</definedName>
    <definedName name="flt_net_admin_username">'Value Reference Tables'!$L$272</definedName>
    <definedName name="flt_net_affinty_rule_chosen">'Deploy Fleet Management Day-N'!$D$334</definedName>
    <definedName name="flt_net_cert_alias">'Value Reference Tables'!$L$229</definedName>
    <definedName name="flt_net_cert_country_code">'Value Reference Tables'!$L$237</definedName>
    <definedName name="flt_net_cert_key_length_chosen">'Deploy Fleet Management Day-N'!$D$301</definedName>
    <definedName name="flt_net_cert_locality">'Value Reference Tables'!$L$238</definedName>
    <definedName name="flt_net_cert_organisation">'Value Reference Tables'!$L$235</definedName>
    <definedName name="flt_net_cert_state">'Value Reference Tables'!$L$239</definedName>
    <definedName name="flt_net_cert_type_chosen">'Deploy Fleet Management Day-N'!$D$292</definedName>
    <definedName name="flt_net_chosen">'Deploy Fleet Management Day-N'!$B$11</definedName>
    <definedName name="flt_net_cluster">'Value Reference Tables'!$L$254</definedName>
    <definedName name="flt_net_common_name">'Value Reference Tables'!$L$234</definedName>
    <definedName name="flt_net_console_password">'Value Reference Tables'!$L$276</definedName>
    <definedName name="flt_net_datastore">'Value Reference Tables'!$L$257</definedName>
    <definedName name="flt_net_disk_mode_chosen">'Deploy Fleet Management Day-N'!$D$318</definedName>
    <definedName name="flt_net_fips_mode_chosen">'Deploy Fleet Management Day-N'!$D$332</definedName>
    <definedName name="flt_net_folder">'Value Reference Tables'!$L$255</definedName>
    <definedName name="flt_net_ha_mode_chosen">'Deploy Fleet Management Day-N'!$D$290</definedName>
    <definedName name="flt_net_install_type_chosen">'Deploy Fleet Management Day-N'!$D$288</definedName>
    <definedName name="flt_net_install_version">'Deploy Fleet Management Day-N'!$D$289</definedName>
    <definedName name="flt_net_integrate_auth_chosen">'Deploy Fleet Management Day-N'!$D$335</definedName>
    <definedName name="flt_net_node_gateway_ip">'Value Reference Tables'!$L$261</definedName>
    <definedName name="flt_net_node_mask">'Value Reference Tables'!$L$262</definedName>
    <definedName name="flt_net_node_portgroup">'Value Reference Tables'!$L$259</definedName>
    <definedName name="flt_net_nodea_fqdn">'Value Reference Tables'!$L$241</definedName>
    <definedName name="flt_net_nodea_hostname">'Value Reference Tables'!$L$249</definedName>
    <definedName name="flt_net_nodea_ip">'Value Reference Tables'!$L$245</definedName>
    <definedName name="flt_net_nodea_size_chosen">'Deploy Fleet Management Day-N'!$D$344</definedName>
    <definedName name="flt_net_nodeb_fqdn">'Value Reference Tables'!$L$242</definedName>
    <definedName name="flt_net_nodeb_hostname">'Value Reference Tables'!$L$250</definedName>
    <definedName name="flt_net_nodeb_ip">'Value Reference Tables'!$L$246</definedName>
    <definedName name="flt_net_nodeb_size_chosen">'Deploy Fleet Management Day-N'!$D$348</definedName>
    <definedName name="flt_net_nodec_fqdn">'Value Reference Tables'!$L$243</definedName>
    <definedName name="flt_net_nodec_hostname">'Value Reference Tables'!$L$251</definedName>
    <definedName name="flt_net_nodec_ip">'Value Reference Tables'!$L$247</definedName>
    <definedName name="flt_net_nodec_size_chosen">'Deploy Fleet Management Day-N'!$D$352</definedName>
    <definedName name="flt_net_ou_cert">'Value Reference Tables'!$L$236</definedName>
    <definedName name="flt_net_platform_password">'Value Reference Tables'!$L$274</definedName>
    <definedName name="flt_net_prxy_fqdn">'Value Reference Tables'!$L$244</definedName>
    <definedName name="flt_net_prxy_gateway_ip">'Value Reference Tables'!$L$280</definedName>
    <definedName name="flt_net_prxy_hostname">'Value Reference Tables'!$L$252</definedName>
    <definedName name="flt_net_prxy_ip">'Value Reference Tables'!$L$248</definedName>
    <definedName name="flt_net_prxy_mask">'Value Reference Tables'!$L$279</definedName>
    <definedName name="flt_net_prxy_portgroup">'Value Reference Tables'!$L$278</definedName>
    <definedName name="flt_net_prxy_size_chosen">'Deploy Fleet Management Day-N'!$D$359</definedName>
    <definedName name="flt_net_resource_pool">'Value Reference Tables'!$L$256</definedName>
    <definedName name="flt_net_result">'Deploy Fleet Management Day-N'!$D$11</definedName>
    <definedName name="flt_net_support_password">'Value Reference Tables'!$L$275</definedName>
    <definedName name="flt_net_time_sync_mode_chosen">'Deploy Fleet Management Day-N'!$D$323</definedName>
    <definedName name="flt_net_vcenter_fqdn">'Value Reference Tables'!$L$258</definedName>
    <definedName name="flt_net_vcenter_list">'Value Reference Tables'!$L$277</definedName>
    <definedName name="flt_sr_fqdn">Arkham!$R$29</definedName>
    <definedName name="flt_sr_ip">Arkham!$R$23</definedName>
    <definedName name="flt_vcfms_node_pool_end_ip">Arkham!$R$41</definedName>
    <definedName name="flt_vcfms_node_pool_start_ip">Arkham!$R$40</definedName>
    <definedName name="flt_vidb_additional_vips">'Value Reference Tables'!$C$234</definedName>
    <definedName name="flt_vidb_base_dn">'Value Reference Tables'!$C$177</definedName>
    <definedName name="flt_vidb_bind_password">'Value Reference Tables'!$C$179</definedName>
    <definedName name="flt_vidb_bind_username">'Value Reference Tables'!$C$178</definedName>
    <definedName name="flt_vidb_cert_alias">'Value Reference Tables'!$C$149</definedName>
    <definedName name="flt_vidb_cert_common_name">'Value Reference Tables'!$C$150</definedName>
    <definedName name="flt_vidb_cert_country_code">'Value Reference Tables'!$C$153</definedName>
    <definedName name="flt_vidb_cert_key_length_chosen">'Deploy Fleet Management Day-N'!$D$136</definedName>
    <definedName name="flt_vidb_cert_locality">'Value Reference Tables'!$C$154</definedName>
    <definedName name="flt_vidb_cert_organisation">'Value Reference Tables'!$C$151</definedName>
    <definedName name="flt_vidb_cert_state">'Value Reference Tables'!$C$155</definedName>
    <definedName name="flt_vidb_cert_type_chosen">'Deploy Fleet Management Day-N'!$D$127</definedName>
    <definedName name="flt_vidb_chosen">'Deploy Fleet Management Day-N'!$B$9</definedName>
    <definedName name="flt_vidb_cluster">'Value Reference Tables'!$C$163</definedName>
    <definedName name="flt_vidb_datastore">'Value Reference Tables'!$C$164</definedName>
    <definedName name="flt_vidb_deployment_mode">'Value Reference Tables'!$C$165</definedName>
    <definedName name="flt_vidb_directory_name">'Value Reference Tables'!$C$167</definedName>
    <definedName name="flt_vidb_directory_search_chosen">'Deploy Fleet Management Day-N'!$D$188</definedName>
    <definedName name="flt_vidb_distinguished_name">'Value Reference Tables'!$C$183</definedName>
    <definedName name="flt_vidb_employeeID">'Value Reference Tables'!$C$184</definedName>
    <definedName name="flt_vidb_encrypted_cert">'Value Reference Tables'!$C$171</definedName>
    <definedName name="flt_vidb_encrypted_connection_chosen">'Deploy Fleet Management Day-N'!$D$182</definedName>
    <definedName name="flt_vidb_first_name">'Value Reference Tables'!$C$181</definedName>
    <definedName name="flt_vidb_folder">'Value Reference Tables'!$C$157</definedName>
    <definedName name="flt_vidb_gateway_ip">'Value Reference Tables'!$C$158</definedName>
    <definedName name="flt_vidb_global_catalog_chosen">'Deploy Fleet Management Day-N'!$D$181</definedName>
    <definedName name="flt_vidb_group_base_dn">'Value Reference Tables'!$C$187</definedName>
    <definedName name="flt_vidb_hostname">'Value Reference Tables'!$C$49</definedName>
    <definedName name="flt_vidb_identity_provider_chosen">'Deploy Fleet Management Day-N'!$D$178</definedName>
    <definedName name="flt_vidb_internal_cidr_chosen">'Deploy Fleet Management Day-N'!$D$167</definedName>
    <definedName name="flt_vidb_last_name">'Value Reference Tables'!$C$182</definedName>
    <definedName name="flt_vidb_mail">'Value Reference Tables'!$C$185</definedName>
    <definedName name="flt_vidb_mask">'Value Reference Tables'!$C$159</definedName>
    <definedName name="flt_vidb_node_prefix">'Value Reference Tables'!$C$235</definedName>
    <definedName name="flt_vidb_nodea_ip">'Value Reference Tables'!$C$30</definedName>
    <definedName name="flt_vidb_nodeb_ip">'Value Reference Tables'!$C$31</definedName>
    <definedName name="flt_vidb_nodec_ip">'Value Reference Tables'!$C$32</definedName>
    <definedName name="flt_vidb_noded_ip">'Value Reference Tables'!$C$33</definedName>
    <definedName name="flt_vidb_ou_cert">'Value Reference Tables'!$C$152</definedName>
    <definedName name="flt_vidb_password">'Value Reference Tables'!$C$236</definedName>
    <definedName name="flt_vidb_password_alias">'Value Reference Tables'!$C$237</definedName>
    <definedName name="flt_vidb_password_description">'Value Reference Tables'!$C$238</definedName>
    <definedName name="flt_vidb_pg">'Value Reference Tables'!$C$161</definedName>
    <definedName name="flt_vidb_primary_domain_controller">'Value Reference Tables'!$C$172</definedName>
    <definedName name="flt_vidb_primary_domain_controller_port">'Value Reference Tables'!$C$173</definedName>
    <definedName name="flt_vidb_resource_pool">'Value Reference Tables'!$C$160</definedName>
    <definedName name="flt_vidb_result">'Deploy Fleet Management Day-N'!$D$9</definedName>
    <definedName name="flt_vidb_root_username">'Value Reference Tables'!$C$239</definedName>
    <definedName name="flt_vidb_secondary_domain_controller">'Value Reference Tables'!$C$174</definedName>
    <definedName name="flt_vidb_secondary_domain_controller_port">'Value Reference Tables'!$C$175</definedName>
    <definedName name="flt_vidb_server_location_chosen">'Deploy Fleet Management Day-N'!$D$180</definedName>
    <definedName name="flt_vidb_size_chosen">'Deploy Fleet Management Day-N'!$D$125</definedName>
    <definedName name="flt_vidb_system_user_alias">'Value Reference Tables'!$C$240</definedName>
    <definedName name="flt_vidb_system_user_description">'Value Reference Tables'!$C$242</definedName>
    <definedName name="flt_vidb_system_user_password">'Value Reference Tables'!$C$241</definedName>
    <definedName name="flt_vidb_time_sync_mode_chosen">'Deploy Fleet Management Day-N'!$D$151</definedName>
    <definedName name="flt_vidb_type_chosen">'Deploy Fleet Management Day-N'!$D$123</definedName>
    <definedName name="flt_vidb_user_base_dn">'Value Reference Tables'!$C$188</definedName>
    <definedName name="flt_vidb_user_name">'Value Reference Tables'!$C$180</definedName>
    <definedName name="flt_vidb_user_principal_name">'Value Reference Tables'!$C$186</definedName>
    <definedName name="flt_vidb_vcenter_fqdn">'Value Reference Tables'!$C$162</definedName>
    <definedName name="flt_vidb_version">'Value Reference Tables'!$C$147</definedName>
    <definedName name="flt_vidb_vip_fqdn">'Value Reference Tables'!$C$67</definedName>
    <definedName name="flt_vidb_vip_ip">'Value Reference Tables'!$C$29</definedName>
    <definedName name="global_env_admin_password">'Value Reference Tables'!$AA$18</definedName>
    <definedName name="global_env_admin_password_alias">'Value Reference Tables'!$AA$17</definedName>
    <definedName name="global_env_admin_username">'Value Reference Tables'!$AA$19</definedName>
    <definedName name="group_gg_kub_admins">'Value Reference Tables'!$L$131</definedName>
    <definedName name="group_gg_kub_readonly">'Value Reference Tables'!$L$132</definedName>
    <definedName name="group_gg_nsx_auditors">'Value Reference Tables'!$L$160</definedName>
    <definedName name="group_gg_nsx_enterprise_admins">'Value Reference Tables'!$L$158</definedName>
    <definedName name="group_gg_nsx_network_admins">'Value Reference Tables'!$L$159</definedName>
    <definedName name="group_gg_sso_admins">'Value Reference Tables'!$L$157</definedName>
    <definedName name="group_gg_vc_admins">'Value Reference Tables'!$L$155</definedName>
    <definedName name="group_gg_vc_read_only">'Value Reference Tables'!$L$156</definedName>
    <definedName name="group_gg_vcf_admins">'Value Reference Tables'!$L$152</definedName>
    <definedName name="group_gg_vcf_operators">'Value Reference Tables'!$L$153</definedName>
    <definedName name="group_gg_vcf_viewers">'Value Reference Tables'!$L$154</definedName>
    <definedName name="group_gg_vra_cloud_assembly_admins">'Value Reference Tables'!$L$146</definedName>
    <definedName name="group_gg_vra_cloud_assembly_users">'Value Reference Tables'!$L$147</definedName>
    <definedName name="group_gg_vra_cloud_assembly_viewers">'Value Reference Tables'!$L$148</definedName>
    <definedName name="group_gg_vra_orchestrator_viewers">'Value Reference Tables'!$L$149</definedName>
    <definedName name="group_gg_vra_org_owners">'Value Reference Tables'!$L$145</definedName>
    <definedName name="group_gg_vra_project_admins_sample">'Value Reference Tables'!$L$150</definedName>
    <definedName name="group_gg_vra_project_users_sample">'Value Reference Tables'!$L$151</definedName>
    <definedName name="group_gg_vrli_admins">'Value Reference Tables'!$L$142</definedName>
    <definedName name="group_gg_vrli_users">'Value Reference Tables'!$L$143</definedName>
    <definedName name="group_gg_vrli_viewers">'Value Reference Tables'!$L$144</definedName>
    <definedName name="group_gg_vrops_admins">'Value Reference Tables'!$L$139</definedName>
    <definedName name="group_gg_vrops_content_admins">'Value Reference Tables'!$L$140</definedName>
    <definedName name="group_gg_vrops_read_only">'Value Reference Tables'!$L$141</definedName>
    <definedName name="group_gg_vrslcm_admins">'Value Reference Tables'!$L$136</definedName>
    <definedName name="group_gg_vrslcm_content_developers">'Value Reference Tables'!$L$138</definedName>
    <definedName name="group_gg_vrslcm_release_managers">'Value Reference Tables'!$L$137</definedName>
    <definedName name="group_parent_gg_wsa_admins">'Value Reference Tables'!$L$133</definedName>
    <definedName name="group_parent_gg_wsa_directory_admins">'Value Reference Tables'!$L$134</definedName>
    <definedName name="group_parent_gg_wsa_read_only">'Value Reference Tables'!$L$135</definedName>
    <definedName name="input_administrator_vsphere_local_password">'Deploy Management Domain'!$L$97</definedName>
    <definedName name="input_air_GPU_network_operator_namespace">'Private AI Ready Infrastructure'!$D$82</definedName>
    <definedName name="input_air_GPU_operator_namespace">'Private AI Ready Infrastructure'!$D$77</definedName>
    <definedName name="input_air_GPU_VM_class">'Private AI Ready Infrastructure'!$D$59</definedName>
    <definedName name="input_air_license">'Private AI Ready Infrastructure'!$D$9</definedName>
    <definedName name="input_avilb_root_password">'Configure Management Domain'!$D$212</definedName>
    <definedName name="input_ca_administrator_password">'Configure Management Domain'!$D$35</definedName>
    <definedName name="input_ca_administrator_username">'Configure Management Domain'!$D$34</definedName>
    <definedName name="input_ca_algorithm">'Configure Management Domain'!$D$58</definedName>
    <definedName name="input_ca_country">'Configure Management Domain'!$D$61</definedName>
    <definedName name="input_ca_email_address">'Configure Management Domain'!$D$64</definedName>
    <definedName name="input_ca_key_size">'Configure Management Domain'!$D$65</definedName>
    <definedName name="input_ca_locality">'Configure Management Domain'!$D$63</definedName>
    <definedName name="input_ca_organization">'Configure Management Domain'!$D$60</definedName>
    <definedName name="input_ca_organization_unit">'Configure Management Domain'!$D$59</definedName>
    <definedName name="input_ca_state">'Configure Management Domain'!$D$62</definedName>
    <definedName name="input_ca_template_name">'Configure Management Domain'!$D$45</definedName>
    <definedName name="input_cbr_aria_logs_key">'Cloud-Based Ransomware Recovery'!$D$39</definedName>
    <definedName name="input_cbr_aria_logs_url">'Cloud-Based Ransomware Recovery'!$D$38</definedName>
    <definedName name="input_cbr_firewall_group">'Cloud-Based Ransomware Recovery'!$D$26</definedName>
    <definedName name="input_cbr_firewall_ip_addresses">'Cloud-Based Ransomware Recovery'!$D$27</definedName>
    <definedName name="input_cbr_firewall_rule_vcenter">'Cloud-Based Ransomware Recovery'!$D$25</definedName>
    <definedName name="input_cbr_recovery_host_count">'Cloud-Based Ransomware Recovery'!$D$21</definedName>
    <definedName name="input_cbr_recovery_host_type">'Cloud-Based Ransomware Recovery'!$D$20</definedName>
    <definedName name="input_cbr_recovery_management_subnet">'Cloud-Based Ransomware Recovery'!$D$24</definedName>
    <definedName name="input_cbr_recovery_region">'Cloud-Based Ransomware Recovery'!$D$19</definedName>
    <definedName name="input_cbr_recovery_sddc_name">'Cloud-Based Ransomware Recovery'!$D$18</definedName>
    <definedName name="input_cbr_recovery_subnet">'Cloud-Based Ransomware Recovery'!$D$23</definedName>
    <definedName name="input_cbr_recovery_vpc">'Cloud-Based Ransomware Recovery'!$D$22</definedName>
    <definedName name="input_cbr_vcdr_anti_affinity">'Cloud-Based Ransomware Recovery'!$D$35</definedName>
    <definedName name="input_cbr_vcdr_cdp1_hostname">'Cloud-Based Ransomware Recovery'!$E$9</definedName>
    <definedName name="input_cbr_vcdr_cdp1_ip">'Cloud-Based Ransomware Recovery'!$G$9</definedName>
    <definedName name="input_cbr_vcdr_cdp2_hostname">'Cloud-Based Ransomware Recovery'!$E$10</definedName>
    <definedName name="input_cbr_vcdr_cdp2_ip">'Cloud-Based Ransomware Recovery'!$G$10</definedName>
    <definedName name="input_cbr_vcdr_cloud_file_system">'Cloud-Based Ransomware Recovery'!$D$28</definedName>
    <definedName name="input_cbr_vcdr_email_recipient">'Cloud-Based Ransomware Recovery'!$D$36</definedName>
    <definedName name="input_cbr_vcdr_email_sender">'Cloud-Based Ransomware Recovery'!$D$37</definedName>
    <definedName name="input_cbr_vcdr_label">'Cloud-Based Ransomware Recovery'!$D$34</definedName>
    <definedName name="input_cbr_vcdr_orchestrator_fqdn">'Cloud-Based Ransomware Recovery'!$D$32</definedName>
    <definedName name="input_cbr_vcdr_ova">'Cloud-Based Ransomware Recovery'!$D$31</definedName>
    <definedName name="input_cbr_vcdr_passcode">'Cloud-Based Ransomware Recovery'!$D$33</definedName>
    <definedName name="input_cbr_vcdr_site_name">'Cloud-Based Ransomware Recovery'!$D$29</definedName>
    <definedName name="input_cbr_vcdr_timezone">'Cloud-Based Ransomware Recovery'!$D$30</definedName>
    <definedName name="input_cbr_vcdr_vsphere_role">'Cloud-Based Ransomware Recovery'!$D$14</definedName>
    <definedName name="input_cbr_vm_folder">'Cloud-Based Ransomware Recovery'!$D$17</definedName>
    <definedName name="input_cbw_hcx_cdp_fqdn">'Cross Cloud Mobility'!$D$65</definedName>
    <definedName name="input_ccm_aws_admin_password">'Cross Cloud Mobility'!$D$37</definedName>
    <definedName name="input_ccm_aws_admin_ssouser">'Cross Cloud Mobility'!$D$36</definedName>
    <definedName name="input_ccm_aws_host_count">'Cross Cloud Mobility'!$D$23</definedName>
    <definedName name="input_ccm_aws_host_type">'Cross Cloud Mobility'!$D$22</definedName>
    <definedName name="input_ccm_aws_management_subnet">'Cross Cloud Mobility'!$D$26</definedName>
    <definedName name="input_ccm_aws_region">'Cross Cloud Mobility'!$D$21</definedName>
    <definedName name="input_ccm_aws_sddc_name">'Cross Cloud Mobility'!$D$20</definedName>
    <definedName name="input_ccm_aws_subnet">'Cross Cloud Mobility'!$D$25</definedName>
    <definedName name="input_ccm_aws_vpc">'Cross Cloud Mobility'!$D$24</definedName>
    <definedName name="input_ccm_firewall_group">'Cross Cloud Mobility'!$D$29</definedName>
    <definedName name="input_ccm_firewall_ip_addresses">'Cross Cloud Mobility'!$D$30</definedName>
    <definedName name="input_ccm_firewall_rule_hcx">'Cross Cloud Mobility'!$D$28</definedName>
    <definedName name="input_ccm_firewall_rule_vcenter">'Cross Cloud Mobility'!$D$27</definedName>
    <definedName name="input_ccm_hcx_admin_password">'Cross Cloud Mobility'!$D$33</definedName>
    <definedName name="input_ccm_hcx_cdp_hostname">'Cross Cloud Mobility'!$E$9</definedName>
    <definedName name="input_ccm_hcx_cdp_ip">'Cross Cloud Mobility'!$G$9</definedName>
    <definedName name="input_ccm_hcx_compute_profile">'Cross Cloud Mobility'!$D$38</definedName>
    <definedName name="input_ccm_hcx_dc_location">'Cross Cloud Mobility'!$D$32</definedName>
    <definedName name="input_ccm_hcx_license">'Cross Cloud Mobility'!$D$31</definedName>
    <definedName name="input_ccm_hcx_mgmt_network_ip_range">'Cross Cloud Mobility'!$F$11</definedName>
    <definedName name="input_ccm_hcx_remote_url">'Cross Cloud Mobility'!$D$35</definedName>
    <definedName name="input_ccm_hcx_resource_pool">'Cross Cloud Mobility'!$D$19</definedName>
    <definedName name="input_ccm_hcx_root_password">'Cross Cloud Mobility'!$D$34</definedName>
    <definedName name="input_ccm_hcx_service_mesh">'Cross Cloud Mobility'!$D$39</definedName>
    <definedName name="input_ccm_hcx_vm_folder">'Cross Cloud Mobility'!$D$18</definedName>
    <definedName name="input_ccm_hcx_vmotion_network_ip_range">'Cross Cloud Mobility'!$F$12</definedName>
    <definedName name="input_ccm_hcx_vsphere_role">'Cross Cloud Mobility'!$D$16</definedName>
    <definedName name="input_ccm_vm_folder">'Cross Cloud Mobility'!$D$17</definedName>
    <definedName name="input_certificate_authority_fqdn">'Configure Management Domain'!$D$33</definedName>
    <definedName name="input_certificate_authority_name">'Configure Management Domain'!$D$67</definedName>
    <definedName name="input_child_ad_groups_ou">'Active Directory Inputs'!$E$11</definedName>
    <definedName name="input_child_ad_users_ou">'Active Directory Inputs'!$G$11</definedName>
    <definedName name="input_child_dns_zone">Arkham!$C$11</definedName>
    <definedName name="input_child_svc_nsx_ad_password">'Active Directory Inputs'!$G$19</definedName>
    <definedName name="input_child_svc_nsx_ad_user">'Active Directory Inputs'!$E$19</definedName>
    <definedName name="input_child_svc_vsphere_ad_password">'Active Directory Inputs'!$G$18</definedName>
    <definedName name="input_child_svc_vsphere_ad_user">'Active Directory Inputs'!$E$18</definedName>
    <definedName name="input_cluster_az1_host_overlay_cidr">'Deploy Cluster'!$D$236</definedName>
    <definedName name="input_cluster_az1_host_overlay_gateway_ip">'Deploy Cluster'!$D$239</definedName>
    <definedName name="input_cluster_az1_host_overlay_network_pool_description">'Deploy Cluster'!$D$235</definedName>
    <definedName name="input_cluster_az1_host_overlay_network_pool_name">'Deploy Cluster'!$D$234</definedName>
    <definedName name="input_cluster_az1_host_overlay_network_profile_name">'Deploy Cluster'!$D$242</definedName>
    <definedName name="input_cluster_az1_host_overlay_pool_end_ip">'Deploy Cluster'!$D$238</definedName>
    <definedName name="input_cluster_az1_host_overlay_pool_start_ip">'Deploy Cluster'!$D$237</definedName>
    <definedName name="input_cluster_az1_host_overlay_uplink_profile_name">'Deploy Cluster'!$D$246</definedName>
    <definedName name="input_cluster_az1_host_overlay_vlan">'Deploy Cluster'!$D$231</definedName>
    <definedName name="input_cluster_az1_host1_fqdn">'Deploy Cluster'!$D$84</definedName>
    <definedName name="input_cluster_az1_host1_mgmt_ip">'Deploy Cluster'!$D$29</definedName>
    <definedName name="input_cluster_az1_host10_fqdn">'Deploy Cluster'!$D$93</definedName>
    <definedName name="input_cluster_az1_host10_mgmt_ip">'Deploy Cluster'!$D$38</definedName>
    <definedName name="input_cluster_az1_host11_fqdn">'Deploy Cluster'!$D$94</definedName>
    <definedName name="input_cluster_az1_host11_mgmt_ip">'Deploy Cluster'!$D$39</definedName>
    <definedName name="input_cluster_az1_host12_fqdn">'Deploy Cluster'!$D$95</definedName>
    <definedName name="input_cluster_az1_host12_mgmt_ip">'Deploy Cluster'!$D$40</definedName>
    <definedName name="input_cluster_az1_host13_fqdn">'Deploy Cluster'!$D$96</definedName>
    <definedName name="input_cluster_az1_host13_mgmt_ip">'Deploy Cluster'!$D$41</definedName>
    <definedName name="input_cluster_az1_host14_fqdn">'Deploy Cluster'!$D$97</definedName>
    <definedName name="input_cluster_az1_host14_mgmt_ip">'Deploy Cluster'!$D$42</definedName>
    <definedName name="input_cluster_az1_host15_fqdn">'Deploy Cluster'!$D$98</definedName>
    <definedName name="input_cluster_az1_host15_mgmt_ip">'Deploy Cluster'!$D$43</definedName>
    <definedName name="input_cluster_az1_host16_fqdn">'Deploy Cluster'!$D$99</definedName>
    <definedName name="input_cluster_az1_host16_mgmt_ip">'Deploy Cluster'!$D$44</definedName>
    <definedName name="input_cluster_az1_host2_fqdn">'Deploy Cluster'!$D$85</definedName>
    <definedName name="input_cluster_az1_host2_mgmt_ip">'Deploy Cluster'!$D$30</definedName>
    <definedName name="input_cluster_az1_host3_fqdn">'Deploy Cluster'!$D$86</definedName>
    <definedName name="input_cluster_az1_host3_mgmt_ip">'Deploy Cluster'!$D$31</definedName>
    <definedName name="input_cluster_az1_host4_fqdn">'Deploy Cluster'!$D$87</definedName>
    <definedName name="input_cluster_az1_host4_mgmt_ip">'Deploy Cluster'!$D$32</definedName>
    <definedName name="input_cluster_az1_host5_fqdn">'Deploy Cluster'!$D$88</definedName>
    <definedName name="input_cluster_az1_host5_mgmt_ip">'Deploy Cluster'!$D$33</definedName>
    <definedName name="input_cluster_az1_host6_fqdn">'Deploy Cluster'!$D$89</definedName>
    <definedName name="input_cluster_az1_host6_mgmt_ip">'Deploy Cluster'!$D$34</definedName>
    <definedName name="input_cluster_az1_host7_fqdn">'Deploy Cluster'!$D$90</definedName>
    <definedName name="input_cluster_az1_host7_mgmt_ip">'Deploy Cluster'!$D$35</definedName>
    <definedName name="input_cluster_az1_host8_fqdn">'Deploy Cluster'!$D$91</definedName>
    <definedName name="input_cluster_az1_host8_mgmt_ip">'Deploy Cluster'!$D$36</definedName>
    <definedName name="input_cluster_az1_host9_fqdn">'Deploy Cluster'!$D$92</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Cluster'!$D$200</definedName>
    <definedName name="input_cluster_az1_mgmt_vlan">'Deploy Cluster'!$D$24</definedName>
    <definedName name="input_cluster_az1_mgmt_vm_pg">'Deploy Cluster'!$D$205</definedName>
    <definedName name="input_cluster_az1_nsx_uplink_count">'Deploy Cluster'!$D$243</definedName>
    <definedName name="input_cluster_az1_nsx_uplink1">'Deploy Cluster'!$D$244</definedName>
    <definedName name="input_cluster_az1_nsx_uplink1_active">'Deploy Cluster'!$D$248</definedName>
    <definedName name="input_cluster_az1_nsx_uplink2">'Deploy Cluster'!$D$245</definedName>
    <definedName name="input_cluster_az1_nsx_uplink2_active">'Deploy Cluster'!$D$249</definedName>
    <definedName name="input_cluster_az1_pool_name">'Deploy Cluster'!$D$48</definedName>
    <definedName name="input_cluster_az1_principal_storage_gateway_ip">'Deploy Cluster'!$D$62</definedName>
    <definedName name="input_cluster_az1_principal_storage_mask">'Deploy Cluster'!$D$61</definedName>
    <definedName name="input_cluster_az1_principal_storage_mtu">'Deploy Cluster'!$D$59</definedName>
    <definedName name="input_cluster_az1_principal_storage_network">'Deploy Cluster'!$D$60</definedName>
    <definedName name="input_cluster_az1_principal_storage_pg">'Deploy Cluster'!$D$215</definedName>
    <definedName name="input_cluster_az1_principal_storage_pool_end_ip">'Deploy Cluster'!$D$64</definedName>
    <definedName name="input_cluster_az1_principal_storage_pool_start_ip">'Deploy Cluster'!$D$63</definedName>
    <definedName name="input_cluster_az1_principal_storage_vlan">'Deploy Cluster'!$D$58</definedName>
    <definedName name="input_cluster_az1_secondary_storage_gateway_ip">'Deploy Cluster'!$D$70</definedName>
    <definedName name="input_cluster_az1_secondary_storage_mask">'Deploy Cluster'!$D$69</definedName>
    <definedName name="input_cluster_az1_secondary_storage_mtu">'Deploy Cluster'!$D$67</definedName>
    <definedName name="input_cluster_az1_secondary_storage_network">'Deploy Cluster'!$D$68</definedName>
    <definedName name="input_cluster_az1_secondary_storage_pool_end_ip">'Deploy Cluster'!$D$72</definedName>
    <definedName name="input_cluster_az1_secondary_storage_pool_start_ip">'Deploy Cluster'!$D$71</definedName>
    <definedName name="input_cluster_az1_secondary_storage_vlan">'Deploy Cluster'!$D$66</definedName>
    <definedName name="input_cluster_az1_storage_cluster_gateway_ip">'Deploy Cluster'!$D$78</definedName>
    <definedName name="input_cluster_az1_storage_cluster_mask">'Deploy Cluster'!$D$77</definedName>
    <definedName name="input_cluster_az1_storage_cluster_mtu">'Deploy Cluster'!$D$75</definedName>
    <definedName name="input_cluster_az1_storage_cluster_network">'Deploy Cluster'!$D$76</definedName>
    <definedName name="input_cluster_az1_storage_cluster_pool_end_ip">'Deploy Cluster'!$D$80</definedName>
    <definedName name="input_cluster_az1_storage_cluster_pool_start_ip">'Deploy Cluster'!$D$79</definedName>
    <definedName name="input_cluster_az1_storage_cluster_vlan">'Deploy Cluster'!$D$74</definedName>
    <definedName name="input_cluster_az1_vmotion_gateway_ip">'Deploy Cluster'!$D$54</definedName>
    <definedName name="input_cluster_az1_vmotion_mask">'Deploy Cluster'!$D$53</definedName>
    <definedName name="input_cluster_az1_vmotion_mtu">'Deploy Cluster'!$D$51</definedName>
    <definedName name="input_cluster_az1_vmotion_network">'Deploy Cluster'!$D$52</definedName>
    <definedName name="input_cluster_az1_vmotion_pg">'Deploy Cluster'!$D$210</definedName>
    <definedName name="input_cluster_az1_vmotion_pool_end_ip">'Deploy Cluster'!$D$56</definedName>
    <definedName name="input_cluster_az1_vmotion_pool_start_ip">'Deploy Cluster'!$D$55</definedName>
    <definedName name="input_cluster_az1_vmotion_vlan">'Deploy Cluster'!$D$50</definedName>
    <definedName name="input_cluster_az1_vsan_storage_client_pg">'Deploy Cluster'!$D$220</definedName>
    <definedName name="input_cluster_az2_host_overlay_cidr">'Deploy Cluster'!$D$410</definedName>
    <definedName name="input_cluster_az2_host_overlay_gateway_ip">'Deploy Cluster'!$D$411</definedName>
    <definedName name="input_cluster_az2_host_overlay_gateway_mtu">'Deploy Cluster'!$D$412</definedName>
    <definedName name="input_cluster_az2_host_overlay_network_pool_name">'Deploy Cluster'!$D$407</definedName>
    <definedName name="input_cluster_az2_host_overlay_network_profile_name">'Deploy Cluster'!$D$405</definedName>
    <definedName name="input_cluster_az2_host_overlay_pool_end_ip">'Deploy Cluster'!$D$414</definedName>
    <definedName name="input_cluster_az2_host_overlay_pool_start_ip">'Deploy Cluster'!$D$413</definedName>
    <definedName name="input_cluster_az2_host_overlay_uplink_profile_name">'Deploy Cluster'!$D$408</definedName>
    <definedName name="input_cluster_az2_host_overlay_vlan">'Deploy Cluster'!$D$409</definedName>
    <definedName name="input_cluster_az2_host1_fqdn">'Deploy Cluster'!$D$317</definedName>
    <definedName name="input_cluster_az2_host1_mgmt_ip">'Deploy Cluster'!$D$261</definedName>
    <definedName name="input_cluster_az2_host10_fqdn">'Deploy Cluster'!$D$326</definedName>
    <definedName name="input_cluster_az2_host10_mgmt_ip">'Deploy Cluster'!$D$270</definedName>
    <definedName name="input_cluster_az2_host11_fqdn">'Deploy Cluster'!$D$327</definedName>
    <definedName name="input_cluster_az2_host11_mgmt_ip">'Deploy Cluster'!$D$271</definedName>
    <definedName name="input_cluster_az2_host12_fqdn">'Deploy Cluster'!$D$328</definedName>
    <definedName name="input_cluster_az2_host12_mgmt_ip">'Deploy Cluster'!$D$272</definedName>
    <definedName name="input_cluster_az2_host13_fqdn">'Deploy Cluster'!$D$329</definedName>
    <definedName name="input_cluster_az2_host13_mgmt_ip">'Deploy Cluster'!$D$273</definedName>
    <definedName name="input_cluster_az2_host14_fqdn">'Deploy Cluster'!$D$330</definedName>
    <definedName name="input_cluster_az2_host14_mgmt_ip">'Deploy Cluster'!$D$274</definedName>
    <definedName name="input_cluster_az2_host15_fqdn">'Deploy Cluster'!$D$331</definedName>
    <definedName name="input_cluster_az2_host15_mgmt_ip">'Deploy Cluster'!$D$275</definedName>
    <definedName name="input_cluster_az2_host16_fqdn">'Deploy Cluster'!$D$332</definedName>
    <definedName name="input_cluster_az2_host16_mgmt_ip">'Deploy Cluster'!$D$276</definedName>
    <definedName name="input_cluster_az2_host2_fqdn">'Deploy Cluster'!$D$318</definedName>
    <definedName name="input_cluster_az2_host2_mgmt_ip">'Deploy Cluster'!$D$262</definedName>
    <definedName name="input_cluster_az2_host3_fqdn">'Deploy Cluster'!$D$319</definedName>
    <definedName name="input_cluster_az2_host3_mgmt_ip">'Deploy Cluster'!$D$263</definedName>
    <definedName name="input_cluster_az2_host4_fqdn">'Deploy Cluster'!$D$320</definedName>
    <definedName name="input_cluster_az2_host4_mgmt_ip">'Deploy Cluster'!$D$264</definedName>
    <definedName name="input_cluster_az2_host5_fqdn">'Deploy Cluster'!$D$321</definedName>
    <definedName name="input_cluster_az2_host5_mgmt_ip">'Deploy Cluster'!$D$265</definedName>
    <definedName name="input_cluster_az2_host6_fqdn">'Deploy Cluster'!$D$322</definedName>
    <definedName name="input_cluster_az2_host6_mgmt_ip">'Deploy Cluster'!$D$266</definedName>
    <definedName name="input_cluster_az2_host7_fqdn">'Deploy Cluster'!$D$323</definedName>
    <definedName name="input_cluster_az2_host7_mgmt_ip">'Deploy Cluster'!$D$267</definedName>
    <definedName name="input_cluster_az2_host8_fqdn">'Deploy Cluster'!$D$324</definedName>
    <definedName name="input_cluster_az2_host8_mgmt_ip">'Deploy Cluster'!$D$268</definedName>
    <definedName name="input_cluster_az2_host9_fqdn">'Deploy Cluster'!$D$325</definedName>
    <definedName name="input_cluster_az2_host9_mgmt_ip">'Deploy Cluster'!$D$269</definedName>
    <definedName name="input_cluster_az2_mgmt_cidr">'Deploy Cluster'!$D$258</definedName>
    <definedName name="input_cluster_az2_mgmt_gateway_ip">'Deploy Cluster'!$D$257</definedName>
    <definedName name="input_cluster_az2_mgmt_mtu">'Deploy Cluster'!$D$259</definedName>
    <definedName name="input_cluster_az2_mgmt_vlan">'Deploy Cluster'!$D$256</definedName>
    <definedName name="input_cluster_az2_pool_name">'Deploy Cluster'!$D$281</definedName>
    <definedName name="input_cluster_az2_principal_storage_gateway_ip">'Deploy Cluster'!$D$295</definedName>
    <definedName name="input_cluster_az2_principal_storage_mask">'Deploy Cluster'!$D$294</definedName>
    <definedName name="input_cluster_az2_principal_storage_mtu">'Deploy Cluster'!$D$292</definedName>
    <definedName name="input_cluster_az2_principal_storage_network">'Deploy Cluster'!$D$293</definedName>
    <definedName name="input_cluster_az2_principal_storage_pool_end_ip">'Deploy Cluster'!$D$296</definedName>
    <definedName name="input_cluster_az2_principal_storage_pool_start_ip">'Deploy Cluster'!$D$297</definedName>
    <definedName name="input_cluster_az2_principal_storage_vlan">'Deploy Cluster'!$D$291</definedName>
    <definedName name="input_cluster_az2_secondary_storage_gateway_ip">'Deploy Cluster'!$D$303</definedName>
    <definedName name="input_cluster_az2_secondary_storage_mask">'Deploy Cluster'!$D$302</definedName>
    <definedName name="input_cluster_az2_secondary_storage_mtu">'Deploy Cluster'!$D$300</definedName>
    <definedName name="input_cluster_az2_secondary_storage_network">'Deploy Cluster'!$D$301</definedName>
    <definedName name="input_cluster_az2_secondary_storage_pool_end_ip">'Deploy Cluster'!$D$305</definedName>
    <definedName name="input_cluster_az2_secondary_storage_pool_start_ip">'Deploy Cluster'!$D$304</definedName>
    <definedName name="input_cluster_az2_secondary_storage_vlan">'Deploy Cluster'!$D$299</definedName>
    <definedName name="input_cluster_az2_storage_cluster_gateway_ip">'Deploy Cluster'!$D$311</definedName>
    <definedName name="input_cluster_az2_storage_cluster_mask">'Deploy Cluster'!$D$310</definedName>
    <definedName name="input_cluster_az2_storage_cluster_mtu">'Deploy Cluster'!$D$308</definedName>
    <definedName name="input_cluster_az2_storage_cluster_network">'Deploy Cluster'!$D$309</definedName>
    <definedName name="input_cluster_az2_storage_cluster_pool_end_ip">'Deploy Cluster'!$D$313</definedName>
    <definedName name="input_cluster_az2_storage_cluster_pool_start_ip">'Deploy Cluster'!$D$312</definedName>
    <definedName name="input_cluster_az2_storage_cluster_vlan">'Deploy Cluster'!$D$307</definedName>
    <definedName name="input_cluster_az2_tor1_peer_asn">'Deploy Cluster'!$D$432</definedName>
    <definedName name="input_cluster_az2_tor1_peer_ip">'Deploy Cluster'!$D$431</definedName>
    <definedName name="input_cluster_az2_tor2_peer_asn">'Deploy Cluster'!$D$439</definedName>
    <definedName name="input_cluster_az2_tor2_peer_ip">'Deploy Cluster'!$D$436</definedName>
    <definedName name="input_cluster_az2_vmotion_gateway_ip">'Deploy Cluster'!$D$287</definedName>
    <definedName name="input_cluster_az2_vmotion_mask">'Deploy Cluster'!$D$286</definedName>
    <definedName name="input_cluster_az2_vmotion_mtu">'Deploy Cluster'!$D$284</definedName>
    <definedName name="input_cluster_az2_vmotion_network">'Deploy Cluster'!$D$285</definedName>
    <definedName name="input_cluster_az2_vmotion_pool_end_ip">'Deploy Cluster'!$D$289</definedName>
    <definedName name="input_cluster_az2_vmotion_pool_start_ip">'Deploy Cluster'!$D$288</definedName>
    <definedName name="input_cluster_az2_vmotion_vlan">'Deploy Cluster'!$D$283</definedName>
    <definedName name="input_cluster_cluster_sddc_id">'Deploy Cluster'!$D$418</definedName>
    <definedName name="input_cluster_datacenter">'Deploy Cluster'!$D$370</definedName>
    <definedName name="input_cluster_domain_name">'Deploy Cluster'!$D$19</definedName>
    <definedName name="input_cluster_esx_root_password">'Deploy Cluster'!$D$105</definedName>
    <definedName name="input_cluster_esx_root_username">'Deploy Cluster'!$D$104</definedName>
    <definedName name="input_cluster_host_overlay_transportzone">'Deploy Cluster'!$D$230</definedName>
    <definedName name="input_cluster_image_name">'Deploy Cluster'!$D$122</definedName>
    <definedName name="input_cluster_name">'Deploy Cluster'!$D$117</definedName>
    <definedName name="input_cluster_nfs_datastore_name">'Deploy Cluster'!$D$134</definedName>
    <definedName name="input_cluster_nfs_server_address">'Deploy Cluster'!$D$136</definedName>
    <definedName name="input_cluster_nfs_share_path">'Deploy Cluster'!$D$135</definedName>
    <definedName name="input_cluster_nsx_vlan_transport_zone_name">'Deploy Cluster'!$D$240</definedName>
    <definedName name="input_cluster_nsxt_vip_fqdn">'Deploy Cluster'!$D$423</definedName>
    <definedName name="input_cluster_storage_cluster_name">'Deploy Cluster'!$D$128</definedName>
    <definedName name="input_cluster_vc_fqdn">'Deploy Cluster'!$D$369</definedName>
    <definedName name="input_cluster_vds01_lag_name">'Deploy Cluster'!$D$170</definedName>
    <definedName name="input_cluster_vds01_mtu">'Deploy Cluster'!$D$168</definedName>
    <definedName name="input_cluster_vds01_name">'Deploy Cluster'!$D$167</definedName>
    <definedName name="input_cluster_vds01_pnics">'Deploy Cluster'!$D$175</definedName>
    <definedName name="input_cluster_vds01_uplink_count">'Deploy Cluster'!$D$174</definedName>
    <definedName name="input_cluster_vds02_lag_name">'Deploy Cluster'!$D$181</definedName>
    <definedName name="input_cluster_vds02_mtu">'Deploy Cluster'!$D$179</definedName>
    <definedName name="input_cluster_vds02_name">'Deploy Cluster'!$D$178</definedName>
    <definedName name="input_cluster_vds02_pnics">'Deploy Cluster'!$D$186</definedName>
    <definedName name="input_cluster_vds02_uplink_count">'Deploy Cluster'!$D$185</definedName>
    <definedName name="input_cluster_vds03_lag_name">'Deploy Cluster'!$D$192</definedName>
    <definedName name="input_cluster_vds03_mtu">'Deploy Cluster'!$D$190</definedName>
    <definedName name="input_cluster_vds03_name">'Deploy Cluster'!$D$189</definedName>
    <definedName name="input_cluster_vds03_pnics">'Deploy Cluster'!$D$197</definedName>
    <definedName name="input_cluster_vds03_uplink_count">'Deploy Cluster'!$D$196</definedName>
    <definedName name="input_cluster_vmfs_datastore_name">'Deploy Cluster'!$D$133</definedName>
    <definedName name="input_cluster_vsan_datastore">'Deploy Cluster'!$D$129</definedName>
    <definedName name="input_cluster_vsan_type_non_vsan_storage">'Static Reference Tables'!$F$52:$F$53</definedName>
    <definedName name="input_cluster_vsan_type_with_client_network">'Static Reference Tables'!$E$53</definedName>
    <definedName name="input_cluster_vsan_type_without_client_network">'Static Reference Tables'!$E$52:$E$53</definedName>
    <definedName name="input_cluster_witness_cluster">'Deploy Cluster'!$D$352</definedName>
    <definedName name="input_cluster_witness_dns1_ip">'Deploy Cluster'!$D$363</definedName>
    <definedName name="input_cluster_witness_dns2_ip">'Deploy Cluster'!$D$364</definedName>
    <definedName name="input_cluster_witness_fqdn">'Deploy Cluster'!$D$371</definedName>
    <definedName name="input_cluster_witness_hostname">'Deploy Cluster'!$D$351</definedName>
    <definedName name="input_cluster_witness_ip">'Deploy Cluster'!$D$358</definedName>
    <definedName name="input_cluster_witness_mgmt_pg">'Deploy Cluster'!$D$355</definedName>
    <definedName name="input_cluster_witness_ntp1_server">'Deploy Cluster'!$D$365</definedName>
    <definedName name="input_cluster_witness_ntp2_server">'Deploy Cluster'!$D$366</definedName>
    <definedName name="input_cluster_witness_vm_folder">'Deploy Cluster'!$D$353</definedName>
    <definedName name="input_cluster_witness_vsan_datastore">'Deploy Cluster'!$D$354</definedName>
    <definedName name="input_cluster_witness_zone_vc_fqdn">'Deploy Cluster'!$D$350</definedName>
    <definedName name="input_cluster_witnessaz_mask">'Deploy Cluster'!$D$359</definedName>
    <definedName name="input_cluster_witnessaz_mgmt_cidr">'Deploy Cluster'!$D$344</definedName>
    <definedName name="input_cluster_witnessaz_mgmt_gateway_ip">'Deploy Cluster'!$D$343</definedName>
    <definedName name="input_cluster_witnessaz_mgmt_mtu">'Deploy Cluster'!$D$345</definedName>
    <definedName name="input_cluster_witnessaz_mgmt_vlan">'Deploy Cluster'!$D$342</definedName>
    <definedName name="input_domain_controller_hostname">Arkham!$C$15</definedName>
    <definedName name="input_esxi_root_password">'Deploy Management Domain'!$L$127</definedName>
    <definedName name="input_flt_auto_node_pool_end_ip">Arkham!$Q$35</definedName>
    <definedName name="input_flt_auto_node_pool_start_ip">Arkham!$Q$34</definedName>
    <definedName name="input_flt_auto_sr_fqdn">Arkham!$Q$32</definedName>
    <definedName name="input_flt_auto_sr_ip">Arkham!$Q$26</definedName>
    <definedName name="input_flt_custom_network_auto_admin_password">'Deploy Fleet Management Day-N'!$D$58</definedName>
    <definedName name="input_flt_custom_network_auto_nodea_ip">'Deploy Fleet Management Day-N'!$D$53</definedName>
    <definedName name="input_flt_custom_network_auto_nodeb_ip">'Deploy Fleet Management Day-N'!$D$54</definedName>
    <definedName name="input_flt_custom_network_auto_nodec_ip">'Deploy Fleet Management Day-N'!$D$55</definedName>
    <definedName name="input_flt_custom_network_auto_noded_ip">'Deploy Fleet Management Day-N'!$D$56</definedName>
    <definedName name="input_flt_custom_network_auto_nodee_ip">Arkham!$Q$11</definedName>
    <definedName name="input_flt_custom_network_auto_nodef_ip">Arkham!$Q$12</definedName>
    <definedName name="input_flt_custom_network_auto_prefix">'Deploy Fleet Management Day-N'!$D$51</definedName>
    <definedName name="input_flt_custom_network_auto_vip_fqdn">'Deploy Fleet Management Day-N'!$D$50</definedName>
    <definedName name="input_flt_custom_network_auto_vip_ip">'Deploy Fleet Management Day-N'!$D$52</definedName>
    <definedName name="input_flt_custom_network_flt_admin_password">'Deploy Fleet Management Day-N'!$D$29</definedName>
    <definedName name="input_flt_custom_network_flt_fqdn">'Deploy Fleet Management Day-N'!$D$26</definedName>
    <definedName name="input_flt_custom_network_flt_ip">'Deploy Fleet Management Day-N'!$D$27</definedName>
    <definedName name="input_flt_custom_network_flt_root_password">'Deploy Fleet Management Day-N'!$D$28</definedName>
    <definedName name="input_flt_custom_network_flt_use_existing">'Deploy Fleet Management Day-N'!$D$25</definedName>
    <definedName name="input_flt_custom_network_local_reg_gateway_ip">'Deploy Fleet Management Day-N'!$D$19</definedName>
    <definedName name="input_flt_custom_network_local_reg_mask">'Deploy Fleet Management Day-N'!$D$18</definedName>
    <definedName name="input_flt_custom_network_local_reg_pg">'Deploy Fleet Management Day-N'!$D$17</definedName>
    <definedName name="input_flt_custom_network_ops_admin_password">'Deploy Fleet Management Day-N'!$D$42</definedName>
    <definedName name="input_flt_custom_network_ops_collector_fqdn">'Deploy Fleet Management Day-N'!$D$44</definedName>
    <definedName name="input_flt_custom_network_ops_collector_ip">'Deploy Fleet Management Day-N'!$D$45</definedName>
    <definedName name="input_flt_custom_network_ops_collector_root_password">'Deploy Fleet Management Day-N'!$D$48</definedName>
    <definedName name="input_flt_custom_network_ops_collector_version">'Deploy Fleet Management Day-N'!$D$46</definedName>
    <definedName name="input_flt_custom_network_ops_nodea_fqdn">'Deploy Fleet Management Day-N'!$D$33</definedName>
    <definedName name="input_flt_custom_network_ops_nodea_ip">'Deploy Fleet Management Day-N'!$D$37</definedName>
    <definedName name="input_flt_custom_network_ops_nodeb_fqdn">'Deploy Fleet Management Day-N'!$D$34</definedName>
    <definedName name="input_flt_custom_network_ops_nodeb_ip">'Deploy Fleet Management Day-N'!$D$38</definedName>
    <definedName name="input_flt_custom_network_ops_nodec_fqdn">'Deploy Fleet Management Day-N'!$D$35</definedName>
    <definedName name="input_flt_custom_network_ops_nodec_ip">'Deploy Fleet Management Day-N'!$D$39</definedName>
    <definedName name="input_flt_custom_network_ops_root_password">'Deploy Fleet Management Day-N'!$D$41</definedName>
    <definedName name="input_flt_custom_network_ops_use_existing">'Deploy Fleet Management Day-N'!$D$31</definedName>
    <definedName name="input_flt_custom_network_ops_vip_fqdn">'Deploy Fleet Management Day-N'!$D$32</definedName>
    <definedName name="input_flt_custom_network_ops_vip_ip">'Deploy Fleet Management Day-N'!$D$36</definedName>
    <definedName name="input_flt_custom_network_x_reg_gateway_ip">'Deploy Fleet Management Day-N'!$D$23</definedName>
    <definedName name="input_flt_custom_network_x_reg_mask">'Deploy Fleet Management Day-N'!$D$22</definedName>
    <definedName name="input_flt_custom_network_x_reg_pg">'Deploy Fleet Management Day-N'!$D$21</definedName>
    <definedName name="input_flt_fc_fqdn">Arkham!$Q$31</definedName>
    <definedName name="input_flt_fc_ip">Arkham!$Q$25</definedName>
    <definedName name="input_flt_ic_fqdn">Arkham!$Q$30</definedName>
    <definedName name="input_flt_ic_ip">Arkham!$Q$24</definedName>
    <definedName name="input_flt_lc_fqdn">Arkham!$Q$28</definedName>
    <definedName name="input_flt_lc_ip">Arkham!$Q$22</definedName>
    <definedName name="input_flt_logs_admin_email">'Deploy Fleet Management Day-N'!$D$266</definedName>
    <definedName name="input_flt_logs_admin_password">'Deploy Fleet Management Day-N'!$D$251</definedName>
    <definedName name="input_flt_logs_admin_password_alias">'Deploy Fleet Management Day-N'!$D$250</definedName>
    <definedName name="input_flt_logs_admin_password_description">'Deploy Fleet Management Day-N'!$D$252</definedName>
    <definedName name="input_flt_logs_admin_username">'Deploy Fleet Management Day-N'!$D$253</definedName>
    <definedName name="input_flt_logs_cert_alias">'Deploy Fleet Management Day-N'!$D$214</definedName>
    <definedName name="input_flt_logs_cert_country_code">'Deploy Fleet Management Day-N'!$D$220</definedName>
    <definedName name="input_flt_logs_cert_locality">'Deploy Fleet Management Day-N'!$D$221</definedName>
    <definedName name="input_flt_logs_cert_organisation">'Deploy Fleet Management Day-N'!$D$218</definedName>
    <definedName name="input_flt_logs_cert_state">'Deploy Fleet Management Day-N'!$D$222</definedName>
    <definedName name="input_flt_logs_cluster">'Deploy Fleet Management Day-N'!$D$235</definedName>
    <definedName name="input_flt_logs_common_name">'Deploy Fleet Management Day-N'!$D$217</definedName>
    <definedName name="input_flt_logs_datastore">'Deploy Fleet Management Day-N'!$D$239</definedName>
    <definedName name="input_flt_logs_folder">'Deploy Fleet Management Day-N'!$D$236</definedName>
    <definedName name="input_flt_logs_gateway_ip">'Deploy Fleet Management Day-N'!$D$247</definedName>
    <definedName name="input_flt_logs_mask">'Deploy Fleet Management Day-N'!$D$248</definedName>
    <definedName name="input_flt_logs_nodea_fqdn">'Deploy Fleet Management Day-N'!$D$225</definedName>
    <definedName name="input_flt_logs_nodea_hostname">'Deploy Fleet Management Day-N'!$D$273</definedName>
    <definedName name="input_flt_logs_nodea_ip">'Deploy Fleet Management Day-N'!$D$229</definedName>
    <definedName name="input_flt_logs_nodeb_fqdn">'Deploy Fleet Management Day-N'!$D$226</definedName>
    <definedName name="input_flt_logs_nodeb_hostname">'Deploy Fleet Management Day-N'!$D$277</definedName>
    <definedName name="input_flt_logs_nodeb_ip">'Deploy Fleet Management Day-N'!$D$230</definedName>
    <definedName name="input_flt_logs_nodec_fqdn">'Deploy Fleet Management Day-N'!$D$227</definedName>
    <definedName name="input_flt_logs_nodec_hostname">'Deploy Fleet Management Day-N'!$D$281</definedName>
    <definedName name="input_flt_logs_nodec_ip">'Deploy Fleet Management Day-N'!$D$231</definedName>
    <definedName name="input_flt_logs_ou_cert">'Deploy Fleet Management Day-N'!$D$219</definedName>
    <definedName name="input_flt_logs_portgroup">'Deploy Fleet Management Day-N'!$D$238</definedName>
    <definedName name="input_flt_logs_resource_pool">'Deploy Fleet Management Day-N'!$D$237</definedName>
    <definedName name="input_flt_logs_root_password">'Deploy Fleet Management Day-N'!$D$255</definedName>
    <definedName name="input_flt_logs_root_password_alias">'Deploy Fleet Management Day-N'!$D$254</definedName>
    <definedName name="input_flt_logs_root_password_description">'Deploy Fleet Management Day-N'!$D$256</definedName>
    <definedName name="input_flt_logs_root_username">'Deploy Fleet Management Day-N'!$D$257</definedName>
    <definedName name="input_flt_logs_vcenter_fqdn">'Deploy Fleet Management Day-N'!$D$234</definedName>
    <definedName name="input_flt_logs_vip_fqdn">'Deploy Fleet Management Day-N'!$D$224</definedName>
    <definedName name="input_flt_logs_vip_ip">'Deploy Fleet Management Day-N'!$D$228</definedName>
    <definedName name="input_flt_net_admin_password">'Deploy Fleet Management Day-N'!$D$329</definedName>
    <definedName name="input_flt_net_admin_password_alias">'Deploy Fleet Management Day-N'!$D$328</definedName>
    <definedName name="input_flt_net_admin_password_description">'Deploy Fleet Management Day-N'!$D$330</definedName>
    <definedName name="input_flt_net_admin_username">'Deploy Fleet Management Day-N'!$D$331</definedName>
    <definedName name="input_flt_net_cert_alias">'Deploy Fleet Management Day-N'!$D$293</definedName>
    <definedName name="input_flt_net_cert_country_code">'Deploy Fleet Management Day-N'!$D$298</definedName>
    <definedName name="input_flt_net_cert_locality">'Deploy Fleet Management Day-N'!$D$299</definedName>
    <definedName name="input_flt_net_cert_organisation">'Deploy Fleet Management Day-N'!$D$296</definedName>
    <definedName name="input_flt_net_cert_state">'Deploy Fleet Management Day-N'!$D$300</definedName>
    <definedName name="input_flt_net_cluster">'Deploy Fleet Management Day-N'!$D$313</definedName>
    <definedName name="input_flt_net_common_name">'Deploy Fleet Management Day-N'!$D$295</definedName>
    <definedName name="input_flt_net_console_password">'Deploy Fleet Management Day-N'!$D$339</definedName>
    <definedName name="input_flt_net_datastore">'Deploy Fleet Management Day-N'!$D$317</definedName>
    <definedName name="input_flt_net_folder">'Deploy Fleet Management Day-N'!$D$314</definedName>
    <definedName name="input_flt_net_node_gateway_ip">'Deploy Fleet Management Day-N'!$D$325</definedName>
    <definedName name="input_flt_net_node_mask">'Deploy Fleet Management Day-N'!$D$326</definedName>
    <definedName name="input_flt_net_node_portgroup">'Deploy Fleet Management Day-N'!$D$316</definedName>
    <definedName name="input_flt_net_nodea_fqdn">'Deploy Fleet Management Day-N'!$D$302</definedName>
    <definedName name="input_flt_net_nodea_ip">'Deploy Fleet Management Day-N'!$D$306</definedName>
    <definedName name="input_flt_net_nodeb_fqdn">'Deploy Fleet Management Day-N'!$D$303</definedName>
    <definedName name="input_flt_net_nodeb_ip">'Deploy Fleet Management Day-N'!$D$307</definedName>
    <definedName name="input_flt_net_nodec_fqdn">'Deploy Fleet Management Day-N'!$D$304</definedName>
    <definedName name="input_flt_net_nodec_ip">'Deploy Fleet Management Day-N'!$D$308</definedName>
    <definedName name="input_flt_net_ou_cert">'Deploy Fleet Management Day-N'!$D$297</definedName>
    <definedName name="input_flt_net_platform_password">'Deploy Fleet Management Day-N'!$D$337</definedName>
    <definedName name="input_flt_net_prxy_fqdn">'Deploy Fleet Management Day-N'!$D$305</definedName>
    <definedName name="input_flt_net_prxy_gateway_ip">'Deploy Fleet Management Day-N'!$D$356</definedName>
    <definedName name="input_flt_net_prxy_ip">'Deploy Fleet Management Day-N'!$D$309</definedName>
    <definedName name="input_flt_net_prxy_mask">'Deploy Fleet Management Day-N'!$D$357</definedName>
    <definedName name="input_flt_net_prxy_portgroup">'Deploy Fleet Management Day-N'!$D$358</definedName>
    <definedName name="input_flt_net_resource_pool">'Deploy Fleet Management Day-N'!$D$315</definedName>
    <definedName name="input_flt_net_support_password">'Deploy Fleet Management Day-N'!$D$338</definedName>
    <definedName name="input_flt_net_vcenter_fqdn">'Deploy Fleet Management Day-N'!$D$312</definedName>
    <definedName name="input_flt_net_vcenter_list">'Deploy Fleet Management Day-N'!$D$340</definedName>
    <definedName name="input_flt_sr_fqdn">Arkham!$Q$29</definedName>
    <definedName name="input_flt_sr_ip">Arkham!$Q$23</definedName>
    <definedName name="input_flt_vcfms_node_pool_end_ip">Arkham!$Q$41</definedName>
    <definedName name="input_flt_vcfms_node_pool_start_ip">Arkham!$Q$40</definedName>
    <definedName name="input_flt_vidb_additional_vips">'Deploy Fleet Management Day-N'!$D$169</definedName>
    <definedName name="input_flt_vidb_base_dn">'Deploy Fleet Management Day-N'!$D$189</definedName>
    <definedName name="input_flt_vidb_bind_password">'Deploy Fleet Management Day-N'!$D$191</definedName>
    <definedName name="input_flt_vidb_bind_username">'Deploy Fleet Management Day-N'!$D$190</definedName>
    <definedName name="input_flt_vidb_cert_alias">'Deploy Fleet Management Day-N'!$D$128</definedName>
    <definedName name="input_flt_vidb_cert_common_name">'Deploy Fleet Management Day-N'!$D$130</definedName>
    <definedName name="input_flt_vidb_cert_country_code">'Deploy Fleet Management Day-N'!$D$133</definedName>
    <definedName name="input_flt_vidb_cert_locality">'Deploy Fleet Management Day-N'!$D$134</definedName>
    <definedName name="input_flt_vidb_cert_organisation">'Deploy Fleet Management Day-N'!$D$131</definedName>
    <definedName name="input_flt_vidb_cert_state">'Deploy Fleet Management Day-N'!$D$135</definedName>
    <definedName name="input_flt_vidb_cluster">'Deploy Fleet Management Day-N'!$D$142</definedName>
    <definedName name="input_flt_vidb_datastore">'Deploy Fleet Management Day-N'!$D$146</definedName>
    <definedName name="input_flt_vidb_directory_name">'Deploy Fleet Management Day-N'!$D$179</definedName>
    <definedName name="input_flt_vidb_distinguished_name">'Deploy Fleet Management Day-N'!$D$197</definedName>
    <definedName name="input_flt_vidb_employeeID">'Deploy Fleet Management Day-N'!$D$198</definedName>
    <definedName name="input_flt_vidb_encrypted_cert">'Deploy Fleet Management Day-N'!$D$183</definedName>
    <definedName name="input_flt_vidb_first_name">'Deploy Fleet Management Day-N'!$D$195</definedName>
    <definedName name="input_flt_vidb_folder">'Deploy Fleet Management Day-N'!$D$143</definedName>
    <definedName name="input_flt_vidb_gateway_ip">'Deploy Fleet Management Day-N'!$D$153</definedName>
    <definedName name="input_flt_vidb_group_base_dn">'Deploy Fleet Management Day-N'!$D$202</definedName>
    <definedName name="input_flt_vidb_last_name">'Deploy Fleet Management Day-N'!$D$196</definedName>
    <definedName name="input_flt_vidb_mail">'Deploy Fleet Management Day-N'!$D$199</definedName>
    <definedName name="input_flt_vidb_mask">'Deploy Fleet Management Day-N'!$D$154</definedName>
    <definedName name="input_flt_vidb_node_prefix">'Deploy Fleet Management Day-N'!$D$166</definedName>
    <definedName name="input_flt_vidb_nodea_ip">'Deploy Fleet Management Day-N'!$D$170</definedName>
    <definedName name="input_flt_vidb_nodeb_ip">'Deploy Fleet Management Day-N'!$D$171</definedName>
    <definedName name="input_flt_vidb_nodec_ip">'Deploy Fleet Management Day-N'!$D$172</definedName>
    <definedName name="input_flt_vidb_noded_ip">'Deploy Fleet Management Day-N'!$D$173</definedName>
    <definedName name="input_flt_vidb_ou_cert">'Deploy Fleet Management Day-N'!$D$132</definedName>
    <definedName name="input_flt_vidb_password">'Deploy Fleet Management Day-N'!$D$160</definedName>
    <definedName name="input_flt_vidb_password_alias">'Deploy Fleet Management Day-N'!$D$159</definedName>
    <definedName name="input_flt_vidb_password_description">'Deploy Fleet Management Day-N'!$D$161</definedName>
    <definedName name="input_flt_vidb_pg">'Deploy Fleet Management Day-N'!$D$145</definedName>
    <definedName name="input_flt_vidb_primary_domain_controller">'Deploy Fleet Management Day-N'!$D$184</definedName>
    <definedName name="input_flt_vidb_primary_domain_controller_port">'Deploy Fleet Management Day-N'!$D$185</definedName>
    <definedName name="input_flt_vidb_resource_pool">'Deploy Fleet Management Day-N'!$D$144</definedName>
    <definedName name="input_flt_vidb_root_username">'Deploy Fleet Management Day-N'!$D$162</definedName>
    <definedName name="input_flt_vidb_secondary_domain_controller">'Deploy Fleet Management Day-N'!$D$186</definedName>
    <definedName name="input_flt_vidb_secondary_domain_controller_port">'Deploy Fleet Management Day-N'!$D$187</definedName>
    <definedName name="input_flt_vidb_system_user_alias">'Deploy Fleet Management Day-N'!$D$156</definedName>
    <definedName name="input_flt_vidb_system_user_description">'Deploy Fleet Management Day-N'!$D$158</definedName>
    <definedName name="input_flt_vidb_system_user_password">'Deploy Fleet Management Day-N'!$D$157</definedName>
    <definedName name="input_flt_vidb_user_base_dn">'Deploy Fleet Management Day-N'!$D$204</definedName>
    <definedName name="input_flt_vidb_user_name">'Deploy Fleet Management Day-N'!$D$194</definedName>
    <definedName name="input_flt_vidb_user_principal_name">'Deploy Fleet Management Day-N'!$D$200</definedName>
    <definedName name="input_flt_vidb_vcenter_fqdn">'Deploy Fleet Management Day-N'!$D$141</definedName>
    <definedName name="input_flt_vidb_version">'Deploy Fleet Management Day-N'!$D$124</definedName>
    <definedName name="input_flt_vidb_vip_fqdn">'Deploy Fleet Management Day-N'!$D$137</definedName>
    <definedName name="input_flt_vidb_vip_ip">'Deploy Fleet Management Day-N'!$D$138</definedName>
    <definedName name="input_gg_kub_admins_group">'Active Directory Inputs'!$E$75</definedName>
    <definedName name="input_gg_kub_readonly_group">'Active Directory Inputs'!$E$76</definedName>
    <definedName name="input_gg_nsx_auditors_group">'Active Directory Inputs'!$E$72</definedName>
    <definedName name="input_gg_nsx_enterprise_admins_group">'Active Directory Inputs'!$E$70</definedName>
    <definedName name="input_gg_nsx_network_admins_group">'Active Directory Inputs'!$E$71</definedName>
    <definedName name="input_gg_sso_admins_group">'Active Directory Inputs'!$E$69</definedName>
    <definedName name="input_gg_vc_admins_group">'Active Directory Inputs'!$E$67</definedName>
    <definedName name="input_gg_vc_read_only_group">'Active Directory Inputs'!$E$68</definedName>
    <definedName name="input_gg_vcf_admins_group">'Active Directory Inputs'!$E$64</definedName>
    <definedName name="input_gg_vcf_operators_group">'Active Directory Inputs'!$E$65</definedName>
    <definedName name="input_gg_vcf_viewers_group">'Active Directory Inputs'!$E$66</definedName>
    <definedName name="input_gg_vra_cloud_assembly_admins_group">'Active Directory Inputs'!$E$95</definedName>
    <definedName name="input_gg_vra_cloud_assembly_users_group">'Active Directory Inputs'!$E$96</definedName>
    <definedName name="input_gg_vra_cloud_assembly_viewers_group">'Active Directory Inputs'!$E$97</definedName>
    <definedName name="input_gg_vra_orchestrator_admins_group">'Active Directory Inputs'!$E$101</definedName>
    <definedName name="input_gg_vra_orchestrator_designers_group">'Active Directory Inputs'!$E$102</definedName>
    <definedName name="input_gg_vra_orchestrator_viewers_group">'Active Directory Inputs'!$E$103</definedName>
    <definedName name="input_gg_vra_org_owners_group">'Active Directory Inputs'!$E$94</definedName>
    <definedName name="input_gg_vra_project_admins_sample_group">'Active Directory Inputs'!$E$104</definedName>
    <definedName name="input_gg_vra_project_users_sample_group">'Active Directory Inputs'!$E$105</definedName>
    <definedName name="input_gg_vra_service_broker_admins_group">'Active Directory Inputs'!$E$98</definedName>
    <definedName name="input_gg_vra_service_broker_users_group">'Active Directory Inputs'!$E$99</definedName>
    <definedName name="input_gg_vra_service_broker_viewers_group">'Active Directory Inputs'!$E$100</definedName>
    <definedName name="input_gg_vrli_admins_group">'Active Directory Inputs'!$E$79</definedName>
    <definedName name="input_gg_vrli_users_group">'Active Directory Inputs'!$E$80</definedName>
    <definedName name="input_gg_vrli_viewers_group">'Active Directory Inputs'!$E$81</definedName>
    <definedName name="input_gg_vrni_admin_group">'Active Directory Inputs'!$E$89</definedName>
    <definedName name="input_gg_vrni_auditor_group">'Active Directory Inputs'!$E$91</definedName>
    <definedName name="input_gg_vrni_member_group">'Active Directory Inputs'!$E$90</definedName>
    <definedName name="input_gg_vrops_admins_group">'Active Directory Inputs'!$E$84</definedName>
    <definedName name="input_gg_vrops_content_admins_group">'Active Directory Inputs'!$E$85</definedName>
    <definedName name="input_gg_vrops_read_only_group">'Active Directory Inputs'!$E$86</definedName>
    <definedName name="input_gg_vrslcm_admins_group">'Active Directory Inputs'!$E$54</definedName>
    <definedName name="input_gg_vrslcm_content_developers_group">'Active Directory Inputs'!$E$56</definedName>
    <definedName name="input_gg_vrslcm_release_managers_group">'Active Directory Inputs'!$E$55</definedName>
    <definedName name="input_k8s_cluster_name">'Private AI Ready Infrastructure'!$D$46</definedName>
    <definedName name="input_k8s_ip_prefixlist">'Private AI Ready Infrastructure'!$D$20</definedName>
    <definedName name="input_k8s_ip_routemap">'Private AI Ready Infrastructure'!$D$21</definedName>
    <definedName name="input_k8s_kubectl_path">'Private AI Ready Infrastructure'!$D$26</definedName>
    <definedName name="input_k8s_mgmt_seg">'Private AI Ready Infrastructure'!$D$19</definedName>
    <definedName name="input_k8s_namepsace">'Private AI Ready Infrastructure'!$D$15</definedName>
    <definedName name="input_k8s_tanzu_k8s_cluster_pod_pool_cidr">'Private AI Ready Infrastructure'!$D$72</definedName>
    <definedName name="input_k8s_tanzu_k8s_cluster_service_pool_cidr">'Private AI Ready Infrastructure'!$D$71</definedName>
    <definedName name="input_k8s_vcenter_category">'Private AI Ready Infrastructure'!$D$22</definedName>
    <definedName name="input_k8s_vcenter_content_library">'Private AI Ready Infrastructure'!$D$95</definedName>
    <definedName name="input_k8s_vcenter_storage_policy">'Private AI Ready Infrastructure'!$D$47</definedName>
    <definedName name="input_k8s_vcenter_tag">'Private AI Ready Infrastructure'!$D$23</definedName>
    <definedName name="input_k8s_vm_class">'Private AI Ready Infrastructure'!$D$27</definedName>
    <definedName name="input_mgmt_avilb_cluster_name">'Configure Management Domain'!$D$218</definedName>
    <definedName name="input_mgmt_avilb_cluster_version">'Configure Management Domain'!$D$208</definedName>
    <definedName name="input_mgmt_avilb_fqdn">'Configure Management Domain'!$D$217</definedName>
    <definedName name="input_mgmt_avilb_ip">'Configure Management Domain'!$D$216</definedName>
    <definedName name="input_mgmt_avilb_mgra_ip">'Configure Management Domain'!$D$213</definedName>
    <definedName name="input_mgmt_avilb_mgrb_ip">'Configure Management Domain'!$D$214</definedName>
    <definedName name="input_mgmt_avilb_mgrc_ip">'Configure Management Domain'!$D$215</definedName>
    <definedName name="input_mgmt_az1_edge_overlay_cidr">'Configure Management Domain'!$D$201</definedName>
    <definedName name="input_mgmt_az1_edge_overlay_gateway_ip">'Configure Management Domain'!$D$122</definedName>
    <definedName name="input_mgmt_az1_edge_overlay_mask">'Configure Management Domain'!$D$123</definedName>
    <definedName name="input_mgmt_az1_edge_overlay_mtu">'Configure Management Domain'!$D$202</definedName>
    <definedName name="input_mgmt_az1_edge_overlay_network_pool_name">'Configure Management Domain'!$D$117</definedName>
    <definedName name="input_mgmt_az1_edge_overlay_pool_end_ip">'Configure Management Domain'!$D$119</definedName>
    <definedName name="input_mgmt_az1_edge_overlay_pool_start_ip">'Configure Management Domain'!$D$118</definedName>
    <definedName name="input_mgmt_az1_edge_overlay_vlan">'Configure Management Domain'!$D$115</definedName>
    <definedName name="input_mgmt_az1_en1_edge_overlay_interface_ip_1_ip">'Configure Management Domain'!$D$120</definedName>
    <definedName name="input_mgmt_az1_en1_edge_overlay_interface_ip_2_ip">'Configure Management Domain'!$D$121</definedName>
    <definedName name="input_mgmt_az1_en1_eth0_uplink0">'Configure Management Domain'!$D$111</definedName>
    <definedName name="input_mgmt_az1_en1_eth0_uplink1">'Configure Management Domain'!$D$112</definedName>
    <definedName name="input_mgmt_az1_en1_eth1_uplink0">'Configure Management Domain'!$D$113</definedName>
    <definedName name="input_mgmt_az1_en1_eth1_uplink1">'Configure Management Domain'!$D$114</definedName>
    <definedName name="input_mgmt_az1_en1_fqdn">'Configure Management Domain'!$D$99</definedName>
    <definedName name="input_mgmt_az1_en1_mgmt_cidr">'Configure Management Domain'!$D$107</definedName>
    <definedName name="input_mgmt_az1_en1_mgmt_ip">Arkham!$Q$17</definedName>
    <definedName name="input_mgmt_az1_en1_uplink01_interface_cidr">'Configure Management Domain'!$D$159</definedName>
    <definedName name="input_mgmt_az1_en1_uplink02_interface_cidr">'Configure Management Domain'!$D$166</definedName>
    <definedName name="input_mgmt_az1_en2_edge_overlay_interface_ip_1_ip">'Configure Management Domain'!$D$144</definedName>
    <definedName name="input_mgmt_az1_en2_edge_overlay_interface_ip_2_ip">'Configure Management Domain'!$D$145</definedName>
    <definedName name="input_mgmt_az1_en2_eth0_uplink0">'Configure Management Domain'!$D$137</definedName>
    <definedName name="input_mgmt_az1_en2_eth0_uplink1">'Configure Management Domain'!$D$138</definedName>
    <definedName name="input_mgmt_az1_en2_eth1_uplink0">'Configure Management Domain'!$D$139</definedName>
    <definedName name="input_mgmt_az1_en2_eth1_uplink1">'Configure Management Domain'!$D$140</definedName>
    <definedName name="input_mgmt_az1_en2_fqdn">'Configure Management Domain'!$D$125</definedName>
    <definedName name="input_mgmt_az1_en2_mgmt_cidr">'Configure Management Domain'!$D$133</definedName>
    <definedName name="input_mgmt_az1_en2_mgmt_ip">Arkham!$Q$18</definedName>
    <definedName name="input_mgmt_az1_en2_uplink01_interface_cidr">'Configure Management Domain'!$D$174</definedName>
    <definedName name="input_mgmt_az1_en2_uplink02_interface_cidr">'Configure Management Domain'!$D$181</definedName>
    <definedName name="input_mgmt_az1_host_overlay_cidr">'Deploy Management Domain'!$L$257</definedName>
    <definedName name="input_mgmt_az1_host_overlay_gateway_ip">'Deploy Management Domain'!$L$260</definedName>
    <definedName name="input_mgmt_az1_host_overlay_mtu">'Deploy Management Domain'!$L$301</definedName>
    <definedName name="input_mgmt_az1_host_overlay_network_pool_description">'Deploy Management Domain'!$L$256</definedName>
    <definedName name="input_mgmt_az1_host_overlay_network_pool_name">'Deploy Management Domain'!$L$255</definedName>
    <definedName name="input_mgmt_az1_host_overlay_pool_end_ip">'Deploy Management Domain'!$L$259</definedName>
    <definedName name="input_mgmt_az1_host_overlay_pool_start_ip">'Deploy Management Domain'!$L$258</definedName>
    <definedName name="input_mgmt_az1_host_overlay_vlan">'Deploy Management Domain'!$L$253</definedName>
    <definedName name="input_mgmt_az1_host1_fqdn">'Deploy Management Domain'!$L$128</definedName>
    <definedName name="input_mgmt_az1_host1_mgmt_ip">'Deploy Management Domain'!$L$330</definedName>
    <definedName name="input_mgmt_az1_host1_vrms_ip">'Site Protection &amp; DR'!$D$176</definedName>
    <definedName name="input_mgmt_az1_host10_fqdn">'Deploy Management Domain'!$L$137</definedName>
    <definedName name="input_mgmt_az1_host10_mgmt_ip">'Deploy Management Domain'!$L$339</definedName>
    <definedName name="input_mgmt_az1_host10_vrms_ip">'Site Protection &amp; DR'!$D$185</definedName>
    <definedName name="input_mgmt_az1_host11_fqdn">'Deploy Management Domain'!$L$138</definedName>
    <definedName name="input_mgmt_az1_host11_mgmt_ip">'Deploy Management Domain'!$L$340</definedName>
    <definedName name="input_mgmt_az1_host11_vrms_ip">'Site Protection &amp; DR'!$D$186</definedName>
    <definedName name="input_mgmt_az1_host12_fqdn">'Deploy Management Domain'!$L$139</definedName>
    <definedName name="input_mgmt_az1_host12_mgmt_ip">'Deploy Management Domain'!$L$341</definedName>
    <definedName name="input_mgmt_az1_host12_vrms_ip">'Site Protection &amp; DR'!$D$187</definedName>
    <definedName name="input_mgmt_az1_host13_fqdn">'Deploy Management Domain'!$L$140</definedName>
    <definedName name="input_mgmt_az1_host13_mgmt_ip">'Deploy Management Domain'!$L$342</definedName>
    <definedName name="input_mgmt_az1_host13_vrms_ip">'Site Protection &amp; DR'!$D$188</definedName>
    <definedName name="input_mgmt_az1_host14_fqdn">'Deploy Management Domain'!$L$141</definedName>
    <definedName name="input_mgmt_az1_host14_mgmt_ip">'Deploy Management Domain'!$L$343</definedName>
    <definedName name="input_mgmt_az1_host14_vrms_ip">'Site Protection &amp; DR'!$D$189</definedName>
    <definedName name="input_mgmt_az1_host15_fqdn">'Deploy Management Domain'!$L$142</definedName>
    <definedName name="input_mgmt_az1_host15_mgmt_ip">'Deploy Management Domain'!$L$344</definedName>
    <definedName name="input_mgmt_az1_host15_vrms_ip">'Site Protection &amp; DR'!$D$190</definedName>
    <definedName name="input_mgmt_az1_host16_fqdn">'Deploy Management Domain'!$L$143</definedName>
    <definedName name="input_mgmt_az1_host16_mgmt_ip">'Deploy Management Domain'!$L$345</definedName>
    <definedName name="input_mgmt_az1_host16_vrms_ip">'Site Protection &amp; DR'!$D$191</definedName>
    <definedName name="input_mgmt_az1_host2_fqdn">'Deploy Management Domain'!$L$129</definedName>
    <definedName name="input_mgmt_az1_host2_mgmt_ip">'Deploy Management Domain'!$L$331</definedName>
    <definedName name="input_mgmt_az1_host2_vrms_ip">'Site Protection &amp; DR'!$D$177</definedName>
    <definedName name="input_mgmt_az1_host3_fqdn">'Deploy Management Domain'!$L$130</definedName>
    <definedName name="input_mgmt_az1_host3_mgmt_ip">'Deploy Management Domain'!$L$332</definedName>
    <definedName name="input_mgmt_az1_host3_vrms_ip">'Site Protection &amp; DR'!$D$178</definedName>
    <definedName name="input_mgmt_az1_host4_fqdn">'Deploy Management Domain'!$L$131</definedName>
    <definedName name="input_mgmt_az1_host4_mgmt_ip">'Deploy Management Domain'!$L$333</definedName>
    <definedName name="input_mgmt_az1_host4_vrms_ip">'Site Protection &amp; DR'!$D$179</definedName>
    <definedName name="input_mgmt_az1_host5_fqdn">'Deploy Management Domain'!$L$132</definedName>
    <definedName name="input_mgmt_az1_host5_mgmt_ip">'Deploy Management Domain'!$L$334</definedName>
    <definedName name="input_mgmt_az1_host5_vrms_ip">'Site Protection &amp; DR'!$D$180</definedName>
    <definedName name="input_mgmt_az1_host6_fqdn">'Deploy Management Domain'!$L$133</definedName>
    <definedName name="input_mgmt_az1_host6_mgmt_ip">'Deploy Management Domain'!$L$335</definedName>
    <definedName name="input_mgmt_az1_host6_vrms_ip">'Site Protection &amp; DR'!$D$181</definedName>
    <definedName name="input_mgmt_az1_host7_fqdn">'Deploy Management Domain'!$L$134</definedName>
    <definedName name="input_mgmt_az1_host7_mgmt_ip">'Deploy Management Domain'!$L$336</definedName>
    <definedName name="input_mgmt_az1_host7_vrms_ip">'Site Protection &amp; DR'!$D$182</definedName>
    <definedName name="input_mgmt_az1_host8_fqdn">'Deploy Management Domain'!$L$135</definedName>
    <definedName name="input_mgmt_az1_host8_mgmt_ip">'Deploy Management Domain'!$L$337</definedName>
    <definedName name="input_mgmt_az1_host8_vrms_ip">'Site Protection &amp; DR'!$D$183</definedName>
    <definedName name="input_mgmt_az1_host9_fqdn">'Deploy Management Domain'!$L$136</definedName>
    <definedName name="input_mgmt_az1_host9_mgmt_ip">'Deploy Management Domain'!$L$338</definedName>
    <definedName name="input_mgmt_az1_host9_vrms_ip">'Site Protection &amp; DR'!$D$184</definedName>
    <definedName name="input_mgmt_az1_mgmt_cidr">'Deploy Management Domain'!$L$150</definedName>
    <definedName name="input_mgmt_az1_mgmt_gateway_ip">'Deploy Management Domain'!$L$149</definedName>
    <definedName name="input_mgmt_az1_mgmt_mtu">'Deploy Management Domain'!$L$151</definedName>
    <definedName name="input_mgmt_az1_mgmt_vlan">'Deploy Management Domain'!$L$148</definedName>
    <definedName name="input_mgmt_az1_mgmt_vm_cidr">'Deploy Management Domain'!$L$156</definedName>
    <definedName name="input_mgmt_az1_mgmt_vm_gateway_ip">'Deploy Management Domain'!$L$155</definedName>
    <definedName name="input_mgmt_az1_mgmt_vm_mtu">'Deploy Management Domain'!$L$157</definedName>
    <definedName name="input_mgmt_az1_mgmt_vm_vlan">'Deploy Management Domain'!$L$154</definedName>
    <definedName name="input_mgmt_az1_rtep_ip_pool_name">'Configure Management Domain'!$D$491</definedName>
    <definedName name="input_mgmt_az1_rtep_overlay_cidr">'Configure Management Domain'!$D$494</definedName>
    <definedName name="input_mgmt_az1_rtep_overlay_gateway_ip">'Configure Management Domain'!$D$495</definedName>
    <definedName name="input_mgmt_az1_rtep_overlay_vlan">'Configure Management Domain'!$D$518</definedName>
    <definedName name="input_mgmt_az1_secondary_storage_cidr">'Deploy Management Domain'!$L$175</definedName>
    <definedName name="input_mgmt_az1_secondary_storage_gateway_ip">'Deploy Management Domain'!$L$174</definedName>
    <definedName name="input_mgmt_az1_secondary_storage_mtu">'Deploy Management Domain'!$L$176</definedName>
    <definedName name="input_mgmt_az1_secondary_storage_pool_end_ip">'Deploy Management Domain'!$L$178</definedName>
    <definedName name="input_mgmt_az1_secondary_storage_pool_start_ip">'Deploy Management Domain'!$L$177</definedName>
    <definedName name="input_mgmt_az1_secondary_storage_vlan">'Deploy Management Domain'!$L$173</definedName>
    <definedName name="input_mgmt_az1_tor1_peer_asn">'Configure Management Domain'!$D$163</definedName>
    <definedName name="input_mgmt_az1_tor1_peer_bgp_password">'Configure Management Domain'!$D$164</definedName>
    <definedName name="input_mgmt_az1_tor1_peer_ip">'Configure Management Domain'!$D$160</definedName>
    <definedName name="input_mgmt_az1_tor2_peer_asn">'Configure Management Domain'!$D$170</definedName>
    <definedName name="input_mgmt_az1_tor2_peer_bgp_password">'Configure Management Domain'!$D$171</definedName>
    <definedName name="input_mgmt_az1_tor2_peer_ip">'Configure Management Domain'!$D$167</definedName>
    <definedName name="input_mgmt_az1_uplink01_cidr">'Configure Management Domain'!$D$195</definedName>
    <definedName name="input_mgmt_az1_uplink01_gateway_ip">'Configure Management Domain'!$D$194</definedName>
    <definedName name="input_mgmt_az1_uplink01_mtu">'Configure Management Domain'!$D$162</definedName>
    <definedName name="input_mgmt_az1_uplink01_vlan">'Configure Management Domain'!$D$158</definedName>
    <definedName name="input_mgmt_az1_uplink02_cidr">'Configure Management Domain'!$D$199</definedName>
    <definedName name="input_mgmt_az1_uplink02_gateway_ip">'Configure Management Domain'!$D$198</definedName>
    <definedName name="input_mgmt_az1_uplink02_mtu">'Configure Management Domain'!$D$169</definedName>
    <definedName name="input_mgmt_az1_uplink02_vlan">'Configure Management Domain'!$D$165</definedName>
    <definedName name="input_mgmt_az1_vmotion_cidr">'Deploy Management Domain'!$L$161</definedName>
    <definedName name="input_mgmt_az1_vmotion_gateway_ip">'Deploy Management Domain'!$L$160</definedName>
    <definedName name="input_mgmt_az1_vmotion_mtu">'Deploy Management Domain'!$L$162</definedName>
    <definedName name="input_mgmt_az1_vmotion_pool_end_ip">'Deploy Management Domain'!$L$164</definedName>
    <definedName name="input_mgmt_az1_vmotion_pool_start_ip">'Deploy Management Domain'!$L$163</definedName>
    <definedName name="input_mgmt_az1_vmotion_vlan">'Deploy Management Domain'!$L$159</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cidr">'Deploy Management Domain'!$L$168</definedName>
    <definedName name="input_mgmt_az1_vsan_gateway_ip">'Deploy Management Domain'!$L$167</definedName>
    <definedName name="input_mgmt_az1_vsan_mtu">'Deploy Management Domain'!$L$169</definedName>
    <definedName name="input_mgmt_az1_vsan_pool_end_ip">'Deploy Management Domain'!$L$171</definedName>
    <definedName name="input_mgmt_az1_vsan_pool_start_ip">'Deploy Management Domain'!$L$170</definedName>
    <definedName name="input_mgmt_az1_vsan_vlan">'Deploy Management Domain'!$L$166</definedName>
    <definedName name="input_mgmt_az2_host_overlay_cidr">'Configure Management Domain'!$D$367</definedName>
    <definedName name="input_mgmt_az2_host_overlay_gateway_ip">'Configure Management Domain'!$D$366</definedName>
    <definedName name="input_mgmt_az2_host_overlay_mtu">'Configure Management Domain'!$D$368</definedName>
    <definedName name="input_mgmt_az2_host_overlay_network_pool_name">'Configure Management Domain'!$D$363</definedName>
    <definedName name="input_mgmt_az2_host_overlay_network_profile_name">'Configure Management Domain'!$D$361</definedName>
    <definedName name="input_mgmt_az2_host_overlay_pool_end_ip">'Configure Management Domain'!$D$370</definedName>
    <definedName name="input_mgmt_az2_host_overlay_pool_start_ip">'Configure Management Domain'!$D$369</definedName>
    <definedName name="input_mgmt_az2_host_overlay_uplink_profile_name">'Configure Management Domain'!$D$364</definedName>
    <definedName name="input_mgmt_az2_host_overlay_vlan">'Configure Management Domain'!$D$365</definedName>
    <definedName name="input_mgmt_az2_host1_fqdn">'Configure Management Domain'!$D$279</definedName>
    <definedName name="input_mgmt_az2_host1_mgmt_ip">'Configure Management Domain'!$D$230</definedName>
    <definedName name="input_mgmt_az2_host1_sddc_id">'Configure Management Domain'!$D$345</definedName>
    <definedName name="input_mgmt_az2_host1_vrms_ip">'Site Protection &amp; DR'!$D$193</definedName>
    <definedName name="input_mgmt_az2_host10_fqdn">'Configure Management Domain'!$D$288</definedName>
    <definedName name="input_mgmt_az2_host10_mgmt_ip">'Configure Management Domain'!$D$239</definedName>
    <definedName name="input_mgmt_az2_host10_vrms_ip">'Site Protection &amp; DR'!$D$202</definedName>
    <definedName name="input_mgmt_az2_host11_fqdn">'Configure Management Domain'!$D$289</definedName>
    <definedName name="input_mgmt_az2_host11_mgmt_ip">'Configure Management Domain'!$D$240</definedName>
    <definedName name="input_mgmt_az2_host11_vrms_ip">'Site Protection &amp; DR'!$D$203</definedName>
    <definedName name="input_mgmt_az2_host12_fqdn">'Configure Management Domain'!$D$290</definedName>
    <definedName name="input_mgmt_az2_host12_mgmt_ip">'Configure Management Domain'!$D$241</definedName>
    <definedName name="input_mgmt_az2_host12_vrms_ip">'Site Protection &amp; DR'!$D$204</definedName>
    <definedName name="input_mgmt_az2_host13_fqdn">'Configure Management Domain'!$D$291</definedName>
    <definedName name="input_mgmt_az2_host13_mgmt_ip">'Configure Management Domain'!$D$242</definedName>
    <definedName name="input_mgmt_az2_host13_vrms_ip">'Site Protection &amp; DR'!$D$205</definedName>
    <definedName name="input_mgmt_az2_host14_fqdn">'Configure Management Domain'!$D$292</definedName>
    <definedName name="input_mgmt_az2_host14_mgmt_ip">'Configure Management Domain'!$D$243</definedName>
    <definedName name="input_mgmt_az2_host14_vrms_ip">'Site Protection &amp; DR'!$D$206</definedName>
    <definedName name="input_mgmt_az2_host15_fqdn">'Configure Management Domain'!$D$293</definedName>
    <definedName name="input_mgmt_az2_host15_mgmt_ip">'Configure Management Domain'!$D$244</definedName>
    <definedName name="input_mgmt_az2_host15_vrms_ip">'Site Protection &amp; DR'!$D$207</definedName>
    <definedName name="input_mgmt_az2_host16_fqdn">'Configure Management Domain'!$D$294</definedName>
    <definedName name="input_mgmt_az2_host16_mgmt_ip">'Configure Management Domain'!$D$245</definedName>
    <definedName name="input_mgmt_az2_host16_vrms_ip">'Site Protection &amp; DR'!$D$208</definedName>
    <definedName name="input_mgmt_az2_host2_fqdn">'Configure Management Domain'!$D$280</definedName>
    <definedName name="input_mgmt_az2_host2_mgmt_ip">'Configure Management Domain'!$D$231</definedName>
    <definedName name="input_mgmt_az2_host2_sddc_id">'Configure Management Domain'!$D$346</definedName>
    <definedName name="input_mgmt_az2_host2_vrms_ip">'Site Protection &amp; DR'!$D$194</definedName>
    <definedName name="input_mgmt_az2_host3_fqdn">'Configure Management Domain'!$D$281</definedName>
    <definedName name="input_mgmt_az2_host3_mgmt_ip">'Configure Management Domain'!$D$232</definedName>
    <definedName name="input_mgmt_az2_host3_sddc_id">'Configure Management Domain'!$D$347</definedName>
    <definedName name="input_mgmt_az2_host3_vrms_ip">'Site Protection &amp; DR'!$D$195</definedName>
    <definedName name="input_mgmt_az2_host4_fqdn">'Configure Management Domain'!$D$282</definedName>
    <definedName name="input_mgmt_az2_host4_mgmt_ip">'Configure Management Domain'!$D$233</definedName>
    <definedName name="input_mgmt_az2_host4_sddc_id">'Configure Management Domain'!$D$348</definedName>
    <definedName name="input_mgmt_az2_host4_vrms_ip">'Site Protection &amp; DR'!$D$196</definedName>
    <definedName name="input_mgmt_az2_host5_fqdn">'Configure Management Domain'!$D$283</definedName>
    <definedName name="input_mgmt_az2_host5_mgmt_ip">'Configure Management Domain'!$D$234</definedName>
    <definedName name="input_mgmt_az2_host5_vrms_ip">'Site Protection &amp; DR'!$D$197</definedName>
    <definedName name="input_mgmt_az2_host6_fqdn">'Configure Management Domain'!$D$284</definedName>
    <definedName name="input_mgmt_az2_host6_mgmt_ip">'Configure Management Domain'!$D$235</definedName>
    <definedName name="input_mgmt_az2_host6_vrms_ip">'Site Protection &amp; DR'!$D$198</definedName>
    <definedName name="input_mgmt_az2_host7_fqdn">'Configure Management Domain'!$D$285</definedName>
    <definedName name="input_mgmt_az2_host7_mgmt_ip">'Configure Management Domain'!$D$236</definedName>
    <definedName name="input_mgmt_az2_host7_vrms_ip">'Site Protection &amp; DR'!$D$199</definedName>
    <definedName name="input_mgmt_az2_host8_fqdn">'Configure Management Domain'!$D$286</definedName>
    <definedName name="input_mgmt_az2_host8_mgmt_ip">'Configure Management Domain'!$D$237</definedName>
    <definedName name="input_mgmt_az2_host8_vrms_ip">'Site Protection &amp; DR'!$D$200</definedName>
    <definedName name="input_mgmt_az2_host9_fqdn">'Configure Management Domain'!$D$287</definedName>
    <definedName name="input_mgmt_az2_host9_mgmt_ip">'Configure Management Domain'!$D$238</definedName>
    <definedName name="input_mgmt_az2_host9_vrms_ip">'Site Protection &amp; DR'!$D$201</definedName>
    <definedName name="input_mgmt_az2_mgmt_cidr">'Configure Management Domain'!$D$227</definedName>
    <definedName name="input_mgmt_az2_mgmt_gateway_ip">'Configure Management Domain'!$D$226</definedName>
    <definedName name="input_mgmt_az2_mgmt_mtu">'Configure Management Domain'!$D$228</definedName>
    <definedName name="input_mgmt_az2_mgmt_vlan">'Configure Management Domain'!$D$225</definedName>
    <definedName name="input_mgmt_az2_pool_name">'Configure Management Domain'!$D$250</definedName>
    <definedName name="input_mgmt_az2_secondary_storage_gateway_ip">'Configure Management Domain'!$D$272</definedName>
    <definedName name="input_mgmt_az2_secondary_storage_mask">'Configure Management Domain'!$D$271</definedName>
    <definedName name="input_mgmt_az2_secondary_storage_mtu">'Configure Management Domain'!$D$269</definedName>
    <definedName name="input_mgmt_az2_secondary_storage_network">'Configure Management Domain'!$D$270</definedName>
    <definedName name="input_mgmt_az2_secondary_storage_pool_end_ip">'Configure Management Domain'!$D$274</definedName>
    <definedName name="input_mgmt_az2_secondary_storage_pool_start_ip">'Configure Management Domain'!$D$273</definedName>
    <definedName name="input_mgmt_az2_secondary_storage_vlan">'Configure Management Domain'!$D$268</definedName>
    <definedName name="input_mgmt_az2_tor1_peer_asn">'Configure Management Domain'!$D$385</definedName>
    <definedName name="input_mgmt_az2_tor1_peer_bgp_password">'Configure Management Domain'!$D$388</definedName>
    <definedName name="input_mgmt_az2_tor1_peer_ip">'Configure Management Domain'!$D$384</definedName>
    <definedName name="input_mgmt_az2_tor2_peer_asn">'Configure Management Domain'!$D$392</definedName>
    <definedName name="input_mgmt_az2_tor2_peer_bgp_password">'Configure Management Domain'!$D$393</definedName>
    <definedName name="input_mgmt_az2_tor2_peer_ip">'Configure Management Domain'!$D$389</definedName>
    <definedName name="input_mgmt_az2_vmotion_gateway_ip">'Configure Management Domain'!$D$256</definedName>
    <definedName name="input_mgmt_az2_vmotion_mask">'Configure Management Domain'!$D$255</definedName>
    <definedName name="input_mgmt_az2_vmotion_mtu">'Configure Management Domain'!$D$253</definedName>
    <definedName name="input_mgmt_az2_vmotion_network">'Configure Management Domain'!$D$254</definedName>
    <definedName name="input_mgmt_az2_vmotion_pool_end_ip">'Configure Management Domain'!$D$258</definedName>
    <definedName name="input_mgmt_az2_vmotion_pool_start_ip">'Configure Management Domain'!$D$257</definedName>
    <definedName name="input_mgmt_az2_vmotion_vlan">'Configure Management Domain'!$D$252</definedName>
    <definedName name="input_mgmt_az2_vsan_gateway_ip">'Configure Management Domain'!$D$264</definedName>
    <definedName name="input_mgmt_az2_vsan_mask">'Configure Management Domain'!$D$263</definedName>
    <definedName name="input_mgmt_az2_vsan_mtu">'Configure Management Domain'!$D$261</definedName>
    <definedName name="input_mgmt_az2_vsan_network">'Configure Management Domain'!$D$262</definedName>
    <definedName name="input_mgmt_az2_vsan_pool_end_ip">'Configure Management Domain'!$D$266</definedName>
    <definedName name="input_mgmt_az2_vsan_pool_start_ip">'Configure Management Domain'!$D$265</definedName>
    <definedName name="input_mgmt_az2_vsan_vlan">'Configure Management Domain'!$D$260</definedName>
    <definedName name="input_mgmt_cl01_az1_mgmt_pg">'Deploy Management Domain'!$L$221</definedName>
    <definedName name="input_mgmt_cl01_az1_mgmt_vm_pg">'Deploy Management Domain'!$L$226</definedName>
    <definedName name="input_mgmt_cl01_az1_nfs_pg">'Deploy Management Domain'!$L$241</definedName>
    <definedName name="input_mgmt_cl01_az1_uplink01_pg">'Configure Management Domain'!$D$193</definedName>
    <definedName name="input_mgmt_cl01_az1_uplink02_pg">'Configure Management Domain'!$D$197</definedName>
    <definedName name="input_mgmt_cl01_az1_vcf_mgmt_pg">Arkham!$B$9</definedName>
    <definedName name="input_mgmt_cl01_az1_vmotion_pg">'Deploy Management Domain'!$L$231</definedName>
    <definedName name="input_mgmt_cl01_az1_vsan_pg">'Deploy Management Domain'!$L$236</definedName>
    <definedName name="input_mgmt_cl01_cluster">'Deploy Management Domain'!$L$94</definedName>
    <definedName name="input_mgmt_cl01_cluster_sddc_id">'Configure Management Domain'!$D$374</definedName>
    <definedName name="input_mgmt_cl01_nfs_server_ip">'Deploy Management Domain'!$L$121</definedName>
    <definedName name="input_mgmt_cl01_nfs_share">'Deploy Management Domain'!$L$120</definedName>
    <definedName name="input_mgmt_cl01_vds01_lag_name">'Deploy Management Domain'!$L$191</definedName>
    <definedName name="input_mgmt_cl01_vds01_mtu">'Deploy Management Domain'!$L$189</definedName>
    <definedName name="input_mgmt_cl01_vds01_name">'Deploy Management Domain'!$L$188</definedName>
    <definedName name="input_mgmt_cl01_vds01_uplink_count">'Deploy Management Domain'!$L$195</definedName>
    <definedName name="input_mgmt_cl01_vds01_uplink1">'Deploy Management Domain'!$L$196</definedName>
    <definedName name="input_mgmt_cl01_vds01_uplink2">'Deploy Management Domain'!$L$197</definedName>
    <definedName name="input_mgmt_cl01_vds02_lag_name">'Deploy Management Domain'!$L$202</definedName>
    <definedName name="input_mgmt_cl01_vds02_mtu">'Deploy Management Domain'!$L$200</definedName>
    <definedName name="input_mgmt_cl01_vds02_name">'Deploy Management Domain'!$L$199</definedName>
    <definedName name="input_mgmt_cl01_vds02_uplink_count">'Deploy Management Domain'!$L$206</definedName>
    <definedName name="input_mgmt_cl01_vds02_uplink1">'Deploy Management Domain'!$L$207</definedName>
    <definedName name="input_mgmt_cl01_vds02_uplink2">'Deploy Management Domain'!$L$208</definedName>
    <definedName name="input_mgmt_cl01_vds03_lag_name">'Deploy Management Domain'!$L$213</definedName>
    <definedName name="input_mgmt_cl01_vds03_mtu">'Deploy Management Domain'!$L$212</definedName>
    <definedName name="input_mgmt_cl01_vds03_name">'Deploy Management Domain'!$L$210</definedName>
    <definedName name="input_mgmt_cl01_vds03_uplink_count">'Deploy Management Domain'!$L$217</definedName>
    <definedName name="input_mgmt_cl01_vds03_uplink1">'Deploy Management Domain'!$L$218</definedName>
    <definedName name="input_mgmt_cl01_vds03_uplink2">'Deploy Management Domain'!$L$219</definedName>
    <definedName name="input_mgmt_cl01_vsan_datastore">'Deploy Management Domain'!$L$117</definedName>
    <definedName name="input_mgmt_cross_instance_linked_t0_name">'Configure Management Domain'!$D$523</definedName>
    <definedName name="input_mgmt_datacenter">'Deploy Management Domain'!$L$93</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Domain'!$D$129</definedName>
    <definedName name="input_mgmt_en_asn">'Configure Management Domain'!$D$156</definedName>
    <definedName name="input_mgmt_existing_active_nsx_gm">'Configure Management Domain'!$D$531</definedName>
    <definedName name="input_mgmt_existing_cross_instance_t0_name">'Configure Management Domain'!$D$532</definedName>
    <definedName name="input_mgmt_host_overlay_transportzone">'Deploy Management Domain'!$L$252</definedName>
    <definedName name="input_mgmt_internet_proxy_address">'Deploy Management Domain'!$L$15</definedName>
    <definedName name="input_mgmt_internet_proxy_email">'Deploy Management Domain'!$L$18</definedName>
    <definedName name="input_mgmt_internet_proxy_password">'Deploy Management Domain'!$L$19</definedName>
    <definedName name="input_mgmt_internet_proxy_port">'Deploy Management Domain'!$L$16</definedName>
    <definedName name="input_mgmt_mgmt_rp">'Deploy Management Domain'!$M$350</definedName>
    <definedName name="input_mgmt_nsx_rp">'Deploy Management Domain'!$M$351</definedName>
    <definedName name="input_mgmt_nsxt_en_admin_password">'Configure Management Domain'!$D$150</definedName>
    <definedName name="input_mgmt_nsxt_en_root_password">'Configure Management Domain'!$D$149</definedName>
    <definedName name="input_mgmt_nsxt_federation_global_manager_name">'Configure Management Domain'!$D$498</definedName>
    <definedName name="input_mgmt_nsxt_federation_location_name">'Configure Management Domain'!$D$512</definedName>
    <definedName name="input_mgmt_nsxt_global_mgr_anti_affinity_rule_name">'Configure Management Domain'!$D$469</definedName>
    <definedName name="input_mgmt_nsxt_global_mgr_certificate_id">'Configure Management Domain'!$D$481</definedName>
    <definedName name="input_mgmt_nsxt_global_mgr_cluster_id">'Configure Management Domain'!$D$453</definedName>
    <definedName name="input_mgmt_nsxt_global_mgr_vmca_signed_thumbprint">'Configure Management Domain'!$D$454</definedName>
    <definedName name="input_mgmt_nsxt_global_mgra_fqdn">'Configure Management Domain'!$D$409</definedName>
    <definedName name="input_mgmt_nsxt_global_mgra_hostname">'Configure Management Domain'!$D$400</definedName>
    <definedName name="input_mgmt_nsxt_global_mgra_ip">'Configure Management Domain'!$D$410</definedName>
    <definedName name="input_mgmt_nsxt_global_mgrb_fqdn">'Configure Management Domain'!$D$426</definedName>
    <definedName name="input_mgmt_nsxt_global_mgrb_hostname">'Configure Management Domain'!$D$417</definedName>
    <definedName name="input_mgmt_nsxt_global_mgrb_ip">'Configure Management Domain'!$D$427</definedName>
    <definedName name="input_mgmt_nsxt_global_mgrc_fqdn">'Configure Management Domain'!$D$443</definedName>
    <definedName name="input_mgmt_nsxt_global_mgrc_hostname">'Configure Management Domain'!$D$434</definedName>
    <definedName name="input_mgmt_nsxt_global_mgrc_ip">'Configure Management Domain'!$D$444</definedName>
    <definedName name="input_mgmt_nsxt_gm_fingerprint">'Configure Management Domain'!$D$501</definedName>
    <definedName name="input_mgmt_nsxt_gm_vip_fqdn">'Configure Management Domain'!$D$450</definedName>
    <definedName name="input_mgmt_nsxt_gm_vip_ip">'Configure Management Domain'!$D$475</definedName>
    <definedName name="input_mgmt_nsxt_lm_fingerprint">'Configure Management Domain'!$D$510</definedName>
    <definedName name="input_mgmt_nsxt_mgra_fqdn">'Deploy Management Domain'!$L$105</definedName>
    <definedName name="input_mgmt_nsxt_mgra_ip">'Deploy Management Domain'!$L$326</definedName>
    <definedName name="input_mgmt_nsxt_mgrb_fqdn">'Deploy Management Domain'!$L$106</definedName>
    <definedName name="input_mgmt_nsxt_mgrb_ip">'Deploy Management Domain'!$L$327</definedName>
    <definedName name="input_mgmt_nsxt_mgrc_fqdn">'Deploy Management Domain'!$L$107</definedName>
    <definedName name="input_mgmt_nsxt_mgrc_ip">'Deploy Management Domain'!$L$328</definedName>
    <definedName name="input_mgmt_nsxt_vip_fqdn">'Deploy Management Domain'!$L$104</definedName>
    <definedName name="input_mgmt_nsxt_vip_ip">'Deploy Management Domain'!$L$325</definedName>
    <definedName name="input_mgmt_nsxt_xreg_t1_name">'Configure Management Domain'!$D$522</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Domain'!$D$493</definedName>
    <definedName name="input_mgmt_rtep_overlay_pool_start_ip">'Configure Management Domain'!$D$492</definedName>
    <definedName name="input_mgmt_rwr_recovery_site_az1_mgmt_cidr">'On-Premises Ransomware Recovery'!$D$101</definedName>
    <definedName name="input_mgmt_rwr_vc_fqdn">'On-Premises Ransomware Recovery'!$D$9</definedName>
    <definedName name="input_mgmt_sddc_domain">'Deploy Management Domain'!$L$39</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Domain'!$L$95</definedName>
    <definedName name="input_mgmt_sso_domain_username">'Deploy Management Domain'!$L$96</definedName>
    <definedName name="input_mgmt_tier0_name">'Configure Management Domain'!$D$153</definedName>
    <definedName name="input_mgmt_tier1_name">'Value Reference Tables'!$U$212</definedName>
    <definedName name="input_mgmt_user_edge_rp">'Deploy Management Domain'!$M$352</definedName>
    <definedName name="input_mgmt_user_vm_rp">'Deploy Management Domain'!$M$353</definedName>
    <definedName name="input_mgmt_vc_fqdn">'Deploy Management Domain'!$L$90</definedName>
    <definedName name="input_mgmt_vc_ip">'Deploy Management Domain'!$L$323</definedName>
    <definedName name="input_mgmt_vnaa_fqdn">Arkham!$Q$49</definedName>
    <definedName name="input_mgmt_vnaa_ip">Arkham!$Q$47</definedName>
    <definedName name="input_mgmt_vnab_fqdn">Arkham!$Q$50</definedName>
    <definedName name="input_mgmt_vnab_ip">Arkham!$Q$48</definedName>
    <definedName name="input_mgmt_vpc_ext_ip_blocks">'Configure Management Domain'!$D$188</definedName>
    <definedName name="input_mgmt_vpc_transit_gateway_ip_blocks">'Configure Management Domain'!$D$189</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witness_cluster">'Configure Management Domain'!$D$313</definedName>
    <definedName name="input_mgmt_witness_dns1_ip">'Configure Management Domain'!$D$324</definedName>
    <definedName name="input_mgmt_witness_dns2_ip">'Configure Management Domain'!$D$325</definedName>
    <definedName name="input_mgmt_witness_fqdn">'Configure Management Domain'!$D$371</definedName>
    <definedName name="input_mgmt_witness_hostname">'Configure Management Domain'!$D$312</definedName>
    <definedName name="input_mgmt_witness_ip">'Configure Management Domain'!$D$319</definedName>
    <definedName name="input_mgmt_witness_mgmt_pg">'Configure Management Domain'!$D$316</definedName>
    <definedName name="input_mgmt_witness_ntp1_server">'Configure Management Domain'!$D$326</definedName>
    <definedName name="input_mgmt_witness_ntp2_server">'Configure Management Domain'!$D$327</definedName>
    <definedName name="input_mgmt_witness_root_password">'Configure Management Domain'!$D$318</definedName>
    <definedName name="input_mgmt_witness_vm_folder">'Configure Management Domain'!$D$314</definedName>
    <definedName name="input_mgmt_witness_vsan_datastore">'Configure Management Domain'!$D$315</definedName>
    <definedName name="input_mgmt_witness_zone_vc_fqdn">'Configure Management Domain'!$D$310</definedName>
    <definedName name="input_mgmt_witness_zone_vc_ip">'Configure Management Domain'!$D$311</definedName>
    <definedName name="input_mgmt_witnessaz_mgmt_cidr">'Configure Management Domain'!$D$307</definedName>
    <definedName name="input_mgmt_witnessaz_mgmt_gateway_ip">'Configure Management Domain'!$D$306</definedName>
    <definedName name="input_mgmt_witnessaz_mgmt_mtu">'Configure Management Domain'!$D$308</definedName>
    <definedName name="input_mgmt_witnessaz_mgmt_vlan">'Configure Management Domain'!$D$305</definedName>
    <definedName name="input_nsxt_gm_admin_password">'Configure Management Domain'!$D$407</definedName>
    <definedName name="input_nsxt_gm_audit_password">'Configure Management Domain'!$D$408</definedName>
    <definedName name="input_nsxt_gm_root_password">'Configure Management Domain'!$D$406</definedName>
    <definedName name="input_nsxt_lm_admin_password">'Deploy Management Domain'!$L$108</definedName>
    <definedName name="input_nsxt_lm_audit_password">'Deploy Management Domain'!$L$110</definedName>
    <definedName name="input_nsxt_lm_root_password">'Deploy Management Domain'!$L$109</definedName>
    <definedName name="input_parent_ad_groups_ou">'Active Directory Inputs'!$E$10</definedName>
    <definedName name="input_parent_ad_users_ou">'Active Directory Inputs'!$G$10</definedName>
    <definedName name="input_parent_dns_zone">'Deploy Management Domain'!$L$43</definedName>
    <definedName name="input_parent_gg_wsa_admins_group">'Active Directory Inputs'!$E$59</definedName>
    <definedName name="input_parent_gg_wsa_directory_admins_group">'Active Directory Inputs'!$E$60</definedName>
    <definedName name="input_parent_gg_wsa_read_only_group">'Active Directory Inputs'!$E$61</definedName>
    <definedName name="input_region_ad_child_fqdn">'Active Directory Inputs'!$E$9</definedName>
    <definedName name="input_region_ad_child_netbios">'Active Directory Inputs'!$G$9</definedName>
    <definedName name="input_region_ad_parent_fqdn">'Active Directory Inputs'!$E$8</definedName>
    <definedName name="input_region_ad_parent_netbios">'Active Directory Inputs'!$G$8</definedName>
    <definedName name="input_region_dns1_ip">'Deploy Management Domain'!$L$44</definedName>
    <definedName name="input_region_dns2_ip">'Deploy Management Domain'!$L$45</definedName>
    <definedName name="input_region_ntp1_server">'Deploy Management Domain'!$L$47</definedName>
    <definedName name="input_region_ntp2_server">'Deploy Management Domain'!$L$48</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Domain'!$L$269</definedName>
    <definedName name="input_sddc_mgr_fqdn">'Deploy Management Domain'!$L$266</definedName>
    <definedName name="input_sddc_mgr_ip">'Deploy Management Domain'!$L$322</definedName>
    <definedName name="input_sddc_mgr_root_password">'Deploy Management Domain'!$L$267</definedName>
    <definedName name="input_sddc_mgr_vcf_password">'Deploy Management Domain'!$L$268</definedName>
    <definedName name="input_sftp_server">'Configure Management Domain'!$D$21</definedName>
    <definedName name="input_sftp_server_backup_dir">'Configure Management Domain'!$D$26</definedName>
    <definedName name="input_sftp_server_passphrase">'Configure Management Domain'!$D$28</definedName>
    <definedName name="input_sftp_server_port">'Configure Management Domain'!$D$22</definedName>
    <definedName name="input_sftp_server_protocol">'Configure Management Domain'!$D$23</definedName>
    <definedName name="input_sftp_server_sshfingerprint">'Configure Management Domain'!$D$27</definedName>
    <definedName name="input_smtp_server">Arkham!$C$16</definedName>
    <definedName name="input_smtp_server_port">Arkham!$C$17</definedName>
    <definedName name="input_svc_cbr_vcdr_vsphere_password">'Cloud-Based Ransomware Recovery'!$D$16</definedName>
    <definedName name="input_svc_cbr_vcdr_vsphere_user">'Cloud-Based Ransomware Recovery'!$D$15</definedName>
    <definedName name="input_svc_ccm_hcx_nsx_password">'Active Directory Inputs'!$G$49</definedName>
    <definedName name="input_svc_ccm_hcx_nsx_user">'Active Directory Inputs'!$E$49</definedName>
    <definedName name="input_svc_ccm_hcx_vsphere_password">'Active Directory Inputs'!$G$48</definedName>
    <definedName name="input_svc_ccm_hcx_vsphere_user">'Active Directory Inputs'!$E$48</definedName>
    <definedName name="input_svc_hrm_vrops_user">'Active Directory Inputs'!$E$45</definedName>
    <definedName name="input_svc_ila_ad_password">'Active Directory Inputs'!$G$24</definedName>
    <definedName name="input_svc_ila_ad_user">'Active Directory Inputs'!$E$24</definedName>
    <definedName name="input_svc_inv_ad_password">'Active Directory Inputs'!$G$32</definedName>
    <definedName name="input_svc_inv_ad_user">'Active Directory Inputs'!$E$32</definedName>
    <definedName name="input_svc_inv_vrops_password">'Active Directory Inputs'!$G$34</definedName>
    <definedName name="input_svc_inv_vrops_user">'Active Directory Inputs'!$E$34</definedName>
    <definedName name="input_svc_inv_vsphere_password">'Active Directory Inputs'!$G$33</definedName>
    <definedName name="input_svc_inv_vsphere_user">'Active Directory Inputs'!$E$33</definedName>
    <definedName name="input_svc_iom_vcf_password">'Active Directory Inputs'!$G$27</definedName>
    <definedName name="input_svc_iom_vcf_user">'Active Directory Inputs'!$E$27</definedName>
    <definedName name="input_svc_iom_vsphere_password">'Active Directory Inputs'!$G$28</definedName>
    <definedName name="input_svc_iom_vsphere_user">'Active Directory Inputs'!$E$28</definedName>
    <definedName name="input_svc_my_vmware_password">'Deploy Management Domain'!$L$12</definedName>
    <definedName name="input_svc_vcf_bck_password">'Configure Management Domain'!$D$25</definedName>
    <definedName name="input_svc_vcf_bck_user">'Configure Management Domain'!$D$24</definedName>
    <definedName name="input_svc_vcf_ca_vcf_password">'Configure Management Domain'!$D$55</definedName>
    <definedName name="input_svc_vcf_ca_vcf_user">'Configure Management Domain'!$D$50</definedName>
    <definedName name="input_svc_vra_nsx_password">'Active Directory Inputs'!$G$38</definedName>
    <definedName name="input_svc_vra_nsx_user">'Active Directory Inputs'!$E$38</definedName>
    <definedName name="input_svc_vra_vcf_password">'Active Directory Inputs'!$G$39</definedName>
    <definedName name="input_svc_vra_vcf_user">'Active Directory Inputs'!$E$39</definedName>
    <definedName name="input_svc_vra_vrops_password">'Active Directory Inputs'!$G$41</definedName>
    <definedName name="input_svc_vra_vrops_user">'Active Directory Inputs'!$E$41</definedName>
    <definedName name="input_svc_vra_vsphere_password">'Active Directory Inputs'!$G$37</definedName>
    <definedName name="input_svc_vra_vsphere_user">'Active Directory Inputs'!$E$37</definedName>
    <definedName name="input_svc_vro_vsphere_password">'Active Directory Inputs'!$G$40</definedName>
    <definedName name="input_svc_vro_vsphere_user">'Active Directory Inputs'!$E$40</definedName>
    <definedName name="input_svc_vrops_vra_password">'Active Directory Inputs'!$G$29</definedName>
    <definedName name="input_svc_vrops_vra_user">'Active Directory Inputs'!$E$29</definedName>
    <definedName name="input_vcenter_root_password">'Deploy Management Domain'!$L$98</definedName>
    <definedName name="input_vcf_automation_additional_vips">'Deploy Fleet Management Day-N'!$D$112</definedName>
    <definedName name="input_vcf_automation_admin_password">'Deploy Fleet Management Day-N'!$D$97</definedName>
    <definedName name="input_vcf_automation_admin_password_alias">'Deploy Fleet Management Day-N'!$D$96</definedName>
    <definedName name="input_vcf_automation_admin_password_description">'Deploy Fleet Management Day-N'!$D$98</definedName>
    <definedName name="input_vcf_automation_admin_username">'Deploy Fleet Management Day-N'!$D$99</definedName>
    <definedName name="input_vcf_automation_cert_alias">'Deploy Fleet Management Day-N'!$D$68</definedName>
    <definedName name="input_vcf_automation_cert_common_name">'Deploy Fleet Management Day-N'!$D$70</definedName>
    <definedName name="input_vcf_automation_cert_country_code">'Deploy Fleet Management Day-N'!$D$73</definedName>
    <definedName name="input_vcf_automation_cert_file">'Deploy Fleet Management Day-N'!$D$69</definedName>
    <definedName name="input_vcf_automation_cert_locality">'Deploy Fleet Management Day-N'!$D$74</definedName>
    <definedName name="input_vcf_automation_cert_organisation">'Deploy Fleet Management Day-N'!$D$71</definedName>
    <definedName name="input_vcf_automation_cert_state">'Deploy Fleet Management Day-N'!$D$75</definedName>
    <definedName name="input_vcf_automation_folder">'Deploy Fleet Management Day-N'!$D$83</definedName>
    <definedName name="input_vcf_automation_gateway_ip">'Deploy Fleet Management Day-N'!$D$93</definedName>
    <definedName name="input_vcf_automation_mask">'Deploy Fleet Management Day-N'!$D$94</definedName>
    <definedName name="input_vcf_automation_nodea_ip">'Deploy Fleet Management Day-N'!$D$113</definedName>
    <definedName name="input_vcf_automation_nodeb_ip">'Deploy Fleet Management Day-N'!$D$114</definedName>
    <definedName name="input_vcf_automation_nodec_ip">'Deploy Fleet Management Day-N'!$D$115</definedName>
    <definedName name="input_vcf_automation_noded_ip">'Deploy Fleet Management Day-N'!$D$116</definedName>
    <definedName name="input_vcf_automation_nodee_ip">Arkham!$Q$14</definedName>
    <definedName name="input_vcf_automation_nodef_ip">Arkham!$Q$15</definedName>
    <definedName name="input_vcf_automation_ou_cert">'Deploy Fleet Management Day-N'!$D$72</definedName>
    <definedName name="input_vcf_automation_portgroup">'Deploy Fleet Management Day-N'!$D$85</definedName>
    <definedName name="input_vcf_automation_resource_pool">'Deploy Fleet Management Day-N'!$D$84</definedName>
    <definedName name="input_vcf_automation_root_password">'Deploy Fleet Management Day-N'!$D$101</definedName>
    <definedName name="input_vcf_automation_root_password_alias">'Deploy Fleet Management Day-N'!$D$100</definedName>
    <definedName name="input_vcf_automation_root_password_description">'Deploy Fleet Management Day-N'!$D$102</definedName>
    <definedName name="input_vcf_automation_root_username">'Deploy Fleet Management Day-N'!$D$103</definedName>
    <definedName name="input_vcf_automation_version">'Deploy Fleet Management Day-N'!$D$64</definedName>
    <definedName name="input_vcf_automation_vip_fqdn">'Deploy Fleet Management Day-N'!$D$77</definedName>
    <definedName name="input_vcf_automation_vip_ip">'Deploy Fleet Management Day-N'!$D$78</definedName>
    <definedName name="input_vcf_installer_fqdn">'Deploy Management Domain'!$J$321</definedName>
    <definedName name="input_vcf_installer_ip">'Deploy Management Domain'!$L$321</definedName>
    <definedName name="input_vcf_instance_name">'Deploy Management Domain'!$L$38</definedName>
    <definedName name="input_vrslcm_admin_password">'Deploy Management Domain'!$L$67</definedName>
    <definedName name="input_vrslcm_root_password">'Deploy Management Domain'!$L$68</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server">'Site Protection &amp; DR'!$D$23</definedName>
    <definedName name="input_vvs_dr_parent_dns_zone">'Site Protection &amp; DR'!$D$17</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Arkham!$C$12</definedName>
    <definedName name="input_wld_administrator_vsphere_local_password">'Deploy Workload Domain'!$D$152</definedName>
    <definedName name="input_wld_avilb_cluster_name">'Configure Workload Domain'!$D$161</definedName>
    <definedName name="input_wld_avilb_cluster_version">'Configure Workload Domain'!$D$151</definedName>
    <definedName name="input_wld_avilb_fqdn">'Configure Workload Domain'!$D$160</definedName>
    <definedName name="input_wld_avilb_ip">'Configure Workload Domain'!$D$159</definedName>
    <definedName name="input_wld_avilb_mgra_ip">'Configure Workload Domain'!$D$156</definedName>
    <definedName name="input_wld_avilb_mgrb_ip">'Configure Workload Domain'!$D$157</definedName>
    <definedName name="input_wld_avilb_mgrc_ip">'Configure Workload Domain'!$D$158</definedName>
    <definedName name="input_wld_az1_edge_overlay_cidr">'Configure Workload Domain'!$D$144</definedName>
    <definedName name="input_wld_az1_edge_overlay_gateway_ip">'Configure Workload Domain'!$D$65</definedName>
    <definedName name="input_wld_az1_edge_overlay_mask">'Configure Workload Domain'!$D$66</definedName>
    <definedName name="input_wld_az1_edge_overlay_network_pool_name">'Configure Workload Domain'!$D$60</definedName>
    <definedName name="input_wld_az1_edge_overlay_pool_end_ip">'Configure Workload Domain'!$D$62</definedName>
    <definedName name="input_wld_az1_edge_overlay_pool_start_ip">'Configure Workload Domain'!$D$61</definedName>
    <definedName name="input_wld_az1_edge_overlay_vlan">'Configure Workload Domain'!$D$58</definedName>
    <definedName name="input_wld_az1_en1_edge_overlay_interface_ip_1_ip">'Configure Workload Domain'!$D$63</definedName>
    <definedName name="input_wld_az1_en1_edge_overlay_interface_ip_2_ip">'Configure Workload Domain'!$D$64</definedName>
    <definedName name="input_wld_az1_en1_eth0_uplink0">'Configure Workload Domain'!$D$54</definedName>
    <definedName name="input_wld_az1_en1_eth0_uplink1">'Configure Workload Domain'!$D$55</definedName>
    <definedName name="input_wld_az1_en1_eth1_uplink0">'Configure Workload Domain'!$D$56</definedName>
    <definedName name="input_wld_az1_en1_eth1_uplink1">'Configure Workload Domain'!$D$57</definedName>
    <definedName name="input_wld_az1_en1_fqdn">'Configure Workload Domain'!$D$42</definedName>
    <definedName name="input_wld_az1_en1_mgmt_cidr">'Configure Workload Domain'!$D$50</definedName>
    <definedName name="input_wld_az1_en1_mgmt_ip">Arkham!$Q$19</definedName>
    <definedName name="input_wld_az1_en1_uplink01_interface_cidr">'Configure Workload Domain'!$D$102</definedName>
    <definedName name="input_wld_az1_en1_uplink02_interface_cidr">'Configure Workload Domain'!$D$109</definedName>
    <definedName name="input_wld_az1_en2_edge_overlay_interface_ip_1_ip">'Configure Workload Domain'!$D$87</definedName>
    <definedName name="input_wld_az1_en2_edge_overlay_interface_ip_2_ip">'Configure Workload Domain'!$D$88</definedName>
    <definedName name="input_wld_az1_en2_eth0_uplink0">'Configure Workload Domain'!$D$80</definedName>
    <definedName name="input_wld_az1_en2_eth0_uplink1">'Configure Workload Domain'!$D$81</definedName>
    <definedName name="input_wld_az1_en2_eth1_uplink0">'Configure Workload Domain'!$D$82</definedName>
    <definedName name="input_wld_az1_en2_eth1_uplink1">'Configure Workload Domain'!$D$83</definedName>
    <definedName name="input_wld_az1_en2_fqdn">'Configure Workload Domain'!$D$68</definedName>
    <definedName name="input_wld_az1_en2_mgmt_cidr">'Configure Workload Domain'!$D$76</definedName>
    <definedName name="input_wld_az1_en2_mgmt_ip">Arkham!$Q$20</definedName>
    <definedName name="input_wld_az1_en2_uplink01_interface_cidr">'Configure Workload Domain'!$D$117</definedName>
    <definedName name="input_wld_az1_en2_uplink02_interface_cidr">'Configure Workload Domain'!$D$124</definedName>
    <definedName name="input_wld_az1_host_overlay_cidr">'Deploy Workload Domain'!$D$308</definedName>
    <definedName name="input_wld_az1_host_overlay_gateway_ip">'Deploy Workload Domain'!$D$311</definedName>
    <definedName name="input_wld_az1_host_overlay_mtu">'Deploy Workload Domain'!$D$368</definedName>
    <definedName name="input_wld_az1_host_overlay_network_pool_description">'Deploy Workload Domain'!$D$307</definedName>
    <definedName name="input_wld_az1_host_overlay_network_pool_name">'Deploy Workload Domain'!$D$306</definedName>
    <definedName name="input_wld_az1_host_overlay_pool_end_ip">'Deploy Workload Domain'!$D$310</definedName>
    <definedName name="input_wld_az1_host_overlay_pool_start_ip">'Deploy Workload Domain'!$D$309</definedName>
    <definedName name="input_wld_az1_host_overlay_uplink_profile_name">'Deploy Workload Domain'!$D$318</definedName>
    <definedName name="input_wld_az1_host_overlay_vlan">'Deploy Workload Domain'!$D$303</definedName>
    <definedName name="input_wld_az1_host1_fqdn">'Deploy Workload Domain'!$D$120</definedName>
    <definedName name="input_wld_az1_host1_mgmt_ip">'Deploy Workload Domain'!$D$63</definedName>
    <definedName name="input_wld_az1_host1_vrms_ip">'Dumping Ground'!$D$293</definedName>
    <definedName name="input_wld_az1_host10_fqdn">'Deploy Workload Domain'!$D$129</definedName>
    <definedName name="input_wld_az1_host10_mgmt_ip">'Deploy Workload Domain'!$D$72</definedName>
    <definedName name="input_wld_az1_host10_vrms_ip">'Dumping Ground'!$D$302</definedName>
    <definedName name="input_wld_az1_host11_fqdn">'Deploy Workload Domain'!$D$130</definedName>
    <definedName name="input_wld_az1_host11_mgmt_ip">'Deploy Workload Domain'!$D$73</definedName>
    <definedName name="input_wld_az1_host11_vrms_ip">'Dumping Ground'!$D$303</definedName>
    <definedName name="input_wld_az1_host12_fqdn">'Deploy Workload Domain'!$D$131</definedName>
    <definedName name="input_wld_az1_host12_mgmt_ip">'Deploy Workload Domain'!$D$74</definedName>
    <definedName name="input_wld_az1_host12_vrms_ip">'Dumping Ground'!$D$304</definedName>
    <definedName name="input_wld_az1_host13_fqdn">'Deploy Workload Domain'!$D$132</definedName>
    <definedName name="input_wld_az1_host13_mgmt_ip">'Deploy Workload Domain'!$D$75</definedName>
    <definedName name="input_wld_az1_host13_vrms_ip">'Dumping Ground'!$D$305</definedName>
    <definedName name="input_wld_az1_host14_fqdn">'Deploy Workload Domain'!$D$133</definedName>
    <definedName name="input_wld_az1_host14_mgmt_ip">'Deploy Workload Domain'!$D$76</definedName>
    <definedName name="input_wld_az1_host14_vrms_ip">'Dumping Ground'!$D$306</definedName>
    <definedName name="input_wld_az1_host15_fqdn">'Deploy Workload Domain'!$D$134</definedName>
    <definedName name="input_wld_az1_host15_mgmt_ip">'Deploy Workload Domain'!$D$77</definedName>
    <definedName name="input_wld_az1_host15_vrms_ip">'Dumping Ground'!$D$307</definedName>
    <definedName name="input_wld_az1_host16_fqdn">'Deploy Workload Domain'!$D$135</definedName>
    <definedName name="input_wld_az1_host16_mgmt_ip">'Deploy Workload Domain'!$D$78</definedName>
    <definedName name="input_wld_az1_host16_vrms_ip">'Dumping Ground'!$D$308</definedName>
    <definedName name="input_wld_az1_host2_fqdn">'Deploy Workload Domain'!$D$121</definedName>
    <definedName name="input_wld_az1_host2_mgmt_ip">'Deploy Workload Domain'!$D$64</definedName>
    <definedName name="input_wld_az1_host2_vrms_ip">'Dumping Ground'!$D$294</definedName>
    <definedName name="input_wld_az1_host3_fqdn">'Deploy Workload Domain'!$D$122</definedName>
    <definedName name="input_wld_az1_host3_mgmt_ip">'Deploy Workload Domain'!$D$65</definedName>
    <definedName name="input_wld_az1_host3_vrms_ip">'Dumping Ground'!$D$295</definedName>
    <definedName name="input_wld_az1_host4_fqdn">'Deploy Workload Domain'!$D$123</definedName>
    <definedName name="input_wld_az1_host4_mgmt_ip">'Deploy Workload Domain'!$D$66</definedName>
    <definedName name="input_wld_az1_host4_vrms_ip">'Dumping Ground'!$D$296</definedName>
    <definedName name="input_wld_az1_host5_fqdn">'Deploy Workload Domain'!$D$124</definedName>
    <definedName name="input_wld_az1_host5_mgmt_ip">'Deploy Workload Domain'!$D$67</definedName>
    <definedName name="input_wld_az1_host5_vrms_ip">'Dumping Ground'!$D$297</definedName>
    <definedName name="input_wld_az1_host6_fqdn">'Deploy Workload Domain'!$D$125</definedName>
    <definedName name="input_wld_az1_host6_mgmt_ip">'Deploy Workload Domain'!$D$68</definedName>
    <definedName name="input_wld_az1_host6_vrms_ip">'Dumping Ground'!$D$298</definedName>
    <definedName name="input_wld_az1_host7_fqdn">'Deploy Workload Domain'!$D$126</definedName>
    <definedName name="input_wld_az1_host7_mgmt_ip">'Deploy Workload Domain'!$D$69</definedName>
    <definedName name="input_wld_az1_host7_vrms_ip">'Dumping Ground'!$D$299</definedName>
    <definedName name="input_wld_az1_host8_fqdn">'Deploy Workload Domain'!$D$127</definedName>
    <definedName name="input_wld_az1_host8_mgmt_ip">'Deploy Workload Domain'!$D$70</definedName>
    <definedName name="input_wld_az1_host8_vrms_ip">'Dumping Ground'!$D$300</definedName>
    <definedName name="input_wld_az1_host9_fqdn">'Deploy Workload Domain'!$D$128</definedName>
    <definedName name="input_wld_az1_host9_mgmt_ip">'Deploy Workload Domain'!$D$71</definedName>
    <definedName name="input_wld_az1_host9_vrms_ip">'Dumping Ground'!$D$301</definedName>
    <definedName name="input_wld_az1_mgmt_cidr">'Deploy Workload Domain'!$D$60</definedName>
    <definedName name="input_wld_az1_mgmt_gateway_ip">'Deploy Workload Domain'!$D$59</definedName>
    <definedName name="input_wld_az1_mgmt_mtu">'Deploy Workload Domain'!$D$61</definedName>
    <definedName name="input_wld_az1_mgmt_vlan">'Deploy Workload Domain'!$D$58</definedName>
    <definedName name="input_wld_az1_mgmt_vm_cidr">'Deploy Workload Domain'!$D$348</definedName>
    <definedName name="input_wld_az1_mgmt_vm_gateway_ip">'Deploy Workload Domain'!$D$347</definedName>
    <definedName name="input_wld_az1_mgmt_vm_mtu">'Deploy Workload Domain'!$D$349</definedName>
    <definedName name="input_wld_az1_mgmt_vm_vlan">'Deploy Workload Domain'!$D$346</definedName>
    <definedName name="input_wld_az1_pool_name">'Deploy Workload Domain'!$D$83</definedName>
    <definedName name="input_wld_az1_principal_storage_gateway_ip">'Deploy Workload Domain'!$D$97</definedName>
    <definedName name="input_wld_az1_principal_storage_mask">'Deploy Workload Domain'!$D$96</definedName>
    <definedName name="input_wld_az1_principal_storage_mtu">'Deploy Workload Domain'!$D$94</definedName>
    <definedName name="input_wld_az1_principal_storage_network">'Deploy Workload Domain'!$D$95</definedName>
    <definedName name="input_wld_az1_principal_storage_pool_end_ip">'Deploy Workload Domain'!$D$99</definedName>
    <definedName name="input_wld_az1_principal_storage_pool_start_ip">'Deploy Workload Domain'!$D$98</definedName>
    <definedName name="input_wld_az1_principal_storage_vlan">'Deploy Workload Domain'!$D$93</definedName>
    <definedName name="input_wld_az1_rack1_host_overlay_network_profile_name">'Deploy Workload Domain'!$D$314</definedName>
    <definedName name="input_wld_az1_rack2_edge_overlay_gateway_ip">Arkham!$C$64</definedName>
    <definedName name="input_wld_az1_rack2_edge_overlay_mask">Arkham!$C$67</definedName>
    <definedName name="input_wld_az1_rack2_edge_overlay_mtu">Arkham!$C$70</definedName>
    <definedName name="input_wld_az1_rack2_edge_overlay_network">Arkham!$C$61</definedName>
    <definedName name="input_wld_az1_rack2_edge_overlay_network_pool_name">'Additional Racks'!$D$82</definedName>
    <definedName name="input_wld_az1_rack2_edge_overlay_pool_end_ip">Arkham!$C$72</definedName>
    <definedName name="input_wld_az1_rack2_edge_overlay_pool_start_ip">Arkham!$C$71</definedName>
    <definedName name="input_wld_az1_rack2_edge_overlay_vlan">Arkham!$C$58</definedName>
    <definedName name="input_wld_az1_rack2_host_overlay_cidr">Arkham!$C$23</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MR'!$N$259</definedName>
    <definedName name="input_wld_az1_rack2_mgmt_vm_gateway_ip">'Value Reference Tables - MR'!$P$259</definedName>
    <definedName name="input_wld_az1_rack2_mgmt_vm_mtu">'Value Reference Tables - MR'!$R$259</definedName>
    <definedName name="input_wld_az1_rack2_mgmt_vm_vlan">'Value Reference Tables - MR'!$L$259</definedName>
    <definedName name="input_wld_az1_rack2_pool_name">'Additional Racks'!$D$34</definedName>
    <definedName name="input_wld_az1_rack2_principal_storage_cidr">Arkham!$C$21</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Arkham!$C$22</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tor1_peer_asn">Arkham!$C$75</definedName>
    <definedName name="input_wld_az1_rack2_tor1_peer_bgp_password">Arkham!$C$76</definedName>
    <definedName name="input_wld_az1_rack2_tor1_peer_ip">Arkham!$C$74</definedName>
    <definedName name="input_wld_az1_rack2_tor2_peer_asn">Arkham!$C$78</definedName>
    <definedName name="input_wld_az1_rack2_tor2_peer_bgp_password">Arkham!$C$79</definedName>
    <definedName name="input_wld_az1_rack2_tor2_peer_ip">Arkham!$C$77</definedName>
    <definedName name="input_wld_az1_rack2_uplink01_gateway_ip">Arkham!$C$62</definedName>
    <definedName name="input_wld_az1_rack2_uplink01_mask">Arkham!$C$65</definedName>
    <definedName name="input_wld_az1_rack2_uplink01_mtu">Arkham!$C$68</definedName>
    <definedName name="input_wld_az1_rack2_uplink01_network">Arkham!$C$59</definedName>
    <definedName name="input_wld_az1_rack2_uplink01_vlan">Arkham!$C$56</definedName>
    <definedName name="input_wld_az1_rack2_uplink02_gateway_ip">Arkham!$C$63</definedName>
    <definedName name="input_wld_az1_rack2_uplink02_mask">Arkham!$C$66</definedName>
    <definedName name="input_wld_az1_rack2_uplink02_mtu">Arkham!$C$69</definedName>
    <definedName name="input_wld_az1_rack2_uplink02_network">Arkham!$C$60</definedName>
    <definedName name="input_wld_az1_rack2_uplink02_vlan">Arkham!$C$57</definedName>
    <definedName name="input_wld_az1_rack2_vmotion_cidr">Arkham!$C$20</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gateway_ip">Arkham!$F$64</definedName>
    <definedName name="input_wld_az1_rack3_edge_overlay_mask">Arkham!$F$67</definedName>
    <definedName name="input_wld_az1_rack3_edge_overlay_mtu">Arkham!$F$70</definedName>
    <definedName name="input_wld_az1_rack3_edge_overlay_network">Arkham!$F$61</definedName>
    <definedName name="input_wld_az1_rack3_edge_overlay_network_pool_name">'Additional Racks'!$D$175</definedName>
    <definedName name="input_wld_az1_rack3_edge_overlay_pool_end_ip">Arkham!$F$72</definedName>
    <definedName name="input_wld_az1_rack3_edge_overlay_pool_start_ip">Arkham!$F$71</definedName>
    <definedName name="input_wld_az1_rack3_edge_overlay_vlan">Arkham!$F$58</definedName>
    <definedName name="input_wld_az1_rack3_host_overlay_cidr">Arkham!$C$27</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MR'!$N$260</definedName>
    <definedName name="input_wld_az1_rack3_mgmt_vm_gateway_ip">'Value Reference Tables - MR'!$P$260</definedName>
    <definedName name="input_wld_az1_rack3_mgmt_vm_mtu">'Value Reference Tables - MR'!$R$260</definedName>
    <definedName name="input_wld_az1_rack3_mgmt_vm_vlan">'Value Reference Tables - MR'!$L$260</definedName>
    <definedName name="input_wld_az1_rack3_pool_name">'Additional Racks'!$D$127</definedName>
    <definedName name="input_wld_az1_rack3_principal_storage_cidr">Arkham!$C$25</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Arkham!$C$26</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tor1_peer_asn">Arkham!$F$75</definedName>
    <definedName name="input_wld_az1_rack3_tor1_peer_bgp_password">Arkham!$F$76</definedName>
    <definedName name="input_wld_az1_rack3_tor1_peer_ip">Arkham!$F$74</definedName>
    <definedName name="input_wld_az1_rack3_tor2_peer_asn">Arkham!$F$78</definedName>
    <definedName name="input_wld_az1_rack3_tor2_peer_bgp_password">Arkham!$F$79</definedName>
    <definedName name="input_wld_az1_rack3_tor2_peer_ip">Arkham!$F$77</definedName>
    <definedName name="input_wld_az1_rack3_uplink01_gateway_ip">Arkham!$F$62</definedName>
    <definedName name="input_wld_az1_rack3_uplink01_mask">Arkham!$F$65</definedName>
    <definedName name="input_wld_az1_rack3_uplink01_mtu">Arkham!$F$68</definedName>
    <definedName name="input_wld_az1_rack3_uplink01_network">Arkham!$F$59</definedName>
    <definedName name="input_wld_az1_rack3_uplink01_vlan">Arkham!$F$56</definedName>
    <definedName name="input_wld_az1_rack3_uplink02_gateway_ip">Arkham!$F$63</definedName>
    <definedName name="input_wld_az1_rack3_uplink02_mask">Arkham!$F$66</definedName>
    <definedName name="input_wld_az1_rack3_uplink02_mtu">Arkham!$F$69</definedName>
    <definedName name="input_wld_az1_rack3_uplink02_network">Arkham!$F$60</definedName>
    <definedName name="input_wld_az1_rack3_uplink02_vlan">Arkham!$F$57</definedName>
    <definedName name="input_wld_az1_rack3_vmotion_cidr">Arkham!$C$24</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gateway_ip">Arkham!$I$64</definedName>
    <definedName name="input_wld_az1_rack4_edge_overlay_mask">Arkham!$I$67</definedName>
    <definedName name="input_wld_az1_rack4_edge_overlay_mtu">Arkham!$I$70</definedName>
    <definedName name="input_wld_az1_rack4_edge_overlay_network">Arkham!$I$61</definedName>
    <definedName name="input_wld_az1_rack4_edge_overlay_network_pool_name">'Additional Racks'!$D$268</definedName>
    <definedName name="input_wld_az1_rack4_edge_overlay_pool_end_ip">Arkham!$I$72</definedName>
    <definedName name="input_wld_az1_rack4_edge_overlay_pool_start_ip">Arkham!$I$71</definedName>
    <definedName name="input_wld_az1_rack4_edge_overlay_vlan">Arkham!$I$58</definedName>
    <definedName name="input_wld_az1_rack4_host_overlay_cidr">Arkham!$C$31</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MR'!$N$261</definedName>
    <definedName name="input_wld_az1_rack4_mgmt_vm_gateway_ip">'Value Reference Tables - MR'!$P$261</definedName>
    <definedName name="input_wld_az1_rack4_mgmt_vm_mtu">'Value Reference Tables - MR'!$R$261</definedName>
    <definedName name="input_wld_az1_rack4_mgmt_vm_vlan">'Value Reference Tables - MR'!$L$261</definedName>
    <definedName name="input_wld_az1_rack4_pool_name">'Additional Racks'!$D$220</definedName>
    <definedName name="input_wld_az1_rack4_principal_storage_cidr">Arkham!$C$29</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Arkham!$C$30</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tor1_peer_asn">Arkham!$I$75</definedName>
    <definedName name="input_wld_az1_rack4_tor1_peer_bgp_password">Arkham!$I$76</definedName>
    <definedName name="input_wld_az1_rack4_tor1_peer_ip">Arkham!$I$74</definedName>
    <definedName name="input_wld_az1_rack4_tor2_peer_asn">Arkham!$I$78</definedName>
    <definedName name="input_wld_az1_rack4_tor2_peer_bgp_password">Arkham!$I$79</definedName>
    <definedName name="input_wld_az1_rack4_tor2_peer_ip">Arkham!$I$77</definedName>
    <definedName name="input_wld_az1_rack4_uplink01_gateway_ip">Arkham!$I$62</definedName>
    <definedName name="input_wld_az1_rack4_uplink01_mask">Arkham!$I$65</definedName>
    <definedName name="input_wld_az1_rack4_uplink01_mtu">Arkham!$I$68</definedName>
    <definedName name="input_wld_az1_rack4_uplink01_network">Arkham!$I$59</definedName>
    <definedName name="input_wld_az1_rack4_uplink01_vlan">Arkham!$I$56</definedName>
    <definedName name="input_wld_az1_rack4_uplink02_gateway_ip">Arkham!$I$63</definedName>
    <definedName name="input_wld_az1_rack4_uplink02_mask">Arkham!$I$66</definedName>
    <definedName name="input_wld_az1_rack4_uplink02_mtu">Arkham!$I$69</definedName>
    <definedName name="input_wld_az1_rack4_uplink02_network">Arkham!$I$60</definedName>
    <definedName name="input_wld_az1_rack4_uplink02_vlan">Arkham!$I$57</definedName>
    <definedName name="input_wld_az1_rack4_vmotion_cidr">Arkham!$C$28</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gateway_ip">Arkham!$L$64</definedName>
    <definedName name="input_wld_az1_rack5_edge_overlay_mask">Arkham!$L$67</definedName>
    <definedName name="input_wld_az1_rack5_edge_overlay_mtu">Arkham!$L$70</definedName>
    <definedName name="input_wld_az1_rack5_edge_overlay_network">Arkham!$L$61</definedName>
    <definedName name="input_wld_az1_rack5_edge_overlay_network_pool_name">'Additional Racks'!$D$361</definedName>
    <definedName name="input_wld_az1_rack5_edge_overlay_pool_end_ip">Arkham!$L$72</definedName>
    <definedName name="input_wld_az1_rack5_edge_overlay_pool_start_ip">Arkham!$L$71</definedName>
    <definedName name="input_wld_az1_rack5_edge_overlay_vlan">Arkham!$L$58</definedName>
    <definedName name="input_wld_az1_rack5_host_overlay_cidr">Arkham!$C$35</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MR'!$N$262</definedName>
    <definedName name="input_wld_az1_rack5_mgmt_vm_gateway_ip">'Value Reference Tables - MR'!$P$262</definedName>
    <definedName name="input_wld_az1_rack5_mgmt_vm_mtu">'Value Reference Tables - MR'!$R$262</definedName>
    <definedName name="input_wld_az1_rack5_mgmt_vm_vlan">'Value Reference Tables - MR'!$L$262</definedName>
    <definedName name="input_wld_az1_rack5_pool_name">'Additional Racks'!$D$313</definedName>
    <definedName name="input_wld_az1_rack5_principal_storage_cidr">Arkham!$C$33</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Arkham!$C$34</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tor1_peer_asn">Arkham!$L$75</definedName>
    <definedName name="input_wld_az1_rack5_tor1_peer_bgp_password">Arkham!$L$76</definedName>
    <definedName name="input_wld_az1_rack5_tor1_peer_ip">Arkham!$L$74</definedName>
    <definedName name="input_wld_az1_rack5_tor2_peer_asn">Arkham!$L$78</definedName>
    <definedName name="input_wld_az1_rack5_tor2_peer_bgp_password">Arkham!$L$79</definedName>
    <definedName name="input_wld_az1_rack5_tor2_peer_ip">Arkham!$L$77</definedName>
    <definedName name="input_wld_az1_rack5_uplink01_gateway_ip">Arkham!$L$62</definedName>
    <definedName name="input_wld_az1_rack5_uplink01_mask">Arkham!$L$65</definedName>
    <definedName name="input_wld_az1_rack5_uplink01_mtu">Arkham!$L$68</definedName>
    <definedName name="input_wld_az1_rack5_uplink01_network">Arkham!$L$59</definedName>
    <definedName name="input_wld_az1_rack5_uplink01_vlan">Arkham!$L$56</definedName>
    <definedName name="input_wld_az1_rack5_uplink02_gateway_ip">Arkham!$L$63</definedName>
    <definedName name="input_wld_az1_rack5_uplink02_mask">Arkham!$L$66</definedName>
    <definedName name="input_wld_az1_rack5_uplink02_mtu">Arkham!$L$69</definedName>
    <definedName name="input_wld_az1_rack5_uplink02_network">Arkham!$L$60</definedName>
    <definedName name="input_wld_az1_rack5_uplink02_vlan">Arkham!$L$57</definedName>
    <definedName name="input_wld_az1_rack5_vmotion_cidr">Arkham!$C$32</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gateway_ip">Arkham!$O$64</definedName>
    <definedName name="input_wld_az1_rack6_edge_overlay_mask">Arkham!$O$67</definedName>
    <definedName name="input_wld_az1_rack6_edge_overlay_mtu">Arkham!$O$70</definedName>
    <definedName name="input_wld_az1_rack6_edge_overlay_network">Arkham!$O$61</definedName>
    <definedName name="input_wld_az1_rack6_edge_overlay_network_pool_name">'Additional Racks'!$D$454</definedName>
    <definedName name="input_wld_az1_rack6_edge_overlay_pool_end_ip">Arkham!$O$72</definedName>
    <definedName name="input_wld_az1_rack6_edge_overlay_pool_start_ip">Arkham!$O$71</definedName>
    <definedName name="input_wld_az1_rack6_edge_overlay_vlan">Arkham!$O$58</definedName>
    <definedName name="input_wld_az1_rack6_host_overlay_cidr">Arkham!$C$39</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MR'!$N$263</definedName>
    <definedName name="input_wld_az1_rack6_mgmt_vm_gateway_ip">'Value Reference Tables - MR'!$P$263</definedName>
    <definedName name="input_wld_az1_rack6_mgmt_vm_mtu">'Value Reference Tables - MR'!$R$263</definedName>
    <definedName name="input_wld_az1_rack6_mgmt_vm_vlan">'Value Reference Tables - MR'!$L$263</definedName>
    <definedName name="input_wld_az1_rack6_pool_name">'Additional Racks'!$D$406</definedName>
    <definedName name="input_wld_az1_rack6_principal_storage_cidr">Arkham!$C$37</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Arkham!$C$38</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tor1_peer_asn">Arkham!$O$75</definedName>
    <definedName name="input_wld_az1_rack6_tor1_peer_bgp_password">Arkham!$O$76</definedName>
    <definedName name="input_wld_az1_rack6_tor1_peer_ip">Arkham!$O$74</definedName>
    <definedName name="input_wld_az1_rack6_tor2_peer_asn">Arkham!$O$78</definedName>
    <definedName name="input_wld_az1_rack6_tor2_peer_bgp_password">Arkham!$O$79</definedName>
    <definedName name="input_wld_az1_rack6_tor2_peer_ip">Arkham!$O$77</definedName>
    <definedName name="input_wld_az1_rack6_uplink01_gateway_ip">Arkham!$O$62</definedName>
    <definedName name="input_wld_az1_rack6_uplink01_mask">Arkham!$O$65</definedName>
    <definedName name="input_wld_az1_rack6_uplink01_mtu">Arkham!$O$68</definedName>
    <definedName name="input_wld_az1_rack6_uplink01_network">Arkham!$O$59</definedName>
    <definedName name="input_wld_az1_rack6_uplink01_vlan">Arkham!$O$56</definedName>
    <definedName name="input_wld_az1_rack6_uplink02_gateway_ip">Arkham!$O$63</definedName>
    <definedName name="input_wld_az1_rack6_uplink02_mask">Arkham!$O$66</definedName>
    <definedName name="input_wld_az1_rack6_uplink02_mtu">Arkham!$O$69</definedName>
    <definedName name="input_wld_az1_rack6_uplink02_network">Arkham!$O$60</definedName>
    <definedName name="input_wld_az1_rack6_uplink02_vlan">Arkham!$O$57</definedName>
    <definedName name="input_wld_az1_rack6_vmotion_cidr">Arkham!$C$36</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gateway_ip">Arkham!$R$64</definedName>
    <definedName name="input_wld_az1_rack7_edge_overlay_mask">Arkham!$R$67</definedName>
    <definedName name="input_wld_az1_rack7_edge_overlay_mtu">Arkham!$R$70</definedName>
    <definedName name="input_wld_az1_rack7_edge_overlay_network">Arkham!$R$61</definedName>
    <definedName name="input_wld_az1_rack7_edge_overlay_network_pool_name">'Additional Racks'!$D$547</definedName>
    <definedName name="input_wld_az1_rack7_edge_overlay_pool_end_ip">Arkham!$R$72</definedName>
    <definedName name="input_wld_az1_rack7_edge_overlay_pool_start_ip">Arkham!$R$71</definedName>
    <definedName name="input_wld_az1_rack7_edge_overlay_vlan">Arkham!$R$58</definedName>
    <definedName name="input_wld_az1_rack7_host_overlay_cidr">Arkham!$C$43</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MR'!$N$264</definedName>
    <definedName name="input_wld_az1_rack7_mgmt_vm_gateway_ip">'Value Reference Tables - MR'!$P$264</definedName>
    <definedName name="input_wld_az1_rack7_mgmt_vm_mtu">'Value Reference Tables - MR'!$R$264</definedName>
    <definedName name="input_wld_az1_rack7_mgmt_vm_vlan">'Value Reference Tables - MR'!$L$264</definedName>
    <definedName name="input_wld_az1_rack7_pool_name">'Additional Racks'!$D$499</definedName>
    <definedName name="input_wld_az1_rack7_principal_storage_cidr">Arkham!$C$41</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Arkham!$C$42</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tor1_peer_asn">Arkham!$R$75</definedName>
    <definedName name="input_wld_az1_rack7_tor1_peer_bgp_password">Arkham!$R$76</definedName>
    <definedName name="input_wld_az1_rack7_tor1_peer_ip">Arkham!$R$74</definedName>
    <definedName name="input_wld_az1_rack7_tor2_peer_asn">Arkham!$R$78</definedName>
    <definedName name="input_wld_az1_rack7_tor2_peer_bgp_password">Arkham!$R$79</definedName>
    <definedName name="input_wld_az1_rack7_tor2_peer_ip">Arkham!$R$77</definedName>
    <definedName name="input_wld_az1_rack7_uplink01_gateway_ip">Arkham!$R$62</definedName>
    <definedName name="input_wld_az1_rack7_uplink01_mask">Arkham!$R$65</definedName>
    <definedName name="input_wld_az1_rack7_uplink01_mtu">Arkham!$R$68</definedName>
    <definedName name="input_wld_az1_rack7_uplink01_network">Arkham!$R$59</definedName>
    <definedName name="input_wld_az1_rack7_uplink01_vlan">Arkham!$R$56</definedName>
    <definedName name="input_wld_az1_rack7_uplink02_gateway_ip">Arkham!$R$63</definedName>
    <definedName name="input_wld_az1_rack7_uplink02_mask">Arkham!$R$66</definedName>
    <definedName name="input_wld_az1_rack7_uplink02_mtu">Arkham!$R$69</definedName>
    <definedName name="input_wld_az1_rack7_uplink02_network">Arkham!$R$60</definedName>
    <definedName name="input_wld_az1_rack7_uplink02_vlan">Arkham!$R$57</definedName>
    <definedName name="input_wld_az1_rack7_vmotion_cidr">Arkham!$C$40</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gateway_ip">Arkham!$U$64</definedName>
    <definedName name="input_wld_az1_rack8_edge_overlay_mask">Arkham!$U$67</definedName>
    <definedName name="input_wld_az1_rack8_edge_overlay_mtu">Arkham!$U$70</definedName>
    <definedName name="input_wld_az1_rack8_edge_overlay_network">Arkham!$U$61</definedName>
    <definedName name="input_wld_az1_rack8_edge_overlay_network_pool_name">'Additional Racks'!$D$640</definedName>
    <definedName name="input_wld_az1_rack8_edge_overlay_pool_end_ip">Arkham!$U$72</definedName>
    <definedName name="input_wld_az1_rack8_edge_overlay_pool_start_ip">Arkham!$U$71</definedName>
    <definedName name="input_wld_az1_rack8_edge_overlay_vlan">Arkham!$U$58</definedName>
    <definedName name="input_wld_az1_rack8_host_overlay_cidr">Arkham!$C$47</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MR'!$N$265</definedName>
    <definedName name="input_wld_az1_rack8_mgmt_vm_gateway_ip">'Value Reference Tables - MR'!$P$265</definedName>
    <definedName name="input_wld_az1_rack8_mgmt_vm_mtu">'Value Reference Tables - MR'!$R$265</definedName>
    <definedName name="input_wld_az1_rack8_mgmt_vm_vlan">'Value Reference Tables - MR'!$L$265</definedName>
    <definedName name="input_wld_az1_rack8_pool_name">'Additional Racks'!$D$592</definedName>
    <definedName name="input_wld_az1_rack8_principal_storage_cidr">Arkham!$C$45</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Arkham!$C$46</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tor1_peer_asn">Arkham!$U$75</definedName>
    <definedName name="input_wld_az1_rack8_tor1_peer_bgp_password">Arkham!$U$76</definedName>
    <definedName name="input_wld_az1_rack8_tor1_peer_ip">Arkham!$U$74</definedName>
    <definedName name="input_wld_az1_rack8_tor2_peer_asn">Arkham!$U$78</definedName>
    <definedName name="input_wld_az1_rack8_tor2_peer_bgp_password">Arkham!$U$79</definedName>
    <definedName name="input_wld_az1_rack8_tor2_peer_ip">Arkham!$U$77</definedName>
    <definedName name="input_wld_az1_rack8_uplink01_gateway_ip">Arkham!$U$62</definedName>
    <definedName name="input_wld_az1_rack8_uplink01_mask">Arkham!$U$65</definedName>
    <definedName name="input_wld_az1_rack8_uplink01_mtu">Arkham!$U$68</definedName>
    <definedName name="input_wld_az1_rack8_uplink01_network">Arkham!$U$59</definedName>
    <definedName name="input_wld_az1_rack8_uplink01_vlan">Arkham!$U$56</definedName>
    <definedName name="input_wld_az1_rack8_uplink02_gateway_ip">Arkham!$U$63</definedName>
    <definedName name="input_wld_az1_rack8_uplink02_mask">Arkham!$U$66</definedName>
    <definedName name="input_wld_az1_rack8_uplink02_mtu">Arkham!$U$69</definedName>
    <definedName name="input_wld_az1_rack8_uplink02_network">Arkham!$U$60</definedName>
    <definedName name="input_wld_az1_rack8_uplink02_vlan">Arkham!$U$57</definedName>
    <definedName name="input_wld_az1_rack8_vmotion_cidr">Arkham!$C$44</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Domain'!$D$466</definedName>
    <definedName name="input_wld_az1_rtep_overlay_cidr">'Configure Workload Domain'!$D$469</definedName>
    <definedName name="input_wld_az1_rtep_overlay_gateway_ip">'Configure Workload Domain'!$D$470</definedName>
    <definedName name="input_wld_az1_rtep_overlay_vlan">'Configure Workload Domain'!$D$499</definedName>
    <definedName name="input_wld_az1_secondary_storage_gateway_ip">'Deploy Workload Domain'!$D$105</definedName>
    <definedName name="input_wld_az1_secondary_storage_mask">'Deploy Workload Domain'!$D$104</definedName>
    <definedName name="input_wld_az1_secondary_storage_mtu">'Deploy Workload Domain'!$D$102</definedName>
    <definedName name="input_wld_az1_secondary_storage_network">'Deploy Workload Domain'!$D$103</definedName>
    <definedName name="input_wld_az1_secondary_storage_pool_end_ip">'Deploy Workload Domain'!$D$107</definedName>
    <definedName name="input_wld_az1_secondary_storage_pool_start_ip">'Deploy Workload Domain'!$D$106</definedName>
    <definedName name="input_wld_az1_secondary_storage_vlan">'Deploy Workload Domain'!$D$101</definedName>
    <definedName name="input_wld_az1_storage_cluster_gateway_ip">'Deploy Workload Domain'!$D$113</definedName>
    <definedName name="input_wld_az1_storage_cluster_mask">'Deploy Workload Domain'!$D$112</definedName>
    <definedName name="input_wld_az1_storage_cluster_mtu">'Deploy Workload Domain'!$D$110</definedName>
    <definedName name="input_wld_az1_storage_cluster_network">'Deploy Workload Domain'!$D$111</definedName>
    <definedName name="input_wld_az1_storage_cluster_pool_end_ip">'Deploy Workload Domain'!$D$115</definedName>
    <definedName name="input_wld_az1_storage_cluster_pool_start_ip">'Deploy Workload Domain'!$D$114</definedName>
    <definedName name="input_wld_az1_storage_cluster_vlan">'Deploy Workload Domain'!$D$109</definedName>
    <definedName name="input_wld_az1_tor1_peer_asn">'Configure Workload Domain'!$D$106</definedName>
    <definedName name="input_wld_az1_tor1_peer_bgp_password">'Configure Workload Domain'!$D$107</definedName>
    <definedName name="input_wld_az1_tor1_peer_ip">'Configure Workload Domain'!$D$103</definedName>
    <definedName name="input_wld_az1_tor2_peer_asn">'Configure Workload Domain'!$D$113</definedName>
    <definedName name="input_wld_az1_tor2_peer_bgp_password">'Configure Workload Domain'!$D$114</definedName>
    <definedName name="input_wld_az1_tor2_peer_ip">'Configure Workload Domain'!$D$110</definedName>
    <definedName name="input_wld_az1_uplink01_cidr">'Configure Workload Domain'!$D$138</definedName>
    <definedName name="input_wld_az1_uplink01_gateway_ip">'Configure Workload Domain'!$D$137</definedName>
    <definedName name="input_wld_az1_uplink01_mtu">'Configure Workload Domain'!$D$105</definedName>
    <definedName name="input_wld_az1_uplink01_vlan">'Configure Workload Domain'!$D$101</definedName>
    <definedName name="input_wld_az1_uplink02_cidr">'Configure Workload Domain'!$D$142</definedName>
    <definedName name="input_wld_az1_uplink02_gateway_ip">'Configure Workload Domain'!$D$141</definedName>
    <definedName name="input_wld_az1_uplink02_mtu">'Configure Workload Domain'!$D$112</definedName>
    <definedName name="input_wld_az1_uplink02_vlan">'Configure Workload Domain'!$D$108</definedName>
    <definedName name="input_wld_az1_vmotion_gateway_ip">'Deploy Workload Domain'!$D$89</definedName>
    <definedName name="input_wld_az1_vmotion_mask">'Deploy Workload Domain'!$D$88</definedName>
    <definedName name="input_wld_az1_vmotion_mtu">'Deploy Workload Domain'!$D$86</definedName>
    <definedName name="input_wld_az1_vmotion_network">'Deploy Workload Domain'!$D$87</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Domain'!$D$325</definedName>
    <definedName name="input_wld_az2_host_overlay_gateway_ip">'Configure Workload Domain'!$D$324</definedName>
    <definedName name="input_wld_az2_host_overlay_mtu">'Configure Workload Domain'!$D$326</definedName>
    <definedName name="input_wld_az2_host_overlay_network_pool_name">'Configure Workload Domain'!$D$321</definedName>
    <definedName name="input_wld_az2_host_overlay_network_profile_name">'Configure Workload Domain'!$D$319</definedName>
    <definedName name="input_wld_az2_host_overlay_pool_end_ip">'Configure Workload Domain'!$D$328</definedName>
    <definedName name="input_wld_az2_host_overlay_pool_start_ip">'Configure Workload Domain'!$D$327</definedName>
    <definedName name="input_wld_az2_host_overlay_uplink_profile_name">'Configure Workload Domain'!$D$322</definedName>
    <definedName name="input_wld_az2_host_overlay_vlan">'Configure Workload Domain'!$D$323</definedName>
    <definedName name="input_wld_az2_host1_fqdn">'Configure Workload Domain'!$D$232</definedName>
    <definedName name="input_wld_az2_host1_mgmt_ip">'Configure Workload Domain'!$D$174</definedName>
    <definedName name="input_wld_az2_host1_sddc_id">'Configure Workload Domain'!$D$303</definedName>
    <definedName name="input_wld_az2_host1_vrms_ip">'Dumping Ground'!$D$310</definedName>
    <definedName name="input_wld_az2_host10_fqdn">'Configure Workload Domain'!$D$241</definedName>
    <definedName name="input_wld_az2_host10_mgmt_ip">'Configure Workload Domain'!$D$183</definedName>
    <definedName name="input_wld_az2_host10_vrms_ip">'Dumping Ground'!$D$319</definedName>
    <definedName name="input_wld_az2_host11_fqdn">'Configure Workload Domain'!$D$242</definedName>
    <definedName name="input_wld_az2_host11_mgmt_ip">'Configure Workload Domain'!$D$184</definedName>
    <definedName name="input_wld_az2_host11_vrms_ip">'Dumping Ground'!$D$320</definedName>
    <definedName name="input_wld_az2_host12_fqdn">'Configure Workload Domain'!$D$243</definedName>
    <definedName name="input_wld_az2_host12_mgmt_ip">'Configure Workload Domain'!$D$185</definedName>
    <definedName name="input_wld_az2_host12_vrms_ip">'Dumping Ground'!$D$321</definedName>
    <definedName name="input_wld_az2_host13_fqdn">'Configure Workload Domain'!$D$244</definedName>
    <definedName name="input_wld_az2_host13_mgmt_ip">'Configure Workload Domain'!$D$186</definedName>
    <definedName name="input_wld_az2_host13_vrms_ip">'Dumping Ground'!$D$322</definedName>
    <definedName name="input_wld_az2_host14_fqdn">'Configure Workload Domain'!$D$245</definedName>
    <definedName name="input_wld_az2_host14_mgmt_ip">'Configure Workload Domain'!$D$187</definedName>
    <definedName name="input_wld_az2_host14_vrms_ip">'Dumping Ground'!$D$323</definedName>
    <definedName name="input_wld_az2_host15_fqdn">'Configure Workload Domain'!$D$246</definedName>
    <definedName name="input_wld_az2_host15_mgmt_ip">'Configure Workload Domain'!$D$188</definedName>
    <definedName name="input_wld_az2_host15_vrms_ip">'Dumping Ground'!$D$324</definedName>
    <definedName name="input_wld_az2_host16_fqdn">'Configure Workload Domain'!$D$247</definedName>
    <definedName name="input_wld_az2_host16_mgmt_ip">'Configure Workload Domain'!$D$189</definedName>
    <definedName name="input_wld_az2_host16_vrms_ip">'Dumping Ground'!$D$325</definedName>
    <definedName name="input_wld_az2_host2_fqdn">'Configure Workload Domain'!$D$233</definedName>
    <definedName name="input_wld_az2_host2_mgmt_ip">'Configure Workload Domain'!$D$175</definedName>
    <definedName name="input_wld_az2_host2_sddc_id">'Configure Workload Domain'!$D$304</definedName>
    <definedName name="input_wld_az2_host2_vrms_ip">'Dumping Ground'!$D$311</definedName>
    <definedName name="input_wld_az2_host3_fqdn">'Configure Workload Domain'!$D$234</definedName>
    <definedName name="input_wld_az2_host3_mgmt_ip">'Configure Workload Domain'!$D$176</definedName>
    <definedName name="input_wld_az2_host3_sddc_id">'Configure Workload Domain'!$D$305</definedName>
    <definedName name="input_wld_az2_host3_vrms_ip">'Dumping Ground'!$D$312</definedName>
    <definedName name="input_wld_az2_host4_fqdn">'Configure Workload Domain'!$D$235</definedName>
    <definedName name="input_wld_az2_host4_mgmt_ip">'Configure Workload Domain'!$D$177</definedName>
    <definedName name="input_wld_az2_host4_sddc_id">'Configure Workload Domain'!$D$306</definedName>
    <definedName name="input_wld_az2_host4_vrms_ip">'Dumping Ground'!$D$313</definedName>
    <definedName name="input_wld_az2_host5_fqdn">'Configure Workload Domain'!$D$236</definedName>
    <definedName name="input_wld_az2_host5_mgmt_ip">'Configure Workload Domain'!$D$178</definedName>
    <definedName name="input_wld_az2_host5_vrms_ip">'Dumping Ground'!$D$314</definedName>
    <definedName name="input_wld_az2_host6_fqdn">'Configure Workload Domain'!$D$237</definedName>
    <definedName name="input_wld_az2_host6_mgmt_ip">'Configure Workload Domain'!$D$179</definedName>
    <definedName name="input_wld_az2_host6_vrms_ip">'Dumping Ground'!$D$315</definedName>
    <definedName name="input_wld_az2_host7_fqdn">'Configure Workload Domain'!$D$238</definedName>
    <definedName name="input_wld_az2_host7_mgmt_ip">'Configure Workload Domain'!$D$180</definedName>
    <definedName name="input_wld_az2_host7_vrms_ip">'Dumping Ground'!$D$316</definedName>
    <definedName name="input_wld_az2_host8_fqdn">'Configure Workload Domain'!$D$239</definedName>
    <definedName name="input_wld_az2_host8_mgmt_ip">'Configure Workload Domain'!$D$181</definedName>
    <definedName name="input_wld_az2_host8_vrms_ip">'Dumping Ground'!$D$317</definedName>
    <definedName name="input_wld_az2_host9_fqdn">'Configure Workload Domain'!$D$240</definedName>
    <definedName name="input_wld_az2_host9_mgmt_ip">'Configure Workload Domain'!$D$182</definedName>
    <definedName name="input_wld_az2_host9_vrms_ip">'Dumping Ground'!$D$318</definedName>
    <definedName name="input_wld_az2_mgmt_cidr">'Configure Workload Domain'!$D$171</definedName>
    <definedName name="input_wld_az2_mgmt_gateway_ip">'Configure Workload Domain'!$D$170</definedName>
    <definedName name="input_wld_az2_mgmt_mtu">'Configure Workload Domain'!$D$172</definedName>
    <definedName name="input_wld_az2_mgmt_vlan">'Configure Workload Domain'!$D$169</definedName>
    <definedName name="input_wld_az2_pool_name">'Configure Workload Domain'!$D$195</definedName>
    <definedName name="input_wld_az2_principal_storage_gateway_ip">'Configure Workload Domain'!$D$209</definedName>
    <definedName name="input_wld_az2_principal_storage_mask">'Configure Workload Domain'!$D$208</definedName>
    <definedName name="input_wld_az2_principal_storage_mtu">'Configure Workload Domain'!$D$206</definedName>
    <definedName name="input_wld_az2_principal_storage_network">'Configure Workload Domain'!$D$207</definedName>
    <definedName name="input_wld_az2_principal_storage_pool_end_ip">'Configure Workload Domain'!$D$211</definedName>
    <definedName name="input_wld_az2_principal_storage_pool_start_ip">'Configure Workload Domain'!$D$210</definedName>
    <definedName name="input_wld_az2_principal_storage_vlan">'Configure Workload Domain'!$D$205</definedName>
    <definedName name="input_wld_az2_secondary_storage_gateway_ip">'Configure Workload Domain'!$D$217</definedName>
    <definedName name="input_wld_az2_secondary_storage_mask">'Configure Workload Domain'!$D$216</definedName>
    <definedName name="input_wld_az2_secondary_storage_mtu">'Configure Workload Domain'!$D$214</definedName>
    <definedName name="input_wld_az2_secondary_storage_network">'Configure Workload Domain'!$D$215</definedName>
    <definedName name="input_wld_az2_secondary_storage_pool_end_ip">'Configure Workload Domain'!$D$219</definedName>
    <definedName name="input_wld_az2_secondary_storage_pool_start_ip">'Configure Workload Domain'!$D$218</definedName>
    <definedName name="input_wld_az2_secondary_storage_vlan">'Configure Workload Domain'!$D$213</definedName>
    <definedName name="input_wld_az2_storage_cluster_gateway_ip">'Configure Workload Domain'!$D$225</definedName>
    <definedName name="input_wld_az2_storage_cluster_mask">'Configure Workload Domain'!$D$224</definedName>
    <definedName name="input_wld_az2_storage_cluster_mtu">'Configure Workload Domain'!$D$222</definedName>
    <definedName name="input_wld_az2_storage_cluster_network">'Configure Workload Domain'!$D$223</definedName>
    <definedName name="input_wld_az2_storage_cluster_pool_end_ip">'Configure Workload Domain'!$D$227</definedName>
    <definedName name="input_wld_az2_storage_cluster_pool_start_ip">'Configure Workload Domain'!$D$226</definedName>
    <definedName name="input_wld_az2_storage_cluster_vlan">'Configure Workload Domain'!$D$221</definedName>
    <definedName name="input_wld_az2_tor1_peer_asn">'Configure Workload Domain'!$D$346</definedName>
    <definedName name="input_wld_az2_tor1_peer_bgp_password">'Configure Workload Domain'!$D$349</definedName>
    <definedName name="input_wld_az2_tor1_peer_ip">'Configure Workload Domain'!$D$345</definedName>
    <definedName name="input_wld_az2_tor2_peer_asn">'Configure Workload Domain'!$D$351</definedName>
    <definedName name="input_wld_az2_tor2_peer_bgp_password">'Configure Workload Domain'!$D$354</definedName>
    <definedName name="input_wld_az2_tor2_peer_ip">'Configure Workload Domain'!$D$350</definedName>
    <definedName name="input_wld_az2_vmotion_gateway_ip">'Configure Workload Domain'!$D$201</definedName>
    <definedName name="input_wld_az2_vmotion_mask">'Configure Workload Domain'!$D$200</definedName>
    <definedName name="input_wld_az2_vmotion_mtu">'Configure Workload Domain'!$D$198</definedName>
    <definedName name="input_wld_az2_vmotion_network">'Configure Workload Domain'!$D$199</definedName>
    <definedName name="input_wld_az2_vmotion_pool_end_ip">'Configure Workload Domain'!$D$203</definedName>
    <definedName name="input_wld_az2_vmotion_pool_start_ip">'Configure Workload Domain'!$D$202</definedName>
    <definedName name="input_wld_az2_vmotion_vlan">'Configure Workload Domain'!$D$197</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Domain'!$D$272</definedName>
    <definedName name="input_wld_cl01_az1_mgmt_vm_pg">'Deploy Workload Domain'!$D$277</definedName>
    <definedName name="input_wld_cl01_az1_nsx_uplink_count">'Deploy Workload Domain'!$D$315</definedName>
    <definedName name="input_wld_cl01_az1_principal_storage_pg">'Deploy Workload Domain'!$D$287</definedName>
    <definedName name="input_wld_cl01_az1_uplink01_pg">'Configure Workload Domain'!$D$136</definedName>
    <definedName name="input_wld_cl01_az1_uplink02_pg">'Configure Workload Domain'!$D$140</definedName>
    <definedName name="input_wld_cl01_az1_vmotion_pg">'Deploy Workload Domain'!$D$282</definedName>
    <definedName name="input_wld_cl01_az1_vsan_storage_client_pg">'Deploy Workload Domain'!$D$292</definedName>
    <definedName name="input_wld_cl01_cluster">'Deploy Workload Domain'!$D$163</definedName>
    <definedName name="input_wld_cl01_cluster_sddc_id">'Configure Workload Domain'!$D$332</definedName>
    <definedName name="input_wld_cl01_cluster_zn_name">'Deploy Workload Domain'!$D$164</definedName>
    <definedName name="input_wld_cl01_evc_mode">'Dumping Ground'!$S$7</definedName>
    <definedName name="input_wld_cl01_image_name">'Deploy Workload Domain'!$D$168</definedName>
    <definedName name="input_wld_cl01_nfs_datastore_name">'Deploy Workload Domain'!$D$206</definedName>
    <definedName name="input_wld_cl01_nfs_server_address">'Deploy Workload Domain'!$D$208</definedName>
    <definedName name="input_wld_cl01_nfs_share_path">'Deploy Workload Domain'!$D$207</definedName>
    <definedName name="input_wld_cl01_supervisor_control_plane_ip_range">'Deploy Workload Domain'!$D$329</definedName>
    <definedName name="input_wld_cl01_supervisor_dns">'Deploy Workload Domain'!$D$335</definedName>
    <definedName name="input_wld_cl01_supervisor_name">'Deploy Workload Domain'!$D$326</definedName>
    <definedName name="input_wld_cl01_supervisor_nsx_project">'Deploy Workload Domain'!$D$331</definedName>
    <definedName name="input_wld_cl01_supervisor_ntp">'Deploy Workload Domain'!$D$336</definedName>
    <definedName name="input_wld_cl01_supervisor_private_cidr">'Deploy Workload Domain'!$D$334</definedName>
    <definedName name="input_wld_cl01_supervisor_private_transit_gateway_cidr">'Deploy Workload Domain'!$D$333</definedName>
    <definedName name="input_wld_cl01_supervisor_service_cidr">'Deploy Workload Domain'!$D$327</definedName>
    <definedName name="input_wld_cl01_supervisor_vpc_profile">'Deploy Workload Domain'!$D$332</definedName>
    <definedName name="input_wld_cl01_vds01_lag_name">'Deploy Workload Domain'!$D$242</definedName>
    <definedName name="input_wld_cl01_vds01_mtu">'Deploy Workload Domain'!$D$240</definedName>
    <definedName name="input_wld_cl01_vds01_name">'Deploy Workload Domain'!$D$239</definedName>
    <definedName name="input_wld_cl01_vds01_pnics">'Deploy Workload Domain'!$D$247</definedName>
    <definedName name="input_wld_cl01_vds01_uplink_count">'Deploy Workload Domain'!$D$246</definedName>
    <definedName name="input_wld_cl01_vds02_lag_name">'Deploy Workload Domain'!$D$253</definedName>
    <definedName name="input_wld_cl01_vds02_mtu">'Deploy Workload Domain'!$D$251</definedName>
    <definedName name="input_wld_cl01_vds02_name">'Deploy Workload Domain'!$D$250</definedName>
    <definedName name="input_wld_cl01_vds02_pnics">'Deploy Workload Domain'!$D$258</definedName>
    <definedName name="input_wld_cl01_vds02_uplink_count">'Deploy Workload Domain'!$D$257</definedName>
    <definedName name="input_wld_cl01_vds03_lag_name">'Deploy Workload Domain'!$D$264</definedName>
    <definedName name="input_wld_cl01_vds03_mtu">'Deploy Workload Domain'!$D$262</definedName>
    <definedName name="input_wld_cl01_vds03_name">'Deploy Workload Domain'!$D$261</definedName>
    <definedName name="input_wld_cl01_vds03_pnics">'Deploy Workload Domain'!$D$269</definedName>
    <definedName name="input_wld_cl01_vds03_uplink_count">'Deploy Workload Domain'!$D$268</definedName>
    <definedName name="input_wld_cl01_vmfs_datastore_name">'Deploy Workload Domain'!$D$205</definedName>
    <definedName name="input_wld_cl01_vsan_datastore">'Deploy Workload Domain'!$D$201</definedName>
    <definedName name="input_wld_datacenter">'Configure Workload Domain'!$D$286</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Domain'!$D$72</definedName>
    <definedName name="input_wld_en_asn">'Configure Workload Domain'!$D$99</definedName>
    <definedName name="input_wld_esx_root_password">'Deploy Workload Domain'!$D$141</definedName>
    <definedName name="input_wld_esx_root_username">'Deploy Workload Domain'!$D$140</definedName>
    <definedName name="input_wld_existing_active_nsx_gm">'Configure Workload Domain'!$D$512</definedName>
    <definedName name="input_wld_existing_cross_instance_t0_name">'Configure Workload Domain'!$D$513</definedName>
    <definedName name="input_wld_host_overlay_transportzone">'Deploy Workload Domain'!$D$302</definedName>
    <definedName name="input_wld_nsx_vlan_transport_zone_name">'Deploy Workload Domain'!$D$312</definedName>
    <definedName name="input_wld_nsxt_en_admin_password">'Configure Workload Domain'!$D$93</definedName>
    <definedName name="input_wld_nsxt_en_root_password">'Configure Workload Domain'!$D$92</definedName>
    <definedName name="input_wld_nsxt_federation_global_manager_name">'Configure Workload Domain'!$D$475</definedName>
    <definedName name="input_wld_nsxt_federation_location_name">'Configure Workload Domain'!$D$493</definedName>
    <definedName name="input_wld_nsxt_global_mgr_anti_affinity_rule_name">'Configure Workload Domain'!$D$434</definedName>
    <definedName name="input_wld_nsxt_global_mgr_certificate_id">'Configure Workload Domain'!$D$452</definedName>
    <definedName name="input_wld_nsxt_global_mgr_cluster_id">'Configure Workload Domain'!$D$416</definedName>
    <definedName name="input_wld_nsxt_global_mgr_vmca_signed_thumbprint">'Configure Workload Domain'!$D$417</definedName>
    <definedName name="input_wld_nsxt_global_mgra_fqdn">'Configure Workload Domain'!$D$370</definedName>
    <definedName name="input_wld_nsxt_global_mgra_hostname">'Configure Workload Domain'!$D$361</definedName>
    <definedName name="input_wld_nsxt_global_mgra_ip">'Configure Workload Domain'!$D$371</definedName>
    <definedName name="input_wld_nsxt_global_mgrb_fqdn">'Configure Workload Domain'!$D$387</definedName>
    <definedName name="input_wld_nsxt_global_mgrb_hostname">'Configure Workload Domain'!$D$378</definedName>
    <definedName name="input_wld_nsxt_global_mgrb_ip">'Configure Workload Domain'!$D$388</definedName>
    <definedName name="input_wld_nsxt_global_mgrc_fqdn">'Configure Workload Domain'!$D$404</definedName>
    <definedName name="input_wld_nsxt_global_mgrc_hostname">'Configure Workload Domain'!$D$395</definedName>
    <definedName name="input_wld_nsxt_global_mgrc_ip">'Configure Workload Domain'!$D$405</definedName>
    <definedName name="input_wld_nsxt_gm_admin_password">'Configure Workload Domain'!$D$368</definedName>
    <definedName name="input_wld_nsxt_gm_audit_password">'Configure Workload Domain'!$D$369</definedName>
    <definedName name="input_wld_nsxt_gm_fingerprint">'Configure Workload Domain'!$D$480</definedName>
    <definedName name="input_wld_nsxt_gm_root_password">'Configure Workload Domain'!$D$367</definedName>
    <definedName name="input_wld_nsxt_gm_vip_fqdn">'Configure Workload Domain'!$D$443</definedName>
    <definedName name="input_wld_nsxt_gm_vip_ip">'Configure Workload Domain'!$D$442</definedName>
    <definedName name="input_wld_nsxt_lm_admin_password">'Deploy Workload Domain'!$D$183</definedName>
    <definedName name="input_wld_nsxt_lm_audit_password">'Deploy Workload Domain'!$D$184</definedName>
    <definedName name="input_wld_nsxt_lm_fingerprint">'Configure Workload Domain'!$D$491</definedName>
    <definedName name="input_wld_nsxt_mgra_fqdn">'Deploy Workload Domain'!$D$175</definedName>
    <definedName name="input_wld_nsxt_mgra_ip">'Deploy Workload Domain'!$D$176</definedName>
    <definedName name="input_wld_nsxt_mgrb_fqdn">'Deploy Workload Domain'!$D$177</definedName>
    <definedName name="input_wld_nsxt_mgrb_ip">'Deploy Workload Domain'!$D$178</definedName>
    <definedName name="input_wld_nsxt_mgrc_fqdn">'Deploy Workload Domain'!$D$179</definedName>
    <definedName name="input_wld_nsxt_mgrc_ip">'Deploy Workload Domain'!$D$180</definedName>
    <definedName name="input_wld_nsxt_vip_fqdn">'Deploy Workload Domain'!$D$181</definedName>
    <definedName name="input_wld_nsxt_vip_ip">'Deploy Workload Domain'!$D$182</definedName>
    <definedName name="input_wld_nsxt_xreg_t1_name">'Configure Workload Domain'!$D$505</definedName>
    <definedName name="input_wld_rack2_en_asn">Arkham!$C$73</definedName>
    <definedName name="input_wld_rack3_en_asn">Arkham!$F$73</definedName>
    <definedName name="input_wld_rack4_en_asn">Arkham!$I$73</definedName>
    <definedName name="input_wld_rack5_en_asn">Arkham!$L$73</definedName>
    <definedName name="input_wld_rack6_en_asn">Arkham!$O$73</definedName>
    <definedName name="input_wld_rack7_en_asn">Arkham!$R$73</definedName>
    <definedName name="input_wld_rack8_en_asn">Arkham!$U$73</definedName>
    <definedName name="input_wld_rtep_overlay_pool_end_ip">'Configure Workload Domain'!$D$468</definedName>
    <definedName name="input_wld_rtep_overlay_pool_start_ip">'Configure Workload Domain'!$D$467</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Domain'!$D$148</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so_domain_name">'Deploy Workload Domain'!$D$150</definedName>
    <definedName name="input_wld_tier0_name">'Configure Workload Domain'!$D$96</definedName>
    <definedName name="input_wld_vc_fqdn">'Deploy Workload Domain'!$D$157</definedName>
    <definedName name="input_wld_vc_ip">'Deploy Workload Domain'!$D$373</definedName>
    <definedName name="input_wld_vcenter_root_password">'Deploy Workload Domain'!$D$158</definedName>
    <definedName name="input_wld_vlr_hostname">'On-Premises Ransomware Recovery'!$D$11</definedName>
    <definedName name="input_wld_vlr_replication_user">'On-Premises Ransomware Recovery'!$D$44</definedName>
    <definedName name="input_wld_vnaa_fqdn">Arkham!$Q$45</definedName>
    <definedName name="input_wld_vnaa_ip">Arkham!$Q$43</definedName>
    <definedName name="input_wld_vnab_fqdn">Arkham!$Q$46</definedName>
    <definedName name="input_wld_vnab_ip">Arkham!$Q$44</definedName>
    <definedName name="input_wld_vpc_ext_ip_blocks">'Configure Workload Domain'!$D$131</definedName>
    <definedName name="input_wld_vpc_transit_gateway_ip_blocks">'Configure Workload Domain'!$D$132</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witness_cluster">'Configure Workload Domain'!$D$268</definedName>
    <definedName name="input_wld_witness_dns1_ip">'Configure Workload Domain'!$D$279</definedName>
    <definedName name="input_wld_witness_dns2_ip">'Configure Workload Domain'!$D$280</definedName>
    <definedName name="input_wld_witness_fqdn">'Configure Workload Domain'!$D$287</definedName>
    <definedName name="input_wld_witness_hostname">'Configure Workload Domain'!$D$267</definedName>
    <definedName name="input_wld_witness_ip">'Configure Workload Domain'!$D$274</definedName>
    <definedName name="input_wld_witness_mgmt_pg">'Configure Workload Domain'!$D$271</definedName>
    <definedName name="input_wld_witness_ntp1_server">'Configure Workload Domain'!$D$281</definedName>
    <definedName name="input_wld_witness_ntp2_server">'Configure Workload Domain'!$D$282</definedName>
    <definedName name="input_wld_witness_root_password">'Configure Workload Domain'!$D$273</definedName>
    <definedName name="input_wld_witness_vm_folder">'Configure Workload Domain'!$D$269</definedName>
    <definedName name="input_wld_witness_vsan_datastore">'Configure Workload Domain'!$D$270</definedName>
    <definedName name="input_wld_witness_zone_vc_fqdn">'Configure Workload Domain'!$D$265</definedName>
    <definedName name="input_wld_witness_zone_vc_ip">'Configure Workload Domain'!$D$266</definedName>
    <definedName name="input_wld_witnessaz_mgmt_cidr">'Configure Workload Domain'!$D$259</definedName>
    <definedName name="input_wld_witnessaz_mgmt_gateway_ip">'Configure Workload Domain'!$D$258</definedName>
    <definedName name="input_wld_witnessaz_mgmt_mtu">'Configure Workload Domain'!$D$260</definedName>
    <definedName name="input_wld_witnessaz_mgmt_vlan">'Configure Workload Domain'!$D$257</definedName>
    <definedName name="input_xreg_vra_admin_password">'Deploy Management Domain'!$L$79</definedName>
    <definedName name="input_xreg_vra_node_pool_end_ip">Arkham!$Q$38</definedName>
    <definedName name="input_xreg_vra_node_pool_start_ip">Arkham!$Q$37</definedName>
    <definedName name="input_xreg_vra_nodea_ip">'Deploy Management Domain'!$L$80</definedName>
    <definedName name="input_xreg_vra_nodeb_ip">'Deploy Management Domain'!$L$81</definedName>
    <definedName name="input_xreg_vra_nodec_ip">'Deploy Management Domain'!$L$82</definedName>
    <definedName name="input_xreg_vra_noded_ip">'Deploy Management Domain'!$L$83</definedName>
    <definedName name="input_xreg_vra_nodee_ip">Arkham!$Q$8</definedName>
    <definedName name="input_xreg_vra_nodef_ip">Arkham!$Q$9</definedName>
    <definedName name="input_xreg_vra_prefix">'Deploy Management Domain'!$L$84</definedName>
    <definedName name="input_xreg_vra_virtual_fqdn">'Deploy Management Domain'!$L$78</definedName>
    <definedName name="input_xreg_vra_virtual_ip">'Deploy Management Domain'!$L$315</definedName>
    <definedName name="input_xreg_vrops_admin_password">'Deploy Management Domain'!$L$60</definedName>
    <definedName name="input_xreg_vrops_collector_fqdn">'Deploy Management Domain'!$L$70</definedName>
    <definedName name="input_xreg_vrops_collector_ip">'Deploy Management Domain'!$L$311</definedName>
    <definedName name="input_xreg_vrops_collector_root_password">'Deploy Management Domain'!$L$72</definedName>
    <definedName name="input_xreg_vrops_nodea_fqdn">'Deploy Management Domain'!$L$57</definedName>
    <definedName name="input_xreg_vrops_nodea_ip">'Deploy Management Domain'!$L$308</definedName>
    <definedName name="input_xreg_vrops_nodeb_fqdn">'Deploy Management Domain'!$L$58</definedName>
    <definedName name="input_xreg_vrops_nodeb_ip">'Deploy Management Domain'!$L$309</definedName>
    <definedName name="input_xreg_vrops_nodec_fqdn">'Deploy Management Domain'!$L$59</definedName>
    <definedName name="input_xreg_vrops_nodec_ip">'Deploy Management Domain'!$L$310</definedName>
    <definedName name="input_xreg_vrops_root_password">'Deploy Management Domain'!$L$61</definedName>
    <definedName name="input_xreg_vrops_srm_sso_password">'Site Protection &amp; DR'!$D$481</definedName>
    <definedName name="input_xreg_vrops_srm_sso_username">'Site Protection &amp; DR'!$D$480</definedName>
    <definedName name="input_xreg_vrops_virtual_fqdn">'Deploy Management Domain'!$L$63</definedName>
    <definedName name="input_xreg_vrops_virtual_ip">'Deploy Management Domain'!$L$313</definedName>
    <definedName name="input_xreg_vrops_vrms_sso_password">'Site Protection &amp; DR'!$D$479</definedName>
    <definedName name="input_xreg_vrops_vrms_sso_username">'Site Protection &amp; DR'!$D$478</definedName>
    <definedName name="input_xreg_vrslcm_fqdn">'Deploy Management Domain'!$L$65</definedName>
    <definedName name="input_xreg_vrslcm_ip">'Deploy Management Domain'!$L$306</definedName>
    <definedName name="input_xregion_dns1_ip">Arkham!$C$13</definedName>
    <definedName name="input_xregion_dns2_ip">Arkham!$C$14</definedName>
    <definedName name="input_xregion_ntp1_server">Arkham!$C$18</definedName>
    <definedName name="input_xregion_ntp2_server">Arkham!$C$19</definedName>
    <definedName name="k8s_api_endpoint_fqdn">'Value Reference Tables'!$U$36</definedName>
    <definedName name="k8s_cluster_endpoint_fqdn">'Value Reference Tables'!$U$33</definedName>
    <definedName name="k8s_harbor_fqdn">'Value Reference Tables'!$R$34</definedName>
    <definedName name="k8s_harbor_hostname">'Value Reference Tables'!$R$31</definedName>
    <definedName name="k8s_harbor_ip">'Value Reference Tables'!$R$28</definedName>
    <definedName name="k8s_ip_prefixlist">'Value Reference Tables'!$U$19</definedName>
    <definedName name="k8s_ip_routemap">'Value Reference Tables'!$U$20</definedName>
    <definedName name="k8s_kubectl_path">'Value Reference Tables'!$U$34</definedName>
    <definedName name="k8s_mgmt_pool_start_ip">'Value Reference Tables'!$U$31</definedName>
    <definedName name="k8s_mgmt_seg">'Value Reference Tables'!$U$18</definedName>
    <definedName name="k8s_namepsace">'Value Reference Tables'!$O$89</definedName>
    <definedName name="k8s_segment_gateway_ip">'Value Reference Tables'!$U$32</definedName>
    <definedName name="k8s_segment_gateway_ip_cidr">'Value Reference Tables'!$U$35</definedName>
    <definedName name="k8s_segment_mask">'Value Reference Tables'!$AA$48</definedName>
    <definedName name="k8s_segment_pg">'Value Reference Tables'!$X$28</definedName>
    <definedName name="k8s_tanzu_k8s_cluster_pod_pool_cidr">'Value Reference Tables'!$R$24</definedName>
    <definedName name="k8s_tanzu_k8s_cluster_service_pool_cidr">'Value Reference Tables'!$R$25</definedName>
    <definedName name="k8s_vcenter_category">'Value Reference Tables'!$U$24</definedName>
    <definedName name="k8s_vcenter_content_library">'Value Reference Tables'!$U$27</definedName>
    <definedName name="k8s_vcenter_storage_policy">'Value Reference Tables'!$U$26</definedName>
    <definedName name="k8s_vcenter_tag">'Value Reference Tables'!$U$25</definedName>
    <definedName name="k8s_vm_class">'Value Reference Tables'!$U$38</definedName>
    <definedName name="lag_load_balancing">'Static Reference Tables'!$B$388:$B$407</definedName>
    <definedName name="local_admin_password">'Value Reference Tables'!$AA$21</definedName>
    <definedName name="local_admin_password_alias">'Value Reference Tables'!$AA$20</definedName>
    <definedName name="local_admin_username">'Value Reference Tables'!$AA$22</definedName>
    <definedName name="local_configadmin_password">'Value Reference Tables'!$AA$24</definedName>
    <definedName name="local_configadmin_password_alias">'Value Reference Tables'!$AA$23</definedName>
    <definedName name="local_configadmin_username">'Value Reference Tables'!$AA$25</definedName>
    <definedName name="local_vcf_aware_wsa_root_password">'Value Reference Tables'!$AA$27</definedName>
    <definedName name="local_vcf_aware_wsa_root_password_alias">'Value Reference Tables'!$AA$26</definedName>
    <definedName name="local_vcf_aware_wsa_root_password_username">'Value Reference Tables'!$AA$28</definedName>
    <definedName name="mgmt_avi_loadbalancer_chosen">'Configure Management Domain'!$B$14</definedName>
    <definedName name="mgmt_avi_loadbalancer_result">'Configure Management Domain'!$D$14</definedName>
    <definedName name="mgmt_avilb_cluster_name">'Value Reference Tables'!$O$30</definedName>
    <definedName name="mgmt_avilb_cluster_version">'Value Reference Tables'!$O$31</definedName>
    <definedName name="mgmt_avilb_fqdn">'Value Reference Tables'!$C$66</definedName>
    <definedName name="mgmt_avilb_hostname">'Value Reference Tables'!$C$48</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z1_ec01_password_creation_chosen">'Configure Management Domain'!$D$148</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MR'!$F$172</definedName>
    <definedName name="mgmt_az1_edge_overlay_pg">'Value Reference Tables - MR'!$F$118</definedName>
    <definedName name="mgmt_az1_edge_overlay_pool_end_ip">'Value Reference Tables - MR'!$F$160</definedName>
    <definedName name="mgmt_az1_edge_overlay_pool_start_ip">'Value Reference Tables - MR'!$F$159</definedName>
    <definedName name="mgmt_az1_edge_overlay_vlan">'Value Reference Tables - MR'!$F$17</definedName>
    <definedName name="mgmt_az1_en1_edge_overlay_interface_ip_1_ip">'Value Reference Tables - MR'!$F$261</definedName>
    <definedName name="mgmt_az1_en1_edge_overlay_interface_ip_2_ip">'Value Reference Tables - MR'!$F$262</definedName>
    <definedName name="mgmt_az1_en1_edge_overlay_network_ip_allocation_chosen">'Configure Management Domain'!$D$116</definedName>
    <definedName name="mgmt_az1_en1_eth0_uplink0">'Value Reference Tables'!$C$244</definedName>
    <definedName name="mgmt_az1_en1_eth0_uplink1">'Value Reference Tables'!$C$245</definedName>
    <definedName name="mgmt_az1_en1_eth1_uplink0">'Value Reference Tables'!$C$246</definedName>
    <definedName name="mgmt_az1_en1_eth1_uplink1">'Value Reference Tables'!$C$247</definedName>
    <definedName name="mgmt_az1_en1_fqdn">'Value Reference Tables'!$C$64</definedName>
    <definedName name="mgmt_az1_en1_hostname">'Value Reference Tables - MR'!$F$255</definedName>
    <definedName name="mgmt_az1_en1_ip_allocation_chosen">'Configure Management Domain'!$D$105</definedName>
    <definedName name="mgmt_az1_en1_mgmt_cidr">'Value Reference Tables - MR'!$F$258</definedName>
    <definedName name="mgmt_az1_en1_mgmt_ip">Arkham!$R$17</definedName>
    <definedName name="mgmt_az1_en1_uplink01_interface_cidr">'Value Reference Tables - MR'!$F$259</definedName>
    <definedName name="mgmt_az1_en1_uplink02_interface_cidr">'Value Reference Tables - MR'!$F$260</definedName>
    <definedName name="mgmt_az1_en2_edge_overlay_interface_ip_1_ip">'Value Reference Tables - MR'!$F$272</definedName>
    <definedName name="mgmt_az1_en2_edge_overlay_interface_ip_2_ip">'Value Reference Tables - MR'!$F$273</definedName>
    <definedName name="mgmt_az1_en2_eth0_uplink0">'Value Reference Tables'!$C$248</definedName>
    <definedName name="mgmt_az1_en2_eth0_uplink1">'Value Reference Tables'!$C$249</definedName>
    <definedName name="mgmt_az1_en2_eth1_uplink0">'Value Reference Tables'!$C$250</definedName>
    <definedName name="mgmt_az1_en2_eth1_uplink1">'Value Reference Tables'!$C$251</definedName>
    <definedName name="mgmt_az1_en2_fqdn">'Value Reference Tables'!$C$65</definedName>
    <definedName name="mgmt_az1_en2_hostname">'Value Reference Tables - MR'!$F$266</definedName>
    <definedName name="mgmt_az1_en2_mgmt_cidr">'Value Reference Tables - MR'!$F$269</definedName>
    <definedName name="mgmt_az1_en2_mgmt_ip">Arkham!$R$18</definedName>
    <definedName name="mgmt_az1_en2_uplink01_interface_cidr">'Value Reference Tables - MR'!$F$270</definedName>
    <definedName name="mgmt_az1_en2_uplink02_interface_cidr">'Value Reference Tables - MR'!$F$271</definedName>
    <definedName name="mgmt_az1_host_fqdns">'Value Reference Tables - MR'!$F$237:$F$252</definedName>
    <definedName name="mgmt_az1_host_hostnames">'Value Reference Tables - MR'!$F$218:$F$233</definedName>
    <definedName name="mgmt_az1_host_mgmt_ips">'Value Reference Tables - MR'!$F$183:$F$198</definedName>
    <definedName name="mgmt_az1_host_overlay_cidr">'Value Reference Tables - MR'!$F$27</definedName>
    <definedName name="mgmt_az1_host_overlay_gateway_ip">'Value Reference Tables - MR'!$F$89</definedName>
    <definedName name="mgmt_az1_host_overlay_mask">'Value Reference Tables - MR'!$F$57</definedName>
    <definedName name="mgmt_az1_host_overlay_mtu">'Value Reference Tables - MR'!$F$73</definedName>
    <definedName name="mgmt_az1_host_overlay_network">'Value Reference Tables - MR'!$F$42</definedName>
    <definedName name="mgmt_az1_host_overlay_network_pool_description">'Value Reference Tables - MR'!$F$168</definedName>
    <definedName name="mgmt_az1_host_overlay_network_pool_name">'Value Reference Tables - MR'!$F$169</definedName>
    <definedName name="mgmt_az1_host_overlay_network_profile_name">'Value Reference Tables - MR'!$F$167</definedName>
    <definedName name="mgmt_az1_host_overlay_pg">'Value Reference Tables - MR'!$F$114</definedName>
    <definedName name="mgmt_az1_host_overlay_pool_end_ip">'Value Reference Tables - MR'!$F$154</definedName>
    <definedName name="mgmt_az1_host_overlay_pool_start_ip">'Value Reference Tables - MR'!$F$153</definedName>
    <definedName name="mgmt_az1_host_overlay_transport_zone">'Value Reference Tables - MR'!$F$170</definedName>
    <definedName name="mgmt_az1_host_overlay_vlan">'Value Reference Tables - MR'!$F$12</definedName>
    <definedName name="mgmt_az1_host1_fqdn">'Value Reference Tables - MR'!$F$237</definedName>
    <definedName name="mgmt_az1_host1_hostname">'Value Reference Tables - MR'!$F$218</definedName>
    <definedName name="mgmt_az1_host1_mgmt_ip">'Value Reference Tables - MR'!$F$183</definedName>
    <definedName name="mgmt_az1_host1_vrms_ip">'Value Reference Tables - MR'!$F$199</definedName>
    <definedName name="mgmt_az1_host10_fqdn">'Value Reference Tables - MR'!$F$246</definedName>
    <definedName name="mgmt_az1_host10_hostname">'Value Reference Tables - MR'!$F$227</definedName>
    <definedName name="mgmt_az1_host10_mgmt_ip">'Value Reference Tables - MR'!$F$192</definedName>
    <definedName name="mgmt_az1_host10_vrms_ip">'Value Reference Tables - MR'!$F$208</definedName>
    <definedName name="mgmt_az1_host11_fqdn">'Value Reference Tables - MR'!$F$247</definedName>
    <definedName name="mgmt_az1_host11_hostname">'Value Reference Tables - MR'!$F$228</definedName>
    <definedName name="mgmt_az1_host11_mgmt_ip">'Value Reference Tables - MR'!$F$193</definedName>
    <definedName name="mgmt_az1_host11_vrms_ip">'Value Reference Tables - MR'!$F$209</definedName>
    <definedName name="mgmt_az1_host12_fqdn">'Value Reference Tables - MR'!$F$248</definedName>
    <definedName name="mgmt_az1_host12_hostname">'Value Reference Tables - MR'!$F$229</definedName>
    <definedName name="mgmt_az1_host12_mgmt_ip">'Value Reference Tables - MR'!$F$194</definedName>
    <definedName name="mgmt_az1_host12_vrms_ip">'Value Reference Tables - MR'!$F$210</definedName>
    <definedName name="mgmt_az1_host13_fqdn">'Value Reference Tables - MR'!$F$249</definedName>
    <definedName name="mgmt_az1_host13_hostname">'Value Reference Tables - MR'!$F$230</definedName>
    <definedName name="mgmt_az1_host13_mgmt_ip">'Value Reference Tables - MR'!$F$195</definedName>
    <definedName name="mgmt_az1_host13_vrms_ip">'Value Reference Tables - MR'!$F$211</definedName>
    <definedName name="mgmt_az1_host14_fqdn">'Value Reference Tables - MR'!$F$250</definedName>
    <definedName name="mgmt_az1_host14_hostname">'Value Reference Tables - MR'!$F$231</definedName>
    <definedName name="mgmt_az1_host14_mgmt_ip">'Value Reference Tables - MR'!$F$196</definedName>
    <definedName name="mgmt_az1_host14_vrms_ip">'Value Reference Tables - MR'!$F$212</definedName>
    <definedName name="mgmt_az1_host15_fqdn">'Value Reference Tables - MR'!$F$251</definedName>
    <definedName name="mgmt_az1_host15_hostname">'Value Reference Tables - MR'!$F$232</definedName>
    <definedName name="mgmt_az1_host15_mgmt_ip">'Value Reference Tables - MR'!$F$197</definedName>
    <definedName name="mgmt_az1_host15_vrms_ip">'Value Reference Tables - MR'!$F$213</definedName>
    <definedName name="mgmt_az1_host16_fqdn">'Value Reference Tables - MR'!$F$252</definedName>
    <definedName name="mgmt_az1_host16_hostname">'Value Reference Tables - MR'!$F$233</definedName>
    <definedName name="mgmt_az1_host16_mgmt_ip">'Value Reference Tables - MR'!$F$198</definedName>
    <definedName name="mgmt_az1_host16_vrms_ip">'Value Reference Tables - MR'!$F$214</definedName>
    <definedName name="mgmt_az1_host2_fqdn">'Value Reference Tables - MR'!$F$238</definedName>
    <definedName name="mgmt_az1_host2_hostname">'Value Reference Tables - MR'!$F$219</definedName>
    <definedName name="mgmt_az1_host2_mgmt_ip">'Value Reference Tables - MR'!$F$184</definedName>
    <definedName name="mgmt_az1_host2_vrms_ip">'Value Reference Tables - MR'!$F$200</definedName>
    <definedName name="mgmt_az1_host3_fqdn">'Value Reference Tables - MR'!$F$239</definedName>
    <definedName name="mgmt_az1_host3_hostname">'Value Reference Tables - MR'!$F$220</definedName>
    <definedName name="mgmt_az1_host3_mgmt_ip">'Value Reference Tables - MR'!$F$185</definedName>
    <definedName name="mgmt_az1_host3_vrms_ip">'Value Reference Tables - MR'!$F$201</definedName>
    <definedName name="mgmt_az1_host4_fqdn">'Value Reference Tables - MR'!$F$240</definedName>
    <definedName name="mgmt_az1_host4_hostname">'Value Reference Tables - MR'!$F$221</definedName>
    <definedName name="mgmt_az1_host4_mgmt_ip">'Value Reference Tables - MR'!$F$186</definedName>
    <definedName name="mgmt_az1_host4_vrms_ip">'Value Reference Tables - MR'!$F$202</definedName>
    <definedName name="mgmt_az1_host5_fqdn">'Value Reference Tables - MR'!$F$241</definedName>
    <definedName name="mgmt_az1_host5_hostname">'Value Reference Tables - MR'!$F$222</definedName>
    <definedName name="mgmt_az1_host5_mgmt_ip">'Value Reference Tables - MR'!$F$187</definedName>
    <definedName name="mgmt_az1_host5_vrms_ip">'Value Reference Tables - MR'!$F$203</definedName>
    <definedName name="mgmt_az1_host6_fqdn">'Value Reference Tables - MR'!$F$242</definedName>
    <definedName name="mgmt_az1_host6_hostname">'Value Reference Tables - MR'!$F$223</definedName>
    <definedName name="mgmt_az1_host6_mgmt_ip">'Value Reference Tables - MR'!$F$188</definedName>
    <definedName name="mgmt_az1_host6_vrms_ip">'Value Reference Tables - MR'!$F$204</definedName>
    <definedName name="mgmt_az1_host7_fqdn">'Value Reference Tables - MR'!$F$243</definedName>
    <definedName name="mgmt_az1_host7_hostname">'Value Reference Tables - MR'!$F$224</definedName>
    <definedName name="mgmt_az1_host7_mgmt_ip">'Value Reference Tables - MR'!$F$189</definedName>
    <definedName name="mgmt_az1_host7_vrms_ip">'Value Reference Tables - MR'!$F$205</definedName>
    <definedName name="mgmt_az1_host8_fqdn">'Value Reference Tables - MR'!$F$244</definedName>
    <definedName name="mgmt_az1_host8_hostname">'Value Reference Tables - MR'!$F$225</definedName>
    <definedName name="mgmt_az1_host8_mgmt_ip">'Value Reference Tables - MR'!$F$190</definedName>
    <definedName name="mgmt_az1_host8_vrms_ip">'Value Reference Tables - MR'!$F$206</definedName>
    <definedName name="mgmt_az1_host9_fqdn">'Value Reference Tables - MR'!$F$245</definedName>
    <definedName name="mgmt_az1_host9_hostname">'Value Reference Tables - MR'!$F$226</definedName>
    <definedName name="mgmt_az1_host9_mgmt_ip">'Value Reference Tables - MR'!$F$191</definedName>
    <definedName name="mgmt_az1_host9_vrms_ip">'Value Reference Tables - MR'!$F$207</definedName>
    <definedName name="mgmt_az1_mgmt_cidr">'Value Reference Tables - MR'!$F$24</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MR'!$F$166</definedName>
    <definedName name="mgmt_az1_rtep_ip_pool_name">'Value Reference Tables - MR'!$F$173</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MR'!$F$119</definedName>
    <definedName name="mgmt_az1_rtep_overlay_vlan">'Value Reference Tables - MR'!$F$18</definedName>
    <definedName name="mgmt_az1_secondary_storage_cidr">'Value Reference Tables - MR'!$F$28</definedName>
    <definedName name="mgmt_az1_secondary_storage_gateway_ip">'Value Reference Tables - MR'!$F$90</definedName>
    <definedName name="mgmt_az1_secondary_storage_mask">'Value Reference Tables - MR'!$F$59</definedName>
    <definedName name="mgmt_az1_secondary_storage_mtu">'Value Reference Tables - MR'!$F$74</definedName>
    <definedName name="mgmt_az1_secondary_storage_network">'Value Reference Tables - MR'!$F$43</definedName>
    <definedName name="mgmt_az1_secondary_storage_pool_end_ip">'Value Reference Tables - MR'!$F$156</definedName>
    <definedName name="mgmt_az1_secondary_storage_pool_start_ip">'Value Reference Tables - MR'!$F$155</definedName>
    <definedName name="mgmt_az1_secondary_storage_vlan">'Value Reference Tables - MR'!$F$13</definedName>
    <definedName name="mgmt_az1_tor1_peer_asn">'Value Reference Tables - MR'!$F$102</definedName>
    <definedName name="mgmt_az1_tor1_peer_bgp_password">'Value Reference Tables - MR'!$F$103</definedName>
    <definedName name="mgmt_az1_tor1_peer_ip">'Value Reference Tables - MR'!$F$101</definedName>
    <definedName name="mgmt_az1_tor2_peer_asn">'Value Reference Tables - MR'!$F$105</definedName>
    <definedName name="mgmt_az1_tor2_peer_bgp_password">'Value Reference Tables - MR'!$F$106</definedName>
    <definedName name="mgmt_az1_tor2_peer_ip">'Value Reference Tables - MR'!$F$104</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m_cidr">'Value Reference Tables'!$AD$17</definedName>
    <definedName name="mgmt_az1_vm_gateway_ip">'Value Reference Tables'!$AD$21</definedName>
    <definedName name="mgmt_az1_vm_mtu">'Value Reference Tables'!$AD$25</definedName>
    <definedName name="mgmt_az1_vm_vlan">'Value Reference Tables'!$AD$8</definedName>
    <definedName name="mgmt_az1_vmotion_cidr">'Value Reference Tables - MR'!$F$25</definedName>
    <definedName name="mgmt_az1_vmotion_gateway_ip">'Value Reference Tables - MR'!$F$87</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MR'!$F$150</definedName>
    <definedName name="mgmt_az1_vmotion_pool_start_ip">'Value Reference Tables - MR'!$F$149</definedName>
    <definedName name="mgmt_az1_vmotion_vlan">'Value Reference Tables - MR'!$F$10</definedName>
    <definedName name="mgmt_az1_vrms_cidr">'Value Reference Tables - MR'!$F$34</definedName>
    <definedName name="mgmt_az1_vrms_gateway_ip">'Value Reference Tables - MR'!$F$96</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ip">'Value Reference Tables - MR'!$F$88</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MR'!$F$152</definedName>
    <definedName name="mgmt_az1_vsan_pool_start_ip">'Value Reference Tables - MR'!$F$151</definedName>
    <definedName name="mgmt_az1_vsan_vlan">'Value Reference Tables - MR'!$F$11</definedName>
    <definedName name="mgmt_az2_edge_overlay_cidr">'Value Reference Tables - MR'!$F$300</definedName>
    <definedName name="mgmt_az2_edge_overlay_gateway_ip">'Value Reference Tables - MR'!$F$342</definedName>
    <definedName name="mgmt_az2_edge_overlay_mask">'Value Reference Tables - MR'!$F$328</definedName>
    <definedName name="mgmt_az2_edge_overlay_mtu">'Value Reference Tables - MR'!$F$356</definedName>
    <definedName name="mgmt_az2_edge_overlay_network">'Value Reference Tables - MR'!$F$314</definedName>
    <definedName name="mgmt_az2_edge_overlay_pg">'Value Reference Tables - MR'!$F$380</definedName>
    <definedName name="mgmt_az2_edge_overlay_vlan">'Value Reference Tables - MR'!$F$286</definedName>
    <definedName name="mgmt_az2_host_fqdns">'Value Reference Tables - MR'!$F$469:$F$484</definedName>
    <definedName name="mgmt_az2_host_hostnames">'Value Reference Tables - MR'!$F$450:$F$465</definedName>
    <definedName name="mgmt_az2_host_mgmt_ips">'Value Reference Tables - MR'!$F$415:$F$430</definedName>
    <definedName name="mgmt_az2_host_overlay_cidr">'Value Reference Tables - MR'!$F$296</definedName>
    <definedName name="mgmt_az2_host_overlay_gateway_ip">'Value Reference Tables - MR'!$F$338</definedName>
    <definedName name="mgmt_az2_host_overlay_mask">'Value Reference Tables - MR'!$F$324</definedName>
    <definedName name="mgmt_az2_host_overlay_mtu">'Value Reference Tables - MR'!$F$352</definedName>
    <definedName name="mgmt_az2_host_overlay_network">'Value Reference Tables - MR'!$F$310</definedName>
    <definedName name="mgmt_az2_host_overlay_network_pool_name">'Value Reference Tables - MR'!$F$400</definedName>
    <definedName name="mgmt_az2_host_overlay_network_profile_name">'Value Reference Tables - MR'!$F$399</definedName>
    <definedName name="mgmt_az2_host_overlay_new_pool_chosen">'Configure Management Domain'!$D$362</definedName>
    <definedName name="mgmt_az2_host_overlay_pg">'Value Reference Tables - MR'!$F$376</definedName>
    <definedName name="mgmt_az2_host_overlay_pool_end_ip">'Value Reference Tables - MR'!$F$390</definedName>
    <definedName name="mgmt_az2_host_overlay_pool_name">'Value Reference Tables'!$C$202</definedName>
    <definedName name="mgmt_az2_host_overlay_pool_start_ip">'Value Reference Tables - MR'!$F$389</definedName>
    <definedName name="mgmt_az2_host_overlay_uplink_profile_name">'Value Reference Tables - MR'!$F$401</definedName>
    <definedName name="mgmt_az2_host_overlay_vlan">'Value Reference Tables - MR'!$F$282</definedName>
    <definedName name="mgmt_az2_host_vrms_ips">'Value Reference Tables - MR'!$F$431:$F$446</definedName>
    <definedName name="mgmt_az2_host1_fqdn">'Value Reference Tables - MR'!$F$469</definedName>
    <definedName name="mgmt_az2_host1_hostname">'Value Reference Tables - MR'!$F$450</definedName>
    <definedName name="mgmt_az2_host1_mgmt_ip">'Value Reference Tables - MR'!$F$415</definedName>
    <definedName name="mgmt_az2_host1_sddc_id">'Value Reference Tables'!$C$197</definedName>
    <definedName name="mgmt_az2_host1_vrms_ip">'Value Reference Tables - MR'!$F$431</definedName>
    <definedName name="mgmt_az2_host10_fqdn">'Value Reference Tables - MR'!$F$478</definedName>
    <definedName name="mgmt_az2_host10_hostname">'Value Reference Tables - MR'!$F$459</definedName>
    <definedName name="mgmt_az2_host10_mgmt_ip">'Value Reference Tables - MR'!$F$424</definedName>
    <definedName name="mgmt_az2_host10_vrms_ip">'Value Reference Tables - MR'!$F$440</definedName>
    <definedName name="mgmt_az2_host11_fqdn">'Value Reference Tables - MR'!$F$479</definedName>
    <definedName name="mgmt_az2_host11_hostname">'Value Reference Tables - MR'!$F$460</definedName>
    <definedName name="mgmt_az2_host11_mgmt_ip">'Value Reference Tables - MR'!$F$425</definedName>
    <definedName name="mgmt_az2_host11_vrms_ip">'Value Reference Tables - MR'!$F$441</definedName>
    <definedName name="mgmt_az2_host12_fqdn">'Value Reference Tables - MR'!$F$480</definedName>
    <definedName name="mgmt_az2_host12_hostname">'Value Reference Tables - MR'!$F$461</definedName>
    <definedName name="mgmt_az2_host12_mgmt_ip">'Value Reference Tables - MR'!$F$426</definedName>
    <definedName name="mgmt_az2_host12_vrms_ip">'Value Reference Tables - MR'!$F$442</definedName>
    <definedName name="mgmt_az2_host13_fqdn">'Value Reference Tables - MR'!$F$481</definedName>
    <definedName name="mgmt_az2_host13_hostname">'Value Reference Tables - MR'!$F$462</definedName>
    <definedName name="mgmt_az2_host13_mgmt_ip">'Value Reference Tables - MR'!$F$427</definedName>
    <definedName name="mgmt_az2_host13_vrms_ip">'Value Reference Tables - MR'!$F$443</definedName>
    <definedName name="mgmt_az2_host14_fqdn">'Value Reference Tables - MR'!$F$482</definedName>
    <definedName name="mgmt_az2_host14_hostname">'Value Reference Tables - MR'!$F$463</definedName>
    <definedName name="mgmt_az2_host14_mgmt_ip">'Value Reference Tables - MR'!$F$428</definedName>
    <definedName name="mgmt_az2_host14_vrms_ip">'Value Reference Tables - MR'!$F$444</definedName>
    <definedName name="mgmt_az2_host15_fqdn">'Value Reference Tables - MR'!$F$483</definedName>
    <definedName name="mgmt_az2_host15_hostname">'Value Reference Tables - MR'!$F$464</definedName>
    <definedName name="mgmt_az2_host15_mgmt_ip">'Value Reference Tables - MR'!$F$429</definedName>
    <definedName name="mgmt_az2_host15_vrms_ip">'Value Reference Tables - MR'!$F$445</definedName>
    <definedName name="mgmt_az2_host16_fqdn">'Value Reference Tables - MR'!$F$484</definedName>
    <definedName name="mgmt_az2_host16_hostname">'Value Reference Tables - MR'!$F$465</definedName>
    <definedName name="mgmt_az2_host16_mgmt_ip">'Value Reference Tables - MR'!$F$430</definedName>
    <definedName name="mgmt_az2_host16_vrms_ip">'Value Reference Tables - MR'!$F$446</definedName>
    <definedName name="mgmt_az2_host2_fqdn">'Value Reference Tables - MR'!$F$470</definedName>
    <definedName name="mgmt_az2_host2_hostname">'Value Reference Tables - MR'!$F$451</definedName>
    <definedName name="mgmt_az2_host2_mgmt_ip">'Value Reference Tables - MR'!$F$416</definedName>
    <definedName name="mgmt_az2_host2_sddc_id">'Value Reference Tables'!$C$198</definedName>
    <definedName name="mgmt_az2_host2_vrms_ip">'Value Reference Tables - MR'!$F$432</definedName>
    <definedName name="mgmt_az2_host3_fqdn">'Value Reference Tables - MR'!$F$471</definedName>
    <definedName name="mgmt_az2_host3_hostname">'Value Reference Tables - MR'!$F$452</definedName>
    <definedName name="mgmt_az2_host3_mgmt_ip">'Value Reference Tables - MR'!$F$417</definedName>
    <definedName name="mgmt_az2_host3_sddc_id">'Value Reference Tables'!$C$199</definedName>
    <definedName name="mgmt_az2_host3_vrms_ip">'Value Reference Tables - MR'!$F$433</definedName>
    <definedName name="mgmt_az2_host4_fqdn">'Value Reference Tables - MR'!$F$472</definedName>
    <definedName name="mgmt_az2_host4_hostname">'Value Reference Tables - MR'!$F$453</definedName>
    <definedName name="mgmt_az2_host4_mgmt_ip">'Value Reference Tables - MR'!$F$418</definedName>
    <definedName name="mgmt_az2_host4_sddc_id">'Value Reference Tables'!$C$200</definedName>
    <definedName name="mgmt_az2_host4_vrms_ip">'Value Reference Tables - MR'!$F$434</definedName>
    <definedName name="mgmt_az2_host5_fqdn">'Value Reference Tables - MR'!$F$473</definedName>
    <definedName name="mgmt_az2_host5_hostname">'Value Reference Tables - MR'!$F$454</definedName>
    <definedName name="mgmt_az2_host5_mgmt_ip">'Value Reference Tables - MR'!$F$419</definedName>
    <definedName name="mgmt_az2_host5_vrms_ip">'Value Reference Tables - MR'!$F$435</definedName>
    <definedName name="mgmt_az2_host6_fqdn">'Value Reference Tables - MR'!$F$474</definedName>
    <definedName name="mgmt_az2_host6_hostname">'Value Reference Tables - MR'!$F$455</definedName>
    <definedName name="mgmt_az2_host6_mgmt_ip">'Value Reference Tables - MR'!$F$420</definedName>
    <definedName name="mgmt_az2_host6_vrms_ip">'Value Reference Tables - MR'!$F$436</definedName>
    <definedName name="mgmt_az2_host7_fqdn">'Value Reference Tables - MR'!$F$475</definedName>
    <definedName name="mgmt_az2_host7_hostname">'Value Reference Tables - MR'!$F$456</definedName>
    <definedName name="mgmt_az2_host7_mgmt_ip">'Value Reference Tables - MR'!$F$421</definedName>
    <definedName name="mgmt_az2_host7_vrms_ip">'Value Reference Tables - MR'!$F$437</definedName>
    <definedName name="mgmt_az2_host8_fqdn">'Value Reference Tables - MR'!$F$476</definedName>
    <definedName name="mgmt_az2_host8_hostname">'Value Reference Tables - MR'!$F$457</definedName>
    <definedName name="mgmt_az2_host8_mgmt_ip">'Value Reference Tables - MR'!$F$422</definedName>
    <definedName name="mgmt_az2_host8_vrms_ip">'Value Reference Tables - MR'!$F$438</definedName>
    <definedName name="mgmt_az2_host9_fqdn">'Value Reference Tables - MR'!$F$477</definedName>
    <definedName name="mgmt_az2_host9_hostname">'Value Reference Tables - MR'!$F$458</definedName>
    <definedName name="mgmt_az2_host9_mgmt_ip">'Value Reference Tables - MR'!$F$423</definedName>
    <definedName name="mgmt_az2_host9_vrms_ip">'Value Reference Tables - MR'!$F$439</definedName>
    <definedName name="mgmt_az2_mgmt_cidr">'Value Reference Tables - MR'!$F$293</definedName>
    <definedName name="mgmt_az2_mgmt_gateway_ip">'Value Reference Tables - MR'!$F$335</definedName>
    <definedName name="mgmt_az2_mgmt_mask">'Value Reference Tables - MR'!$F$321</definedName>
    <definedName name="mgmt_az2_mgmt_mtu">'Value Reference Tables - MR'!$F$349</definedName>
    <definedName name="mgmt_az2_mgmt_network">'Value Reference Tables - MR'!$F$307</definedName>
    <definedName name="mgmt_az2_mgmt_vlan">'Value Reference Tables - MR'!$F$279</definedName>
    <definedName name="mgmt_az2_mgmt_vm_cidr">'Value Reference Tables - MR'!$F$292</definedName>
    <definedName name="mgmt_az2_mgmt_vm_gateway_ip">'Value Reference Tables - MR'!$F$334</definedName>
    <definedName name="mgmt_az2_mgmt_vm_mtu">'Value Reference Tables - MR'!$F$348</definedName>
    <definedName name="mgmt_az2_mgmt_vm_vlan">'Value Reference Tables - MR'!$F$278</definedName>
    <definedName name="mgmt_az2_pool_name">'Value Reference Tables - MR'!$F$398</definedName>
    <definedName name="mgmt_az2_reuse_vcf_networkpool_chosen">'Configure Management Domain'!$D$249</definedName>
    <definedName name="mgmt_az2_rtep_overlay_cidr">'Value Reference Tables - MR'!$F$301</definedName>
    <definedName name="mgmt_az2_rtep_overlay_gateway_ip">'Value Reference Tables - MR'!$F$343</definedName>
    <definedName name="mgmt_az2_rtep_overlay_mask">'Value Reference Tables - MR'!$F$329</definedName>
    <definedName name="mgmt_az2_rtep_overlay_mtu">'Value Reference Tables - MR'!$F$357</definedName>
    <definedName name="mgmt_az2_rtep_overlay_network">'Value Reference Tables - MR'!$F$315</definedName>
    <definedName name="mgmt_az2_rtep_overlay_pg">'Value Reference Tables - MR'!$F$381</definedName>
    <definedName name="mgmt_az2_rtep_overlay_vlan">'Value Reference Tables - MR'!$F$287</definedName>
    <definedName name="mgmt_az2_secondary_storage_cidr">'Value Reference Tables - MR'!$F$297</definedName>
    <definedName name="mgmt_az2_secondary_storage_gateway_ip">'Value Reference Tables - MR'!$F$339</definedName>
    <definedName name="mgmt_az2_secondary_storage_mask">'Value Reference Tables - MR'!$F$325</definedName>
    <definedName name="mgmt_az2_secondary_storage_mtu">'Value Reference Tables - MR'!$F$353</definedName>
    <definedName name="mgmt_az2_secondary_storage_network">'Value Reference Tables - MR'!$F$311</definedName>
    <definedName name="mgmt_az2_secondary_storage_pool_end_ip">'Value Reference Tables - MR'!$F$392</definedName>
    <definedName name="mgmt_az2_secondary_storage_pool_start_ip">'Value Reference Tables - MR'!$F$391</definedName>
    <definedName name="mgmt_az2_secondary_storage_vlan">'Value Reference Tables - MR'!$F$283</definedName>
    <definedName name="mgmt_az2_tor1_peer_asn">'Value Reference Tables - MR'!$F$364</definedName>
    <definedName name="mgmt_az2_tor1_peer_bgp_password">'Value Reference Tables - MR'!$F$365</definedName>
    <definedName name="mgmt_az2_tor1_peer_ip">'Value Reference Tables - MR'!$F$363</definedName>
    <definedName name="mgmt_az2_tor2_peer_asn">'Value Reference Tables - MR'!$F$367</definedName>
    <definedName name="mgmt_az2_tor2_peer_bgp_password">'Value Reference Tables - MR'!$F$368</definedName>
    <definedName name="mgmt_az2_tor2_peer_ip">'Value Reference Tables - MR'!$F$366</definedName>
    <definedName name="mgmt_az2_uplink01_cidr">'Value Reference Tables - MR'!$F$298</definedName>
    <definedName name="mgmt_az2_uplink01_gateway_ip">'Value Reference Tables - MR'!$F$340</definedName>
    <definedName name="mgmt_az2_uplink01_mask">'Value Reference Tables - MR'!$F$326</definedName>
    <definedName name="mgmt_az2_uplink01_mtu">'Value Reference Tables - MR'!$F$354</definedName>
    <definedName name="mgmt_az2_uplink01_network">'Value Reference Tables - MR'!$F$312</definedName>
    <definedName name="mgmt_az2_uplink01_vlan">'Value Reference Tables - MR'!$F$284</definedName>
    <definedName name="mgmt_az2_uplink02_cidr">'Value Reference Tables - MR'!$F$299</definedName>
    <definedName name="mgmt_az2_uplink02_gateway_ip">'Value Reference Tables - MR'!$F$341</definedName>
    <definedName name="mgmt_az2_uplink02_mask">'Value Reference Tables - MR'!$F$327</definedName>
    <definedName name="mgmt_az2_uplink02_mtu">'Value Reference Tables - MR'!$F$355</definedName>
    <definedName name="mgmt_az2_uplink02_network">'Value Reference Tables - MR'!$F$313</definedName>
    <definedName name="mgmt_az2_uplink02_vlan">'Value Reference Tables - MR'!$F$285</definedName>
    <definedName name="mgmt_az2_vm_cidr">'Value Reference Tables'!$AE$17</definedName>
    <definedName name="mgmt_az2_vm_gateway_ip">'Value Reference Tables'!$AE$21</definedName>
    <definedName name="mgmt_az2_vm_mtu">'Value Reference Tables'!$AE$25</definedName>
    <definedName name="mgmt_az2_vm_vlan">'Value Reference Tables'!$AE$8</definedName>
    <definedName name="mgmt_az2_vmotion_cidr">'Value Reference Tables - MR'!$F$294</definedName>
    <definedName name="mgmt_az2_vmotion_gateway_ip">'Value Reference Tables - MR'!$F$336</definedName>
    <definedName name="mgmt_az2_vmotion_mask">'Value Reference Tables - MR'!$F$322</definedName>
    <definedName name="mgmt_az2_vmotion_mtu">'Value Reference Tables - MR'!$F$350</definedName>
    <definedName name="mgmt_az2_vmotion_network">'Value Reference Tables - MR'!$F$308</definedName>
    <definedName name="mgmt_az2_vmotion_pool_end_ip">'Value Reference Tables - MR'!$F$386</definedName>
    <definedName name="mgmt_az2_vmotion_pool_start_ip">'Value Reference Tables - MR'!$F$385</definedName>
    <definedName name="mgmt_az2_vmotion_vlan">'Value Reference Tables - MR'!$F$280</definedName>
    <definedName name="mgmt_az2_vrms_cidr">'Value Reference Tables - MR'!$F$302</definedName>
    <definedName name="mgmt_az2_vrms_gateway_ip">'Value Reference Tables - MR'!$F$344</definedName>
    <definedName name="mgmt_az2_vrms_mask">'Value Reference Tables - MR'!$F$330</definedName>
    <definedName name="mgmt_az2_vrms_mtu">'Value Reference Tables - MR'!$F$358</definedName>
    <definedName name="mgmt_az2_vrms_network">'Value Reference Tables - MR'!$F$316</definedName>
    <definedName name="mgmt_az2_vrms_vlan">'Value Reference Tables - MR'!$F$288</definedName>
    <definedName name="mgmt_az2_vsan_cidr">'Value Reference Tables - MR'!$F$295</definedName>
    <definedName name="mgmt_az2_vsan_gateway_ip">'Value Reference Tables - MR'!$F$337</definedName>
    <definedName name="mgmt_az2_vsan_mask">'Value Reference Tables - MR'!$F$323</definedName>
    <definedName name="mgmt_az2_vsan_mtu">'Value Reference Tables - MR'!$F$351</definedName>
    <definedName name="mgmt_az2_vsan_network">'Value Reference Tables - MR'!$F$309</definedName>
    <definedName name="mgmt_az2_vsan_pool_end_ip">'Value Reference Tables - MR'!$F$388</definedName>
    <definedName name="mgmt_az2_vsan_pool_start_ip">'Value Reference Tables - MR'!$F$387</definedName>
    <definedName name="mgmt_az2_vsan_vlan">'Value Reference Tables - MR'!$F$281</definedName>
    <definedName name="mgmt_ceip_status_chosen">'Deploy Management Domain'!$L$50</definedName>
    <definedName name="mgmt_cl01_az1_mgmt_lbt_chosen">'Deploy Management Domain'!$L$222</definedName>
    <definedName name="mgmt_cl01_az1_mgmt_pg">'Value Reference Tables - MR'!$F$111</definedName>
    <definedName name="mgmt_cl01_az1_mgmt_uplink1_chosen">'Deploy Management Domain'!$L$223</definedName>
    <definedName name="mgmt_cl01_az1_mgmt_uplink2_chosen">'Deploy Management Domain'!$L$224</definedName>
    <definedName name="mgmt_cl01_az1_mgmt_vm_lbt_chosen">'Deploy Management Domain'!$L$227</definedName>
    <definedName name="mgmt_cl01_az1_mgmt_vm_pg">'Value Reference Tables - MR'!$F$110</definedName>
    <definedName name="mgmt_cl01_az1_mgmt_vm_uplink1_chosen">'Deploy Management Domain'!$L$228</definedName>
    <definedName name="mgmt_cl01_az1_mgmt_vm_uplink2_chosen">'Deploy Management Domain'!$L$229</definedName>
    <definedName name="mgmt_cl01_az1_nfs_lbt_chosen">'Deploy Management Domain'!$L$242</definedName>
    <definedName name="mgmt_cl01_az1_nfs_pg">'Value Reference Tables - MR'!$F$120</definedName>
    <definedName name="mgmt_cl01_az1_nfs_uplink1_chosen">'Deploy Management Domain'!$L$243</definedName>
    <definedName name="mgmt_cl01_az1_nfs_uplink2_chosen">'Deploy Management Domain'!$L$244</definedName>
    <definedName name="mgmt_cl01_az1_nsx_lbt_chosen">'Deploy Management Domain'!$L$248</definedName>
    <definedName name="mgmt_cl01_az1_nsx_uplink1_chosen">'Deploy Management Domain'!$L$249</definedName>
    <definedName name="mgmt_cl01_az1_nsx_uplink2_chosen">'Deploy Management Domain'!$L$250</definedName>
    <definedName name="mgmt_cl01_az1_uplink01_pg">'Value Reference Tables - MR'!$F$116</definedName>
    <definedName name="mgmt_cl01_az1_uplink02_pg">'Value Reference Tables - MR'!$F$117</definedName>
    <definedName name="mgmt_cl01_az1_vcf_mgmt_pg">Arkham!$C$9</definedName>
    <definedName name="mgmt_cl01_az1_vmotion_lbt_chosen">'Deploy Management Domain'!$L$232</definedName>
    <definedName name="mgmt_cl01_az1_vmotion_pg">'Value Reference Tables - MR'!$F$112</definedName>
    <definedName name="mgmt_cl01_az1_vmotion_uplink1_chosen">'Deploy Management Domain'!$L$233</definedName>
    <definedName name="mgmt_cl01_az1_vmotion_uplink2_chosen">'Deploy Management Domain'!$L$234</definedName>
    <definedName name="mgmt_cl01_az1_vsan_lbt_chosen">'Deploy Management Domain'!$L$237</definedName>
    <definedName name="mgmt_cl01_az1_vsan_pg">'Value Reference Tables - MR'!$F$113</definedName>
    <definedName name="mgmt_cl01_az1_vsan_uplink1_chosen">'Deploy Management Domain'!$L$238</definedName>
    <definedName name="mgmt_cl01_az1_vsan_uplink2_chosen">'Deploy Management Domain'!$L$239</definedName>
    <definedName name="mgmt_cl01_az2_mgmt_pg">'Value Reference Tables - MR'!$F$373</definedName>
    <definedName name="mgmt_cl01_az2_mgmt_vm_pg">'Value Reference Tables - MR'!$F$372</definedName>
    <definedName name="mgmt_cl01_az2_uplink01_pg">'Value Reference Tables - MR'!$F$378</definedName>
    <definedName name="mgmt_cl01_az2_uplink02_pg">'Value Reference Tables - MR'!$F$379</definedName>
    <definedName name="mgmt_cl01_az2_vmotion_pg">'Value Reference Tables - MR'!$F$374</definedName>
    <definedName name="mgmt_cl01_az2_vsan_pg">'Value Reference Tables - MR'!$F$375</definedName>
    <definedName name="mgmt_cl01_cluster">'Value Reference Tables'!$C$77</definedName>
    <definedName name="mgmt_cl01_cluster_sddc_id">'Value Reference Tables'!$C$201</definedName>
    <definedName name="mgmt_cl01_evc_mode_chosen">'Deploy Management Domain'!$M$349</definedName>
    <definedName name="mgmt_cl01_nfs_server_bound_to_vmknic_chosen">'Deploy Management Domain'!$L$122</definedName>
    <definedName name="mgmt_cl01_nfs_server_ip">'Value Reference Tables'!$C$123</definedName>
    <definedName name="mgmt_cl01_nfs_share">'Value Reference Tables'!$C$122</definedName>
    <definedName name="mgmt_cl01_vds_profile_chosen">'Deploy Management Domain'!$L$183</definedName>
    <definedName name="mgmt_cl01_vds01_lacp_mode_chosen">'Deploy Management Domain'!$L$192</definedName>
    <definedName name="mgmt_cl01_vds01_lacp_timeout_chosen">'Deploy Management Domain'!$L$194</definedName>
    <definedName name="mgmt_cl01_vds01_lag_lbt_chosen">'Deploy Management Domain'!$L$193</definedName>
    <definedName name="mgmt_cl01_vds01_lag_name">'Value Reference Tables'!$C$97</definedName>
    <definedName name="mgmt_cl01_vds01_link_type_chosen">'Deploy Management Domain'!$L$190</definedName>
    <definedName name="mgmt_cl01_vds01_mtu">'Value Reference Tables'!$C$96</definedName>
    <definedName name="mgmt_cl01_vds01_name">'Value Reference Tables'!$C$92</definedName>
    <definedName name="mgmt_cl01_vds01_pnics">'Value Reference Tables'!$C$93:$C$94</definedName>
    <definedName name="mgmt_cl01_vds01_uplink_count">'Value Reference Tables'!$C$95</definedName>
    <definedName name="mgmt_cl01_vds01_uplink1">'Value Reference Tables'!$C$93</definedName>
    <definedName name="mgmt_cl01_vds01_uplink2">'Value Reference Tables'!$C$94</definedName>
    <definedName name="mgmt_cl01_vds02_lacp_mode_chosen">'Deploy Management Domain'!$L$203</definedName>
    <definedName name="mgmt_cl01_vds02_lacp_timeout_chosen">'Deploy Management Domain'!$L$205</definedName>
    <definedName name="mgmt_cl01_vds02_lag_lbt_chosen">'Deploy Management Domain'!$L$204</definedName>
    <definedName name="mgmt_cl01_vds02_lag_name">'Value Reference Tables'!$C$104</definedName>
    <definedName name="mgmt_cl01_vds02_link_type_chosen">'Deploy Management Domain'!$L$201</definedName>
    <definedName name="mgmt_cl01_vds02_mtu">'Value Reference Tables'!$C$103</definedName>
    <definedName name="mgmt_cl01_vds02_name">'Value Reference Tables'!$C$99</definedName>
    <definedName name="mgmt_cl01_vds02_pnics">'Value Reference Tables'!$C$100:$C$101</definedName>
    <definedName name="mgmt_cl01_vds02_uplink_count">'Value Reference Tables'!$C$102</definedName>
    <definedName name="mgmt_cl01_vds02_uplink1">'Value Reference Tables'!$C$100</definedName>
    <definedName name="mgmt_cl01_vds02_uplink2">'Value Reference Tables'!$C$101</definedName>
    <definedName name="mgmt_cl01_vds03_lacp_mode_chosen">'Deploy Management Domain'!$L$214</definedName>
    <definedName name="mgmt_cl01_vds03_lacp_timeout_chosen">'Deploy Management Domain'!$L$216</definedName>
    <definedName name="mgmt_cl01_vds03_lag_lbt_chosen">'Deploy Management Domain'!$L$215</definedName>
    <definedName name="mgmt_cl01_vds03_lag_name">'Value Reference Tables'!$C$111</definedName>
    <definedName name="mgmt_cl01_vds03_link_type_chosen">'Deploy Management Domain'!$L$211</definedName>
    <definedName name="mgmt_cl01_vds03_mtu">'Value Reference Tables'!$C$110</definedName>
    <definedName name="mgmt_cl01_vds03_name">'Value Reference Tables'!$C$106</definedName>
    <definedName name="mgmt_cl01_vds03_pnics">'Value Reference Tables'!$C$107:$C$108</definedName>
    <definedName name="mgmt_cl01_vds03_uplink_count">'Value Reference Tables'!$C$109</definedName>
    <definedName name="mgmt_cl01_vds03_uplink1">'Value Reference Tables'!$C$107</definedName>
    <definedName name="mgmt_cl01_vds03_uplink2">'Value Reference Tables'!$C$108</definedName>
    <definedName name="mgmt_cl01_vsan_datastore">'Value Reference Tables'!$C$119</definedName>
    <definedName name="mgmt_cl01_vsan_dedupe_compression_chosen">'Deploy Management Domain'!$L$119</definedName>
    <definedName name="mgmt_cl01_vsan_ftt_chosen">'Deploy Management Domain'!$L$118</definedName>
    <definedName name="mgmt_consolidated_result">'Value Reference Tables'!$AA$107</definedName>
    <definedName name="mgmt_datacenter">'Value Reference Tables'!$C$76</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Domain'!$L$32</definedName>
    <definedName name="mgmt_domain_existing_vcenter_chosen">'Deploy Management Domain'!$L$31</definedName>
    <definedName name="mgmt_domain_existing_vcf_operations_chosen">'Deploy Management Domain'!$L$30</definedName>
    <definedName name="mgmt_domain_ops_automation_later_chosen">'Deploy Management Domain'!$L$40</definedName>
    <definedName name="mgmt_domain_password_creation_chosen">'Deploy Management Domain'!$L$49</definedName>
    <definedName name="mgmt_domain_result">'VCF &amp; VVF Planning'!$L$18</definedName>
    <definedName name="mgmt_domain_vcf_automation_later_chosen">'Deploy Management Domain'!$L$77</definedName>
    <definedName name="mgmt_domain_vcf_operations_ha_mode_chosen">'Deploy Management Domain'!$L$41</definedName>
    <definedName name="mgmt_dpg_reuse_chosen">'Deploy Management Domain'!$L$153</definedName>
    <definedName name="mgmt_dpg_reuse_result">'Value Reference Tables'!$C$136</definedName>
    <definedName name="mgmt_ec_api_chosen">'Configure Management Domain'!$D$191</definedName>
    <definedName name="mgmt_ec_gateway_type">'Value Reference Tables'!$C$128</definedName>
    <definedName name="mgmt_ec_mtu">'Value Reference Tables'!$C$130</definedName>
    <definedName name="mgmt_ec_name">'Value Reference Tables'!$O$15</definedName>
    <definedName name="mgmt_ec_rp_name">'Value Reference Tables'!$C$131</definedName>
    <definedName name="mgmt_ec01_en01_host_group_affinity_rule_name">'Value Reference Tables'!$C$133</definedName>
    <definedName name="mgmt_ec01_en02_host_group_affinity_rule_name">'Value Reference Tables'!$C$134</definedName>
    <definedName name="mgmt_ec01_host_group_affinity_rule_chosen">'Configure Management Domain'!$D$102</definedName>
    <definedName name="mgmt_ec01_use_host_overlay_chosen">'Configure Management Domain'!$D$109</definedName>
    <definedName name="mgmt_edge_vm_folder">'Value Reference Tables'!$O$36</definedName>
    <definedName name="mgmt_en_asn">'Value Reference Tables - MR'!$F$100</definedName>
    <definedName name="mgmt_en01_bfd_chosen">'Configure Management Domain'!$D$161</definedName>
    <definedName name="mgmt_en02_bfd_chosen">'Configure Management Domain'!$D$176</definedName>
    <definedName name="mgmt_existing_active_nsx_gm">Arkham!$C$49</definedName>
    <definedName name="mgmt_existing_cross_instance_t0_name">Arkham!$C$50</definedName>
    <definedName name="mgmt_flt_fm_reuse_password_chosen">'Deploy Management Domain'!$L$66</definedName>
    <definedName name="mgmt_gateway_routing_type_chosen">'Configure Management Domain'!$D$155</definedName>
    <definedName name="mgmt_host_overlay_addressing_chosen">'Deploy Management Domain'!$L$254</definedName>
    <definedName name="mgmt_internet_proxy_address">'Value Reference Tables'!$O$55</definedName>
    <definedName name="mgmt_internet_proxy_auth_chosen">'Deploy Management Domain'!$L$17</definedName>
    <definedName name="mgmt_internet_proxy_chosen">'Deploy Management Domain'!$L$13</definedName>
    <definedName name="mgmt_internet_proxy_email">'Value Reference Tables'!$L$37</definedName>
    <definedName name="mgmt_internet_proxy_password">'Value Reference Tables'!$L$38</definedName>
    <definedName name="mgmt_internet_proxy_port">'Value Reference Tables'!$O$56</definedName>
    <definedName name="mgmt_internet_proxy_type_chosen">'Deploy Management Domain'!$L$14</definedName>
    <definedName name="mgmt_mgmt_rp">'Value Reference Tables'!$C$79</definedName>
    <definedName name="mgmt_mgmt_vm_folder">'Value Reference Tables'!$O$34</definedName>
    <definedName name="mgmt_nsx_default_operation_mode_chosen">'Deploy Management Domain'!$L$246</definedName>
    <definedName name="mgmt_nsx_operation_mode_chosen">'Deploy Management Domain'!$L$247</definedName>
    <definedName name="mgmt_nsx_rp">'Value Reference Tables'!$C$80</definedName>
    <definedName name="mgmt_nsx_vm_folder">'Value Reference Tables'!$O$35</definedName>
    <definedName name="mgmt_nsxt_appliance_size_chosen">'Deploy Management Domain'!$L$103</definedName>
    <definedName name="mgmt_nsxt_en_admin_password">'Value Reference Tables'!$C$232</definedName>
    <definedName name="mgmt_nsxt_en_root_password">'Value Reference Tables'!$C$233</definedName>
    <definedName name="mgmt_nsxt_enable_edge_sync_chosen">'Deploy Management Domain'!$L$111</definedName>
    <definedName name="mgmt_nsxt_federation_chosen">'Configure Management Domain'!$B$16</definedName>
    <definedName name="mgmt_nsxt_federation_global_manager_name">'Value Reference Tables'!$O$23</definedName>
    <definedName name="mgmt_nsxt_federation_location_name">'Value Reference Tables'!$O$24</definedName>
    <definedName name="mgmt_nsxt_federation_result">'Configure Management Domain'!$D$16</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Tables'!$C$61</definedName>
    <definedName name="mgmt_nsxt_global_mgra_hostname">'Value Reference Tables'!$C$45</definedName>
    <definedName name="mgmt_nsxt_global_mgra_ip">'Value Reference Tables'!$C$22</definedName>
    <definedName name="mgmt_nsxt_global_mgrb_fqdn">'Value Reference Tables'!$C$62</definedName>
    <definedName name="mgmt_nsxt_global_mgrb_hostname">'Value Reference Tables'!$C$46</definedName>
    <definedName name="mgmt_nsxt_global_mgrb_ip">'Value Reference Tables'!$C$23</definedName>
    <definedName name="mgmt_nsxt_global_mgrc_fqdn">'Value Reference Tables'!$C$63</definedName>
    <definedName name="mgmt_nsxt_global_mgrc_hostname">'Value Reference Tables'!$C$47</definedName>
    <definedName name="mgmt_nsxt_global_mgrc_ip">'Value Reference Tables'!$C$24</definedName>
    <definedName name="mgmt_nsxt_gm_fingerprint">'Value Reference Tables'!$O$26</definedName>
    <definedName name="mgmt_nsxt_gm_hostname">'Value Reference Tables'!$C$44</definedName>
    <definedName name="mgmt_nsxt_gm_vip_fqdn">'Value Reference Tables'!$C$60</definedName>
    <definedName name="mgmt_nsxt_gm_vip_ip">'Value Reference Tables'!$C$21</definedName>
    <definedName name="mgmt_nsxt_hostname">'Value Reference Tables'!$C$40</definedName>
    <definedName name="mgmt_nsxt_lm_fingerprint">'Value Reference Tables'!$O$25</definedName>
    <definedName name="mgmt_nsxt_mgr_formfactor">'Value Reference Tables'!$O$14</definedName>
    <definedName name="mgmt_nsxt_mgra_fqdn">'Value Reference Tables'!$C$57</definedName>
    <definedName name="mgmt_nsxt_mgra_hostname">'Value Reference Tables'!$C$41</definedName>
    <definedName name="mgmt_nsxt_mgra_ip">'Value Reference Tables'!$C$18</definedName>
    <definedName name="mgmt_nsxt_mgrb_fqdn">'Value Reference Tables'!$C$58</definedName>
    <definedName name="mgmt_nsxt_mgrb_hostname">'Value Reference Tables'!$C$42</definedName>
    <definedName name="mgmt_nsxt_mgrb_ip">'Value Reference Tables'!$C$19</definedName>
    <definedName name="mgmt_nsxt_mgrc_fqdn">'Value Reference Tables'!$C$59</definedName>
    <definedName name="mgmt_nsxt_mgrc_hostname">'Value Reference Tables'!$C$43</definedName>
    <definedName name="mgmt_nsxt_mgrc_ip">'Value Reference Tables'!$C$20</definedName>
    <definedName name="mgmt_nsxt_vip_fqdn">'Value Reference Tables'!$C$56</definedName>
    <definedName name="mgmt_nsxt_vip_ip">'Value Reference Tables'!$C$17</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ops_collector_reuse_password_chosen">'Deploy Management Domain'!$L$71</definedName>
    <definedName name="mgmt_principal_storage_chosen">'Deploy Management Domain'!$L$116</definedName>
    <definedName name="mgmt_recovery_lb_creation_method">'Value Reference Tables'!$U$64</definedName>
    <definedName name="mgmt_rtep_overlay_pool_end_ip">'Value Reference Tables - MR'!$F$162</definedName>
    <definedName name="mgmt_rtep_overlay_pool_start_ip">'Value Reference Tables - MR'!$F$161</definedName>
    <definedName name="mgmt_rwr_recovery_site_az1_mgmt_cidr">'Value Reference Tables'!$U$209</definedName>
    <definedName name="mgmt_rwr_vc_fqdn">'Value Reference Tables'!$U$191</definedName>
    <definedName name="mgmt_sddc_domain">'Value Reference Tables'!$O$8</definedName>
    <definedName name="mgmt_signed_certs_chosen">'Configure Management Domain'!$B$12</definedName>
    <definedName name="mgmt_signed_certs_result">'Configure Management Domain'!$D$12</definedName>
    <definedName name="mgmt_srm_admin_email">'Value Reference Tables'!$U$78</definedName>
    <definedName name="mgmt_srm_admin_password">'Value Reference Tables'!$U$75</definedName>
    <definedName name="mgmt_srm_database_password">'Value Reference Tables'!$U$76</definedName>
    <definedName name="mgmt_srm_days">'Value Reference Tables'!$U$83</definedName>
    <definedName name="mgmt_srm_fqdn">'Value Reference Tables'!$R$125</definedName>
    <definedName name="mgmt_srm_instances_per_day">'Value Reference Tables'!$U$82</definedName>
    <definedName name="mgmt_srm_ip">'Value Reference Tables'!$R$103</definedName>
    <definedName name="mgmt_srm_logs_rp">'Value Reference Tables'!$O$124</definedName>
    <definedName name="mgmt_srm_net_rp">'Value Reference Tables'!$O$123</definedName>
    <definedName name="mgmt_srm_p12_password">'Value Reference Tables'!$U$79</definedName>
    <definedName name="mgmt_srm_recovery_cluster">'Value Reference Tables'!$U$96</definedName>
    <definedName name="mgmt_srm_recovery_datastore">'Value Reference Tables'!$U$97</definedName>
    <definedName name="mgmt_srm_recovery_gateway">'Value Reference Tables'!$O$126</definedName>
    <definedName name="mgmt_srm_recovery_mask">'Value Reference Tables'!$O$127</definedName>
    <definedName name="mgmt_srm_recovery_nsx_ec_name">'Value Reference Tables'!$U$95</definedName>
    <definedName name="mgmt_srm_recovery_nsx_location">'Value Reference Tables'!$U$94</definedName>
    <definedName name="mgmt_srm_recovery_pg">'Value Reference Tables'!$O$125</definedName>
    <definedName name="mgmt_srm_recovery_sddc_manager_domain">'Value Reference Tables'!$U$93</definedName>
    <definedName name="mgmt_srm_recovery_sddc_manager_fqdn">'Value Reference Tables'!$U$52</definedName>
    <definedName name="mgmt_srm_recovery_sddc_manager_password">'Value Reference Tables'!$U$54</definedName>
    <definedName name="mgmt_srm_recovery_sddc_manager_username">'Value Reference Tables'!$U$53</definedName>
    <definedName name="mgmt_srm_recovery_t1_si_ip">'Value Reference Tables'!$R$104</definedName>
    <definedName name="mgmt_srm_recovery_vcenter_fqdn">'Value Reference Tables'!$U$90</definedName>
    <definedName name="mgmt_srm_recovery_vcenter_password">'Value Reference Tables'!$U$92</definedName>
    <definedName name="mgmt_srm_recovery_vcenter_username">'Value Reference Tables'!$U$91</definedName>
    <definedName name="mgmt_srm_root_password">'Value Reference Tables'!$U$74</definedName>
    <definedName name="mgmt_srm_rpo">'Value Reference Tables'!$U$81</definedName>
    <definedName name="mgmt_srm_site_name">'Value Reference Tables'!$U$77</definedName>
    <definedName name="mgmt_srm_sso_domain_membership">'Value Reference Tables'!$U$99</definedName>
    <definedName name="mgmt_srm_vm_folder">'Value Reference Tables'!$U$73</definedName>
    <definedName name="mgmt_srm_vm_size">'Value Reference Tables'!$U$80</definedName>
    <definedName name="mgmt_srm_vm_size_chosen">'Management Domain Sizing'!$F$71</definedName>
    <definedName name="mgmt_srm_vra_pg">'Value Reference Tables'!$U$88</definedName>
    <definedName name="mgmt_srm_vra_rp">'Value Reference Tables'!$U$89</definedName>
    <definedName name="mgmt_srm_vrops_pg">'Value Reference Tables'!$U$86</definedName>
    <definedName name="mgmt_srm_vrops_rp">'Value Reference Tables'!$U$87</definedName>
    <definedName name="mgmt_srm_vrslcm_wsa_pg">'Value Reference Tables'!$U$84</definedName>
    <definedName name="mgmt_srm_vrslcm_wsa_rp">'Value Reference Tables'!$U$85</definedName>
    <definedName name="mgmt_sso_domain">'Value Reference Tables'!$C$84</definedName>
    <definedName name="mgmt_sso_domain_username">'Value Reference Tables'!$C$85</definedName>
    <definedName name="mgmt_stretched_cluster_chosen">'Configure Management Domain'!$B$15</definedName>
    <definedName name="mgmt_stretched_cluster_result">'Configure Management Domain'!$D$15</definedName>
    <definedName name="mgmt_tier0_ha_chosen">'Configure Management Domain'!$D$154</definedName>
    <definedName name="mgmt_tier0_name">'Value Reference Tables'!$O$17</definedName>
    <definedName name="mgmt_tier0_skip_chosen">'Configure Management Domain'!$D$152</definedName>
    <definedName name="mgmt_tier1_name">'Value Reference Tables'!$O$18</definedName>
    <definedName name="mgmt_user_edge_rp">'Value Reference Tables'!$C$81</definedName>
    <definedName name="mgmt_user_vm_rp">'Value Reference Tables'!$C$82</definedName>
    <definedName name="mgmt_vc_fqdn">'Value Reference Tables'!$C$55</definedName>
    <definedName name="mgmt_vc_hostname">'Value Reference Tables'!$C$39</definedName>
    <definedName name="mgmt_vc_ip">'Value Reference Tables'!$C$16</definedName>
    <definedName name="mgmt_vc_size">'Value Reference Tables'!$O$11</definedName>
    <definedName name="mgmt_vc_storage_size">'Value Reference Tables'!$O$12</definedName>
    <definedName name="mgmt_vcenter_appliance_size_chosen">'Deploy Management Domain'!$L$91</definedName>
    <definedName name="mgmt_vcf_installer_location_chosen">'Deploy Management Domain'!$L$265</definedName>
    <definedName name="mgmt_vcf_management_network_chosen">Arkham!$P$5</definedName>
    <definedName name="mgmt_vcfops_appliance_size_chosen">'Deploy Management Domain'!$L$56</definedName>
    <definedName name="mgmt_vnaa_fqdn">Arkham!$R$49</definedName>
    <definedName name="mgmt_vnaa_ip">Arkham!$R$47</definedName>
    <definedName name="mgmt_vnab_fqdn">Arkham!$R$50</definedName>
    <definedName name="mgmt_vnab_ip">Arkham!$R$48</definedName>
    <definedName name="mgmt_vns_chosen">'Configure Management Domain'!$B$13</definedName>
    <definedName name="mgmt_vns_result">'Configure Management Domain'!$D$13</definedName>
    <definedName name="mgmt_vpc_ext_ip_blocks">'Value Reference Tables'!$O$32</definedName>
    <definedName name="mgmt_vpc_transit_gateway_ip_blocks">'Value Reference Tables'!$O$33</definedName>
    <definedName name="mgmt_vrms_admin_email">'Value Reference Tables'!$U$69</definedName>
    <definedName name="mgmt_vrms_admin_password">'Value Reference Tables'!$U$67</definedName>
    <definedName name="mgmt_vrms_hostname">'Value Reference Tables'!$R$114</definedName>
    <definedName name="mgmt_vrms_mgmt_ip">'Value Reference Tables'!$R$101</definedName>
    <definedName name="mgmt_vrms_p12_password">'Value Reference Tables'!$U$71</definedName>
    <definedName name="mgmt_vrms_pg">'Value Reference Tables'!$U$70</definedName>
    <definedName name="mgmt_vrms_recovery_replication_cidr">'Value Reference Tables'!$U$98</definedName>
    <definedName name="mgmt_vrms_root_password">'Value Reference Tables'!$U$66</definedName>
    <definedName name="mgmt_vrms_site_name">'Value Reference Tables'!$U$68</definedName>
    <definedName name="mgmt_vrms_vm_folder">'Value Reference Tables'!$U$65</definedName>
    <definedName name="mgmt_vrms_vrms_ip">'Value Reference Tables'!$R$102</definedName>
    <definedName name="mgmt_witness_az_mgmt_mask">'Value Reference Tables'!$AA$37</definedName>
    <definedName name="mgmt_witness_cluster">'Value Reference Tables'!$C$208</definedName>
    <definedName name="mgmt_witness_dns1_ip">'Value Reference Tables'!$C$215</definedName>
    <definedName name="mgmt_witness_dns2_ip">'Value Reference Tables'!$C$216</definedName>
    <definedName name="mgmt_witness_fqdn">'Value Reference Tables'!$C$72</definedName>
    <definedName name="mgmt_witness_hostname">'Value Reference Tables'!$C$193</definedName>
    <definedName name="mgmt_witness_ip">'Value Reference Tables'!$L$176</definedName>
    <definedName name="mgmt_witness_mgmt_pg">'Value Reference Tables'!$X$36</definedName>
    <definedName name="mgmt_witness_ntp1_server">'Value Reference Tables'!$C$217</definedName>
    <definedName name="mgmt_witness_ntp2_server">'Value Reference Tables'!$C$218</definedName>
    <definedName name="mgmt_witness_root_password">'Value Reference Tables'!$L$34</definedName>
    <definedName name="mgmt_witness_sddc_domain">'Value Reference Tables'!$C$206</definedName>
    <definedName name="mgmt_witness_vc_fqdn">'Value Reference Tables'!$C$71</definedName>
    <definedName name="mgmt_witness_vcenter_fqdn">'Value Reference Tables'!$L$167</definedName>
    <definedName name="mgmt_witness_vcenter_hostname">'Value Reference Tables'!$C$192</definedName>
    <definedName name="mgmt_witness_vm_folder">'Value Reference Tables'!$C$209</definedName>
    <definedName name="mgmt_witness_vsan_datastore">'Value Reference Tables'!$C$207</definedName>
    <definedName name="mgmt_witness_zone_vc_fqdn">'Value Reference Tables'!$L$168</definedName>
    <definedName name="mgmt_witness_zone_vc_hostname">'Value Reference Tables'!$L$169</definedName>
    <definedName name="mgmt_witness_zone_vc_ip">'Value Reference Tables'!$C$213</definedName>
    <definedName name="mgmt_witnessaz_cidr">'Value Reference Tables'!$X$40</definedName>
    <definedName name="mgmt_witnessaz_gateway_ip">'Value Reference Tables'!$X$44</definedName>
    <definedName name="mgmt_witnessaz_mgmt_cidr">'Value Reference Tables'!$L$177</definedName>
    <definedName name="mgmt_witnessaz_mgmt_gateway_ip">'Value Reference Tables'!$L$178</definedName>
    <definedName name="mgmt_witnessaz_mgmt_mask">'Value Reference Tables'!$L$175</definedName>
    <definedName name="mgmt_witnessaz_mgmt_mtu">'Value Reference Tables'!$X$48</definedName>
    <definedName name="mgmt_witnessaz_mgmt_network">'Value Reference Tables'!$L$173</definedName>
    <definedName name="mgmt_witnessaz_mgmt_vlan">'Value Reference Tables'!$X$32</definedName>
    <definedName name="mgmt_witnessaz_mtu">'Value Reference Tables'!$L$170</definedName>
    <definedName name="mgmt_witnessaz_vlan">'Value Reference Tables'!$L$171</definedName>
    <definedName name="navigation_apply_signed_certs_mgmt_domain">'Configure Management Domain'!$B$30</definedName>
    <definedName name="navigation_apply_signed_certs_wld_domain">'Configure Workload Domain'!$B$9</definedName>
    <definedName name="navigation_avi_lb_mgmt_domain">'Configure Management Domain'!$B$204</definedName>
    <definedName name="navigation_avi_lb_wld_domain">'Configure Workload Domain'!$B$147</definedName>
    <definedName name="navigation_configure_sftp_mgmt_domain">'Configure Management Domain'!$B$18</definedName>
    <definedName name="navigation_mgmt_configure_auth">'Deploy Fleet Management Day-N'!$B$118</definedName>
    <definedName name="navigation_nsx_federation_for_management_domain">'Configure Management Domain'!$B$395</definedName>
    <definedName name="navigation_nsx_federation_for_wld_domain">'Configure Workload Domain'!$B$356</definedName>
    <definedName name="navigation_nsx_routing_mgmt_domain">'Configure Management Domain'!$B$86</definedName>
    <definedName name="navigation_nsx_routing_wld_domain">'Configure Workload Domain'!$B$29</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Domain'!$B$220</definedName>
    <definedName name="navigation_stretched_cluster_wld_domain">'Configure Workload Domain'!$B$163</definedName>
    <definedName name="navigation_vcf_and_vvf_planning_tab">'VCF &amp; VVF Planning'!$A$1</definedName>
    <definedName name="navlink_input_ca_values">'Configure Management Domain'!$B$57</definedName>
    <definedName name="non_first_domain_mgmt_only_viable">'Value Reference Tables'!$AA$102</definedName>
    <definedName name="non_first_domain_mgmt_vi_viable">'Value Reference Tables'!$AA$103</definedName>
    <definedName name="nsx_sizing_limits">'Static Reference Tables'!$E$34:$G$38</definedName>
    <definedName name="nsxt_en_admin_password">'Value Reference Tables'!$L$20</definedName>
    <definedName name="nsxt_en_root_password">'Value Reference Tables'!$L$19</definedName>
    <definedName name="nsxt_gm_admin_password">'Value Reference Tables'!$L$22</definedName>
    <definedName name="nsxt_gm_audit_password">'Value Reference Tables'!$L$23</definedName>
    <definedName name="nsxt_gm_root_password">'Value Reference Tables'!$L$21</definedName>
    <definedName name="nsxt_lm_admin_password">'Value Reference Tables'!$L$17</definedName>
    <definedName name="nsxt_lm_audit_password">'Value Reference Tables'!$L$18</definedName>
    <definedName name="nsxt_lm_root_password">'Value Reference Tables'!$L$16</definedName>
    <definedName name="other_instance">'Value Reference Tables'!$AA$60</definedName>
    <definedName name="other_prefix_mgmt_stretched_cidr">'Value Reference Tables'!$AA$86</definedName>
    <definedName name="other_prefix_wld_stretched_cidr">'Value Reference Tables'!$AA$87</definedName>
    <definedName name="parent_ad_groups_ou">'Value Reference Tables'!$L$82</definedName>
    <definedName name="parent_ad_users_ou">'Value Reference Tables'!$L$87</definedName>
    <definedName name="parent_dns_zone">'Value Reference Tables'!$L$66</definedName>
    <definedName name="pnp_version_history">Arkham!$B$2</definedName>
    <definedName name="pnp_version_number">'Value Reference Tables'!$C$11</definedName>
    <definedName name="prefix_flt_shared_cidr">'Value Reference Tables'!$AA$88</definedName>
    <definedName name="prefix_mgmt_az1_cidr">'Value Reference Tables'!$AA$63</definedName>
    <definedName name="prefix_mgmt_az1_vlan">'Value Reference Tables'!$AA$62</definedName>
    <definedName name="prefix_mgmt_az2_cidr">'Value Reference Tables'!$AA$65</definedName>
    <definedName name="prefix_mgmt_az2_vlan">'Value Reference Tables'!$AA$64</definedName>
    <definedName name="prefix_mgmt_stretched_cidr">'Value Reference Tables'!$AA$67</definedName>
    <definedName name="prefix_mgmt_stretched_vlan">'Value Reference Tables'!$AA$66</definedName>
    <definedName name="prefix_mgmt_tor_asn">'Value Reference Tables'!$AA$72</definedName>
    <definedName name="prefix_mgmt_witness_cidr">'Value Reference Tables'!$AA$71</definedName>
    <definedName name="prefix_mgmt_witness_vlan">'Value Reference Tables'!$AA$70</definedName>
    <definedName name="prefix_other_region_az1_cidr">'Value Reference Tables'!$AA$84</definedName>
    <definedName name="prefix_portable_component">'Value Reference Tables'!$AA$85</definedName>
    <definedName name="prefix_reg_cidr">'Value Reference Tables'!$AA$68</definedName>
    <definedName name="prefix_wld_az1_cidr">'Value Reference Tables'!$AA$74</definedName>
    <definedName name="prefix_wld_az1_rack_cidr">'Value Reference Tables - MR'!$AH$9</definedName>
    <definedName name="prefix_wld_az1_rack_vlan">'Value Reference Tables - MR'!$AH$7</definedName>
    <definedName name="prefix_wld_az1_vlan">'Value Reference Tables'!$AA$73</definedName>
    <definedName name="prefix_wld_az2_cidr">'Value Reference Tables'!$AA$77</definedName>
    <definedName name="prefix_wld_az2_rack_cidr">'Value Reference Tables - MR'!$AH$10</definedName>
    <definedName name="prefix_wld_az2_rack_vlan">'Value Reference Tables - MR'!$AH$8</definedName>
    <definedName name="prefix_wld_az2_vlan">'Value Reference Tables'!$AA$76</definedName>
    <definedName name="prefix_wld_k8s_cidr">'Value Reference Tables'!$AA$83</definedName>
    <definedName name="prefix_wld_stretched_cidr">'Value Reference Tables'!$AA$79</definedName>
    <definedName name="prefix_wld_stretched_vlan">'Value Reference Tables'!$AA$78</definedName>
    <definedName name="prefix_wld_tor_asn">'Value Reference Tables'!$AA$82</definedName>
    <definedName name="prefix_wld_witness_cidr">'Value Reference Tables'!$AA$81</definedName>
    <definedName name="prefix_wld_witness_vlan">'Value Reference Tables'!$AA$80</definedName>
    <definedName name="prefix_xreg_cidr">'Value Reference Tables'!$AA$69</definedName>
    <definedName name="protected_mgmt_result">'Value Reference Tables'!$AA$97</definedName>
    <definedName name="protected_wld_result">'Value Reference Tables'!$AA$99</definedName>
    <definedName name="recovery_mgmt_result">'Value Reference Tables'!$AA$98</definedName>
    <definedName name="reg_seg01_mask_overlay_backed">'Value Reference Tables'!$AA$40</definedName>
    <definedName name="region_ad_child_fqdn">'Value Reference Tables'!$L$73</definedName>
    <definedName name="region_ad_child_netbios">'Value Reference Tables'!$L$78</definedName>
    <definedName name="region_ad_parent_fqdn">'Value Reference Tables'!$L$72</definedName>
    <definedName name="region_ad_parent_netbios">'Value Reference Tables'!$L$77</definedName>
    <definedName name="region_dns1_ip">'Value Reference Tables'!$L$51</definedName>
    <definedName name="region_dns2_ip">'Value Reference Tables'!$L$52</definedName>
    <definedName name="region_ntp_servers_array">'Value Reference Tables'!$L$44:$L$45</definedName>
    <definedName name="region_ntp1_server">'Value Reference Tables'!$L$44</definedName>
    <definedName name="region_ntp2_server">'Value Reference Tables'!$L$45</definedName>
    <definedName name="region_vrli_nodea_fqdn">'Value Reference Tables'!$R$71</definedName>
    <definedName name="region_vrli_nodea_hostname">'Value Reference Tables'!$R$64</definedName>
    <definedName name="region_vrli_nodea_ip">'Value Reference Tables'!$R$57</definedName>
    <definedName name="region_vrli_nodeb_fqdn">'Value Reference Tables'!$R$72</definedName>
    <definedName name="region_vrli_nodeb_hostname">'Value Reference Tables'!$R$65</definedName>
    <definedName name="region_vrli_nodeb_ip">'Value Reference Tables'!$R$58</definedName>
    <definedName name="region_vrli_nodec_fqdn">'Value Reference Tables'!$R$73</definedName>
    <definedName name="region_vrli_nodec_hostname">'Value Reference Tables'!$R$66</definedName>
    <definedName name="region_vrli_nodec_ip">'Value Reference Tables'!$R$59</definedName>
    <definedName name="region_vrli_virtual_fqdn">'Value Reference Tables'!$R$70</definedName>
    <definedName name="region_vrli_virtual_hostname">'Value Reference Tables'!$R$63</definedName>
    <definedName name="region_vrli_virtual_ip">'Value Reference Tables'!$R$56</definedName>
    <definedName name="region_vrni_nodea_hostname">'Value Reference Tables'!$R$140</definedName>
    <definedName name="region_vrni_nodea_ip">'Value Reference Tables'!$R$135</definedName>
    <definedName name="rwr_child_dns_zone">'Value Reference Tables'!$U$199</definedName>
    <definedName name="rwr_chosen">'Management Domain Sizing'!$B$64</definedName>
    <definedName name="rwr_datacenter">'Value Reference Tables'!$U$203</definedName>
    <definedName name="rwr_result">'Management Domain Sizing'!$I$64</definedName>
    <definedName name="rwr_sso_domain_name">'Value Reference Tables'!$U$197</definedName>
    <definedName name="rwr_vlr_replication_password">'Value Reference Tables'!$U$200</definedName>
    <definedName name="rwr_vrms_pg">'Value Reference Tables'!$U$201</definedName>
    <definedName name="sample_administrator_vsphere_local_password">'Deploy Management Domain'!$K$97</definedName>
    <definedName name="sample_air_GPU_network_operator_namespace">'Private AI Ready Infrastructure'!$C$82</definedName>
    <definedName name="sample_air_GPU_operator_namespace">'Private AI Ready Infrastructure'!$C$77</definedName>
    <definedName name="sample_air_GPU_VM_class">'Private AI Ready Infrastructure'!$C$59</definedName>
    <definedName name="sample_air_license">'Private AI Ready Infrastructure'!$C$9</definedName>
    <definedName name="sample_avilb_root_password">'Configure Management Domain'!$C$212</definedName>
    <definedName name="sample_ca_administrator_password">'Configure Management Domain'!$C$35</definedName>
    <definedName name="sample_ca_administrator_username">'Configure Management Domain'!$C$34</definedName>
    <definedName name="sample_ca_algorithm">'Configure Management Domain'!$C$58</definedName>
    <definedName name="sample_ca_country">'Configure Management Domain'!$C$61</definedName>
    <definedName name="sample_ca_email_address">'Configure Management Domain'!$C$64</definedName>
    <definedName name="sample_ca_key_size">'Configure Management Domain'!$C$65</definedName>
    <definedName name="sample_ca_locality">'Configure Management Domain'!$C$63</definedName>
    <definedName name="sample_ca_organization">'Configure Management Domain'!$C$60</definedName>
    <definedName name="sample_ca_organization_unit">'Configure Management Domain'!$C$59</definedName>
    <definedName name="sample_ca_state">'Configure Management Domain'!$C$62</definedName>
    <definedName name="sample_ca_template_name">'Configure Management Domain'!$C$45</definedName>
    <definedName name="sample_cbr_aria_logs_key">'Cloud-Based Ransomware Recovery'!$C$39</definedName>
    <definedName name="sample_cbr_aria_logs_url">'Cloud-Based Ransomware Recovery'!$C$38</definedName>
    <definedName name="sample_cbr_firewall_group">'Cloud-Based Ransomware Recovery'!$C$26</definedName>
    <definedName name="sample_cbr_firewall_ip_addresses">'Cloud-Based Ransomware Recovery'!$C$27</definedName>
    <definedName name="sample_cbr_firewall_rule_vcenter">'Cloud-Based Ransomware Recovery'!$C$25</definedName>
    <definedName name="sample_cbr_recovery_host_count">'Cloud-Based Ransomware Recovery'!$C$21</definedName>
    <definedName name="sample_cbr_recovery_host_type">'Cloud-Based Ransomware Recovery'!$C$20</definedName>
    <definedName name="sample_cbr_recovery_management_subnet">'Cloud-Based Ransomware Recovery'!$C$24</definedName>
    <definedName name="sample_cbr_recovery_region">'Cloud-Based Ransomware Recovery'!$C$19</definedName>
    <definedName name="sample_cbr_recovery_sddc_name">'Cloud-Based Ransomware Recovery'!$C$18</definedName>
    <definedName name="sample_cbr_recovery_subnet">'Cloud-Based Ransomware Recovery'!$C$23</definedName>
    <definedName name="sample_cbr_recovery_vpc">'Cloud-Based Ransomware Recovery'!$C$22</definedName>
    <definedName name="sample_cbr_vcdr_anti_affinity">'Cloud-Based Ransomware Recovery'!$C$35</definedName>
    <definedName name="sample_cbr_vcdr_cdp1_hostname">'Cloud-Based Ransomware Recovery'!$D$9</definedName>
    <definedName name="sample_cbr_vcdr_cdp1_ip">'Cloud-Based Ransomware Recovery'!$F$9</definedName>
    <definedName name="sample_cbr_vcdr_cdp2_hostname">'Cloud-Based Ransomware Recovery'!$D$10</definedName>
    <definedName name="sample_cbr_vcdr_cdp2_ip">'Cloud-Based Ransomware Recovery'!$F$10</definedName>
    <definedName name="sample_cbr_vcdr_cloud_file_system">'Cloud-Based Ransomware Recovery'!$C$28</definedName>
    <definedName name="sample_cbr_vcdr_email_recipient">'Cloud-Based Ransomware Recovery'!$C$36</definedName>
    <definedName name="sample_cbr_vcdr_email_sender">'Cloud-Based Ransomware Recovery'!$C$37</definedName>
    <definedName name="sample_cbr_vcdr_label">'Cloud-Based Ransomware Recovery'!$C$34</definedName>
    <definedName name="sample_cbr_vcdr_orchestrator_fqdn">'Cloud-Based Ransomware Recovery'!$C$32</definedName>
    <definedName name="sample_cbr_vcdr_ova">'Cloud-Based Ransomware Recovery'!$C$31</definedName>
    <definedName name="sample_cbr_vcdr_passcode">'Cloud-Based Ransomware Recovery'!$C$33</definedName>
    <definedName name="sample_cbr_vcdr_site_name">'Cloud-Based Ransomware Recovery'!$C$29</definedName>
    <definedName name="sample_cbr_vcdr_timezone">'Cloud-Based Ransomware Recovery'!$C$30</definedName>
    <definedName name="sample_cbr_vcdr_vsphere_role">'Cloud-Based Ransomware Recovery'!$C$14</definedName>
    <definedName name="sample_cbr_vm_folder">'Cloud-Based Ransomware Recovery'!$C$17</definedName>
    <definedName name="sample_cbw_hcx_cdp_fqdn">'Cross Cloud Mobility'!$C$112</definedName>
    <definedName name="sample_ccm_aws_admin_password">'Cross Cloud Mobility'!$C$37</definedName>
    <definedName name="sample_ccm_aws_admin_ssouser">'Cross Cloud Mobility'!$C$36</definedName>
    <definedName name="sample_ccm_aws_host_count">'Cross Cloud Mobility'!$C$23</definedName>
    <definedName name="sample_ccm_aws_host_type">'Cross Cloud Mobility'!$C$22</definedName>
    <definedName name="sample_ccm_aws_management_subnet">'Cross Cloud Mobility'!$C$26</definedName>
    <definedName name="sample_ccm_aws_region">'Cross Cloud Mobility'!$C$21</definedName>
    <definedName name="sample_ccm_aws_sddc_name">'Cross Cloud Mobility'!$C$20</definedName>
    <definedName name="sample_ccm_aws_subnet">'Cross Cloud Mobility'!$C$25</definedName>
    <definedName name="sample_ccm_aws_vpc">'Cross Cloud Mobility'!$C$24</definedName>
    <definedName name="sample_ccm_firewall_group">'Cross Cloud Mobility'!$C$29</definedName>
    <definedName name="sample_ccm_firewall_ip_addresses">'Cross Cloud Mobility'!$C$30</definedName>
    <definedName name="sample_ccm_firewall_rule_hcx">'Cross Cloud Mobility'!$C$28</definedName>
    <definedName name="sample_ccm_firewall_rule_vcenter">'Cross Cloud Mobility'!$C$27</definedName>
    <definedName name="sample_ccm_hcx_admin_password">'Cross Cloud Mobility'!$C$33</definedName>
    <definedName name="sample_ccm_hcx_cdp_hostname">'Cross Cloud Mobility'!$D$9</definedName>
    <definedName name="sample_ccm_hcx_cdp_ip">'Cross Cloud Mobility'!$F$9</definedName>
    <definedName name="sample_ccm_hcx_compute_profile">'Cross Cloud Mobility'!$C$38</definedName>
    <definedName name="sample_ccm_hcx_dc_location">'Cross Cloud Mobility'!$C$32</definedName>
    <definedName name="sample_ccm_hcx_license">'Cross Cloud Mobility'!$C$31</definedName>
    <definedName name="sample_ccm_hcx_mgmt_network_ip_range">'Cross Cloud Mobility'!$D$11</definedName>
    <definedName name="sample_ccm_hcx_remote_url">'Cross Cloud Mobility'!$C$35</definedName>
    <definedName name="sample_ccm_hcx_resource_pool">'Cross Cloud Mobility'!$C$19</definedName>
    <definedName name="sample_ccm_hcx_root_password">'Cross Cloud Mobility'!$C$34</definedName>
    <definedName name="sample_ccm_hcx_service_mesh">'Cross Cloud Mobility'!$C$39</definedName>
    <definedName name="sample_ccm_hcx_vm_folder">'Cross Cloud Mobility'!$C$18</definedName>
    <definedName name="sample_ccm_hcx_vmotion_network_ip_range">'Cross Cloud Mobility'!$D$12</definedName>
    <definedName name="sample_ccm_hcx_vsphere_role">'Cross Cloud Mobility'!$C$16</definedName>
    <definedName name="sample_ccm_vm_folder">'Cross Cloud Mobility'!$C$17</definedName>
    <definedName name="sample_certificate_authority_fqdn">'Configure Management Domain'!$C$33</definedName>
    <definedName name="sample_certificate_authority_name">'Configure Management Domain'!$C$67</definedName>
    <definedName name="sample_child_ad_groups_ou">'Active Directory Inputs'!$D$11</definedName>
    <definedName name="sample_child_ad_users_ou">'Active Directory Inputs'!$F$11</definedName>
    <definedName name="sample_child_dns_zone">Arkham!$B$11</definedName>
    <definedName name="sample_child_svc_nsx_ad_password">'Active Directory Inputs'!$F$19</definedName>
    <definedName name="sample_child_svc_nsx_ad_user">'Active Directory Inputs'!$D$19</definedName>
    <definedName name="sample_child_svc_vsphere_ad_password">'Active Directory Inputs'!$F$18</definedName>
    <definedName name="sample_child_svc_vsphere_ad_user">'Active Directory Inputs'!$D$18</definedName>
    <definedName name="sample_cluster_az1_host_overlay_cidr">'Deploy Cluster'!$C$236</definedName>
    <definedName name="sample_cluster_az1_host_overlay_gateway_ip">'Deploy Cluster'!$C$239</definedName>
    <definedName name="sample_cluster_az1_host_overlay_network_pool_description">'Deploy Cluster'!$C$235</definedName>
    <definedName name="sample_cluster_az1_host_overlay_network_pool_name">'Deploy Cluster'!$C$234</definedName>
    <definedName name="sample_cluster_az1_host_overlay_network_profile_name">'Deploy Cluster'!$C$242</definedName>
    <definedName name="sample_cluster_az1_host_overlay_pool_end_ip">'Deploy Cluster'!$C$238</definedName>
    <definedName name="sample_cluster_az1_host_overlay_pool_start_ip">'Deploy Cluster'!$C$237</definedName>
    <definedName name="sample_cluster_az1_host_overlay_uplink_profile_name">'Deploy Cluster'!$C$246</definedName>
    <definedName name="sample_cluster_az1_host_overlay_vlan">'Deploy Cluster'!$C$231</definedName>
    <definedName name="sample_cluster_az1_host1_fqdn">'Deploy Cluster'!$C$84</definedName>
    <definedName name="sample_cluster_az1_host1_mgmt_ip">'Deploy Cluster'!$C$29</definedName>
    <definedName name="sample_cluster_az1_host10_fqdn">'Deploy Cluster'!$C$93</definedName>
    <definedName name="sample_cluster_az1_host10_mgmt_ip">'Deploy Cluster'!$C$38</definedName>
    <definedName name="sample_cluster_az1_host11_fqdn">'Deploy Cluster'!$C$94</definedName>
    <definedName name="sample_cluster_az1_host11_mgmt_ip">'Deploy Cluster'!$C$39</definedName>
    <definedName name="sample_cluster_az1_host12_fqdn">'Deploy Cluster'!$C$95</definedName>
    <definedName name="sample_cluster_az1_host12_mgmt_ip">'Deploy Cluster'!$C$40</definedName>
    <definedName name="sample_cluster_az1_host13_fqdn">'Deploy Cluster'!$C$96</definedName>
    <definedName name="sample_cluster_az1_host13_mgmt_ip">'Deploy Cluster'!$C$41</definedName>
    <definedName name="sample_cluster_az1_host14_fqdn">'Deploy Cluster'!$C$97</definedName>
    <definedName name="sample_cluster_az1_host14_mgmt_ip">'Deploy Cluster'!$C$42</definedName>
    <definedName name="sample_cluster_az1_host15_fqdn">'Deploy Cluster'!$C$98</definedName>
    <definedName name="sample_cluster_az1_host15_mgmt_ip">'Deploy Cluster'!$C$43</definedName>
    <definedName name="sample_cluster_az1_host16_fqdn">'Deploy Cluster'!$C$99</definedName>
    <definedName name="sample_cluster_az1_host16_mgmt_ip">'Deploy Cluster'!$C$44</definedName>
    <definedName name="sample_cluster_az1_host2_fqdn">'Deploy Cluster'!$C$85</definedName>
    <definedName name="sample_cluster_az1_host2_mgmt_ip">'Deploy Cluster'!$C$30</definedName>
    <definedName name="sample_cluster_az1_host3_fqdn">'Deploy Cluster'!$C$86</definedName>
    <definedName name="sample_cluster_az1_host3_mgmt_ip">'Deploy Cluster'!$C$31</definedName>
    <definedName name="sample_cluster_az1_host4_fqdn">'Deploy Cluster'!$C$87</definedName>
    <definedName name="sample_cluster_az1_host4_mgmt_ip">'Deploy Cluster'!$C$32</definedName>
    <definedName name="sample_cluster_az1_host5_fqdn">'Deploy Cluster'!$C$88</definedName>
    <definedName name="sample_cluster_az1_host5_mgmt_ip">'Deploy Cluster'!$C$33</definedName>
    <definedName name="sample_cluster_az1_host6_fqdn">'Deploy Cluster'!$C$89</definedName>
    <definedName name="sample_cluster_az1_host6_mgmt_ip">'Deploy Cluster'!$C$34</definedName>
    <definedName name="sample_cluster_az1_host7_fqdn">'Deploy Cluster'!$C$90</definedName>
    <definedName name="sample_cluster_az1_host7_mgmt_ip">'Deploy Cluster'!$C$35</definedName>
    <definedName name="sample_cluster_az1_host8_fqdn">'Deploy Cluster'!$C$91</definedName>
    <definedName name="sample_cluster_az1_host8_mgmt_ip">'Deploy Cluster'!$C$36</definedName>
    <definedName name="sample_cluster_az1_host9_fqdn">'Deploy Cluster'!$C$92</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Cluster'!$C$200</definedName>
    <definedName name="sample_cluster_az1_mgmt_vlan">'Deploy Cluster'!$C$24</definedName>
    <definedName name="sample_cluster_az1_mgmt_vm_pg">'Deploy Cluster'!$C$205</definedName>
    <definedName name="sample_cluster_az1_nsx_uplink_count">'Deploy Cluster'!$C$243</definedName>
    <definedName name="sample_cluster_az1_nsx_uplink1">'Deploy Cluster'!$C$244</definedName>
    <definedName name="sample_cluster_az1_nsx_uplink1_active">'Deploy Cluster'!$C$248</definedName>
    <definedName name="sample_cluster_az1_nsx_uplink2">'Deploy Cluster'!$C$245</definedName>
    <definedName name="sample_cluster_az1_nsx_uplink2_active">'Deploy Cluster'!$C$249</definedName>
    <definedName name="sample_cluster_az1_pool_name">'Deploy Cluster'!$C$48</definedName>
    <definedName name="sample_cluster_az1_principal_storage_gateway_ip">'Deploy Cluster'!$C$62</definedName>
    <definedName name="sample_cluster_az1_principal_storage_mask">'Deploy Cluster'!$C$61</definedName>
    <definedName name="sample_cluster_az1_principal_storage_mtu">'Deploy Cluster'!$C$59</definedName>
    <definedName name="sample_cluster_az1_principal_storage_network">'Deploy Cluster'!$C$60</definedName>
    <definedName name="sample_cluster_az1_principal_storage_pg">'Deploy Cluster'!$C$215</definedName>
    <definedName name="sample_cluster_az1_principal_storage_pool_end_ip">'Deploy Cluster'!$C$64</definedName>
    <definedName name="sample_cluster_az1_principal_storage_pool_start_ip">'Deploy Cluster'!$C$63</definedName>
    <definedName name="sample_cluster_az1_principal_storage_vlan">'Deploy Cluster'!$C$58</definedName>
    <definedName name="sample_cluster_az1_secondary_storage_gateway_ip">'Deploy Cluster'!$C$70</definedName>
    <definedName name="sample_cluster_az1_secondary_storage_mask">'Deploy Cluster'!$C$69</definedName>
    <definedName name="sample_cluster_az1_secondary_storage_mtu">'Deploy Cluster'!$C$67</definedName>
    <definedName name="sample_cluster_az1_secondary_storage_network">'Deploy Cluster'!$C$68</definedName>
    <definedName name="sample_cluster_az1_secondary_storage_pool_end_ip">'Deploy Cluster'!$C$72</definedName>
    <definedName name="sample_cluster_az1_secondary_storage_pool_start_ip">'Deploy Cluster'!$C$71</definedName>
    <definedName name="sample_cluster_az1_secondary_storage_vlan">'Deploy Cluster'!$C$66</definedName>
    <definedName name="sample_cluster_az1_storage_cluster_gateway_ip">'Deploy Cluster'!$C$78</definedName>
    <definedName name="sample_cluster_az1_storage_cluster_mask">'Deploy Cluster'!$C$77</definedName>
    <definedName name="sample_cluster_az1_storage_cluster_mtu">'Deploy Cluster'!$C$75</definedName>
    <definedName name="sample_cluster_az1_storage_cluster_network">'Deploy Cluster'!$C$76</definedName>
    <definedName name="sample_cluster_az1_storage_cluster_pool_end_ip">'Deploy Cluster'!$C$80</definedName>
    <definedName name="sample_cluster_az1_storage_cluster_pool_start_ip">'Deploy Cluster'!$C$79</definedName>
    <definedName name="sample_cluster_az1_storage_cluster_vlan">'Deploy Cluster'!$C$74</definedName>
    <definedName name="sample_cluster_az1_vmotion_gateway_ip">'Deploy Cluster'!$C$54</definedName>
    <definedName name="sample_cluster_az1_vmotion_mask">'Deploy Cluster'!$C$53</definedName>
    <definedName name="sample_cluster_az1_vmotion_mtu">'Deploy Cluster'!$C$51</definedName>
    <definedName name="sample_cluster_az1_vmotion_network">'Deploy Cluster'!$C$52</definedName>
    <definedName name="sample_cluster_az1_vmotion_pg">'Deploy Cluster'!$C$210</definedName>
    <definedName name="sample_cluster_az1_vmotion_pool_end_ip">'Deploy Cluster'!$C$56</definedName>
    <definedName name="sample_cluster_az1_vmotion_pool_start_ip">'Deploy Cluster'!$C$55</definedName>
    <definedName name="sample_cluster_az1_vmotion_vlan">'Deploy Cluster'!$C$50</definedName>
    <definedName name="sample_cluster_az1_vsan_storage_client_pg">'Deploy Cluster'!$C$220</definedName>
    <definedName name="sample_cluster_az2_host_overlay_cidr">'Deploy Cluster'!$C$410</definedName>
    <definedName name="sample_cluster_az2_host_overlay_gateway_ip">'Deploy Cluster'!$C$411</definedName>
    <definedName name="sample_cluster_az2_host_overlay_gateway_mtu">'Deploy Cluster'!$C$412</definedName>
    <definedName name="sample_cluster_az2_host_overlay_network_pool_name">'Deploy Cluster'!$C$407</definedName>
    <definedName name="sample_cluster_az2_host_overlay_network_profile_name">'Deploy Cluster'!$C$405</definedName>
    <definedName name="sample_cluster_az2_host_overlay_pool_end_ip">'Deploy Cluster'!$C$414</definedName>
    <definedName name="sample_cluster_az2_host_overlay_pool_start_ip">'Deploy Cluster'!$C$413</definedName>
    <definedName name="sample_cluster_az2_host_overlay_uplink_profile_name">'Deploy Cluster'!$C$408</definedName>
    <definedName name="sample_cluster_az2_host_overlay_vlan">'Deploy Cluster'!$C$409</definedName>
    <definedName name="sample_cluster_az2_host1_fqdn">'Deploy Cluster'!$C$317</definedName>
    <definedName name="sample_cluster_az2_host1_mgmt_ip">'Deploy Cluster'!$C$261</definedName>
    <definedName name="sample_cluster_az2_host10_fqdn">'Deploy Cluster'!$C$326</definedName>
    <definedName name="sample_cluster_az2_host10_mgmt_ip">'Deploy Cluster'!$C$270</definedName>
    <definedName name="sample_cluster_az2_host11_fqdn">'Deploy Cluster'!$C$327</definedName>
    <definedName name="sample_cluster_az2_host11_mgmt_ip">'Deploy Cluster'!$C$271</definedName>
    <definedName name="sample_cluster_az2_host12_fqdn">'Deploy Cluster'!$C$328</definedName>
    <definedName name="sample_cluster_az2_host12_mgmt_ip">'Deploy Cluster'!$C$272</definedName>
    <definedName name="sample_cluster_az2_host13_fqdn">'Deploy Cluster'!$C$329</definedName>
    <definedName name="sample_cluster_az2_host13_mgmt_ip">'Deploy Cluster'!$C$273</definedName>
    <definedName name="sample_cluster_az2_host14_fqdn">'Deploy Cluster'!$C$330</definedName>
    <definedName name="sample_cluster_az2_host14_mgmt_ip">'Deploy Cluster'!$C$274</definedName>
    <definedName name="sample_cluster_az2_host15_fqdn">'Deploy Cluster'!$C$331</definedName>
    <definedName name="sample_cluster_az2_host15_mgmt_ip">'Deploy Cluster'!$C$275</definedName>
    <definedName name="sample_cluster_az2_host16_fqdn">'Deploy Cluster'!$C$332</definedName>
    <definedName name="sample_cluster_az2_host16_mgmt_ip">'Deploy Cluster'!$C$276</definedName>
    <definedName name="sample_cluster_az2_host2_fqdn">'Deploy Cluster'!$C$318</definedName>
    <definedName name="sample_cluster_az2_host2_mgmt_ip">'Deploy Cluster'!$C$262</definedName>
    <definedName name="sample_cluster_az2_host3_fqdn">'Deploy Cluster'!$C$319</definedName>
    <definedName name="sample_cluster_az2_host3_mgmt_ip">'Deploy Cluster'!$C$263</definedName>
    <definedName name="sample_cluster_az2_host4_fqdn">'Deploy Cluster'!$C$320</definedName>
    <definedName name="sample_cluster_az2_host4_mgmt_ip">'Deploy Cluster'!$C$264</definedName>
    <definedName name="sample_cluster_az2_host5_fqdn">'Deploy Cluster'!$C$321</definedName>
    <definedName name="sample_cluster_az2_host5_mgmt_ip">'Deploy Cluster'!$C$265</definedName>
    <definedName name="sample_cluster_az2_host6_fqdn">'Deploy Cluster'!$C$322</definedName>
    <definedName name="sample_cluster_az2_host6_mgmt_ip">'Deploy Cluster'!$C$266</definedName>
    <definedName name="sample_cluster_az2_host7_fqdn">'Deploy Cluster'!$C$323</definedName>
    <definedName name="sample_cluster_az2_host7_mgmt_ip">'Deploy Cluster'!$C$267</definedName>
    <definedName name="sample_cluster_az2_host8_fqdn">'Deploy Cluster'!$C$324</definedName>
    <definedName name="sample_cluster_az2_host8_mgmt_ip">'Deploy Cluster'!$C$268</definedName>
    <definedName name="sample_cluster_az2_host9_fqdn">'Deploy Cluster'!$C$325</definedName>
    <definedName name="sample_cluster_az2_host9_mgmt_ip">'Deploy Cluster'!$C$269</definedName>
    <definedName name="sample_cluster_az2_mgmt_cidr">'Deploy Cluster'!$C$258</definedName>
    <definedName name="sample_cluster_az2_mgmt_gateway_ip">'Deploy Cluster'!$C$257</definedName>
    <definedName name="sample_cluster_az2_mgmt_mtu">'Deploy Cluster'!$C$259</definedName>
    <definedName name="sample_cluster_az2_mgmt_vlan">'Deploy Cluster'!$C$256</definedName>
    <definedName name="sample_cluster_az2_pool_name">'Deploy Cluster'!$C$281</definedName>
    <definedName name="sample_cluster_az2_principal_storage_gateway_ip">'Deploy Cluster'!$C$295</definedName>
    <definedName name="sample_cluster_az2_principal_storage_mask">'Deploy Cluster'!$C$294</definedName>
    <definedName name="sample_cluster_az2_principal_storage_mtu">'Deploy Cluster'!$C$292</definedName>
    <definedName name="sample_cluster_az2_principal_storage_network">'Deploy Cluster'!$C$293</definedName>
    <definedName name="sample_cluster_az2_principal_storage_pool_end_ip">'Deploy Cluster'!$C$297</definedName>
    <definedName name="sample_cluster_az2_principal_storage_pool_start_ip">'Deploy Cluster'!$C$296</definedName>
    <definedName name="sample_cluster_az2_principal_storage_vlan">'Deploy Cluster'!$C$291</definedName>
    <definedName name="sample_cluster_az2_secondary_storage_gateway_ip">'Deploy Cluster'!$C$303</definedName>
    <definedName name="sample_cluster_az2_secondary_storage_mask">'Deploy Cluster'!$C$302</definedName>
    <definedName name="sample_cluster_az2_secondary_storage_mtu">'Deploy Cluster'!$C$300</definedName>
    <definedName name="sample_cluster_az2_secondary_storage_network">'Deploy Cluster'!$C$301</definedName>
    <definedName name="sample_cluster_az2_secondary_storage_pool_end_ip">'Deploy Cluster'!$C$305</definedName>
    <definedName name="sample_cluster_az2_secondary_storage_pool_start_ip">'Deploy Cluster'!$C$304</definedName>
    <definedName name="sample_cluster_az2_secondary_storage_vlan">'Deploy Cluster'!$C$299</definedName>
    <definedName name="sample_cluster_az2_storage_cluster_gateway_ip">'Deploy Cluster'!$C$311</definedName>
    <definedName name="sample_cluster_az2_storage_cluster_mask">'Deploy Cluster'!$C$310</definedName>
    <definedName name="sample_cluster_az2_storage_cluster_mtu">'Deploy Cluster'!$C$308</definedName>
    <definedName name="sample_cluster_az2_storage_cluster_network">'Deploy Cluster'!$C$309</definedName>
    <definedName name="sample_cluster_az2_storage_cluster_pool_end_ip">'Deploy Cluster'!$C$313</definedName>
    <definedName name="sample_cluster_az2_storage_cluster_pool_start_ip">'Deploy Cluster'!$C$312</definedName>
    <definedName name="sample_cluster_az2_storage_cluster_vlan">'Deploy Cluster'!$C$307</definedName>
    <definedName name="sample_cluster_az2_tor1_peer_asn">'Deploy Cluster'!$C$432</definedName>
    <definedName name="sample_cluster_az2_tor1_peer_ip">'Deploy Cluster'!$C$431</definedName>
    <definedName name="sample_cluster_az2_tor2_peer_asn">'Deploy Cluster'!$C$439</definedName>
    <definedName name="sample_cluster_az2_tor2_peer_ip">'Deploy Cluster'!$C$436</definedName>
    <definedName name="sample_cluster_az2_vmotion_gateway_ip">'Deploy Cluster'!$C$287</definedName>
    <definedName name="sample_cluster_az2_vmotion_mask">'Deploy Cluster'!$C$286</definedName>
    <definedName name="sample_cluster_az2_vmotion_mtu">'Deploy Cluster'!$C$284</definedName>
    <definedName name="sample_cluster_az2_vmotion_network">'Deploy Cluster'!$C$285</definedName>
    <definedName name="sample_cluster_az2_vmotion_pool_end_ip">'Deploy Cluster'!$C$289</definedName>
    <definedName name="sample_cluster_az2_vmotion_pool_start_ip">'Deploy Cluster'!$C$288</definedName>
    <definedName name="sample_cluster_az2_vmotion_vlan">'Deploy Cluster'!$C$283</definedName>
    <definedName name="sample_cluster_cluster_sddc_id">'Deploy Cluster'!$C$418</definedName>
    <definedName name="sample_cluster_datacenter">'Deploy Cluster'!$C$370</definedName>
    <definedName name="sample_cluster_domain_name">'Deploy Cluster'!$C$19</definedName>
    <definedName name="sample_cluster_esx_root_password">'Deploy Cluster'!$C$105</definedName>
    <definedName name="sample_cluster_esx_root_username">'Deploy Cluster'!$C$104</definedName>
    <definedName name="sample_cluster_host_overlay_transportzone">'Deploy Cluster'!$C$230</definedName>
    <definedName name="sample_cluster_image_name">'Deploy Cluster'!$C$122</definedName>
    <definedName name="sample_cluster_name">'Deploy Cluster'!$C$117</definedName>
    <definedName name="sample_cluster_nfs_datastore_name">'Deploy Cluster'!$C$134</definedName>
    <definedName name="sample_cluster_nfs_server_address">'Deploy Cluster'!$C$136</definedName>
    <definedName name="sample_cluster_nfs_share_path">'Deploy Cluster'!$C$135</definedName>
    <definedName name="sample_cluster_nsx_vlan_transport_zone_name">'Deploy Cluster'!$C$240</definedName>
    <definedName name="sample_cluster_nsxt_vip_fqdn">'Deploy Cluster'!$C$423</definedName>
    <definedName name="sample_cluster_storage_cluster_name">'Deploy Cluster'!$C$128</definedName>
    <definedName name="sample_cluster_vc_fqdn">'Deploy Cluster'!$C$369</definedName>
    <definedName name="sample_cluster_vds01_lag_name">'Deploy Cluster'!$C$170</definedName>
    <definedName name="sample_cluster_vds01_mtu">'Deploy Cluster'!$C$168</definedName>
    <definedName name="sample_cluster_vds01_name">'Deploy Cluster'!$C$167</definedName>
    <definedName name="sample_cluster_vds01_pnics">'Deploy Cluster'!$C$175</definedName>
    <definedName name="sample_cluster_vds01_uplink_count">'Deploy Cluster'!$C$174</definedName>
    <definedName name="sample_cluster_vds02_lag_name">'Deploy Cluster'!$C$181</definedName>
    <definedName name="sample_cluster_vds02_mtu">'Deploy Cluster'!$C$179</definedName>
    <definedName name="sample_cluster_vds02_name">'Deploy Cluster'!$C$178</definedName>
    <definedName name="sample_cluster_vds02_pnics">'Deploy Cluster'!$C$186</definedName>
    <definedName name="sample_cluster_vds02_uplink_count">'Deploy Cluster'!$C$185</definedName>
    <definedName name="sample_cluster_vds03_lag_name">'Deploy Cluster'!$C$192</definedName>
    <definedName name="sample_cluster_vds03_mtu">'Deploy Cluster'!$C$190</definedName>
    <definedName name="sample_cluster_vds03_name">'Deploy Cluster'!$C$189</definedName>
    <definedName name="sample_cluster_vds03_pnics">'Deploy Cluster'!$C$197</definedName>
    <definedName name="sample_cluster_vds03_uplink_count">'Deploy Cluster'!$C$196</definedName>
    <definedName name="sample_cluster_vmfs_datastore_name">'Deploy Cluster'!$C$133</definedName>
    <definedName name="sample_cluster_vsan_datastore">'Deploy Cluster'!$C$129</definedName>
    <definedName name="sample_cluster_witness_cluster">'Deploy Cluster'!$C$352</definedName>
    <definedName name="sample_cluster_witness_dns1_ip">'Deploy Cluster'!$C$363</definedName>
    <definedName name="sample_cluster_witness_dns2_ip">'Deploy Cluster'!$C$364</definedName>
    <definedName name="sample_cluster_witness_fqdn">'Deploy Cluster'!$C$371</definedName>
    <definedName name="sample_cluster_witness_hostname">'Deploy Cluster'!$C$351</definedName>
    <definedName name="sample_cluster_witness_ip">'Deploy Cluster'!$C$358</definedName>
    <definedName name="sample_cluster_witness_mgmt_pg">'Deploy Cluster'!$C$355</definedName>
    <definedName name="sample_cluster_witness_ntp1_server">'Deploy Cluster'!$C$365</definedName>
    <definedName name="sample_cluster_witness_ntp2_server">'Deploy Cluster'!$C$366</definedName>
    <definedName name="sample_cluster_witness_vm_folder">'Deploy Cluster'!$C$353</definedName>
    <definedName name="sample_cluster_witness_vsan_datastore">'Deploy Cluster'!$C$354</definedName>
    <definedName name="sample_cluster_witness_zone_vc_fqdn">'Deploy Cluster'!$C$350</definedName>
    <definedName name="sample_cluster_witnessaz_mask">'Deploy Cluster'!$C$359</definedName>
    <definedName name="sample_cluster_witnessaz_mgmt_cidr">'Deploy Cluster'!$C$344</definedName>
    <definedName name="sample_cluster_witnessaz_mgmt_gateway_ip">'Deploy Cluster'!$C$343</definedName>
    <definedName name="sample_cluster_witnessaz_mgmt_mtu">'Deploy Cluster'!$C$345</definedName>
    <definedName name="sample_cluster_witnessaz_mgmt_vlan">'Deploy Cluster'!$C$342</definedName>
    <definedName name="sample_domain_controller_hostname">Arkham!$B$15</definedName>
    <definedName name="sample_esxi_root_password">'Deploy Management Domain'!$K$127</definedName>
    <definedName name="sample_flt_auto_node_pool_end_ip">Arkham!$P$35</definedName>
    <definedName name="sample_flt_auto_node_pool_start_ip">Arkham!$P$34</definedName>
    <definedName name="sample_flt_auto_sr_fqdn">Arkham!$P$32</definedName>
    <definedName name="sample_flt_auto_sr_ip">Arkham!$P$26</definedName>
    <definedName name="sample_flt_custom_network_auto_admin_password">'Deploy Fleet Management Day-N'!$C$58</definedName>
    <definedName name="sample_flt_custom_network_auto_nodea_ip">'Deploy Fleet Management Day-N'!$C$53</definedName>
    <definedName name="sample_flt_custom_network_auto_nodeb_ip">'Deploy Fleet Management Day-N'!$C$54</definedName>
    <definedName name="sample_flt_custom_network_auto_nodec_ip">'Deploy Fleet Management Day-N'!$C$55</definedName>
    <definedName name="sample_flt_custom_network_auto_noded_ip">'Deploy Fleet Management Day-N'!$C$56</definedName>
    <definedName name="sample_flt_custom_network_auto_nodee_ip">Arkham!$P$11</definedName>
    <definedName name="sample_flt_custom_network_auto_nodef_ip">Arkham!$P$12</definedName>
    <definedName name="sample_flt_custom_network_auto_prefix">'Deploy Fleet Management Day-N'!$C$51</definedName>
    <definedName name="sample_flt_custom_network_auto_vip_fqdn">'Deploy Fleet Management Day-N'!$C$50</definedName>
    <definedName name="sample_flt_custom_network_auto_vip_ip">'Deploy Fleet Management Day-N'!$C$52</definedName>
    <definedName name="sample_flt_custom_network_flt_admin_password">'Deploy Fleet Management Day-N'!$C$29</definedName>
    <definedName name="sample_flt_custom_network_flt_fqdn">'Deploy Fleet Management Day-N'!$C$26</definedName>
    <definedName name="sample_flt_custom_network_flt_ip">'Deploy Fleet Management Day-N'!$C$27</definedName>
    <definedName name="sample_flt_custom_network_flt_root_password">'Deploy Fleet Management Day-N'!$C$28</definedName>
    <definedName name="sample_flt_custom_network_local_reg_gateway_ip">'Deploy Fleet Management Day-N'!$C$19</definedName>
    <definedName name="sample_flt_custom_network_local_reg_mask">'Deploy Fleet Management Day-N'!$C$18</definedName>
    <definedName name="sample_flt_custom_network_local_reg_pg">'Deploy Fleet Management Day-N'!$C$17</definedName>
    <definedName name="sample_flt_custom_network_ops_admin_password">'Deploy Fleet Management Day-N'!$C$42</definedName>
    <definedName name="sample_flt_custom_network_ops_collector_fqdn">'Deploy Fleet Management Day-N'!$C$44</definedName>
    <definedName name="sample_flt_custom_network_ops_collector_ip">'Deploy Fleet Management Day-N'!$C$45</definedName>
    <definedName name="sample_flt_custom_network_ops_collector_root_password">'Deploy Fleet Management Day-N'!$C$48</definedName>
    <definedName name="sample_flt_custom_network_ops_collector_version">'Deploy Fleet Management Day-N'!$C$46</definedName>
    <definedName name="sample_flt_custom_network_ops_nodea_fqdn">'Deploy Fleet Management Day-N'!$C$33</definedName>
    <definedName name="sample_flt_custom_network_ops_nodea_ip">'Deploy Fleet Management Day-N'!$C$37</definedName>
    <definedName name="sample_flt_custom_network_ops_nodeb_fqdn">'Deploy Fleet Management Day-N'!$C$34</definedName>
    <definedName name="sample_flt_custom_network_ops_nodeb_ip">'Deploy Fleet Management Day-N'!$C$38</definedName>
    <definedName name="sample_flt_custom_network_ops_nodec_fqdn">'Deploy Fleet Management Day-N'!$C$35</definedName>
    <definedName name="sample_flt_custom_network_ops_nodec_ip">'Deploy Fleet Management Day-N'!$C$39</definedName>
    <definedName name="sample_flt_custom_network_ops_root_password">'Deploy Fleet Management Day-N'!$C$41</definedName>
    <definedName name="sample_flt_custom_network_ops_vip_fqdn">'Deploy Fleet Management Day-N'!$C$32</definedName>
    <definedName name="sample_flt_custom_network_ops_vip_ip">'Deploy Fleet Management Day-N'!$C$36</definedName>
    <definedName name="sample_flt_custom_network_x_reg_gateway_ip">'Deploy Fleet Management Day-N'!$C$23</definedName>
    <definedName name="sample_flt_custom_network_x_reg_mask">'Deploy Fleet Management Day-N'!$C$22</definedName>
    <definedName name="sample_flt_custom_network_x_reg_pg">'Deploy Fleet Management Day-N'!$C$21</definedName>
    <definedName name="sample_flt_fc_fqdn">Arkham!$P$31</definedName>
    <definedName name="sample_flt_fc_ip">Arkham!$P$25</definedName>
    <definedName name="sample_flt_ic_fqdn">Arkham!$P$30</definedName>
    <definedName name="sample_flt_ic_ip">Arkham!$P$24</definedName>
    <definedName name="sample_flt_lc_fqdn">Arkham!$P$28</definedName>
    <definedName name="sample_flt_lc_ip">Arkham!$P$22</definedName>
    <definedName name="sample_flt_logs_admin_email">'Deploy Fleet Management Day-N'!$C$266</definedName>
    <definedName name="sample_flt_logs_admin_password">'Deploy Fleet Management Day-N'!$C$251</definedName>
    <definedName name="sample_flt_logs_admin_password_alias">'Deploy Fleet Management Day-N'!$C$250</definedName>
    <definedName name="sample_flt_logs_admin_password_description">'Deploy Fleet Management Day-N'!$C$252</definedName>
    <definedName name="sample_flt_logs_admin_username">'Deploy Fleet Management Day-N'!$C$253</definedName>
    <definedName name="sample_flt_logs_cert_alias">'Deploy Fleet Management Day-N'!$C$214</definedName>
    <definedName name="sample_flt_logs_cert_country_code">'Deploy Fleet Management Day-N'!$C$220</definedName>
    <definedName name="sample_flt_logs_cert_locality">'Deploy Fleet Management Day-N'!$C$221</definedName>
    <definedName name="sample_flt_logs_cert_organisation">'Deploy Fleet Management Day-N'!$C$218</definedName>
    <definedName name="sample_flt_logs_cert_state">'Deploy Fleet Management Day-N'!$C$222</definedName>
    <definedName name="sample_flt_logs_cluster">'Deploy Fleet Management Day-N'!$C$235</definedName>
    <definedName name="sample_flt_logs_common_name">'Deploy Fleet Management Day-N'!$C$217</definedName>
    <definedName name="sample_flt_logs_datastore">'Deploy Fleet Management Day-N'!$C$239</definedName>
    <definedName name="sample_flt_logs_folder">'Deploy Fleet Management Day-N'!$C$236</definedName>
    <definedName name="sample_flt_logs_gateway_ip">'Deploy Fleet Management Day-N'!$C$247</definedName>
    <definedName name="sample_flt_logs_mask">'Deploy Fleet Management Day-N'!$C$248</definedName>
    <definedName name="sample_flt_logs_nodea_fqdn">'Deploy Fleet Management Day-N'!$C$225</definedName>
    <definedName name="sample_flt_logs_nodea_hostname">'Deploy Fleet Management Day-N'!$C$273</definedName>
    <definedName name="sample_flt_logs_nodea_ip">'Deploy Fleet Management Day-N'!$C$229</definedName>
    <definedName name="sample_flt_logs_nodeb_fqdn">'Deploy Fleet Management Day-N'!$C$226</definedName>
    <definedName name="sample_flt_logs_nodeb_hostname">'Deploy Fleet Management Day-N'!$C$277</definedName>
    <definedName name="sample_flt_logs_nodeb_ip">'Deploy Fleet Management Day-N'!$C$230</definedName>
    <definedName name="sample_flt_logs_nodec_fqdn">'Deploy Fleet Management Day-N'!$C$227</definedName>
    <definedName name="sample_flt_logs_nodec_hostname">'Deploy Fleet Management Day-N'!$C$281</definedName>
    <definedName name="sample_flt_logs_nodec_ip">'Deploy Fleet Management Day-N'!$C$231</definedName>
    <definedName name="sample_flt_logs_ou_cert">'Deploy Fleet Management Day-N'!$C$219</definedName>
    <definedName name="sample_flt_logs_portgroup">'Deploy Fleet Management Day-N'!$C$238</definedName>
    <definedName name="sample_flt_logs_resource_pool">'Deploy Fleet Management Day-N'!$C$237</definedName>
    <definedName name="sample_flt_logs_root_password">'Deploy Fleet Management Day-N'!$C$255</definedName>
    <definedName name="sample_flt_logs_root_password_alias">'Deploy Fleet Management Day-N'!$C$254</definedName>
    <definedName name="sample_flt_logs_root_password_description">'Deploy Fleet Management Day-N'!$C$256</definedName>
    <definedName name="sample_flt_logs_root_username">'Deploy Fleet Management Day-N'!$C$257</definedName>
    <definedName name="sample_flt_logs_vcenter_fqdn">'Deploy Fleet Management Day-N'!$C$234</definedName>
    <definedName name="sample_flt_logs_vip_fqdn">'Deploy Fleet Management Day-N'!$C$224</definedName>
    <definedName name="sample_flt_logs_vip_ip">'Deploy Fleet Management Day-N'!$C$228</definedName>
    <definedName name="sample_flt_net_admin_password">'Deploy Fleet Management Day-N'!$C$329</definedName>
    <definedName name="sample_flt_net_admin_password_alias">'Deploy Fleet Management Day-N'!$C$328</definedName>
    <definedName name="sample_flt_net_admin_password_description">'Deploy Fleet Management Day-N'!$C$330</definedName>
    <definedName name="sample_flt_net_admin_username">'Deploy Fleet Management Day-N'!$C$331</definedName>
    <definedName name="sample_flt_net_cert_alias">'Deploy Fleet Management Day-N'!$C$293</definedName>
    <definedName name="sample_flt_net_cert_country_code">'Deploy Fleet Management Day-N'!$C$298</definedName>
    <definedName name="sample_flt_net_cert_locality">'Deploy Fleet Management Day-N'!$C$299</definedName>
    <definedName name="sample_flt_net_cert_organisation">'Deploy Fleet Management Day-N'!$C$296</definedName>
    <definedName name="sample_flt_net_cert_state">'Deploy Fleet Management Day-N'!$C$300</definedName>
    <definedName name="sample_flt_net_cluster">'Deploy Fleet Management Day-N'!$C$313</definedName>
    <definedName name="sample_flt_net_common_name">'Deploy Fleet Management Day-N'!$C$295</definedName>
    <definedName name="sample_flt_net_console_password">'Deploy Fleet Management Day-N'!$C$339</definedName>
    <definedName name="sample_flt_net_datastore">'Deploy Fleet Management Day-N'!$C$317</definedName>
    <definedName name="sample_flt_net_folder">'Deploy Fleet Management Day-N'!$C$314</definedName>
    <definedName name="sample_flt_net_node_gateway_ip">'Deploy Fleet Management Day-N'!$C$325</definedName>
    <definedName name="sample_flt_net_node_mask">'Deploy Fleet Management Day-N'!$C$326</definedName>
    <definedName name="sample_flt_net_node_portgroup">'Deploy Fleet Management Day-N'!$C$316</definedName>
    <definedName name="sample_flt_net_nodea_fqdn">'Deploy Fleet Management Day-N'!$C$302</definedName>
    <definedName name="sample_flt_net_nodea_ip">'Deploy Fleet Management Day-N'!$C$306</definedName>
    <definedName name="sample_flt_net_nodeb_fqdn">'Deploy Fleet Management Day-N'!$C$303</definedName>
    <definedName name="sample_flt_net_nodeb_ip">'Deploy Fleet Management Day-N'!$C$307</definedName>
    <definedName name="sample_flt_net_nodec_fqdn">'Deploy Fleet Management Day-N'!$C$304</definedName>
    <definedName name="sample_flt_net_nodec_ip">'Deploy Fleet Management Day-N'!$C$308</definedName>
    <definedName name="sample_flt_net_ou_cert">'Deploy Fleet Management Day-N'!$C$297</definedName>
    <definedName name="sample_flt_net_platform_password">'Deploy Fleet Management Day-N'!$C$337</definedName>
    <definedName name="sample_flt_net_prxy_fqdn">'Deploy Fleet Management Day-N'!$C$305</definedName>
    <definedName name="sample_flt_net_prxy_gateway_ip">'Deploy Fleet Management Day-N'!$C$356</definedName>
    <definedName name="sample_flt_net_prxy_ip">'Deploy Fleet Management Day-N'!$C$309</definedName>
    <definedName name="sample_flt_net_prxy_mask">'Deploy Fleet Management Day-N'!$C$357</definedName>
    <definedName name="sample_flt_net_prxy_portgroup">'Deploy Fleet Management Day-N'!$C$358</definedName>
    <definedName name="sample_flt_net_resource_pool">'Deploy Fleet Management Day-N'!$C$315</definedName>
    <definedName name="sample_flt_net_support_password">'Deploy Fleet Management Day-N'!$C$338</definedName>
    <definedName name="sample_flt_net_vcenter_fqdn">'Deploy Fleet Management Day-N'!$C$312</definedName>
    <definedName name="sample_flt_net_vcenter_list">'Deploy Fleet Management Day-N'!$C$340</definedName>
    <definedName name="sample_flt_sr_fqdn">Arkham!$P$29</definedName>
    <definedName name="sample_flt_sr_ip">Arkham!$P$23</definedName>
    <definedName name="sample_flt_vcfms_node_pool_end_ip">Arkham!$P$41</definedName>
    <definedName name="sample_flt_vcfms_node_pool_start_ip">Arkham!$P$40</definedName>
    <definedName name="sample_flt_vidb_additional_vips">'Deploy Fleet Management Day-N'!$C$169</definedName>
    <definedName name="sample_flt_vidb_base_dn">'Deploy Fleet Management Day-N'!$C$189</definedName>
    <definedName name="sample_flt_vidb_bind_password">'Deploy Fleet Management Day-N'!$C$191</definedName>
    <definedName name="sample_flt_vidb_bind_username">'Deploy Fleet Management Day-N'!$C$190</definedName>
    <definedName name="sample_flt_vidb_cert_alias">'Deploy Fleet Management Day-N'!$C$128</definedName>
    <definedName name="sample_flt_vidb_cert_common_name">'Deploy Fleet Management Day-N'!$C$130</definedName>
    <definedName name="sample_flt_vidb_cert_country_code">'Deploy Fleet Management Day-N'!$C$133</definedName>
    <definedName name="sample_flt_vidb_cert_locality">'Deploy Fleet Management Day-N'!$C$134</definedName>
    <definedName name="sample_flt_vidb_cert_organisation">'Deploy Fleet Management Day-N'!$C$131</definedName>
    <definedName name="sample_flt_vidb_cert_state">'Deploy Fleet Management Day-N'!$C$135</definedName>
    <definedName name="sample_flt_vidb_cluster">'Deploy Fleet Management Day-N'!$C$142</definedName>
    <definedName name="sample_flt_vidb_datastore">'Deploy Fleet Management Day-N'!$C$146</definedName>
    <definedName name="sample_flt_vidb_directory_name">'Deploy Fleet Management Day-N'!$C$179</definedName>
    <definedName name="sample_flt_vidb_distinguished_name">'Deploy Fleet Management Day-N'!$C$197</definedName>
    <definedName name="sample_flt_vidb_employeeID">'Deploy Fleet Management Day-N'!$C$198</definedName>
    <definedName name="sample_flt_vidb_first_name">'Deploy Fleet Management Day-N'!$C$195</definedName>
    <definedName name="sample_flt_vidb_folder">'Deploy Fleet Management Day-N'!$C$143</definedName>
    <definedName name="sample_flt_vidb_gateway_ip">'Deploy Fleet Management Day-N'!$C$153</definedName>
    <definedName name="sample_flt_vidb_group_base_dn">'Deploy Fleet Management Day-N'!$C$202</definedName>
    <definedName name="sample_flt_vidb_last_name">'Deploy Fleet Management Day-N'!$C$196</definedName>
    <definedName name="sample_flt_vidb_mail">'Deploy Fleet Management Day-N'!$C$199</definedName>
    <definedName name="sample_flt_vidb_mask">'Deploy Fleet Management Day-N'!$C$154</definedName>
    <definedName name="sample_flt_vidb_node_prefix">'Deploy Fleet Management Day-N'!$C$166</definedName>
    <definedName name="sample_flt_vidb_nodea_ip">'Deploy Fleet Management Day-N'!$C$170</definedName>
    <definedName name="sample_flt_vidb_nodeb_ip">'Deploy Fleet Management Day-N'!$C$171</definedName>
    <definedName name="sample_flt_vidb_nodec_ip">'Deploy Fleet Management Day-N'!$C$172</definedName>
    <definedName name="sample_flt_vidb_noded_ip">'Deploy Fleet Management Day-N'!$C$173</definedName>
    <definedName name="sample_flt_vidb_ou_cert">'Deploy Fleet Management Day-N'!$C$132</definedName>
    <definedName name="sample_flt_vidb_password">'Deploy Fleet Management Day-N'!$C$160</definedName>
    <definedName name="sample_flt_vidb_password_alias">'Deploy Fleet Management Day-N'!$C$159</definedName>
    <definedName name="sample_flt_vidb_password_description">'Deploy Fleet Management Day-N'!$C$161</definedName>
    <definedName name="sample_flt_vidb_pg">'Deploy Fleet Management Day-N'!$C$145</definedName>
    <definedName name="sample_flt_vidb_primary_domain_controller">'Deploy Fleet Management Day-N'!$C$184</definedName>
    <definedName name="sample_flt_vidb_primary_domain_controller_port">'Deploy Fleet Management Day-N'!$C$185</definedName>
    <definedName name="sample_flt_vidb_resource_pool">'Deploy Fleet Management Day-N'!$C$144</definedName>
    <definedName name="sample_flt_vidb_root_username">'Deploy Fleet Management Day-N'!$C$162</definedName>
    <definedName name="sample_flt_vidb_secondary_domain_controller">'Deploy Fleet Management Day-N'!$C$186</definedName>
    <definedName name="sample_flt_vidb_secondary_domain_controller_port">'Deploy Fleet Management Day-N'!$C$187</definedName>
    <definedName name="sample_flt_vidb_system_user_alias">'Deploy Fleet Management Day-N'!$C$156</definedName>
    <definedName name="sample_flt_vidb_system_user_description">'Deploy Fleet Management Day-N'!$C$158</definedName>
    <definedName name="sample_flt_vidb_system_user_password">'Deploy Fleet Management Day-N'!$C$157</definedName>
    <definedName name="sample_flt_vidb_user_base_dn">'Deploy Fleet Management Day-N'!$C$204</definedName>
    <definedName name="sample_flt_vidb_user_name">'Deploy Fleet Management Day-N'!$C$194</definedName>
    <definedName name="sample_flt_vidb_user_principal_name">'Deploy Fleet Management Day-N'!$C$200</definedName>
    <definedName name="sample_flt_vidb_vcenter_fqdn">'Deploy Fleet Management Day-N'!$C$141</definedName>
    <definedName name="sample_flt_vidb_version">'Deploy Fleet Management Day-N'!$C$124</definedName>
    <definedName name="sample_flt_vidb_vip_fqdn">'Deploy Fleet Management Day-N'!$C$137</definedName>
    <definedName name="sample_flt_vidb_vip_ip">'Deploy Fleet Management Day-N'!$C$138</definedName>
    <definedName name="sample_gg_kub_admins_group">'Active Directory Inputs'!$D$75</definedName>
    <definedName name="sample_gg_kub_readonly_group">'Active Directory Inputs'!$D$76</definedName>
    <definedName name="sample_gg_nsx_auditors_group">'Active Directory Inputs'!$D$72</definedName>
    <definedName name="sample_gg_nsx_enterprise_admins_group">'Active Directory Inputs'!$D$70</definedName>
    <definedName name="sample_gg_nsx_network_admins_group">'Active Directory Inputs'!$D$71</definedName>
    <definedName name="sample_gg_sso_admins_group">'Active Directory Inputs'!$D$69</definedName>
    <definedName name="sample_gg_vc_admins_group">'Active Directory Inputs'!$D$67</definedName>
    <definedName name="sample_gg_vc_read_only_group">'Active Directory Inputs'!$D$68</definedName>
    <definedName name="sample_gg_vcf_admins_group">'Active Directory Inputs'!$D$64</definedName>
    <definedName name="sample_gg_vcf_operators_group">'Active Directory Inputs'!$D$65</definedName>
    <definedName name="sample_gg_vcf_viewers_group">'Active Directory Inputs'!$D$66</definedName>
    <definedName name="sample_gg_vra_cloud_assembly_admins_group">'Active Directory Inputs'!$D$95</definedName>
    <definedName name="sample_gg_vra_cloud_assembly_users_group">'Active Directory Inputs'!$D$96</definedName>
    <definedName name="sample_gg_vra_cloud_assembly_viewers_group">'Active Directory Inputs'!$D$97</definedName>
    <definedName name="sample_gg_vra_orchestrator_admins_group">'Active Directory Inputs'!$D$101</definedName>
    <definedName name="sample_gg_vra_orchestrator_designers_group">'Active Directory Inputs'!$D$102</definedName>
    <definedName name="sample_gg_vra_orchestrator_viewers_group">'Active Directory Inputs'!$D$103</definedName>
    <definedName name="sample_gg_vra_org_owners_group">'Active Directory Inputs'!$D$94</definedName>
    <definedName name="sample_gg_vra_project_admins_sample_group">'Active Directory Inputs'!$D$104</definedName>
    <definedName name="sample_gg_vra_project_users_sample_group">'Active Directory Inputs'!$D$105</definedName>
    <definedName name="sample_gg_vra_service_broker_admins_group">'Active Directory Inputs'!$D$98</definedName>
    <definedName name="sample_gg_vra_service_broker_users_group">'Active Directory Inputs'!$D$99</definedName>
    <definedName name="sample_gg_vra_service_broker_viewers_group">'Active Directory Inputs'!$D$100</definedName>
    <definedName name="sample_gg_vrli_admins_group">'Active Directory Inputs'!$D$79</definedName>
    <definedName name="sample_gg_vrli_users_group">'Active Directory Inputs'!$D$80</definedName>
    <definedName name="sample_gg_vrli_viewers_group">'Active Directory Inputs'!$D$81</definedName>
    <definedName name="sample_gg_vrni_admin_group">'Active Directory Inputs'!$D$89</definedName>
    <definedName name="sample_gg_vrni_auditor_group">'Active Directory Inputs'!$D$91</definedName>
    <definedName name="sample_gg_vrni_member_group">'Active Directory Inputs'!$D$90</definedName>
    <definedName name="sample_gg_vrops_admins_group">'Active Directory Inputs'!$D$84</definedName>
    <definedName name="sample_gg_vrops_content_admins_group">'Active Directory Inputs'!$D$85</definedName>
    <definedName name="sample_gg_vrops_read_only_group">'Active Directory Inputs'!$D$86</definedName>
    <definedName name="sample_gg_vrslcm_admins_group">'Active Directory Inputs'!$D$54</definedName>
    <definedName name="sample_gg_vrslcm_content_developers_group">'Active Directory Inputs'!$D$56</definedName>
    <definedName name="sample_gg_vrslcm_release_managers_group">'Active Directory Inputs'!$D$55</definedName>
    <definedName name="sample_k8s_cluster_name">'Private AI Ready Infrastructure'!$C$46</definedName>
    <definedName name="sample_k8s_ip_prefixlist">'Private AI Ready Infrastructure'!$C$20</definedName>
    <definedName name="sample_k8s_ip_routemap">'Private AI Ready Infrastructure'!$C$21</definedName>
    <definedName name="sample_k8s_kubectl_path">'Private AI Ready Infrastructure'!$C$26</definedName>
    <definedName name="sample_k8s_mgmt_seg">'Private AI Ready Infrastructure'!$C$19</definedName>
    <definedName name="sample_k8s_namepsace">'Private AI Ready Infrastructure'!$C$15</definedName>
    <definedName name="sample_k8s_tanzu_k8s_cluster_pod_pool_cidr">'Private AI Ready Infrastructure'!$C$72</definedName>
    <definedName name="sample_k8s_tanzu_k8s_cluster_service_pool_cidr">'Private AI Ready Infrastructure'!$C$71</definedName>
    <definedName name="sample_k8s_vcenter_category">'Private AI Ready Infrastructure'!$C$22</definedName>
    <definedName name="sample_k8s_vcenter_content_library">'Private AI Ready Infrastructure'!$C$95</definedName>
    <definedName name="sample_k8s_vcenter_storage_policy">'Private AI Ready Infrastructure'!$C$47</definedName>
    <definedName name="sample_k8s_vcenter_tag">'Private AI Ready Infrastructure'!$C$23</definedName>
    <definedName name="sample_k8s_vm_class">'Private AI Ready Infrastructure'!$C$27</definedName>
    <definedName name="sample_mgmt_auth_encrypted_cert">'Deploy Fleet Management Day-N'!$C$183</definedName>
    <definedName name="sample_mgmt_avilb_cluster_name">'Configure Management Domain'!$C$218</definedName>
    <definedName name="sample_mgmt_avilb_cluster_version">'Configure Management Domain'!$C$208</definedName>
    <definedName name="sample_mgmt_avilb_fqdn">'Configure Management Domain'!$C$217</definedName>
    <definedName name="sample_mgmt_avilb_ip">'Configure Management Domain'!$C$216</definedName>
    <definedName name="sample_mgmt_avilb_mgra_ip">'Configure Management Domain'!$C$213</definedName>
    <definedName name="sample_mgmt_avilb_mgrb_ip">'Configure Management Domain'!$C$214</definedName>
    <definedName name="sample_mgmt_avilb_mgrc_ip">'Configure Management Domain'!$C$215</definedName>
    <definedName name="sample_mgmt_az1_edge_overlay_cidr">'Configure Management Domain'!$C$201</definedName>
    <definedName name="sample_mgmt_az1_edge_overlay_gateway_ip">'Configure Management Domain'!$C$122</definedName>
    <definedName name="sample_mgmt_az1_edge_overlay_mask">'Configure Management Domain'!$C$123</definedName>
    <definedName name="sample_mgmt_az1_edge_overlay_mtu">'Configure Management Domain'!$C$202</definedName>
    <definedName name="sample_mgmt_az1_edge_overlay_network_pool_name">'Configure Management Domain'!$C$117</definedName>
    <definedName name="sample_mgmt_az1_edge_overlay_pool_end_ip">'Configure Management Domain'!$C$119</definedName>
    <definedName name="sample_mgmt_az1_edge_overlay_pool_start_ip">'Configure Management Domain'!$C$118</definedName>
    <definedName name="sample_mgmt_az1_edge_overlay_vlan">'Configure Management Domain'!$C$115</definedName>
    <definedName name="sample_mgmt_az1_en1_edge_overlay_interface_ip_1_ip">'Configure Management Domain'!$C$120</definedName>
    <definedName name="sample_mgmt_az1_en1_edge_overlay_interface_ip_2_ip">'Configure Management Domain'!$C$121</definedName>
    <definedName name="sample_mgmt_az1_en1_eth0_uplink0">'Configure Management Domain'!$C$111</definedName>
    <definedName name="sample_mgmt_az1_en1_eth0_uplink1">'Configure Management Domain'!$C$112</definedName>
    <definedName name="sample_mgmt_az1_en1_eth1_uplink0">'Configure Management Domain'!$C$113</definedName>
    <definedName name="sample_mgmt_az1_en1_eth1_uplink1">'Configure Management Domain'!$C$114</definedName>
    <definedName name="sample_mgmt_az1_en1_fqdn">'Configure Management Domain'!$C$99</definedName>
    <definedName name="sample_mgmt_az1_en1_hostname">'Configure Management Domain'!$C$539</definedName>
    <definedName name="sample_mgmt_az1_en1_mgmt_cidr">'Configure Management Domain'!$C$107</definedName>
    <definedName name="sample_mgmt_az1_en1_mgmt_ip">Arkham!$P$17</definedName>
    <definedName name="sample_mgmt_az1_en1_uplink01_interface_cidr">'Configure Management Domain'!$C$159</definedName>
    <definedName name="sample_mgmt_az1_en1_uplink02_interface_cidr">'Configure Management Domain'!$C$166</definedName>
    <definedName name="sample_mgmt_az1_en2_edge_overlay_interface_ip_1_ip">'Configure Management Domain'!$C$144</definedName>
    <definedName name="sample_mgmt_az1_en2_edge_overlay_interface_ip_2_ip">'Configure Management Domain'!$C$145</definedName>
    <definedName name="sample_mgmt_az1_en2_eth0_uplink0">'Configure Management Domain'!$C$137</definedName>
    <definedName name="sample_mgmt_az1_en2_eth0_uplink1">'Configure Management Domain'!$C$138</definedName>
    <definedName name="sample_mgmt_az1_en2_eth1_uplink0">'Configure Management Domain'!$C$139</definedName>
    <definedName name="sample_mgmt_az1_en2_eth1_uplink1">'Configure Management Domain'!$C$140</definedName>
    <definedName name="sample_mgmt_az1_en2_fqdn">'Configure Management Domain'!$C$125</definedName>
    <definedName name="sample_mgmt_az1_en2_hostname">'Configure Management Domain'!$C$545</definedName>
    <definedName name="sample_mgmt_az1_en2_mgmt_cidr">'Configure Management Domain'!$C$133</definedName>
    <definedName name="sample_mgmt_az1_en2_mgmt_ip">Arkham!$P$18</definedName>
    <definedName name="sample_mgmt_az1_en2_uplink01_interface_cidr">'Configure Management Domain'!$C$174</definedName>
    <definedName name="sample_mgmt_az1_en2_uplink02_interface_cidr">'Configure Management Domain'!$C$181</definedName>
    <definedName name="sample_mgmt_az1_host_overlay_cidr">'Deploy Management Domain'!$K$257</definedName>
    <definedName name="sample_mgmt_az1_host_overlay_gateway_ip">'Deploy Management Domain'!$K$260</definedName>
    <definedName name="sample_mgmt_az1_host_overlay_mtu">'Deploy Management Domain'!$K$301</definedName>
    <definedName name="sample_mgmt_az1_host_overlay_network_pool_description">'Deploy Management Domain'!$K$256</definedName>
    <definedName name="sample_mgmt_az1_host_overlay_network_pool_name">'Deploy Management Domain'!$K$255</definedName>
    <definedName name="sample_mgmt_az1_host_overlay_pool_end_ip">'Deploy Management Domain'!$K$259</definedName>
    <definedName name="sample_mgmt_az1_host_overlay_pool_start_ip">'Deploy Management Domain'!$K$258</definedName>
    <definedName name="sample_mgmt_az1_host_overlay_vlan">'Deploy Management Domain'!$K$253</definedName>
    <definedName name="sample_mgmt_az1_host1_fqdn">'Deploy Management Domain'!$K$128</definedName>
    <definedName name="sample_mgmt_az1_host1_mgmt_ip">'Deploy Management Domain'!$K$330</definedName>
    <definedName name="sample_mgmt_az1_host1_vrms_ip">'Site Protection &amp; DR'!$C$176</definedName>
    <definedName name="sample_mgmt_az1_host10_fqdn">'Deploy Management Domain'!$K$137</definedName>
    <definedName name="sample_mgmt_az1_host10_mgmt_ip">'Deploy Management Domain'!$K$339</definedName>
    <definedName name="sample_mgmt_az1_host10_vrms_ip">'Site Protection &amp; DR'!$C$185</definedName>
    <definedName name="sample_mgmt_az1_host11_fqdn">'Deploy Management Domain'!$K$138</definedName>
    <definedName name="sample_mgmt_az1_host11_mgmt_ip">'Deploy Management Domain'!$K$340</definedName>
    <definedName name="sample_mgmt_az1_host11_vrms_ip">'Site Protection &amp; DR'!$C$186</definedName>
    <definedName name="sample_mgmt_az1_host12_fqdn">'Deploy Management Domain'!$K$139</definedName>
    <definedName name="sample_mgmt_az1_host12_mgmt_ip">'Deploy Management Domain'!$K$341</definedName>
    <definedName name="sample_mgmt_az1_host12_vrms_ip">'Site Protection &amp; DR'!$C$187</definedName>
    <definedName name="sample_mgmt_az1_host13_fqdn">'Deploy Management Domain'!$K$140</definedName>
    <definedName name="sample_mgmt_az1_host13_mgmt_ip">'Deploy Management Domain'!$K$342</definedName>
    <definedName name="sample_mgmt_az1_host13_vrms_ip">'Site Protection &amp; DR'!$C$188</definedName>
    <definedName name="sample_mgmt_az1_host14_fqdn">'Deploy Management Domain'!$K$141</definedName>
    <definedName name="sample_mgmt_az1_host14_mgmt_ip">'Deploy Management Domain'!$K$343</definedName>
    <definedName name="sample_mgmt_az1_host14_vrms_ip">'Site Protection &amp; DR'!$C$189</definedName>
    <definedName name="sample_mgmt_az1_host15_fqdn">'Deploy Management Domain'!$K$142</definedName>
    <definedName name="sample_mgmt_az1_host15_mgmt_ip">'Deploy Management Domain'!$K$344</definedName>
    <definedName name="sample_mgmt_az1_host15_vrms_ip">'Site Protection &amp; DR'!$C$190</definedName>
    <definedName name="sample_mgmt_az1_host16_fqdn">'Deploy Management Domain'!$K$143</definedName>
    <definedName name="sample_mgmt_az1_host16_mgmt_ip">'Deploy Management Domain'!$K$345</definedName>
    <definedName name="sample_mgmt_az1_host16_vrms_ip">'Site Protection &amp; DR'!$C$191</definedName>
    <definedName name="sample_mgmt_az1_host2_fqdn">'Deploy Management Domain'!$K$129</definedName>
    <definedName name="sample_mgmt_az1_host2_mgmt_ip">'Deploy Management Domain'!$K$331</definedName>
    <definedName name="sample_mgmt_az1_host2_vrms_ip">'Site Protection &amp; DR'!$C$177</definedName>
    <definedName name="sample_mgmt_az1_host3_fqdn">'Deploy Management Domain'!$K$130</definedName>
    <definedName name="sample_mgmt_az1_host3_mgmt_ip">'Deploy Management Domain'!$K$332</definedName>
    <definedName name="sample_mgmt_az1_host3_vrms_ip">'Site Protection &amp; DR'!$C$178</definedName>
    <definedName name="sample_mgmt_az1_host4_fqdn">'Deploy Management Domain'!$K$131</definedName>
    <definedName name="sample_mgmt_az1_host4_mgmt_ip">'Deploy Management Domain'!$K$333</definedName>
    <definedName name="sample_mgmt_az1_host4_vrms_ip">'Site Protection &amp; DR'!$C$179</definedName>
    <definedName name="sample_mgmt_az1_host5_fqdn">'Deploy Management Domain'!$K$132</definedName>
    <definedName name="sample_mgmt_az1_host5_mgmt_ip">'Deploy Management Domain'!$K$334</definedName>
    <definedName name="sample_mgmt_az1_host5_vrms_ip">'Site Protection &amp; DR'!$C$180</definedName>
    <definedName name="sample_mgmt_az1_host6_fqdn">'Deploy Management Domain'!$K$133</definedName>
    <definedName name="sample_mgmt_az1_host6_mgmt_ip">'Deploy Management Domain'!$K$335</definedName>
    <definedName name="sample_mgmt_az1_host6_vrms_ip">'Site Protection &amp; DR'!$C$181</definedName>
    <definedName name="sample_mgmt_az1_host7_fqdn">'Deploy Management Domain'!$K$134</definedName>
    <definedName name="sample_mgmt_az1_host7_mgmt_ip">'Deploy Management Domain'!$K$336</definedName>
    <definedName name="sample_mgmt_az1_host7_vrms_ip">'Site Protection &amp; DR'!$C$182</definedName>
    <definedName name="sample_mgmt_az1_host8_fqdn">'Deploy Management Domain'!$K$135</definedName>
    <definedName name="sample_mgmt_az1_host8_mgmt_ip">'Deploy Management Domain'!$K$337</definedName>
    <definedName name="sample_mgmt_az1_host8_vrms_ip">'Site Protection &amp; DR'!$C$183</definedName>
    <definedName name="sample_mgmt_az1_host9_fqdn">'Deploy Management Domain'!$K$136</definedName>
    <definedName name="sample_mgmt_az1_host9_mgmt_ip">'Deploy Management Domain'!$K$338</definedName>
    <definedName name="sample_mgmt_az1_host9_vrms_ip">'Site Protection &amp; DR'!$C$184</definedName>
    <definedName name="sample_mgmt_az1_mgmt_cidr">'Deploy Management Domain'!$K$150</definedName>
    <definedName name="sample_mgmt_az1_mgmt_gateway_ip">'Deploy Management Domain'!$K$149</definedName>
    <definedName name="sample_mgmt_az1_mgmt_mtu">'Deploy Management Domain'!$K$151</definedName>
    <definedName name="sample_mgmt_az1_mgmt_vlan">'Deploy Management Domain'!$K$148</definedName>
    <definedName name="sample_mgmt_az1_mgmt_vm_cidr">'Deploy Management Domain'!$K$156</definedName>
    <definedName name="sample_mgmt_az1_mgmt_vm_gateway_ip">'Deploy Management Domain'!$K$155</definedName>
    <definedName name="sample_mgmt_az1_mgmt_vm_mtu">'Deploy Management Domain'!$K$157</definedName>
    <definedName name="sample_mgmt_az1_mgmt_vm_prefix">'On-Premises Ransomware Recovery'!$C$24</definedName>
    <definedName name="sample_mgmt_az1_mgmt_vm_vlan">'Deploy Management Domain'!$K$154</definedName>
    <definedName name="sample_mgmt_az1_rtep_ip_pool_name">'Configure Management Domain'!$C$491</definedName>
    <definedName name="sample_mgmt_az1_rtep_overlay_cidr">'Configure Management Domain'!$C$494</definedName>
    <definedName name="sample_mgmt_az1_rtep_overlay_gateway_ip">'Configure Management Domain'!$C$495</definedName>
    <definedName name="sample_mgmt_az1_rtep_overlay_vlan">'Configure Management Domain'!$C$518</definedName>
    <definedName name="sample_mgmt_az1_secondary_storage_cidr">'Deploy Management Domain'!$K$175</definedName>
    <definedName name="sample_mgmt_az1_secondary_storage_gateway_ip">'Deploy Management Domain'!$K$174</definedName>
    <definedName name="sample_mgmt_az1_secondary_storage_mtu">'Deploy Management Domain'!$K$176</definedName>
    <definedName name="sample_mgmt_az1_secondary_storage_pool_end_ip">'Deploy Management Domain'!$K$178</definedName>
    <definedName name="sample_mgmt_az1_secondary_storage_pool_start_ip">'Deploy Management Domain'!$K$177</definedName>
    <definedName name="sample_mgmt_az1_secondary_storage_vlan">'Deploy Management Domain'!$K$173</definedName>
    <definedName name="sample_mgmt_az1_tor1_peer_asn">'Configure Management Domain'!$C$163</definedName>
    <definedName name="sample_mgmt_az1_tor1_peer_bgp_password">'Configure Management Domain'!$C$164</definedName>
    <definedName name="sample_mgmt_az1_tor1_peer_ip">'Configure Management Domain'!$C$160</definedName>
    <definedName name="sample_mgmt_az1_tor2_peer_asn">'Configure Management Domain'!$C$170</definedName>
    <definedName name="sample_mgmt_az1_tor2_peer_bgp_password">'Configure Management Domain'!$C$171</definedName>
    <definedName name="sample_mgmt_az1_tor2_peer_ip">'Configure Management Domain'!$C$167</definedName>
    <definedName name="sample_mgmt_az1_uplink01_cidr">'Configure Management Domain'!$C$195</definedName>
    <definedName name="sample_mgmt_az1_uplink01_gateway_ip">'Configure Management Domain'!$C$194</definedName>
    <definedName name="sample_mgmt_az1_uplink01_mtu">'Configure Management Domain'!$C$162</definedName>
    <definedName name="sample_mgmt_az1_uplink01_vlan">'Configure Management Domain'!$C$158</definedName>
    <definedName name="sample_mgmt_az1_uplink02_cidr">'Configure Management Domain'!$C$199</definedName>
    <definedName name="sample_mgmt_az1_uplink02_gateway_ip">'Configure Management Domain'!$C$198</definedName>
    <definedName name="sample_mgmt_az1_uplink02_mtu">'Configure Management Domain'!$C$169</definedName>
    <definedName name="sample_mgmt_az1_uplink02_vlan">'Configure Management Domain'!$C$165</definedName>
    <definedName name="sample_mgmt_az1_vmotion_cidr">'Deploy Management Domain'!$K$161</definedName>
    <definedName name="sample_mgmt_az1_vmotion_gateway_ip">'Deploy Management Domain'!$K$160</definedName>
    <definedName name="sample_mgmt_az1_vmotion_mtu">'Deploy Management Domain'!$K$162</definedName>
    <definedName name="sample_mgmt_az1_vmotion_pool_end_ip">'Deploy Management Domain'!$K$164</definedName>
    <definedName name="sample_mgmt_az1_vmotion_pool_start_ip">'Deploy Management Domain'!$K$163</definedName>
    <definedName name="sample_mgmt_az1_vmotion_vlan">'Deploy Management Domain'!$K$159</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cidr">'Deploy Management Domain'!$K$168</definedName>
    <definedName name="sample_mgmt_az1_vsan_gateway_ip">'Deploy Management Domain'!$K$167</definedName>
    <definedName name="sample_mgmt_az1_vsan_mtu">'Deploy Management Domain'!$K$169</definedName>
    <definedName name="sample_mgmt_az1_vsan_pool_end_ip">'Deploy Management Domain'!$K$171</definedName>
    <definedName name="sample_mgmt_az1_vsan_pool_start_ip">'Deploy Management Domain'!$K$170</definedName>
    <definedName name="sample_mgmt_az1_vsan_vlan">'Deploy Management Domain'!$K$166</definedName>
    <definedName name="sample_mgmt_az2_host_hostnames">'Configure Management Domain'!$C$279:$C$294</definedName>
    <definedName name="sample_mgmt_az2_host_overlay_cidr">'Configure Management Domain'!$C$367</definedName>
    <definedName name="sample_mgmt_az2_host_overlay_gateway_ip">'Configure Management Domain'!$C$366</definedName>
    <definedName name="sample_mgmt_az2_host_overlay_mtu">'Configure Management Domain'!$C$368</definedName>
    <definedName name="sample_mgmt_az2_host_overlay_network_pool_name">'Configure Management Domain'!$C$363</definedName>
    <definedName name="sample_mgmt_az2_host_overlay_network_profile_name">'Configure Management Domain'!$C$361</definedName>
    <definedName name="sample_mgmt_az2_host_overlay_pool_end_ip">'Configure Management Domain'!$C$370</definedName>
    <definedName name="sample_mgmt_az2_host_overlay_pool_start_ip">'Configure Management Domain'!$C$369</definedName>
    <definedName name="sample_mgmt_az2_host_overlay_uplink_profile_name">'Configure Management Domain'!$C$364</definedName>
    <definedName name="sample_mgmt_az2_host_overlay_vlan">'Configure Management Domain'!$C$365</definedName>
    <definedName name="sample_mgmt_az2_host1_fqdn">'Configure Management Domain'!$C$279</definedName>
    <definedName name="sample_mgmt_az2_host1_mgmt_ip">'Configure Management Domain'!$C$230</definedName>
    <definedName name="sample_mgmt_az2_host1_sddc_id">'Configure Management Domain'!$C$345</definedName>
    <definedName name="sample_mgmt_az2_host1_vrms_ip">'Site Protection &amp; DR'!$C$193</definedName>
    <definedName name="sample_mgmt_az2_host10_fqdn">'Configure Management Domain'!$C$288</definedName>
    <definedName name="sample_mgmt_az2_host10_mgmt_ip">'Configure Management Domain'!$C$239</definedName>
    <definedName name="sample_mgmt_az2_host10_vrms_ip">'Site Protection &amp; DR'!$C$202</definedName>
    <definedName name="sample_mgmt_az2_host11_fqdn">'Configure Management Domain'!$C$289</definedName>
    <definedName name="sample_mgmt_az2_host11_mgmt_ip">'Configure Management Domain'!$C$240</definedName>
    <definedName name="sample_mgmt_az2_host11_vrms_ip">'Site Protection &amp; DR'!$C$203</definedName>
    <definedName name="sample_mgmt_az2_host12_fqdn">'Configure Management Domain'!$C$290</definedName>
    <definedName name="sample_mgmt_az2_host12_mgmt_ip">'Configure Management Domain'!$C$241</definedName>
    <definedName name="sample_mgmt_az2_host12_vrms_ip">'Site Protection &amp; DR'!$C$204</definedName>
    <definedName name="sample_mgmt_az2_host13_fqdn">'Configure Management Domain'!$C$291</definedName>
    <definedName name="sample_mgmt_az2_host13_mgmt_ip">'Configure Management Domain'!$C$242</definedName>
    <definedName name="sample_mgmt_az2_host13_vrms_ip">'Site Protection &amp; DR'!$C$205</definedName>
    <definedName name="sample_mgmt_az2_host14_fqdn">'Configure Management Domain'!$C$292</definedName>
    <definedName name="sample_mgmt_az2_host14_mgmt_ip">'Configure Management Domain'!$C$243</definedName>
    <definedName name="sample_mgmt_az2_host14_vrms_ip">'Site Protection &amp; DR'!$C$206</definedName>
    <definedName name="sample_mgmt_az2_host15_fqdn">'Configure Management Domain'!$C$293</definedName>
    <definedName name="sample_mgmt_az2_host15_mgmt_ip">'Configure Management Domain'!$C$244</definedName>
    <definedName name="sample_mgmt_az2_host15_vrms_ip">'Site Protection &amp; DR'!$C$207</definedName>
    <definedName name="sample_mgmt_az2_host16_fqdn">'Configure Management Domain'!$C$294</definedName>
    <definedName name="sample_mgmt_az2_host16_mgmt_ip">'Configure Management Domain'!$C$245</definedName>
    <definedName name="sample_mgmt_az2_host16_vrms_ip">'Site Protection &amp; DR'!$C$208</definedName>
    <definedName name="sample_mgmt_az2_host2_fqdn">'Configure Management Domain'!$C$280</definedName>
    <definedName name="sample_mgmt_az2_host2_mgmt_ip">'Configure Management Domain'!$C$231</definedName>
    <definedName name="sample_mgmt_az2_host2_sddc_id">'Configure Management Domain'!$C$346</definedName>
    <definedName name="sample_mgmt_az2_host2_vrms_ip">'Site Protection &amp; DR'!$C$194</definedName>
    <definedName name="sample_mgmt_az2_host3_fqdn">'Configure Management Domain'!$C$281</definedName>
    <definedName name="sample_mgmt_az2_host3_mgmt_ip">'Configure Management Domain'!$C$232</definedName>
    <definedName name="sample_mgmt_az2_host3_sddc_id">'Configure Management Domain'!$C$347</definedName>
    <definedName name="sample_mgmt_az2_host3_vrms_ip">'Site Protection &amp; DR'!$C$195</definedName>
    <definedName name="sample_mgmt_az2_host4_fqdn">'Configure Management Domain'!$C$282</definedName>
    <definedName name="sample_mgmt_az2_host4_mgmt_ip">'Configure Management Domain'!$C$233</definedName>
    <definedName name="sample_mgmt_az2_host4_sddc_id">'Configure Management Domain'!$C$348</definedName>
    <definedName name="sample_mgmt_az2_host4_vrms_ip">'Site Protection &amp; DR'!$C$196</definedName>
    <definedName name="sample_mgmt_az2_host5_fqdn">'Configure Management Domain'!$C$283</definedName>
    <definedName name="sample_mgmt_az2_host5_mgmt_ip">'Configure Management Domain'!$C$234</definedName>
    <definedName name="sample_mgmt_az2_host5_vrms_ip">'Site Protection &amp; DR'!$C$197</definedName>
    <definedName name="sample_mgmt_az2_host6_fqdn">'Configure Management Domain'!$C$284</definedName>
    <definedName name="sample_mgmt_az2_host6_mgmt_ip">'Configure Management Domain'!$C$235</definedName>
    <definedName name="sample_mgmt_az2_host6_vrms_ip">'Site Protection &amp; DR'!$C$198</definedName>
    <definedName name="sample_mgmt_az2_host7_fqdn">'Configure Management Domain'!$C$285</definedName>
    <definedName name="sample_mgmt_az2_host7_mgmt_ip">'Configure Management Domain'!$C$236</definedName>
    <definedName name="sample_mgmt_az2_host7_vrms_ip">'Site Protection &amp; DR'!$C$199</definedName>
    <definedName name="sample_mgmt_az2_host8_fqdn">'Configure Management Domain'!$C$286</definedName>
    <definedName name="sample_mgmt_az2_host8_mgmt_ip">'Configure Management Domain'!$C$237</definedName>
    <definedName name="sample_mgmt_az2_host8_vrms_ip">'Site Protection &amp; DR'!$C$200</definedName>
    <definedName name="sample_mgmt_az2_host9_fqdn">'Configure Management Domain'!$C$287</definedName>
    <definedName name="sample_mgmt_az2_host9_mgmt_ip">'Configure Management Domain'!$C$238</definedName>
    <definedName name="sample_mgmt_az2_host9_vrms_ip">'Site Protection &amp; DR'!$C$201</definedName>
    <definedName name="sample_mgmt_az2_mgmt_cidr">'Configure Management Domain'!$C$227</definedName>
    <definedName name="sample_mgmt_az2_mgmt_gateway_ip">'Configure Management Domain'!$C$226</definedName>
    <definedName name="sample_mgmt_az2_mgmt_mtu">'Configure Management Domain'!$C$228</definedName>
    <definedName name="sample_mgmt_az2_mgmt_vlan">'Configure Management Domain'!$C$225</definedName>
    <definedName name="sample_mgmt_az2_pool_name">'Configure Management Domain'!$C$250</definedName>
    <definedName name="sample_mgmt_az2_secondary_storage_cidr">'Management Domain As Built'!$C$87</definedName>
    <definedName name="sample_mgmt_az2_secondary_storage_gateway_ip">'Configure Management Domain'!$C$272</definedName>
    <definedName name="sample_mgmt_az2_secondary_storage_mask">'Configure Management Domain'!$C$271</definedName>
    <definedName name="sample_mgmt_az2_secondary_storage_mtu">'Configure Management Domain'!$C$269</definedName>
    <definedName name="sample_mgmt_az2_secondary_storage_network">'Configure Management Domain'!$C$270</definedName>
    <definedName name="sample_mgmt_az2_secondary_storage_pool_end_ip">'Configure Management Domain'!$C$274</definedName>
    <definedName name="sample_mgmt_az2_secondary_storage_pool_start_ip">'Configure Management Domain'!$C$273</definedName>
    <definedName name="sample_mgmt_az2_secondary_storage_vlan">'Configure Management Domain'!$C$268</definedName>
    <definedName name="sample_mgmt_az2_tor1_peer_asn">'Configure Management Domain'!$C$385</definedName>
    <definedName name="sample_mgmt_az2_tor1_peer_bgp_password">'Configure Management Domain'!$C$388</definedName>
    <definedName name="sample_mgmt_az2_tor1_peer_ip">'Configure Management Domain'!$C$384</definedName>
    <definedName name="sample_mgmt_az2_tor2_peer_asn">'Configure Management Domain'!$C$392</definedName>
    <definedName name="sample_mgmt_az2_tor2_peer_bgp_password">'Configure Management Domain'!$C$393</definedName>
    <definedName name="sample_mgmt_az2_tor2_peer_ip">'Configure Management Domain'!$C$389</definedName>
    <definedName name="sample_mgmt_az2_vmotion_cidr">'Management Domain As Built'!$C$72</definedName>
    <definedName name="sample_mgmt_az2_vmotion_gateway_ip">'Configure Management Domain'!$C$256</definedName>
    <definedName name="sample_mgmt_az2_vmotion_mask">'Configure Management Domain'!$C$255</definedName>
    <definedName name="sample_mgmt_az2_vmotion_mtu">'Configure Management Domain'!$C$253</definedName>
    <definedName name="sample_mgmt_az2_vmotion_network">'Configure Management Domain'!$C$254</definedName>
    <definedName name="sample_mgmt_az2_vmotion_pool_end_ip">'Configure Management Domain'!$C$258</definedName>
    <definedName name="sample_mgmt_az2_vmotion_pool_start_ip">'Configure Management Domain'!$C$257</definedName>
    <definedName name="sample_mgmt_az2_vmotion_vlan">'Configure Management Domain'!$C$252</definedName>
    <definedName name="sample_mgmt_az2_vsan_cidr">'Management Domain As Built'!$C$80</definedName>
    <definedName name="sample_mgmt_az2_vsan_gateway_ip">'Configure Management Domain'!$C$264</definedName>
    <definedName name="sample_mgmt_az2_vsan_mask">'Configure Management Domain'!$C$263</definedName>
    <definedName name="sample_mgmt_az2_vsan_mtu">'Configure Management Domain'!$C$261</definedName>
    <definedName name="sample_mgmt_az2_vsan_network">'Configure Management Domain'!$C$262</definedName>
    <definedName name="sample_mgmt_az2_vsan_pool_end_ip">'Configure Management Domain'!$C$266</definedName>
    <definedName name="sample_mgmt_az2_vsan_pool_start_ip">'Configure Management Domain'!$C$265</definedName>
    <definedName name="sample_mgmt_az2_vsan_vlan">'Configure Management Domain'!$C$260</definedName>
    <definedName name="sample_mgmt_cl01_az1_mgmt_pg">'Deploy Management Domain'!$K$221</definedName>
    <definedName name="sample_mgmt_cl01_az1_mgmt_vm_pg">'Deploy Management Domain'!$K$226</definedName>
    <definedName name="sample_mgmt_cl01_az1_nfs_pg">'Deploy Management Domain'!$K$241</definedName>
    <definedName name="sample_mgmt_cl01_az1_uplink01_pg">'Configure Management Domain'!$C$193</definedName>
    <definedName name="sample_mgmt_cl01_az1_uplink02_pg">'Configure Management Domain'!$C$197</definedName>
    <definedName name="sample_mgmt_cl01_az1_vcf_mgmt_pg">Arkham!$A$9</definedName>
    <definedName name="sample_mgmt_cl01_az1_vmotion_pg">'Deploy Management Domain'!$K$231</definedName>
    <definedName name="sample_mgmt_cl01_az1_vsan_pg">'Deploy Management Domain'!$K$236</definedName>
    <definedName name="sample_mgmt_cl01_cluster">'Deploy Management Domain'!$K$94</definedName>
    <definedName name="sample_mgmt_cl01_cluster_sddc_id">'Configure Management Domain'!$C$374</definedName>
    <definedName name="sample_mgmt_cl01_nfs_server_ip">'Deploy Management Domain'!$K$121</definedName>
    <definedName name="sample_mgmt_cl01_nfs_share">'Deploy Management Domain'!$K$120</definedName>
    <definedName name="sample_mgmt_cl01_vds01_lag_name">'Deploy Management Domain'!$K$191</definedName>
    <definedName name="sample_mgmt_cl01_vds01_mtu">'Deploy Management Domain'!$K$189</definedName>
    <definedName name="sample_mgmt_cl01_vds01_name">'Deploy Management Domain'!$K$188</definedName>
    <definedName name="sample_mgmt_cl01_vds01_uplink_count">'Deploy Management Domain'!$K$195</definedName>
    <definedName name="sample_mgmt_cl01_vds01_uplink1">'Deploy Management Domain'!$K$196</definedName>
    <definedName name="sample_mgmt_cl01_vds01_uplink2">'Deploy Management Domain'!$K$197</definedName>
    <definedName name="sample_mgmt_cl01_vds02_lag_name">'Deploy Management Domain'!$K$202</definedName>
    <definedName name="sample_mgmt_cl01_vds02_mtu">'Deploy Management Domain'!$K$200</definedName>
    <definedName name="sample_mgmt_cl01_vds02_name">'Deploy Management Domain'!$K$199</definedName>
    <definedName name="sample_mgmt_cl01_vds02_uplink_count">'Deploy Management Domain'!$K$206</definedName>
    <definedName name="sample_mgmt_cl01_vds02_uplink1">'Deploy Management Domain'!$K$207</definedName>
    <definedName name="sample_mgmt_cl01_vds02_uplink2">'Deploy Management Domain'!$K$208</definedName>
    <definedName name="sample_mgmt_cl01_vds03_lag_name">'Deploy Management Domain'!$K$213</definedName>
    <definedName name="sample_mgmt_cl01_vds03_mtu">'Deploy Management Domain'!$K$212</definedName>
    <definedName name="sample_mgmt_cl01_vds03_name">'Deploy Management Domain'!$K$210</definedName>
    <definedName name="sample_mgmt_cl01_vds03_uplink_count">'Deploy Management Domain'!$K$217</definedName>
    <definedName name="sample_mgmt_cl01_vds03_uplink1">'Deploy Management Domain'!$K$218</definedName>
    <definedName name="sample_mgmt_cl01_vds03_uplink2">'Deploy Management Domain'!$K$219</definedName>
    <definedName name="sample_mgmt_cl01_vsan_datastore">'Deploy Management Domain'!$K$117</definedName>
    <definedName name="sample_mgmt_cross_instance_linked_t0_name">'Configure Management Domain'!$C$523</definedName>
    <definedName name="sample_mgmt_datacenter">'Deploy Management Domain'!$K$93</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Domain'!$C$129</definedName>
    <definedName name="sample_mgmt_en_asn">'Configure Management Domain'!$C$156</definedName>
    <definedName name="sample_mgmt_existing_active_nsx_gm">'Configure Management Domain'!$C$531</definedName>
    <definedName name="sample_mgmt_existing_cross_instance_t0_name">'Configure Management Domain'!$C$532</definedName>
    <definedName name="sample_mgmt_host_overlay_transportzone">'Deploy Management Domain'!$K$252</definedName>
    <definedName name="sample_mgmt_internet_proxy_address">'Deploy Management Domain'!$K$15</definedName>
    <definedName name="sample_mgmt_internet_proxy_email">'Deploy Management Domain'!$K$18</definedName>
    <definedName name="sample_mgmt_internet_proxy_password">'Deploy Management Domain'!$K$19</definedName>
    <definedName name="sample_mgmt_internet_proxy_port">'Deploy Management Domain'!$K$16</definedName>
    <definedName name="sample_mgmt_mgmt_rp">'Deploy Management Domain'!$K$350</definedName>
    <definedName name="sample_mgmt_nsx_rp">'Deploy Management Domain'!$K$351</definedName>
    <definedName name="sample_mgmt_nsxt_en_admin_password">'Configure Management Domain'!$C$150</definedName>
    <definedName name="sample_mgmt_nsxt_en_root_password">'Configure Management Domain'!$C$149</definedName>
    <definedName name="sample_mgmt_nsxt_federation_global_manager_name">'Configure Management Domain'!$C$498</definedName>
    <definedName name="sample_mgmt_nsxt_federation_location_name">'Configure Management Domain'!$C$512</definedName>
    <definedName name="sample_mgmt_nsxt_global_mgr_anti_affinity_rule_name">'Configure Management Domain'!$C$469</definedName>
    <definedName name="sample_mgmt_nsxt_global_mgr_certificate_id">'Configure Management Domain'!$C$481</definedName>
    <definedName name="sample_mgmt_nsxt_global_mgr_cluster_id">'Configure Management Domain'!$C$453</definedName>
    <definedName name="sample_mgmt_nsxt_global_mgr_vmca_signed_thumbprint">'Configure Management Domain'!$C$454</definedName>
    <definedName name="sample_mgmt_nsxt_global_mgra_fqdn">'Configure Management Domain'!$C$409</definedName>
    <definedName name="sample_mgmt_nsxt_global_mgra_hostname">'Configure Management Domain'!$C$400</definedName>
    <definedName name="sample_mgmt_nsxt_global_mgra_ip">'Configure Management Domain'!$C$410</definedName>
    <definedName name="sample_mgmt_nsxt_global_mgrb_fqdn">'Configure Management Domain'!$C$426</definedName>
    <definedName name="sample_mgmt_nsxt_global_mgrb_hostname">'Configure Management Domain'!$C$417</definedName>
    <definedName name="sample_mgmt_nsxt_global_mgrb_ip">'Configure Management Domain'!$C$427</definedName>
    <definedName name="sample_mgmt_nsxt_global_mgrc_fqdn">'Configure Management Domain'!$C$443</definedName>
    <definedName name="sample_mgmt_nsxt_global_mgrc_hostname">'Configure Management Domain'!$C$434</definedName>
    <definedName name="sample_mgmt_nsxt_global_mgrc_ip">'Configure Management Domain'!$C$444</definedName>
    <definedName name="sample_mgmt_nsxt_gm_fingerprint">'Configure Management Domain'!$C$501</definedName>
    <definedName name="sample_mgmt_nsxt_gm_vip_fqdn">'Configure Management Domain'!$C$450</definedName>
    <definedName name="sample_mgmt_nsxt_gm_vip_ip">'Configure Management Domain'!$C$475</definedName>
    <definedName name="sample_mgmt_nsxt_lm_fingerprint">'Configure Management Domain'!$C$510</definedName>
    <definedName name="sample_mgmt_nsxt_mgra_fqdn">'Deploy Management Domain'!$K$105</definedName>
    <definedName name="sample_mgmt_nsxt_mgra_ip">'Deploy Management Domain'!$K$326</definedName>
    <definedName name="sample_mgmt_nsxt_mgrb_fqdn">'Deploy Management Domain'!$K$106</definedName>
    <definedName name="sample_mgmt_nsxt_mgrb_ip">'Deploy Management Domain'!$K$327</definedName>
    <definedName name="sample_mgmt_nsxt_mgrc_fqdn">'Deploy Management Domain'!$K$107</definedName>
    <definedName name="sample_mgmt_nsxt_mgrc_ip">'Deploy Management Domain'!$K$328</definedName>
    <definedName name="sample_mgmt_nsxt_vip_fqdn">'Deploy Management Domain'!$K$104</definedName>
    <definedName name="sample_mgmt_nsxt_vip_ip">'Deploy Management Domain'!$K$325</definedName>
    <definedName name="sample_mgmt_nsxt_xreg_t1_name">'Configure Management Domain'!$C$522</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Domain'!$C$493</definedName>
    <definedName name="sample_mgmt_rtep_overlay_pool_start_ip">'Configure Management Domain'!$C$492</definedName>
    <definedName name="sample_mgmt_rwr_recovery_site_az1_mgmt_cidr">'On-Premises Ransomware Recovery'!$C$101</definedName>
    <definedName name="sample_mgmt_rwr_vc_fqdn">'On-Premises Ransomware Recovery'!$C$9</definedName>
    <definedName name="sample_mgmt_sddc_domain">'Deploy Management Domain'!$K$39</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Domain'!$K$95</definedName>
    <definedName name="sample_mgmt_sso_domain_username">'Deploy Management Domain'!$K$96</definedName>
    <definedName name="sample_mgmt_tier0_name">'Configure Management Domain'!$C$153</definedName>
    <definedName name="sample_mgmt_tier1_name">'Value Reference Tables'!$T$212</definedName>
    <definedName name="sample_mgmt_user_edge_rp">'Deploy Management Domain'!$K$352</definedName>
    <definedName name="sample_mgmt_user_vm_rp">'Deploy Management Domain'!$K$353</definedName>
    <definedName name="sample_mgmt_vc_fqdn">'Deploy Management Domain'!$K$90</definedName>
    <definedName name="sample_mgmt_vc_ip">'Deploy Management Domain'!$K$323</definedName>
    <definedName name="sample_mgmt_vnaa_fqdn">Arkham!$P$49</definedName>
    <definedName name="sample_mgmt_vnaa_ip">Arkham!$P$47</definedName>
    <definedName name="sample_mgmt_vnab_fqdn">Arkham!$P$50</definedName>
    <definedName name="sample_mgmt_vnab_ip">Arkham!$P$48</definedName>
    <definedName name="sample_mgmt_vpc_ext_ip_blocks">'Configure Management Domain'!$C$188</definedName>
    <definedName name="sample_mgmt_vpc_transit_gateway_ip_blocks">'Configure Management Domain'!$C$189</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witness_cluster">'Configure Management Domain'!$C$313</definedName>
    <definedName name="sample_mgmt_witness_dns1_ip">'Configure Management Domain'!$C$324</definedName>
    <definedName name="sample_mgmt_witness_dns2_ip">'Configure Management Domain'!$C$325</definedName>
    <definedName name="sample_mgmt_witness_fqdn">'Configure Management Domain'!$C$371</definedName>
    <definedName name="sample_mgmt_witness_hostname">'Configure Management Domain'!$C$312</definedName>
    <definedName name="sample_mgmt_witness_ip">'Configure Management Domain'!$C$319</definedName>
    <definedName name="sample_mgmt_witness_mgmt_pg">'Configure Management Domain'!$C$316</definedName>
    <definedName name="sample_mgmt_witness_ntp1_server">'Configure Management Domain'!$C$326</definedName>
    <definedName name="sample_mgmt_witness_ntp2_server">'Configure Management Domain'!$C$327</definedName>
    <definedName name="sample_mgmt_witness_root_password">'Configure Management Domain'!$C$318</definedName>
    <definedName name="sample_mgmt_witness_vm_folder">'Configure Management Domain'!$C$314</definedName>
    <definedName name="sample_mgmt_witness_vsan_datastore">'Configure Management Domain'!$C$315</definedName>
    <definedName name="sample_mgmt_witness_zone_vc_fqdn">'Configure Management Domain'!$C$310</definedName>
    <definedName name="sample_mgmt_witness_zone_vc_ip">'Configure Management Domain'!$C$311</definedName>
    <definedName name="sample_mgmt_witnessaz_mgmt_cidr">'Configure Management Domain'!$C$307</definedName>
    <definedName name="sample_mgmt_witnessaz_mgmt_gateway_ip">'Configure Management Domain'!$C$306</definedName>
    <definedName name="sample_mgmt_witnessaz_mgmt_mtu">'Configure Management Domain'!$C$308</definedName>
    <definedName name="sample_mgmt_witnessaz_mgmt_vlan">'Configure Management Domain'!$C$305</definedName>
    <definedName name="sample_nsxt_gm_admin_password">'Configure Management Domain'!$C$407</definedName>
    <definedName name="sample_nsxt_gm_audit_password">'Configure Management Domain'!$C$408</definedName>
    <definedName name="sample_nsxt_gm_root_password">'Configure Management Domain'!$C$406</definedName>
    <definedName name="sample_nsxt_lm_admin_password">'Deploy Management Domain'!$K$108</definedName>
    <definedName name="sample_nsxt_lm_audit_password">'Deploy Management Domain'!$K$110</definedName>
    <definedName name="sample_nsxt_lm_root_password">'Deploy Management Domain'!$K$109</definedName>
    <definedName name="sample_parent_ad_groups_ou">'Active Directory Inputs'!$D$10</definedName>
    <definedName name="sample_parent_ad_users_ou">'Active Directory Inputs'!$F$10</definedName>
    <definedName name="sample_parent_dns_zone">'Deploy Management Domain'!$K$43</definedName>
    <definedName name="sample_parent_gg_wsa_admins_group">'Active Directory Inputs'!$D$59</definedName>
    <definedName name="sample_parent_gg_wsa_directory_admins_group">'Active Directory Inputs'!$D$60</definedName>
    <definedName name="sample_parent_gg_wsa_read_only_group">'Active Directory Inputs'!$D$61</definedName>
    <definedName name="sample_region_ad_child_fqdn">'Value Reference Tables'!$C$10</definedName>
    <definedName name="sample_region_ad_child_netbios">'Active Directory Inputs'!$F$9</definedName>
    <definedName name="sample_region_ad_parent_fqdn">'Value Reference Tables'!$C$9</definedName>
    <definedName name="sample_region_ad_parent_netbios">'Active Directory Inputs'!$F$8</definedName>
    <definedName name="sample_region_dns1_ip">'Deploy Management Domain'!$K$44</definedName>
    <definedName name="sample_region_dns2_ip">'Deploy Management Domain'!$K$45</definedName>
    <definedName name="sample_region_ntp1_server">'Deploy Management Domain'!$K$47</definedName>
    <definedName name="sample_region_ntp2_server">'Deploy Management Domain'!$K$48</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Domain'!$K$269</definedName>
    <definedName name="sample_sddc_mgr_fqdn">'Deploy Management Domain'!$K$266</definedName>
    <definedName name="sample_sddc_mgr_ip">'Deploy Management Domain'!$K$322</definedName>
    <definedName name="sample_sddc_mgr_root_password">'Deploy Management Domain'!$K$267</definedName>
    <definedName name="sample_sddc_mgr_vcf_password">'Deploy Management Domain'!$K$268</definedName>
    <definedName name="sample_sftp_server">'Configure Management Domain'!$C$21</definedName>
    <definedName name="sample_sftp_server_backup_dir">'Configure Management Domain'!$C$26</definedName>
    <definedName name="sample_sftp_server_passphrase">'Configure Management Domain'!$C$28</definedName>
    <definedName name="sample_sftp_server_port">'Configure Management Domain'!$C$22</definedName>
    <definedName name="sample_sftp_server_protocol">'Configure Management Domain'!$C$23</definedName>
    <definedName name="sample_sftp_server_sshfingerprint">'Configure Management Domain'!$C$27</definedName>
    <definedName name="sample_smtp_server">Arkham!$B$16</definedName>
    <definedName name="sample_smtp_server_port">Arkham!$B$17</definedName>
    <definedName name="sample_svc_cbr_vcdr_vsphere_password">'Cloud-Based Ransomware Recovery'!$C$16</definedName>
    <definedName name="sample_svc_cbr_vcdr_vsphere_user">'Cloud-Based Ransomware Recovery'!$C$15</definedName>
    <definedName name="sample_svc_ccm_hcx_nsx_password">'Active Directory Inputs'!$F$49</definedName>
    <definedName name="sample_svc_ccm_hcx_nsx_user">'Active Directory Inputs'!$D$49</definedName>
    <definedName name="sample_svc_ccm_hcx_vsphere_password">'Active Directory Inputs'!$F$48</definedName>
    <definedName name="sample_svc_ccm_hcx_vsphere_user">'Active Directory Inputs'!$D$48</definedName>
    <definedName name="sample_svc_hrm_vcf_password">'Active Directory Inputs'!$F$44</definedName>
    <definedName name="sample_svc_ila_ad_password">'Active Directory Inputs'!$F$24</definedName>
    <definedName name="sample_svc_ila_ad_user">'Active Directory Inputs'!$D$24</definedName>
    <definedName name="sample_svc_inv_ad_password">'Active Directory Inputs'!$F$32</definedName>
    <definedName name="sample_svc_inv_ad_user">'Active Directory Inputs'!$D$32</definedName>
    <definedName name="sample_svc_inv_vrops_password">'Active Directory Inputs'!$F$34</definedName>
    <definedName name="sample_svc_inv_vrops_user">'Active Directory Inputs'!$D$34</definedName>
    <definedName name="sample_svc_inv_vsphere_password">'Active Directory Inputs'!$F$33</definedName>
    <definedName name="sample_svc_inv_vsphere_user">'Active Directory Inputs'!$D$33</definedName>
    <definedName name="sample_svc_iom_vcf_password">'Active Directory Inputs'!$F$27</definedName>
    <definedName name="sample_svc_iom_vcf_user">'Active Directory Inputs'!$D$27</definedName>
    <definedName name="sample_svc_iom_vsphere_password">'Active Directory Inputs'!$F$28</definedName>
    <definedName name="sample_svc_iom_vsphere_user">'Active Directory Inputs'!$D$28</definedName>
    <definedName name="sample_svc_my_vmware_password">'Deploy Management Domain'!$K$12</definedName>
    <definedName name="sample_svc_vcf_bck_password">'Configure Management Domain'!$C$25</definedName>
    <definedName name="sample_svc_vcf_bck_user">'Configure Management Domain'!$C$24</definedName>
    <definedName name="sample_svc_vcf_ca_vcf_password">'Configure Management Domain'!$C$55</definedName>
    <definedName name="sample_svc_vcf_ca_vcf_user">'Configure Management Domain'!$C$50</definedName>
    <definedName name="sample_svc_vra_nsx_password">'Active Directory Inputs'!$F$38</definedName>
    <definedName name="sample_svc_vra_nsx_user">'Active Directory Inputs'!$D$38</definedName>
    <definedName name="sample_svc_vra_vcf_password">'Active Directory Inputs'!$F$39</definedName>
    <definedName name="sample_svc_vra_vcf_user">'Active Directory Inputs'!$D$39</definedName>
    <definedName name="sample_svc_vra_vrops_password">'Active Directory Inputs'!$F$41</definedName>
    <definedName name="sample_svc_vra_vrops_user">'Active Directory Inputs'!$D$41</definedName>
    <definedName name="sample_svc_vra_vsphere_password">'Active Directory Inputs'!$F$37</definedName>
    <definedName name="sample_svc_vra_vsphere_user">'Active Directory Inputs'!$D$37</definedName>
    <definedName name="sample_svc_vro_vsphere_password">'Active Directory Inputs'!$F$40</definedName>
    <definedName name="sample_svc_vro_vsphere_user">'Active Directory Inputs'!$D$40</definedName>
    <definedName name="sample_svc_vrops_vra_password">'Active Directory Inputs'!$F$29</definedName>
    <definedName name="sample_svc_vrops_vra_user">'Active Directory Inputs'!$D$29</definedName>
    <definedName name="sample_vcenter_root_password">'Deploy Management Domain'!$K$98</definedName>
    <definedName name="sample_vcf_automation_additional_vips">'Deploy Fleet Management Day-N'!$C$112</definedName>
    <definedName name="sample_vcf_automation_admin_password">'Deploy Fleet Management Day-N'!$C$97</definedName>
    <definedName name="sample_vcf_automation_admin_password_alias">'Deploy Fleet Management Day-N'!$C$96</definedName>
    <definedName name="sample_vcf_automation_admin_password_description">'Deploy Fleet Management Day-N'!$C$98</definedName>
    <definedName name="sample_vcf_automation_admin_username">'Deploy Fleet Management Day-N'!$C$99</definedName>
    <definedName name="sample_vcf_automation_cert_alias">'Deploy Fleet Management Day-N'!$C$68</definedName>
    <definedName name="sample_vcf_automation_cert_common_name">'Deploy Fleet Management Day-N'!$C$70</definedName>
    <definedName name="sample_vcf_automation_cert_country_code">'Deploy Fleet Management Day-N'!$C$73</definedName>
    <definedName name="sample_vcf_automation_cert_file">'Deploy Fleet Management Day-N'!$C$69</definedName>
    <definedName name="sample_vcf_automation_cert_locality">'Deploy Fleet Management Day-N'!$C$74</definedName>
    <definedName name="sample_vcf_automation_cert_organisation">'Deploy Fleet Management Day-N'!$C$71</definedName>
    <definedName name="sample_vcf_automation_cert_state">'Deploy Fleet Management Day-N'!$C$75</definedName>
    <definedName name="sample_vcf_automation_folder">'Deploy Fleet Management Day-N'!$C$83</definedName>
    <definedName name="sample_vcf_automation_gateway_ip">'Deploy Fleet Management Day-N'!$C$93</definedName>
    <definedName name="sample_vcf_automation_mask">'Deploy Fleet Management Day-N'!$C$94</definedName>
    <definedName name="sample_vcf_automation_nodea_ip">'Deploy Fleet Management Day-N'!$C$113</definedName>
    <definedName name="sample_vcf_automation_nodeb_ip">'Deploy Fleet Management Day-N'!$C$114</definedName>
    <definedName name="sample_vcf_automation_nodec_ip">'Deploy Fleet Management Day-N'!$C$115</definedName>
    <definedName name="sample_vcf_automation_noded_ip">'Deploy Fleet Management Day-N'!$C$116</definedName>
    <definedName name="sample_vcf_automation_nodee_ip">Arkham!$P$14</definedName>
    <definedName name="sample_vcf_automation_nodef_ip">Arkham!$P$15</definedName>
    <definedName name="sample_vcf_automation_ou_cert">'Deploy Fleet Management Day-N'!$C$72</definedName>
    <definedName name="sample_vcf_automation_portgroup">'Deploy Fleet Management Day-N'!$C$85</definedName>
    <definedName name="sample_vcf_automation_resource_pool">'Deploy Fleet Management Day-N'!$C$84</definedName>
    <definedName name="sample_vcf_automation_root_password">'Deploy Fleet Management Day-N'!$C$101</definedName>
    <definedName name="sample_vcf_automation_root_password_alias">'Deploy Fleet Management Day-N'!$C$100</definedName>
    <definedName name="sample_vcf_automation_root_password_description">'Deploy Fleet Management Day-N'!$C$102</definedName>
    <definedName name="sample_vcf_automation_root_username">'Deploy Fleet Management Day-N'!$C$103</definedName>
    <definedName name="sample_vcf_automation_version">'Deploy Fleet Management Day-N'!$C$64</definedName>
    <definedName name="sample_vcf_automation_vip_fqdn">'Deploy Fleet Management Day-N'!$C$77</definedName>
    <definedName name="sample_vcf_automation_vip_ip">'Deploy Fleet Management Day-N'!$C$78</definedName>
    <definedName name="sample_vcf_installer_fqdn">'Value Reference Tables'!$C$8</definedName>
    <definedName name="sample_vcf_installer_ip">'Deploy Management Domain'!$K$321</definedName>
    <definedName name="sample_vcf_instance_name">'Deploy Management Domain'!$K$38</definedName>
    <definedName name="sample_vrslcm_admin_password">'Deploy Management Domain'!$K$67</definedName>
    <definedName name="sample_vrslcm_root_password">'Deploy Management Domain'!$K$68</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server">'Site Protection &amp; DR'!$C$23</definedName>
    <definedName name="sample_vvs_dr_parent_dns_zone">'Site Protection &amp; DR'!$C$17</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Arkham!$B$12</definedName>
    <definedName name="sample_wld_administrator_vsphere_local_password">'Deploy Workload Domain'!$C$152</definedName>
    <definedName name="sample_wld_avilb_cluster_name">'Configure Workload Domain'!$C$161</definedName>
    <definedName name="sample_wld_avilb_cluster_version">'Configure Workload Domain'!$C$151</definedName>
    <definedName name="sample_wld_avilb_fqdn">'Configure Workload Domain'!$C$160</definedName>
    <definedName name="sample_wld_avilb_ip">'Configure Workload Domain'!$C$159</definedName>
    <definedName name="sample_wld_avilb_mgra_ip">'Configure Workload Domain'!$C$156</definedName>
    <definedName name="sample_wld_avilb_mgrb_ip">'Configure Workload Domain'!$C$157</definedName>
    <definedName name="sample_wld_avilb_mgrc_ip">'Configure Workload Domain'!$C$158</definedName>
    <definedName name="sample_wld_az1_edge_overlay_cidr">'Configure Workload Domain'!$C$144</definedName>
    <definedName name="sample_wld_az1_edge_overlay_gateway_ip">'Configure Workload Domain'!$C$65</definedName>
    <definedName name="sample_wld_az1_edge_overlay_mask">'Configure Workload Domain'!$C$66</definedName>
    <definedName name="sample_wld_az1_edge_overlay_network_pool_name">'Configure Workload Domain'!$C$60</definedName>
    <definedName name="sample_wld_az1_edge_overlay_pool_end_ip">'Configure Workload Domain'!$C$62</definedName>
    <definedName name="sample_wld_az1_edge_overlay_pool_start_ip">'Configure Workload Domain'!$C$61</definedName>
    <definedName name="sample_wld_az1_edge_overlay_vlan">'Workload Domain As Built'!$C$25</definedName>
    <definedName name="sample_wld_az1_en1_edge_overlay_interface_ip_1_ip">'Configure Workload Domain'!$C$63</definedName>
    <definedName name="sample_wld_az1_en1_edge_overlay_interface_ip_2_ip">'Configure Workload Domain'!$C$64</definedName>
    <definedName name="sample_wld_az1_en1_eth0_uplink0">'Configure Workload Domain'!$C$54</definedName>
    <definedName name="sample_wld_az1_en1_eth0_uplink1">'Configure Workload Domain'!$C$55</definedName>
    <definedName name="sample_wld_az1_en1_eth1_uplink0">'Configure Workload Domain'!$C$56</definedName>
    <definedName name="sample_wld_az1_en1_eth1_uplink1">'Configure Workload Domain'!$C$57</definedName>
    <definedName name="sample_wld_az1_en1_fqdn">'Configure Workload Domain'!$C$42</definedName>
    <definedName name="sample_wld_az1_en1_hostname">'Configure Workload Domain'!$C$520</definedName>
    <definedName name="sample_wld_az1_en1_mgmt_cidr">'Configure Workload Domain'!$C$50</definedName>
    <definedName name="sample_wld_az1_en1_mgmt_ip">Arkham!$P$19</definedName>
    <definedName name="sample_wld_az1_en1_uplink01_interface_cidr">'Configure Workload Domain'!$C$102</definedName>
    <definedName name="sample_wld_az1_en1_uplink02_interface_cidr">'Configure Workload Domain'!$C$109</definedName>
    <definedName name="sample_wld_az1_en2_edge_overlay_interface_ip_1_ip">'Configure Workload Domain'!$C$87</definedName>
    <definedName name="sample_wld_az1_en2_edge_overlay_interface_ip_2_ip">'Configure Workload Domain'!$C$88</definedName>
    <definedName name="sample_wld_az1_en2_eth0_uplink0">'Configure Workload Domain'!$C$80</definedName>
    <definedName name="sample_wld_az1_en2_eth0_uplink1">'Configure Workload Domain'!$C$81</definedName>
    <definedName name="sample_wld_az1_en2_eth1_uplink0">'Configure Workload Domain'!$C$82</definedName>
    <definedName name="sample_wld_az1_en2_eth1_uplink1">'Configure Workload Domain'!$C$83</definedName>
    <definedName name="sample_wld_az1_en2_fqdn">'Configure Workload Domain'!$C$68</definedName>
    <definedName name="sample_wld_az1_en2_hostname">'Configure Workload Domain'!$C$532</definedName>
    <definedName name="sample_wld_az1_en2_mgmt_cidr">'Configure Workload Domain'!$C$76</definedName>
    <definedName name="sample_wld_az1_en2_mgmt_ip">Arkham!$P$20</definedName>
    <definedName name="sample_wld_az1_en2_uplink01_interface_cidr">'Configure Workload Domain'!$C$117</definedName>
    <definedName name="sample_wld_az1_en2_uplink02_interface_cidr">'Configure Workload Domain'!$C$124</definedName>
    <definedName name="sample_wld_az1_host_fqdns">'Deploy Workload Domain'!$C$120:$C$135</definedName>
    <definedName name="sample_wld_az1_host_mgmt_ips">'Deploy Workload Domain'!$C$63:$C$78</definedName>
    <definedName name="sample_wld_az1_host_overlay_cidr">'Deploy Workload Domain'!$C$308</definedName>
    <definedName name="sample_wld_az1_host_overlay_gateway_ip">'Deploy Workload Domain'!$C$311</definedName>
    <definedName name="sample_wld_az1_host_overlay_mtu">'Deploy Workload Domain'!$C$368</definedName>
    <definedName name="sample_wld_az1_host_overlay_network_pool_description">'Deploy Workload Domain'!$C$307</definedName>
    <definedName name="sample_wld_az1_host_overlay_network_pool_name">'Deploy Workload Domain'!$C$306</definedName>
    <definedName name="sample_wld_az1_host_overlay_pool_end_ip">'Deploy Workload Domain'!$C$310</definedName>
    <definedName name="sample_wld_az1_host_overlay_pool_start_ip">'Deploy Workload Domain'!$C$309</definedName>
    <definedName name="sample_wld_az1_host_overlay_uplink_profile_name">'Deploy Workload Domain'!$C$318</definedName>
    <definedName name="sample_wld_az1_host_overlay_vlan">'Deploy Workload Domain'!$C$303</definedName>
    <definedName name="sample_wld_az1_host1_fqdn">'Deploy Workload Domain'!$C$120</definedName>
    <definedName name="sample_wld_az1_host1_mgmt_ip">'Deploy Workload Domain'!$C$63</definedName>
    <definedName name="sample_wld_az1_host1_vrms_ip">'Dumping Ground'!$C$293</definedName>
    <definedName name="sample_wld_az1_host10_fqdn">'Deploy Workload Domain'!$C$129</definedName>
    <definedName name="sample_wld_az1_host10_mgmt_ip">'Deploy Workload Domain'!$C$72</definedName>
    <definedName name="sample_wld_az1_host10_vrms_ip">'Dumping Ground'!$C$302</definedName>
    <definedName name="sample_wld_az1_host11_fqdn">'Deploy Workload Domain'!$C$130</definedName>
    <definedName name="sample_wld_az1_host11_mgmt_ip">'Deploy Workload Domain'!$C$73</definedName>
    <definedName name="sample_wld_az1_host11_vrms_ip">'Dumping Ground'!$C$303</definedName>
    <definedName name="sample_wld_az1_host12_fqdn">'Deploy Workload Domain'!$C$131</definedName>
    <definedName name="sample_wld_az1_host12_mgmt_ip">'Deploy Workload Domain'!$C$74</definedName>
    <definedName name="sample_wld_az1_host12_vrms_ip">'Dumping Ground'!$C$304</definedName>
    <definedName name="sample_wld_az1_host13_fqdn">'Deploy Workload Domain'!$C$132</definedName>
    <definedName name="sample_wld_az1_host13_mgmt_ip">'Deploy Workload Domain'!$C$75</definedName>
    <definedName name="sample_wld_az1_host13_vrms_ip">'Dumping Ground'!$C$305</definedName>
    <definedName name="sample_wld_az1_host14_fqdn">'Deploy Workload Domain'!$C$133</definedName>
    <definedName name="sample_wld_az1_host14_mgmt_ip">'Deploy Workload Domain'!$C$76</definedName>
    <definedName name="sample_wld_az1_host14_vrms_ip">'Dumping Ground'!$C$306</definedName>
    <definedName name="sample_wld_az1_host15_fqdn">'Deploy Workload Domain'!$C$134</definedName>
    <definedName name="sample_wld_az1_host15_mgmt_ip">'Deploy Workload Domain'!$C$77</definedName>
    <definedName name="sample_wld_az1_host15_vrms_ip">'Dumping Ground'!$C$307</definedName>
    <definedName name="sample_wld_az1_host16_fqdn">'Deploy Workload Domain'!$C$135</definedName>
    <definedName name="sample_wld_az1_host16_mgmt_ip">'Deploy Workload Domain'!$C$78</definedName>
    <definedName name="sample_wld_az1_host16_vrms_ip">'Dumping Ground'!$C$308</definedName>
    <definedName name="sample_wld_az1_host2_fqdn">'Deploy Workload Domain'!$C$121</definedName>
    <definedName name="sample_wld_az1_host2_mgmt_ip">'Deploy Workload Domain'!$C$64</definedName>
    <definedName name="sample_wld_az1_host2_vrms_ip">'Dumping Ground'!$C$294</definedName>
    <definedName name="sample_wld_az1_host3_fqdn">'Deploy Workload Domain'!$C$122</definedName>
    <definedName name="sample_wld_az1_host3_mgmt_ip">'Deploy Workload Domain'!$C$65</definedName>
    <definedName name="sample_wld_az1_host3_vrms_ip">'Dumping Ground'!$C$295</definedName>
    <definedName name="sample_wld_az1_host4_fqdn">'Deploy Workload Domain'!$C$123</definedName>
    <definedName name="sample_wld_az1_host4_mgmt_ip">'Deploy Workload Domain'!$C$66</definedName>
    <definedName name="sample_wld_az1_host4_vrms_ip">'Dumping Ground'!$C$296</definedName>
    <definedName name="sample_wld_az1_host5_fqdn">'Deploy Workload Domain'!$C$124</definedName>
    <definedName name="sample_wld_az1_host5_mgmt_ip">'Deploy Workload Domain'!$C$67</definedName>
    <definedName name="sample_wld_az1_host5_vrms_ip">'Dumping Ground'!$C$297</definedName>
    <definedName name="sample_wld_az1_host6_fqdn">'Deploy Workload Domain'!$C$125</definedName>
    <definedName name="sample_wld_az1_host6_mgmt_ip">'Deploy Workload Domain'!$C$68</definedName>
    <definedName name="sample_wld_az1_host6_vrms_ip">'Dumping Ground'!$C$298</definedName>
    <definedName name="sample_wld_az1_host7_fqdn">'Deploy Workload Domain'!$C$126</definedName>
    <definedName name="sample_wld_az1_host7_mgmt_ip">'Deploy Workload Domain'!$C$69</definedName>
    <definedName name="sample_wld_az1_host7_vrms_ip">'Dumping Ground'!$C$299</definedName>
    <definedName name="sample_wld_az1_host8_fqdn">'Deploy Workload Domain'!$C$127</definedName>
    <definedName name="sample_wld_az1_host8_mgmt_ip">'Deploy Workload Domain'!$C$70</definedName>
    <definedName name="sample_wld_az1_host8_vrms_ip">'Dumping Ground'!$C$300</definedName>
    <definedName name="sample_wld_az1_host9_fqdn">'Deploy Workload Domain'!$C$128</definedName>
    <definedName name="sample_wld_az1_host9_mgmt_ip">'Deploy Workload Domain'!$C$71</definedName>
    <definedName name="sample_wld_az1_host9_vrms_ip">'Dumping Ground'!$C$301</definedName>
    <definedName name="sample_wld_az1_mgmt_cidr">'Deploy Workload Domain'!$C$60</definedName>
    <definedName name="sample_wld_az1_mgmt_gateway_ip">'Deploy Workload Domain'!$C$59</definedName>
    <definedName name="sample_wld_az1_mgmt_mtu">'Deploy Workload Domain'!$C$61</definedName>
    <definedName name="sample_wld_az1_mgmt_vlan">'Deploy Workload Domain'!$C$58</definedName>
    <definedName name="sample_wld_az1_mgmt_vm_cidr">'Deploy Workload Domain'!$C$348</definedName>
    <definedName name="sample_wld_az1_mgmt_vm_gateway_ip">'Deploy Workload Domain'!$C$347</definedName>
    <definedName name="sample_wld_az1_mgmt_vm_mtu">'Deploy Workload Domain'!$C$349</definedName>
    <definedName name="sample_wld_az1_mgmt_vm_vlan">'Deploy Workload Domain'!$C$346</definedName>
    <definedName name="sample_wld_az1_pool_name">'Deploy Workload Domain'!$C$83</definedName>
    <definedName name="sample_wld_az1_principal_storage_cidr">'Deploy Workload Domain'!$C$360</definedName>
    <definedName name="sample_wld_az1_principal_storage_gateway_ip">'Deploy Workload Domain'!$C$97</definedName>
    <definedName name="sample_wld_az1_principal_storage_mask">'Deploy Workload Domain'!$C$96</definedName>
    <definedName name="sample_wld_az1_principal_storage_mtu">'Deploy Workload Domain'!$C$94</definedName>
    <definedName name="sample_wld_az1_principal_storage_network">'Deploy Workload Domain'!$C$95</definedName>
    <definedName name="sample_wld_az1_principal_storage_pool_end_ip">'Deploy Workload Domain'!$C$99</definedName>
    <definedName name="sample_wld_az1_principal_storage_pool_start_ip">'Deploy Workload Domain'!$C$98</definedName>
    <definedName name="sample_wld_az1_principal_storage_vlan">'Deploy Workload Domain'!$C$93</definedName>
    <definedName name="sample_wld_az1_rack1_host_overlay_network_profile_name">'Deploy Workload Domain'!$C$314</definedName>
    <definedName name="sample_wld_az1_rack2_edge_overlay_gateway_ip">Arkham!$B$64</definedName>
    <definedName name="sample_wld_az1_rack2_edge_overlay_mask">Arkham!$B$67</definedName>
    <definedName name="sample_wld_az1_rack2_edge_overlay_mtu">Arkham!$B$70</definedName>
    <definedName name="sample_wld_az1_rack2_edge_overlay_network">Arkham!$B$61</definedName>
    <definedName name="sample_wld_az1_rack2_edge_overlay_network_pool_name">'Additional Racks'!$C$82</definedName>
    <definedName name="sample_wld_az1_rack2_edge_overlay_pool_end_ip">Arkham!$B$72</definedName>
    <definedName name="sample_wld_az1_rack2_edge_overlay_pool_start_ip">Arkham!$B$71</definedName>
    <definedName name="sample_wld_az1_rack2_edge_overlay_vlan">Arkham!$B$58</definedName>
    <definedName name="sample_wld_az1_rack2_host_hostnames">'Additional Racks'!$C$54:$C$69</definedName>
    <definedName name="sample_wld_az1_rack2_host_mgmt_ips">'Additional Racks'!$C$14:$C$29</definedName>
    <definedName name="sample_wld_az1_rack2_host_overlay_cidr">Arkham!$B$23</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MR'!$M$254</definedName>
    <definedName name="sample_wld_az1_rack2_mgmt_vm_gateway_ip">'Value Reference Tables - MR'!$O$259</definedName>
    <definedName name="sample_wld_az1_rack2_mgmt_vm_mtu">'Value Reference Tables - MR'!$Q$259</definedName>
    <definedName name="sample_wld_az1_rack2_mgmt_vm_vlan">'Value Reference Tables - MR'!$K$259</definedName>
    <definedName name="sample_wld_az1_rack2_pool_name">'Additional Racks'!$C$34</definedName>
    <definedName name="sample_wld_az1_rack2_principal_storage_cidr">Arkham!$B$21</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Arkham!$B$22</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tor1_peer_asn">Arkham!$B$75</definedName>
    <definedName name="sample_wld_az1_rack2_tor1_peer_bgp_password">Arkham!$B$76</definedName>
    <definedName name="sample_wld_az1_rack2_tor1_peer_ip">Arkham!$B$74</definedName>
    <definedName name="sample_wld_az1_rack2_tor2_peer_asn">Arkham!$B$78</definedName>
    <definedName name="sample_wld_az1_rack2_tor2_peer_bgp_password">Arkham!$B$79</definedName>
    <definedName name="sample_wld_az1_rack2_tor2_peer_ip">Arkham!$B$77</definedName>
    <definedName name="sample_wld_az1_rack2_uplink01_gateway_ip">Arkham!$B$62</definedName>
    <definedName name="sample_wld_az1_rack2_uplink01_mask">Arkham!$B$65</definedName>
    <definedName name="sample_wld_az1_rack2_uplink01_mtu">Arkham!$B$68</definedName>
    <definedName name="sample_wld_az1_rack2_uplink01_network">Arkham!$B$59</definedName>
    <definedName name="sample_wld_az1_rack2_uplink01_vlan">Arkham!$B$56</definedName>
    <definedName name="sample_wld_az1_rack2_uplink02_gateway_ip">Arkham!$B$63</definedName>
    <definedName name="sample_wld_az1_rack2_uplink02_mask">Arkham!$B$66</definedName>
    <definedName name="sample_wld_az1_rack2_uplink02_mtu">Arkham!$B$69</definedName>
    <definedName name="sample_wld_az1_rack2_uplink02_network">Arkham!$B$60</definedName>
    <definedName name="sample_wld_az1_rack2_uplink02_vlan">Arkham!$B$57</definedName>
    <definedName name="sample_wld_az1_rack2_vmotion_cidr">Arkham!$B$20</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gateway_ip">Arkham!$E$64</definedName>
    <definedName name="sample_wld_az1_rack3_edge_overlay_mask">Arkham!$E$67</definedName>
    <definedName name="sample_wld_az1_rack3_edge_overlay_mtu">Arkham!$E$70</definedName>
    <definedName name="sample_wld_az1_rack3_edge_overlay_network">Arkham!$E$61</definedName>
    <definedName name="sample_wld_az1_rack3_edge_overlay_network_pool_name">'Additional Racks'!$C$175</definedName>
    <definedName name="sample_wld_az1_rack3_edge_overlay_pool_end_ip">Arkham!$E$72</definedName>
    <definedName name="sample_wld_az1_rack3_edge_overlay_pool_start_ip">Arkham!$E$71</definedName>
    <definedName name="sample_wld_az1_rack3_edge_overlay_vlan">Arkham!$E$58</definedName>
    <definedName name="sample_wld_az1_rack3_host_hostnames">'Additional Racks'!$C$147:$C$162</definedName>
    <definedName name="sample_wld_az1_rack3_host_mgmt_ips">'Additional Racks'!$C$107:$C$122</definedName>
    <definedName name="sample_wld_az1_rack3_host_overlay_cidr">Arkham!$B$27</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MR'!$M$255</definedName>
    <definedName name="sample_wld_az1_rack3_mgmt_vm_gateway_ip">'Value Reference Tables - MR'!$O$260</definedName>
    <definedName name="sample_wld_az1_rack3_mgmt_vm_mtu">'Value Reference Tables - MR'!$Q$260</definedName>
    <definedName name="sample_wld_az1_rack3_mgmt_vm_vlan">'Value Reference Tables - MR'!$K$260</definedName>
    <definedName name="sample_wld_az1_rack3_pool_name">'Additional Racks'!$C$127</definedName>
    <definedName name="sample_wld_az1_rack3_principal_storage_cidr">Arkham!$B$25</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Arkham!$B$26</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tor1_peer_asn">Arkham!$E$75</definedName>
    <definedName name="sample_wld_az1_rack3_tor1_peer_bgp_password">Arkham!$E$76</definedName>
    <definedName name="sample_wld_az1_rack3_tor1_peer_ip">Arkham!$E$74</definedName>
    <definedName name="sample_wld_az1_rack3_tor2_peer_asn">Arkham!$E$78</definedName>
    <definedName name="sample_wld_az1_rack3_tor2_peer_bgp_password">Arkham!$E$79</definedName>
    <definedName name="sample_wld_az1_rack3_tor2_peer_ip">Arkham!$E$77</definedName>
    <definedName name="sample_wld_az1_rack3_uplink01_gateway_ip">Arkham!$E$62</definedName>
    <definedName name="sample_wld_az1_rack3_uplink01_mask">Arkham!$E$65</definedName>
    <definedName name="sample_wld_az1_rack3_uplink01_mtu">Arkham!$E$68</definedName>
    <definedName name="sample_wld_az1_rack3_uplink01_network">Arkham!$E$59</definedName>
    <definedName name="sample_wld_az1_rack3_uplink01_vlan">Arkham!$E$56</definedName>
    <definedName name="sample_wld_az1_rack3_uplink02_gateway_ip">Arkham!$E$63</definedName>
    <definedName name="sample_wld_az1_rack3_uplink02_mask">Arkham!$E$66</definedName>
    <definedName name="sample_wld_az1_rack3_uplink02_mtu">Arkham!$E$69</definedName>
    <definedName name="sample_wld_az1_rack3_uplink02_network">Arkham!$E$60</definedName>
    <definedName name="sample_wld_az1_rack3_uplink02_vlan">Arkham!$E$57</definedName>
    <definedName name="sample_wld_az1_rack3_vmotion_cidr">Arkham!$B$24</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gateway_ip">Arkham!$H$64</definedName>
    <definedName name="sample_wld_az1_rack4_edge_overlay_mask">Arkham!$H$67</definedName>
    <definedName name="sample_wld_az1_rack4_edge_overlay_mtu">Arkham!$H$70</definedName>
    <definedName name="sample_wld_az1_rack4_edge_overlay_network">Arkham!$H$61</definedName>
    <definedName name="sample_wld_az1_rack4_edge_overlay_network_pool_name">'Additional Racks'!$C$268</definedName>
    <definedName name="sample_wld_az1_rack4_edge_overlay_pool_end_ip">Arkham!$H$72</definedName>
    <definedName name="sample_wld_az1_rack4_edge_overlay_pool_start_ip">Arkham!$H$71</definedName>
    <definedName name="sample_wld_az1_rack4_edge_overlay_vlan">Arkham!$H$58</definedName>
    <definedName name="sample_wld_az1_rack4_host_hostnames">'Additional Racks'!$C$240:$C$255</definedName>
    <definedName name="sample_wld_az1_rack4_host_mgmt_ips">'Additional Racks'!$C$200:$C$215</definedName>
    <definedName name="sample_wld_az1_rack4_host_overlay_cidr">Arkham!$B$31</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MR'!$M$256</definedName>
    <definedName name="sample_wld_az1_rack4_mgmt_vm_gateway_ip">'Value Reference Tables - MR'!$O$261</definedName>
    <definedName name="sample_wld_az1_rack4_mgmt_vm_mtu">'Value Reference Tables - MR'!$Q$261</definedName>
    <definedName name="sample_wld_az1_rack4_mgmt_vm_vlan">'Value Reference Tables - MR'!$K$261</definedName>
    <definedName name="sample_wld_az1_rack4_pool_name">'Additional Racks'!$C$220</definedName>
    <definedName name="sample_wld_az1_rack4_principal_storage_cidr">Arkham!$B$29</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Arkham!$B$30</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tor1_peer_asn">Arkham!$H$75</definedName>
    <definedName name="sample_wld_az1_rack4_tor1_peer_bgp_password">Arkham!$H$76</definedName>
    <definedName name="sample_wld_az1_rack4_tor1_peer_ip">Arkham!$H$74</definedName>
    <definedName name="sample_wld_az1_rack4_tor2_peer_asn">Arkham!$H$78</definedName>
    <definedName name="sample_wld_az1_rack4_tor2_peer_bgp_password">Arkham!$H$79</definedName>
    <definedName name="sample_wld_az1_rack4_tor2_peer_ip">Arkham!$H$77</definedName>
    <definedName name="sample_wld_az1_rack4_uplink01_gateway_ip">Arkham!$H$62</definedName>
    <definedName name="sample_wld_az1_rack4_uplink01_mask">Arkham!$H$65</definedName>
    <definedName name="sample_wld_az1_rack4_uplink01_mtu">Arkham!$H$68</definedName>
    <definedName name="sample_wld_az1_rack4_uplink01_network">Arkham!$H$59</definedName>
    <definedName name="sample_wld_az1_rack4_uplink01_vlan">Arkham!$H$56</definedName>
    <definedName name="sample_wld_az1_rack4_uplink02_gateway_ip">Arkham!$H$63</definedName>
    <definedName name="sample_wld_az1_rack4_uplink02_mask">Arkham!$H$66</definedName>
    <definedName name="sample_wld_az1_rack4_uplink02_mtu">Arkham!$H$69</definedName>
    <definedName name="sample_wld_az1_rack4_uplink02_network">Arkham!$H$60</definedName>
    <definedName name="sample_wld_az1_rack4_uplink02_vlan">Arkham!$H$57</definedName>
    <definedName name="sample_wld_az1_rack4_vmotion_cidr">Arkham!$B$28</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gateway_ip">Arkham!$K$64</definedName>
    <definedName name="sample_wld_az1_rack5_edge_overlay_mask">Arkham!$K$67</definedName>
    <definedName name="sample_wld_az1_rack5_edge_overlay_mtu">Arkham!$K$70</definedName>
    <definedName name="sample_wld_az1_rack5_edge_overlay_network">Arkham!$K$61</definedName>
    <definedName name="sample_wld_az1_rack5_edge_overlay_network_pool_name">'Additional Racks'!$C$361</definedName>
    <definedName name="sample_wld_az1_rack5_edge_overlay_pool_end_ip">Arkham!$K$72</definedName>
    <definedName name="sample_wld_az1_rack5_edge_overlay_pool_start_ip">Arkham!$K$71</definedName>
    <definedName name="sample_wld_az1_rack5_edge_overlay_vlan">Arkham!$K$58</definedName>
    <definedName name="sample_wld_az1_rack5_host_hostnames">'Additional Racks'!$C$333:$C$348</definedName>
    <definedName name="sample_wld_az1_rack5_host_mgmt_ips">'Additional Racks'!$C$293:$C$308</definedName>
    <definedName name="sample_wld_az1_rack5_host_overlay_cidr">Arkham!$B$35</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MR'!$M$257</definedName>
    <definedName name="sample_wld_az1_rack5_mgmt_vm_gateway_ip">'Value Reference Tables - MR'!$O$262</definedName>
    <definedName name="sample_wld_az1_rack5_mgmt_vm_mtu">'Value Reference Tables - MR'!$Q$262</definedName>
    <definedName name="sample_wld_az1_rack5_mgmt_vm_vlan">'Value Reference Tables - MR'!$K$262</definedName>
    <definedName name="sample_wld_az1_rack5_pool_name">'Additional Racks'!$C$313</definedName>
    <definedName name="sample_wld_az1_rack5_principal_storage_cidr">Arkham!$B$33</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Arkham!$B$34</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tor1_peer_asn">Arkham!$K$75</definedName>
    <definedName name="sample_wld_az1_rack5_tor1_peer_bgp_password">Arkham!$K$76</definedName>
    <definedName name="sample_wld_az1_rack5_tor1_peer_ip">Arkham!$K$74</definedName>
    <definedName name="sample_wld_az1_rack5_tor2_peer_asn">Arkham!$K$78</definedName>
    <definedName name="sample_wld_az1_rack5_tor2_peer_bgp_password">Arkham!$K$79</definedName>
    <definedName name="sample_wld_az1_rack5_tor2_peer_ip">Arkham!$K$77</definedName>
    <definedName name="sample_wld_az1_rack5_uplink01_gateway_ip">Arkham!$K$62</definedName>
    <definedName name="sample_wld_az1_rack5_uplink01_mask">Arkham!$K$65</definedName>
    <definedName name="sample_wld_az1_rack5_uplink01_mtu">Arkham!$K$68</definedName>
    <definedName name="sample_wld_az1_rack5_uplink01_network">Arkham!$K$59</definedName>
    <definedName name="sample_wld_az1_rack5_uplink01_vlan">Arkham!$K$56</definedName>
    <definedName name="sample_wld_az1_rack5_uplink02_gateway_ip">Arkham!$K$63</definedName>
    <definedName name="sample_wld_az1_rack5_uplink02_mask">Arkham!$K$66</definedName>
    <definedName name="sample_wld_az1_rack5_uplink02_mtu">Arkham!$K$69</definedName>
    <definedName name="sample_wld_az1_rack5_uplink02_network">Arkham!$K$60</definedName>
    <definedName name="sample_wld_az1_rack5_uplink02_vlan">Arkham!$K$57</definedName>
    <definedName name="sample_wld_az1_rack5_vmotion_cidr">Arkham!$B$32</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gateway_ip">Arkham!$N$64</definedName>
    <definedName name="sample_wld_az1_rack6_edge_overlay_mask">Arkham!$N$67</definedName>
    <definedName name="sample_wld_az1_rack6_edge_overlay_mtu">Arkham!$N$70</definedName>
    <definedName name="sample_wld_az1_rack6_edge_overlay_network">Arkham!$N$61</definedName>
    <definedName name="sample_wld_az1_rack6_edge_overlay_network_pool_name">'Additional Racks'!$C$454</definedName>
    <definedName name="sample_wld_az1_rack6_edge_overlay_pool_end_ip">Arkham!$N$72</definedName>
    <definedName name="sample_wld_az1_rack6_edge_overlay_pool_start_ip">Arkham!$N$71</definedName>
    <definedName name="sample_wld_az1_rack6_edge_overlay_vlan">Arkham!$N$58</definedName>
    <definedName name="sample_wld_az1_rack6_host_hostnames">'Additional Racks'!$C$426:$C$441</definedName>
    <definedName name="sample_wld_az1_rack6_host_mgmt_ips">'Additional Racks'!$C$386:$C$401</definedName>
    <definedName name="sample_wld_az1_rack6_host_overlay_cidr">Arkham!$B$39</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MR'!$M$258</definedName>
    <definedName name="sample_wld_az1_rack6_mgmt_vm_gateway_ip">'Value Reference Tables - MR'!$O$263</definedName>
    <definedName name="sample_wld_az1_rack6_mgmt_vm_mtu">'Value Reference Tables - MR'!$Q$263</definedName>
    <definedName name="sample_wld_az1_rack6_mgmt_vm_vlan">'Value Reference Tables - MR'!$K$263</definedName>
    <definedName name="sample_wld_az1_rack6_pool_name">'Additional Racks'!$C$406</definedName>
    <definedName name="sample_wld_az1_rack6_principal_storage_cidr">Arkham!$B$37</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Arkham!$B$38</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tor1_peer_asn">Arkham!$N$75</definedName>
    <definedName name="sample_wld_az1_rack6_tor1_peer_bgp_password">Arkham!$N$76</definedName>
    <definedName name="sample_wld_az1_rack6_tor1_peer_ip">Arkham!$N$74</definedName>
    <definedName name="sample_wld_az1_rack6_tor2_peer_asn">Arkham!$N$78</definedName>
    <definedName name="sample_wld_az1_rack6_tor2_peer_bgp_password">Arkham!$N$79</definedName>
    <definedName name="sample_wld_az1_rack6_tor2_peer_ip">Arkham!$N$77</definedName>
    <definedName name="sample_wld_az1_rack6_uplink01_gateway_ip">Arkham!$N$62</definedName>
    <definedName name="sample_wld_az1_rack6_uplink01_mask">Arkham!$N$65</definedName>
    <definedName name="sample_wld_az1_rack6_uplink01_mtu">Arkham!$N$68</definedName>
    <definedName name="sample_wld_az1_rack6_uplink01_network">Arkham!$N$59</definedName>
    <definedName name="sample_wld_az1_rack6_uplink01_vlan">Arkham!$N$56</definedName>
    <definedName name="sample_wld_az1_rack6_uplink02_gateway_ip">Arkham!$N$63</definedName>
    <definedName name="sample_wld_az1_rack6_uplink02_mask">Arkham!$N$66</definedName>
    <definedName name="sample_wld_az1_rack6_uplink02_mtu">Arkham!$N$69</definedName>
    <definedName name="sample_wld_az1_rack6_uplink02_network">Arkham!$N$60</definedName>
    <definedName name="sample_wld_az1_rack6_uplink02_vlan">Arkham!$N$57</definedName>
    <definedName name="sample_wld_az1_rack6_vmotion_cidr">Arkham!$B$36</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gateway_ip">Arkham!$Q$64</definedName>
    <definedName name="sample_wld_az1_rack7_edge_overlay_mask">Arkham!$Q$67</definedName>
    <definedName name="sample_wld_az1_rack7_edge_overlay_mtu">Arkham!$Q$70</definedName>
    <definedName name="sample_wld_az1_rack7_edge_overlay_network">Arkham!$Q$61</definedName>
    <definedName name="sample_wld_az1_rack7_edge_overlay_network_pool_name">'Additional Racks'!$C$547</definedName>
    <definedName name="sample_wld_az1_rack7_edge_overlay_pool_end_ip">Arkham!$Q$72</definedName>
    <definedName name="sample_wld_az1_rack7_edge_overlay_pool_start_ip">Arkham!$Q$71</definedName>
    <definedName name="sample_wld_az1_rack7_edge_overlay_vlan">Arkham!$Q$58</definedName>
    <definedName name="sample_wld_az1_rack7_host_hostnames">'Additional Racks'!$C$519:$C$534</definedName>
    <definedName name="sample_wld_az1_rack7_host_mgmt_ips">'Additional Racks'!$C$479:$C$494</definedName>
    <definedName name="sample_wld_az1_rack7_host_overlay_cidr">Arkham!$B$43</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MR'!$M$259</definedName>
    <definedName name="sample_wld_az1_rack7_mgmt_vm_gateway_ip">'Value Reference Tables - MR'!$O$264</definedName>
    <definedName name="sample_wld_az1_rack7_mgmt_vm_mtu">'Value Reference Tables - MR'!$Q$264</definedName>
    <definedName name="sample_wld_az1_rack7_mgmt_vm_vlan">'Value Reference Tables - MR'!$K$264</definedName>
    <definedName name="sample_wld_az1_rack7_pool_name">'Additional Racks'!$C$499</definedName>
    <definedName name="sample_wld_az1_rack7_principal_storage_cidr">Arkham!$B$41</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Arkham!$B$42</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tor1_peer_asn">Arkham!$Q$75</definedName>
    <definedName name="sample_wld_az1_rack7_tor1_peer_bgp_password">Arkham!$Q$76</definedName>
    <definedName name="sample_wld_az1_rack7_tor1_peer_ip">Arkham!$Q$74</definedName>
    <definedName name="sample_wld_az1_rack7_tor2_peer_asn">Arkham!$Q$78</definedName>
    <definedName name="sample_wld_az1_rack7_tor2_peer_bgp_password">Arkham!$Q$79</definedName>
    <definedName name="sample_wld_az1_rack7_tor2_peer_ip">Arkham!$Q$77</definedName>
    <definedName name="sample_wld_az1_rack7_uplink01_gateway_ip">Arkham!$Q$62</definedName>
    <definedName name="sample_wld_az1_rack7_uplink01_mask">Arkham!$Q$65</definedName>
    <definedName name="sample_wld_az1_rack7_uplink01_mtu">Arkham!$Q$68</definedName>
    <definedName name="sample_wld_az1_rack7_uplink01_network">Arkham!$Q$59</definedName>
    <definedName name="sample_wld_az1_rack7_uplink01_vlan">Arkham!$Q$56</definedName>
    <definedName name="sample_wld_az1_rack7_uplink02_gateway_ip">Arkham!$Q$63</definedName>
    <definedName name="sample_wld_az1_rack7_uplink02_mask">Arkham!$Q$66</definedName>
    <definedName name="sample_wld_az1_rack7_uplink02_mtu">Arkham!$Q$69</definedName>
    <definedName name="sample_wld_az1_rack7_uplink02_network">Arkham!$Q$60</definedName>
    <definedName name="sample_wld_az1_rack7_uplink02_vlan">Arkham!$Q$57</definedName>
    <definedName name="sample_wld_az1_rack7_vmotion_cidr">Arkham!$B$40</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gateway_ip">Arkham!$T$64</definedName>
    <definedName name="sample_wld_az1_rack8_edge_overlay_mask">Arkham!$T$67</definedName>
    <definedName name="sample_wld_az1_rack8_edge_overlay_mtu">Arkham!$T$70</definedName>
    <definedName name="sample_wld_az1_rack8_edge_overlay_network">Arkham!$T$61</definedName>
    <definedName name="sample_wld_az1_rack8_edge_overlay_network_pool_name">'Additional Racks'!$C$640</definedName>
    <definedName name="sample_wld_az1_rack8_edge_overlay_pool_end_ip">Arkham!$T$72</definedName>
    <definedName name="sample_wld_az1_rack8_edge_overlay_pool_start_ip">Arkham!$T$71</definedName>
    <definedName name="sample_wld_az1_rack8_edge_overlay_vlan">Arkham!$T$58</definedName>
    <definedName name="sample_wld_az1_rack8_host_hostnames">'Additional Racks'!$C$612:$C$627</definedName>
    <definedName name="sample_wld_az1_rack8_host_mgmt_ips">'Additional Racks'!$C$572:$C$587</definedName>
    <definedName name="sample_wld_az1_rack8_host_overlay_cidr">Arkham!$B$47</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MR'!$M$260</definedName>
    <definedName name="sample_wld_az1_rack8_mgmt_vm_gateway_ip">'Value Reference Tables - MR'!$O$265</definedName>
    <definedName name="sample_wld_az1_rack8_mgmt_vm_mtu">'Value Reference Tables - MR'!$Q$265</definedName>
    <definedName name="sample_wld_az1_rack8_mgmt_vm_vlan">'Value Reference Tables - MR'!$K$265</definedName>
    <definedName name="sample_wld_az1_rack8_pool_name">'Additional Racks'!$C$592</definedName>
    <definedName name="sample_wld_az1_rack8_principal_storage_cidr">Arkham!$B$45</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Arkham!$B$46</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tor1_peer_asn">Arkham!$T$75</definedName>
    <definedName name="sample_wld_az1_rack8_tor1_peer_bgp_password">Arkham!$T$76</definedName>
    <definedName name="sample_wld_az1_rack8_tor1_peer_ip">Arkham!$T$74</definedName>
    <definedName name="sample_wld_az1_rack8_tor2_peer_asn">Arkham!$T$78</definedName>
    <definedName name="sample_wld_az1_rack8_tor2_peer_bgp_password">Arkham!$T$79</definedName>
    <definedName name="sample_wld_az1_rack8_tor2_peer_ip">Arkham!$T$77</definedName>
    <definedName name="sample_wld_az1_rack8_uplink01_gateway_ip">Arkham!$T$62</definedName>
    <definedName name="sample_wld_az1_rack8_uplink01_mask">Arkham!$T$65</definedName>
    <definedName name="sample_wld_az1_rack8_uplink01_mtu">Arkham!$T$68</definedName>
    <definedName name="sample_wld_az1_rack8_uplink01_network">Arkham!$T$59</definedName>
    <definedName name="sample_wld_az1_rack8_uplink01_vlan">Arkham!$T$56</definedName>
    <definedName name="sample_wld_az1_rack8_uplink02_gateway_ip">Arkham!$T$63</definedName>
    <definedName name="sample_wld_az1_rack8_uplink02_mask">Arkham!$T$66</definedName>
    <definedName name="sample_wld_az1_rack8_uplink02_mtu">Arkham!$T$69</definedName>
    <definedName name="sample_wld_az1_rack8_uplink02_network">Arkham!$T$60</definedName>
    <definedName name="sample_wld_az1_rack8_uplink02_vlan">Arkham!$T$57</definedName>
    <definedName name="sample_wld_az1_rack8_vmotion_cidr">Arkham!$B$44</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Domain'!$C$466</definedName>
    <definedName name="sample_wld_az1_rtep_overlay_cidr">'Configure Workload Domain'!$C$469</definedName>
    <definedName name="sample_wld_az1_rtep_overlay_gateway_ip">'Configure Workload Domain'!$C$470</definedName>
    <definedName name="sample_wld_az1_rtep_overlay_vlan">'Configure Workload Domain'!$C$499</definedName>
    <definedName name="sample_wld_az1_secondary_storage_gateway_ip">'Deploy Workload Domain'!$C$105</definedName>
    <definedName name="sample_wld_az1_secondary_storage_mask">'Deploy Workload Domain'!$C$104</definedName>
    <definedName name="sample_wld_az1_secondary_storage_mtu">'Deploy Workload Domain'!$C$102</definedName>
    <definedName name="sample_wld_az1_secondary_storage_network">'Deploy Workload Domain'!$C$103</definedName>
    <definedName name="sample_wld_az1_secondary_storage_pool_end_ip">'Deploy Workload Domain'!$C$107</definedName>
    <definedName name="sample_wld_az1_secondary_storage_pool_start_ip">'Deploy Workload Domain'!$C$106</definedName>
    <definedName name="sample_wld_az1_secondary_storage_vlan">'Deploy Workload Domain'!$C$101</definedName>
    <definedName name="sample_wld_az1_storage_cluster_gateway_ip">'Deploy Workload Domain'!$C$113</definedName>
    <definedName name="sample_wld_az1_storage_cluster_mask">'Deploy Workload Domain'!$C$112</definedName>
    <definedName name="sample_wld_az1_storage_cluster_mtu">'Deploy Workload Domain'!$C$110</definedName>
    <definedName name="sample_wld_az1_storage_cluster_network">'Deploy Workload Domain'!$C$111</definedName>
    <definedName name="sample_wld_az1_storage_cluster_pool_end_ip">'Deploy Workload Domain'!$C$115</definedName>
    <definedName name="sample_wld_az1_storage_cluster_pool_start_ip">'Deploy Workload Domain'!$C$114</definedName>
    <definedName name="sample_wld_az1_storage_cluster_vlan">'Deploy Workload Domain'!$C$109</definedName>
    <definedName name="sample_wld_az1_tor1_peer_asn">'Configure Workload Domain'!$C$106</definedName>
    <definedName name="sample_wld_az1_tor1_peer_bgp_password">'Configure Workload Domain'!$C$107</definedName>
    <definedName name="sample_wld_az1_tor1_peer_ip">'Configure Workload Domain'!$C$103</definedName>
    <definedName name="sample_wld_az1_tor2_peer_asn">'Configure Workload Domain'!$C$113</definedName>
    <definedName name="sample_wld_az1_tor2_peer_bgp_password">'Configure Workload Domain'!$C$114</definedName>
    <definedName name="sample_wld_az1_tor2_peer_ip">'Configure Workload Domain'!$C$110</definedName>
    <definedName name="sample_wld_az1_uplink01_cidr">'Configure Workload Domain'!$C$138</definedName>
    <definedName name="sample_wld_az1_uplink01_gateway_ip">'Configure Workload Domain'!$C$137</definedName>
    <definedName name="sample_wld_az1_uplink01_mtu">'Configure Workload Domain'!$C$105</definedName>
    <definedName name="sample_wld_az1_uplink01_vlan">'Configure Workload Domain'!$C$101</definedName>
    <definedName name="sample_wld_az1_uplink02_cidr">'Configure Workload Domain'!$C$142</definedName>
    <definedName name="sample_wld_az1_uplink02_gateway_ip">'Configure Workload Domain'!$C$141</definedName>
    <definedName name="sample_wld_az1_uplink02_mtu">'Configure Workload Domain'!$C$112</definedName>
    <definedName name="sample_wld_az1_uplink02_vlan">'Configure Workload Domain'!$C$108</definedName>
    <definedName name="sample_wld_az1_vmotion_cidr">'Deploy Workload Domain'!$C$353</definedName>
    <definedName name="sample_wld_az1_vmotion_gateway_ip">'Deploy Workload Domain'!$C$89</definedName>
    <definedName name="sample_wld_az1_vmotion_mask">'Deploy Workload Domain'!$C$88</definedName>
    <definedName name="sample_wld_az1_vmotion_mtu">'Deploy Workload Domain'!$C$86</definedName>
    <definedName name="sample_wld_az1_vmotion_network">'Deploy Workload Domain'!$C$87</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Domain'!$C$325</definedName>
    <definedName name="sample_wld_az2_host_overlay_gateway_ip">'Configure Workload Domain'!$C$324</definedName>
    <definedName name="sample_wld_az2_host_overlay_mtu">'Configure Workload Domain'!$C$326</definedName>
    <definedName name="sample_wld_az2_host_overlay_network_pool_name">'Configure Workload Domain'!$C$321</definedName>
    <definedName name="sample_wld_az2_host_overlay_network_profile_name">'Configure Workload Domain'!$C$319</definedName>
    <definedName name="sample_wld_az2_host_overlay_pool_end_ip">'Configure Workload Domain'!$C$328</definedName>
    <definedName name="sample_wld_az2_host_overlay_pool_start_ip">'Configure Workload Domain'!$C$327</definedName>
    <definedName name="sample_wld_az2_host_overlay_uplink_profile_name">'Configure Workload Domain'!$C$322</definedName>
    <definedName name="sample_wld_az2_host_overlay_vlan">'Configure Workload Domain'!$C$323</definedName>
    <definedName name="sample_wld_az2_host1_fqdn">'Configure Workload Domain'!$C$232</definedName>
    <definedName name="sample_wld_az2_host1_mgmt_ip">'Configure Workload Domain'!$C$174</definedName>
    <definedName name="sample_wld_az2_host1_sddc_id">'Configure Workload Domain'!$C$303</definedName>
    <definedName name="sample_wld_az2_host1_vrms_ip">'Dumping Ground'!$C$310</definedName>
    <definedName name="sample_wld_az2_host10_fqdn">'Configure Workload Domain'!$C$241</definedName>
    <definedName name="sample_wld_az2_host10_mgmt_ip">'Configure Workload Domain'!$C$183</definedName>
    <definedName name="sample_wld_az2_host10_vrms_ip">'Dumping Ground'!$C$319</definedName>
    <definedName name="sample_wld_az2_host11_fqdn">'Configure Workload Domain'!$C$242</definedName>
    <definedName name="sample_wld_az2_host11_mgmt_ip">'Configure Workload Domain'!$C$184</definedName>
    <definedName name="sample_wld_az2_host11_vrms_ip">'Dumping Ground'!$C$320</definedName>
    <definedName name="sample_wld_az2_host12_fqdn">'Configure Workload Domain'!$C$243</definedName>
    <definedName name="sample_wld_az2_host12_mgmt_ip">'Configure Workload Domain'!$C$185</definedName>
    <definedName name="sample_wld_az2_host12_vrms_ip">'Dumping Ground'!$C$321</definedName>
    <definedName name="sample_wld_az2_host13_fqdn">'Configure Workload Domain'!$C$244</definedName>
    <definedName name="sample_wld_az2_host13_mgmt_ip">'Configure Workload Domain'!$C$186</definedName>
    <definedName name="sample_wld_az2_host13_vrms_ip">'Dumping Ground'!$C$322</definedName>
    <definedName name="sample_wld_az2_host14_fqdn">'Configure Workload Domain'!$C$245</definedName>
    <definedName name="sample_wld_az2_host14_mgmt_ip">'Configure Workload Domain'!$C$187</definedName>
    <definedName name="sample_wld_az2_host14_vrms_ip">'Dumping Ground'!$C$323</definedName>
    <definedName name="sample_wld_az2_host15_fqdn">'Configure Workload Domain'!$C$246</definedName>
    <definedName name="sample_wld_az2_host15_mgmt_ip">'Configure Workload Domain'!$C$188</definedName>
    <definedName name="sample_wld_az2_host15_vrms_ip">'Dumping Ground'!$C$324</definedName>
    <definedName name="sample_wld_az2_host16_fqdn">'Configure Workload Domain'!$C$247</definedName>
    <definedName name="sample_wld_az2_host16_mgmt_ip">'Configure Workload Domain'!$C$189</definedName>
    <definedName name="sample_wld_az2_host16_vrms_ip">'Dumping Ground'!$C$325</definedName>
    <definedName name="sample_wld_az2_host2_fqdn">'Configure Workload Domain'!$C$233</definedName>
    <definedName name="sample_wld_az2_host2_mgmt_ip">'Configure Workload Domain'!$C$175</definedName>
    <definedName name="sample_wld_az2_host2_sddc_id">'Configure Workload Domain'!$C$304</definedName>
    <definedName name="sample_wld_az2_host2_vrms_ip">'Dumping Ground'!$C$311</definedName>
    <definedName name="sample_wld_az2_host3_fqdn">'Configure Workload Domain'!$C$234</definedName>
    <definedName name="sample_wld_az2_host3_mgmt_ip">'Configure Workload Domain'!$C$176</definedName>
    <definedName name="sample_wld_az2_host3_sddc_id">'Configure Workload Domain'!$C$305</definedName>
    <definedName name="sample_wld_az2_host3_vrms_ip">'Dumping Ground'!$C$312</definedName>
    <definedName name="sample_wld_az2_host4_fqdn">'Configure Workload Domain'!$C$235</definedName>
    <definedName name="sample_wld_az2_host4_mgmt_ip">'Configure Workload Domain'!$C$177</definedName>
    <definedName name="sample_wld_az2_host4_sddc_id">'Configure Workload Domain'!$C$306</definedName>
    <definedName name="sample_wld_az2_host4_vrms_ip">'Dumping Ground'!$C$313</definedName>
    <definedName name="sample_wld_az2_host5_fqdn">'Configure Workload Domain'!$C$236</definedName>
    <definedName name="sample_wld_az2_host5_mgmt_ip">'Configure Workload Domain'!$C$178</definedName>
    <definedName name="sample_wld_az2_host5_vrms_ip">'Dumping Ground'!$C$314</definedName>
    <definedName name="sample_wld_az2_host6_fqdn">'Configure Workload Domain'!$C$237</definedName>
    <definedName name="sample_wld_az2_host6_mgmt_ip">'Configure Workload Domain'!$C$179</definedName>
    <definedName name="sample_wld_az2_host6_vrms_ip">'Dumping Ground'!$C$315</definedName>
    <definedName name="sample_wld_az2_host7_fqdn">'Configure Workload Domain'!$C$238</definedName>
    <definedName name="sample_wld_az2_host7_mgmt_ip">'Configure Workload Domain'!$C$180</definedName>
    <definedName name="sample_wld_az2_host7_vrms_ip">'Dumping Ground'!$C$316</definedName>
    <definedName name="sample_wld_az2_host8_fqdn">'Configure Workload Domain'!$C$239</definedName>
    <definedName name="sample_wld_az2_host8_mgmt_ip">'Configure Workload Domain'!$C$181</definedName>
    <definedName name="sample_wld_az2_host8_vrms_ip">'Dumping Ground'!$C$317</definedName>
    <definedName name="sample_wld_az2_host9_fqdn">'Configure Workload Domain'!$C$240</definedName>
    <definedName name="sample_wld_az2_host9_mgmt_ip">'Configure Workload Domain'!$C$182</definedName>
    <definedName name="sample_wld_az2_host9_vrms_ip">'Dumping Ground'!$C$318</definedName>
    <definedName name="sample_wld_az2_mgmt_cidr">'Configure Workload Domain'!$C$171</definedName>
    <definedName name="sample_wld_az2_mgmt_gateway_ip">'Configure Workload Domain'!$C$170</definedName>
    <definedName name="sample_wld_az2_mgmt_mtu">'Configure Workload Domain'!$C$172</definedName>
    <definedName name="sample_wld_az2_mgmt_vlan">'Configure Workload Domain'!$C$169</definedName>
    <definedName name="sample_wld_az2_pool_name">'Configure Workload Domain'!$C$195</definedName>
    <definedName name="sample_wld_az2_principal_storage_gateway_ip">'Configure Workload Domain'!$C$209</definedName>
    <definedName name="sample_wld_az2_principal_storage_mask">'Configure Workload Domain'!$C$208</definedName>
    <definedName name="sample_wld_az2_principal_storage_mtu">'Configure Workload Domain'!$C$206</definedName>
    <definedName name="sample_wld_az2_principal_storage_network">'Configure Workload Domain'!$C$207</definedName>
    <definedName name="sample_wld_az2_principal_storage_pool_end_ip">'Configure Workload Domain'!$C$211</definedName>
    <definedName name="sample_wld_az2_principal_storage_pool_start_ip">'Configure Workload Domain'!$C$210</definedName>
    <definedName name="sample_wld_az2_principal_storage_vlan">'Configure Workload Domain'!$C$205</definedName>
    <definedName name="sample_wld_az2_secondary_storage_gateway_ip">'Configure Workload Domain'!$C$217</definedName>
    <definedName name="sample_wld_az2_secondary_storage_mask">'Configure Workload Domain'!$C$216</definedName>
    <definedName name="sample_wld_az2_secondary_storage_mtu">'Configure Workload Domain'!$C$214</definedName>
    <definedName name="sample_wld_az2_secondary_storage_network">'Configure Workload Domain'!$C$215</definedName>
    <definedName name="sample_wld_az2_secondary_storage_pool_end_ip">'Configure Workload Domain'!$C$219</definedName>
    <definedName name="sample_wld_az2_secondary_storage_pool_start_ip">'Configure Workload Domain'!$C$218</definedName>
    <definedName name="sample_wld_az2_secondary_storage_vlan">'Configure Workload Domain'!$C$213</definedName>
    <definedName name="sample_wld_az2_storage_cluster_gateway_ip">'Configure Workload Domain'!$C$225</definedName>
    <definedName name="sample_wld_az2_storage_cluster_mask">'Configure Workload Domain'!$C$224</definedName>
    <definedName name="sample_wld_az2_storage_cluster_mtu">'Configure Workload Domain'!$C$222</definedName>
    <definedName name="sample_wld_az2_storage_cluster_network">'Configure Workload Domain'!$C$223</definedName>
    <definedName name="sample_wld_az2_storage_cluster_pool_end_ip">'Configure Workload Domain'!$C$227</definedName>
    <definedName name="sample_wld_az2_storage_cluster_pool_start_ip">'Configure Workload Domain'!$C$226</definedName>
    <definedName name="sample_wld_az2_storage_cluster_vlan">'Configure Workload Domain'!$C$221</definedName>
    <definedName name="sample_wld_az2_tor1_peer_asn">'Configure Workload Domain'!$C$346</definedName>
    <definedName name="sample_wld_az2_tor1_peer_bgp_password">'Configure Workload Domain'!$C$349</definedName>
    <definedName name="sample_wld_az2_tor1_peer_ip">'Configure Workload Domain'!$C$345</definedName>
    <definedName name="sample_wld_az2_tor2_peer_asn">'Configure Workload Domain'!$C$351</definedName>
    <definedName name="sample_wld_az2_tor2_peer_bgp_password">'Configure Workload Domain'!$C$354</definedName>
    <definedName name="sample_wld_az2_tor2_peer_ip">'Configure Workload Domain'!$C$350</definedName>
    <definedName name="sample_wld_az2_vmotion_gateway_ip">'Configure Workload Domain'!$C$201</definedName>
    <definedName name="sample_wld_az2_vmotion_mask">'Configure Workload Domain'!$C$200</definedName>
    <definedName name="sample_wld_az2_vmotion_mtu">'Configure Workload Domain'!$C$198</definedName>
    <definedName name="sample_wld_az2_vmotion_network">'Configure Workload Domain'!$C$199</definedName>
    <definedName name="sample_wld_az2_vmotion_pool_end_ip">'Configure Workload Domain'!$C$203</definedName>
    <definedName name="sample_wld_az2_vmotion_pool_start_ip">'Configure Workload Domain'!$C$202</definedName>
    <definedName name="sample_wld_az2_vmotion_vlan">'Configure Workload Domain'!$C$197</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Domain'!$C$272</definedName>
    <definedName name="sample_wld_cl01_az1_mgmt_vm_pg">'Deploy Workload Domain'!$C$277</definedName>
    <definedName name="sample_wld_cl01_az1_nsx_uplink_count">'Deploy Workload Domain'!$C$315</definedName>
    <definedName name="sample_wld_cl01_az1_principal_storage_pg">'Deploy Workload Domain'!$C$287</definedName>
    <definedName name="sample_wld_cl01_az1_uplink01_pg">'Configure Workload Domain'!$C$136</definedName>
    <definedName name="sample_wld_cl01_az1_uplink02_pg">'Configure Workload Domain'!$C$140</definedName>
    <definedName name="sample_wld_cl01_az1_vmotion_pg">'Deploy Workload Domain'!$C$282</definedName>
    <definedName name="sample_wld_cl01_az1_vsan_storage_client_pg">'Deploy Workload Domain'!$C$292</definedName>
    <definedName name="sample_wld_cl01_cluster">'Deploy Workload Domain'!$C$163</definedName>
    <definedName name="sample_wld_cl01_cluster_sddc_id">'Configure Workload Domain'!$C$332</definedName>
    <definedName name="sample_wld_cl01_cluster_zn_name">'Deploy Workload Domain'!$C$164</definedName>
    <definedName name="sample_wld_cl01_evc_mode">'Dumping Ground'!$R$7</definedName>
    <definedName name="sample_wld_cl01_image_name">'Deploy Workload Domain'!$C$168</definedName>
    <definedName name="sample_wld_cl01_nfs_datastore_name">'Deploy Workload Domain'!$C$206</definedName>
    <definedName name="sample_wld_cl01_nfs_server_address">'Deploy Workload Domain'!$C$208</definedName>
    <definedName name="sample_wld_cl01_nfs_share_path">'Deploy Workload Domain'!$C$207</definedName>
    <definedName name="sample_wld_cl01_supervisor_control_plane_ip_range">'Deploy Workload Domain'!$C$329</definedName>
    <definedName name="sample_wld_cl01_supervisor_dns">'Deploy Workload Domain'!$C$335</definedName>
    <definedName name="sample_wld_cl01_supervisor_name">'Deploy Workload Domain'!$C$326</definedName>
    <definedName name="sample_wld_cl01_supervisor_nsx_project">'Deploy Workload Domain'!$C$331</definedName>
    <definedName name="sample_wld_cl01_supervisor_ntp">'Deploy Workload Domain'!$C$336</definedName>
    <definedName name="sample_wld_cl01_supervisor_private_cidr">'Deploy Workload Domain'!$C$334</definedName>
    <definedName name="sample_wld_cl01_supervisor_private_transit_gateway_cidr">'Deploy Workload Domain'!$C$333</definedName>
    <definedName name="sample_wld_cl01_supervisor_service_cidr">'Deploy Workload Domain'!$C$327</definedName>
    <definedName name="sample_wld_cl01_supervisor_vpc_profile">'Deploy Workload Domain'!$C$332</definedName>
    <definedName name="sample_wld_cl01_vds01_lag_name">'Deploy Workload Domain'!$C$242</definedName>
    <definedName name="sample_wld_cl01_vds01_mtu">'Deploy Workload Domain'!$C$240</definedName>
    <definedName name="sample_wld_cl01_vds01_name">'Deploy Workload Domain'!$C$239</definedName>
    <definedName name="sample_wld_cl01_vds01_pnics">'Deploy Workload Domain'!$C$247</definedName>
    <definedName name="sample_wld_cl01_vds01_uplink_count">'Deploy Workload Domain'!$C$246</definedName>
    <definedName name="sample_wld_cl01_vds02_lag_name">'Deploy Workload Domain'!$C$253</definedName>
    <definedName name="sample_wld_cl01_vds02_mtu">'Deploy Workload Domain'!$C$251</definedName>
    <definedName name="sample_wld_cl01_vds02_name">'Deploy Workload Domain'!$C$250</definedName>
    <definedName name="sample_wld_cl01_vds02_pnics">'Deploy Workload Domain'!$C$258</definedName>
    <definedName name="sample_wld_cl01_vds02_uplink_count">'Deploy Workload Domain'!$C$257</definedName>
    <definedName name="sample_wld_cl01_vds03_lag_name">'Deploy Workload Domain'!$C$264</definedName>
    <definedName name="sample_wld_cl01_vds03_mtu">'Deploy Workload Domain'!$C$262</definedName>
    <definedName name="sample_wld_cl01_vds03_name">'Deploy Workload Domain'!$C$261</definedName>
    <definedName name="sample_wld_cl01_vds03_pnics">'Deploy Workload Domain'!$C$269</definedName>
    <definedName name="sample_wld_cl01_vds03_uplink_count">'Deploy Workload Domain'!$C$268</definedName>
    <definedName name="sample_wld_cl01_vmfs_datastore_name">'Deploy Workload Domain'!$C$205</definedName>
    <definedName name="sample_wld_cl01_vsan_datastore">'Deploy Workload Domain'!$C$201</definedName>
    <definedName name="sample_wld_datacenter">'Configure Workload Domain'!$C$286</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Domain'!$C$72</definedName>
    <definedName name="sample_wld_en_asn">'Configure Workload Domain'!$C$99</definedName>
    <definedName name="sample_wld_esx_root_password">'Deploy Workload Domain'!$C$141</definedName>
    <definedName name="sample_wld_esx_root_username">'Deploy Workload Domain'!$C$140</definedName>
    <definedName name="sample_wld_existing_active_nsx_gm">'Configure Workload Domain'!$C$512</definedName>
    <definedName name="sample_wld_existing_cross_instance_t0_name">'Configure Workload Domain'!$C$513</definedName>
    <definedName name="sample_wld_host_overlay_transportzone">'Deploy Workload Domain'!$C$302</definedName>
    <definedName name="sample_wld_nsx_vlan_transport_zone_name">'Deploy Workload Domain'!$C$312</definedName>
    <definedName name="sample_wld_nsxt_en_admin_password">'Configure Workload Domain'!$C$93</definedName>
    <definedName name="sample_wld_nsxt_en_root_password">'Configure Workload Domain'!$C$92</definedName>
    <definedName name="sample_wld_nsxt_federation_global_manager_name">'Configure Workload Domain'!$C$482</definedName>
    <definedName name="sample_wld_nsxt_federation_location_name">'Configure Workload Domain'!$C$493</definedName>
    <definedName name="sample_wld_nsxt_global_mgr_anti_affinity_rule_name">'Configure Workload Domain'!$C$434</definedName>
    <definedName name="sample_wld_nsxt_global_mgr_certificate_id">'Configure Workload Domain'!$C$452</definedName>
    <definedName name="sample_wld_nsxt_global_mgr_cluster_id">'Configure Workload Domain'!$C$416</definedName>
    <definedName name="sample_wld_nsxt_global_mgr_vmca_signed_thumbprint">'Configure Workload Domain'!$C$417</definedName>
    <definedName name="sample_wld_nsxt_global_mgra_fqdn">'Configure Workload Domain'!$C$370</definedName>
    <definedName name="sample_wld_nsxt_global_mgra_hostname">'Configure Workload Domain'!$C$361</definedName>
    <definedName name="sample_wld_nsxt_global_mgra_ip">'Configure Workload Domain'!$C$371</definedName>
    <definedName name="sample_wld_nsxt_global_mgrb_fqdn">'Configure Workload Domain'!$C$387</definedName>
    <definedName name="sample_wld_nsxt_global_mgrb_hostname">'Configure Workload Domain'!$C$378</definedName>
    <definedName name="sample_wld_nsxt_global_mgrb_ip">'Configure Workload Domain'!$C$388</definedName>
    <definedName name="sample_wld_nsxt_global_mgrc_fqdn">'Configure Workload Domain'!$C$404</definedName>
    <definedName name="sample_wld_nsxt_global_mgrc_hostname">'Configure Workload Domain'!$C$395</definedName>
    <definedName name="sample_wld_nsxt_global_mgrc_ip">'Configure Workload Domain'!$C$405</definedName>
    <definedName name="sample_wld_nsxt_gm_admin_password">'Configure Workload Domain'!$C$368</definedName>
    <definedName name="sample_wld_nsxt_gm_audit_password">'Configure Workload Domain'!$C$369</definedName>
    <definedName name="sample_wld_nsxt_gm_fingerprint">'Configure Workload Domain'!$C$480</definedName>
    <definedName name="sample_wld_nsxt_gm_root_password">'Configure Workload Domain'!$C$367</definedName>
    <definedName name="sample_wld_nsxt_gm_vip_fqdn">'Configure Workload Domain'!$C$443</definedName>
    <definedName name="sample_wld_nsxt_gm_vip_ip">'Configure Workload Domain'!$C$442</definedName>
    <definedName name="sample_wld_nsxt_lm_admin_password">'Deploy Workload Domain'!$C$183</definedName>
    <definedName name="sample_wld_nsxt_lm_audit_password">'Deploy Workload Domain'!$C$184</definedName>
    <definedName name="sample_wld_nsxt_lm_fingerprint">'Configure Workload Domain'!$C$491</definedName>
    <definedName name="sample_wld_nsxt_mgra_fqdn">'Deploy Workload Domain'!$C$175</definedName>
    <definedName name="sample_wld_nsxt_mgra_ip">'Deploy Workload Domain'!$C$176</definedName>
    <definedName name="sample_wld_nsxt_mgrb_fqdn">'Deploy Workload Domain'!$C$177</definedName>
    <definedName name="sample_wld_nsxt_mgrb_ip">'Deploy Workload Domain'!$C$178</definedName>
    <definedName name="sample_wld_nsxt_mgrc_fqdn">'Deploy Workload Domain'!$C$179</definedName>
    <definedName name="sample_wld_nsxt_mgrc_ip">'Deploy Workload Domain'!$C$180</definedName>
    <definedName name="sample_wld_nsxt_vip_fqdn">'Deploy Workload Domain'!$C$181</definedName>
    <definedName name="sample_wld_nsxt_vip_ip">'Deploy Workload Domain'!$C$182</definedName>
    <definedName name="sample_wld_nsxt_xreg_t1_name">'Configure Workload Domain'!$C$505</definedName>
    <definedName name="sample_wld_rack2_en_asn">Arkham!$B$73</definedName>
    <definedName name="sample_wld_rack3_en_asn">Arkham!$E$73</definedName>
    <definedName name="sample_wld_rack4_en_asn">Arkham!$H$73</definedName>
    <definedName name="sample_wld_rack5_en_asn">Arkham!$K$73</definedName>
    <definedName name="sample_wld_rack6_en_asn">Arkham!$N$73</definedName>
    <definedName name="sample_wld_rack7_en_asn">Arkham!$Q$73</definedName>
    <definedName name="sample_wld_rack8_en_asn">Arkham!$T$73</definedName>
    <definedName name="sample_wld_rtep_overlay_pool_end_ip">'Configure Workload Domain'!$C$468</definedName>
    <definedName name="sample_wld_rtep_overlay_pool_start_ip">'Configure Workload Domain'!$C$467</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Domain'!$C$148</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Domain'!$C$150</definedName>
    <definedName name="sample_wld_tier0_name">'Configure Workload Domain'!$C$96</definedName>
    <definedName name="sample_wld_vc_fqdn">'Deploy Workload Domain'!$C$157</definedName>
    <definedName name="sample_wld_vc_ip">'Deploy Workload Domain'!$C$373</definedName>
    <definedName name="sample_wld_vcenter_root_password">'Deploy Workload Domain'!$C$158</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naa_fqdn">Arkham!$P$45</definedName>
    <definedName name="sample_wld_vnaa_ip">Arkham!$P$43</definedName>
    <definedName name="sample_wld_vnab_fqdn">Arkham!$P$46</definedName>
    <definedName name="sample_wld_vnab_ip">Arkham!$P$44</definedName>
    <definedName name="sample_wld_vpc_ext_ip_blocks">'Configure Workload Domain'!$C$131</definedName>
    <definedName name="sample_wld_vpc_transit_gateway_ip_blocks">'Configure Workload Domain'!$C$132</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witness_cluster">'Configure Workload Domain'!$C$268</definedName>
    <definedName name="sample_wld_witness_dns1_ip">'Configure Workload Domain'!$C$279</definedName>
    <definedName name="sample_wld_witness_dns2_ip">'Configure Workload Domain'!$C$280</definedName>
    <definedName name="sample_wld_witness_fqdn">'Configure Workload Domain'!$C$287</definedName>
    <definedName name="sample_wld_witness_hostname">'Configure Workload Domain'!$C$267</definedName>
    <definedName name="sample_wld_witness_ip">'Configure Workload Domain'!$C$274</definedName>
    <definedName name="sample_wld_witness_mgmt_pg">'Configure Workload Domain'!$C$271</definedName>
    <definedName name="sample_wld_witness_ntp1_server">'Configure Workload Domain'!$C$281</definedName>
    <definedName name="sample_wld_witness_ntp2_server">'Configure Workload Domain'!$C$282</definedName>
    <definedName name="sample_wld_witness_root_password">'Configure Workload Domain'!$C$273</definedName>
    <definedName name="sample_wld_witness_vm_folder">'Configure Workload Domain'!$C$269</definedName>
    <definedName name="sample_wld_witness_vsan_datastore">'Configure Workload Domain'!$C$270</definedName>
    <definedName name="sample_wld_witness_zone_vc_fqdn">'Configure Workload Domain'!$C$265</definedName>
    <definedName name="sample_wld_witness_zone_vc_ip">'Configure Workload Domain'!$C$266</definedName>
    <definedName name="sample_wld_witnessaz_mgmt_cidr">'Configure Workload Domain'!$C$259</definedName>
    <definedName name="sample_wld_witnessaz_mgmt_gateway_ip">'Configure Workload Domain'!$C$258</definedName>
    <definedName name="sample_wld_witnessaz_mgmt_mtu">'Workload Domain As Built'!$C$114</definedName>
    <definedName name="sample_wld_witnessaz_mgmt_vlan">'Configure Workload Domain'!$C$257</definedName>
    <definedName name="sample_xreg_seg01_name">'Configure Management Domain'!$C$528</definedName>
    <definedName name="sample_xreg_vra_admin_password">'Deploy Management Domain'!$K$79</definedName>
    <definedName name="sample_xreg_vra_node_pool_end_ip">Arkham!$P$38</definedName>
    <definedName name="sample_xreg_vra_node_pool_start_ip">Arkham!$P$37</definedName>
    <definedName name="sample_xreg_vra_nodea_ip">'Deploy Management Domain'!$K$80</definedName>
    <definedName name="sample_xreg_vra_nodeb_ip">'Deploy Management Domain'!$K$81</definedName>
    <definedName name="sample_xreg_vra_nodec_ip">'Deploy Management Domain'!$K$82</definedName>
    <definedName name="sample_xreg_vra_noded_ip">'Deploy Management Domain'!$K$83</definedName>
    <definedName name="sample_xreg_vra_nodee_ip">Arkham!$P$8</definedName>
    <definedName name="sample_xreg_vra_nodef_ip">Arkham!$P$9</definedName>
    <definedName name="sample_xreg_vra_prefix">'Deploy Management Domain'!$K$84</definedName>
    <definedName name="sample_xreg_vra_virtual_fqdn">'Deploy Management Domain'!$K$78</definedName>
    <definedName name="sample_xreg_vra_virtual_ip">'Deploy Management Domain'!$K$315</definedName>
    <definedName name="sample_xreg_vra_vm_folder">'Dumping Ground'!$C$107</definedName>
    <definedName name="sample_xreg_vrops_admin_password">'Deploy Management Domain'!$K$60</definedName>
    <definedName name="sample_xreg_vrops_collector_fqdn">'Deploy Management Domain'!$K$70</definedName>
    <definedName name="sample_xreg_vrops_collector_ip">'Deploy Management Domain'!$K$311</definedName>
    <definedName name="sample_xreg_vrops_collector_root_password">'Deploy Management Domain'!$K$72</definedName>
    <definedName name="sample_xreg_vrops_nodea_fqdn">'Deploy Management Domain'!$K$57</definedName>
    <definedName name="sample_xreg_vrops_nodea_ip">'Deploy Management Domain'!$K$308</definedName>
    <definedName name="sample_xreg_vrops_nodeb_fqdn">'Deploy Management Domain'!$K$58</definedName>
    <definedName name="sample_xreg_vrops_nodeb_ip">'Deploy Management Domain'!$K$309</definedName>
    <definedName name="sample_xreg_vrops_nodec_fqdn">'Deploy Management Domain'!$K$59</definedName>
    <definedName name="sample_xreg_vrops_nodec_ip">'Deploy Management Domain'!$K$310</definedName>
    <definedName name="sample_xreg_vrops_root_password">'Deploy Management Domain'!$K$61</definedName>
    <definedName name="sample_xreg_vrops_srm_sso_password">'Site Protection &amp; DR'!$C$481</definedName>
    <definedName name="sample_xreg_vrops_srm_sso_username">'Site Protection &amp; DR'!$C$480</definedName>
    <definedName name="sample_xreg_vrops_virtual_fqdn">'Deploy Management Domain'!$K$63</definedName>
    <definedName name="sample_xreg_vrops_virtual_ip">'Deploy Management Domain'!$K$313</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vrslcm_fqdn">'Deploy Management Domain'!$K$65</definedName>
    <definedName name="sample_xreg_vrslcm_ip">'Deploy Management Domain'!$K$306</definedName>
    <definedName name="sample_xreg_wsa_vm_folder">'Dumping Ground'!$C$105</definedName>
    <definedName name="sample_xregion_dns1_ip">Arkham!$B$13</definedName>
    <definedName name="sample_xregion_dns2_ip">Arkham!$B$14</definedName>
    <definedName name="sample_xregion_ntp1_server">Arkham!$B$18</definedName>
    <definedName name="sample_xregion_ntp2_server">Arkham!$B$19</definedName>
    <definedName name="sddc_mgr_admin_local_password">'Value Reference Tables'!$L$29</definedName>
    <definedName name="sddc_mgr_fqdn">'Value Reference Tables'!$C$54</definedName>
    <definedName name="sddc_mgr_hostname">'Value Reference Tables'!$C$38</definedName>
    <definedName name="sddc_mgr_ip">'Value Reference Tables'!$C$15</definedName>
    <definedName name="sddc_mgr_root_password">'Value Reference Tables'!$L$27</definedName>
    <definedName name="sddc_mgr_vcf_password">'Value Reference Tables'!$L$28</definedName>
    <definedName name="sddc_mgr_vcf_username">'Value Reference Tables'!$K$27</definedName>
    <definedName name="sftp_server">'Value Reference Tables'!$L$179</definedName>
    <definedName name="sftp_server_backup_dir">'Value Reference Tables'!$O$49</definedName>
    <definedName name="sftp_server_ip">'Value Reference Tables'!$L$60</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Tables'!$B$383</definedName>
    <definedName name="sizing_cbr_cpu">'Static Reference Tables'!$C$236</definedName>
    <definedName name="sizing_cbr_disk">'Static Reference Tables'!$C$238</definedName>
    <definedName name="sizing_cbr_ram">'Static Reference Tables'!$C$237</definedName>
    <definedName name="sizing_ccm_hcx_cpu">'Static Reference Tables'!$C$240</definedName>
    <definedName name="sizing_ccm_hcx_disk">'Static Reference Tables'!$C$242</definedName>
    <definedName name="sizing_ccm_hcx_ram">'Static Reference Tables'!$C$241</definedName>
    <definedName name="sizing_cpu_oversubscription">'Management Domain Sizing'!$E$15</definedName>
    <definedName name="sizing_disk_groups_per_host">'Management Domain Sizing'!$C$87</definedName>
    <definedName name="sizing_estimated_growth">'Management Domain Sizing'!$E$9</definedName>
    <definedName name="sizing_hrm_hvm_cpu">'Static Reference Tables'!$C$196</definedName>
    <definedName name="sizing_hrm_hvm_disk">'Static Reference Tables'!$C$198</definedName>
    <definedName name="sizing_hrm_hvm_ram">'Static Reference Tables'!$C$197</definedName>
    <definedName name="sizing_inv_cpu">'Static Reference Tables'!$C$208</definedName>
    <definedName name="sizing_inv_disk">'Static Reference Tables'!$C$210</definedName>
    <definedName name="sizing_inv_platform_node_cpu">'Static Reference Tables'!$C$202</definedName>
    <definedName name="sizing_inv_platform_node_disk">'Static Reference Tables'!$C$204</definedName>
    <definedName name="sizing_inv_platform_node_ram">'Static Reference Tables'!$C$203</definedName>
    <definedName name="sizing_inv_ram">'Static Reference Tables'!$C$209</definedName>
    <definedName name="sizing_m01_included">'Management Domain Sizing'!$C$32</definedName>
    <definedName name="sizing_m01_nsxt_appliance_size">'Management Domain Sizing'!$I$32</definedName>
    <definedName name="sizing_m01_nsxt_edge_size">'Management Domain Sizing'!$L$32</definedName>
    <definedName name="sizing_m01_nsxt_gm_appliance_size">'Management Domain Sizing'!$O$32</definedName>
    <definedName name="sizing_m01_nsxt_gm_appliance_size_chosen">'Configure Management Domain'!$D$403</definedName>
    <definedName name="sizing_m01_ssp_chosen">'Management Domain Sizing'!$U$32</definedName>
    <definedName name="sizing_m01_vcenter_storage_size_chosen">'Deploy Management Domain'!$L$92</definedName>
    <definedName name="sizing_mgmt_avi_lb_appliance_size">'Management Domain Sizing'!$Q$32</definedName>
    <definedName name="sizing_mgmt_avilb_cluster_chosen">'Configure Management Domain'!$D$210</definedName>
    <definedName name="sizing_mgmt_cluster_host_core_count">'Management Domain Sizing'!$E$13</definedName>
    <definedName name="sizing_mgmt_cluster_host_ram_count">'Management Domain Sizing'!$E$14</definedName>
    <definedName name="sizing_mgmt_ec_formfactor_chosen">'Configure Management Domain'!$D$97</definedName>
    <definedName name="sizing_mgmt_nsxt_global_appliance_chosen">'Configure Management Domain'!$D$97</definedName>
    <definedName name="sizing_nsxt_edge_sizing_list">'Static Reference Tables'!$C$21:$C$25</definedName>
    <definedName name="sizing_nsxt_manager_size_list">'Static Reference Tables'!$C$17:$C$20</definedName>
    <definedName name="sizing_ram_oversubscription">'Management Domain Sizing'!$E$16</definedName>
    <definedName name="sizing_sddc_manager_cpu">'Static Reference Tables'!$C$30</definedName>
    <definedName name="sizing_sddc_manager_disk">'Static Reference Tables'!$C$32</definedName>
    <definedName name="sizing_sddc_manager_ram">'Static Reference Tables'!$C$31</definedName>
    <definedName name="sizing_storage_type">'Management Domain Sizing'!$R$13</definedName>
    <definedName name="sizing_vcenter_appliance_size_list">'Static Reference Tables'!$C$8:$C$12</definedName>
    <definedName name="sizing_vcenter_storage_size_list">'Static Reference Tables'!$C$13:$C$15</definedName>
    <definedName name="sizing_vcfauto_chosen">'Management Domain Sizing'!$E$23</definedName>
    <definedName name="sizing_vcffm_cpu">'Static Reference Tables'!$C$98</definedName>
    <definedName name="sizing_vcffm_disk">'Static Reference Tables'!$C$100</definedName>
    <definedName name="sizing_vcffm_ram">'Static Reference Tables'!$C$99</definedName>
    <definedName name="sizing_vcfops_collector_chosen">'Management Domain Sizing'!$E$22</definedName>
    <definedName name="sizing_vcfops_deployment_model_chosen">'Management Domain Sizing'!$E$20</definedName>
    <definedName name="sizing_vcfops_ha_chosen">'Management Domain Sizing'!$E$21</definedName>
    <definedName name="sizing_vcfops_logs_chosen">'Management Domain Sizing'!$E$24</definedName>
    <definedName name="sizing_vcfops_net_chosen">'Management Domain Sizing'!$E$25</definedName>
    <definedName name="sizing_vcfops_net_collector_chosen">'Management Domain Sizing'!$E$26</definedName>
    <definedName name="sizing_vcfvidb_chosen">'Management Domain Sizing'!$E$27</definedName>
    <definedName name="sizing_vcls_cpu">'Static Reference Tables'!$C$102</definedName>
    <definedName name="sizing_vcls_disk">'Static Reference Tables'!$C$104</definedName>
    <definedName name="sizing_vcls_ram">'Static Reference Tables'!$C$103</definedName>
    <definedName name="sizing_virtual_machine_overhead">'Management Domain Sizing'!$E$8</definedName>
    <definedName name="sizing_vm_cpu_requirements">'Management Domain Sizing'!$K$28</definedName>
    <definedName name="sizing_vm_ram_requirements">'Management Domain Sizing'!$L$28</definedName>
    <definedName name="sizing_vm_storage_requirements">'Management Domain Sizing'!$M$28</definedName>
    <definedName name="sizing_w01_avi_appliance_size">'Management Domain Sizing'!$S$36</definedName>
    <definedName name="sizing_w01_chosen">'Management Domain Sizing'!$C$36</definedName>
    <definedName name="sizing_w01_gm_chosen">'Management Domain Sizing'!$L$36</definedName>
    <definedName name="sizing_w01_nsxt_appliance_size">'Management Domain Sizing'!$I$36</definedName>
    <definedName name="sizing_w01_nsxt_gm_appliance_size">'Management Domain Sizing'!$M$36</definedName>
    <definedName name="sizing_w01_nsxt_model">'Management Domain Sizing'!$H$36</definedName>
    <definedName name="sizing_w01_spr_chosen">'Management Domain Sizing'!$P$36</definedName>
    <definedName name="sizing_w01_ssp_chosen">'Management Domain Sizing'!$V$36</definedName>
    <definedName name="sizing_w01_vcenter_appliance_size">'Management Domain Sizing'!$D$36</definedName>
    <definedName name="sizing_w01_vcenter_storage_size">'Management Domain Sizing'!$F$36</definedName>
    <definedName name="sizing_w02_avi_appliance_size">'Management Domain Sizing'!$S$37</definedName>
    <definedName name="sizing_w02_chosen">'Management Domain Sizing'!$C$37</definedName>
    <definedName name="sizing_w02_gm_chosen">'Management Domain Sizing'!$L$37</definedName>
    <definedName name="sizing_w02_nsxt_appliance_size">'Management Domain Sizing'!$I$37</definedName>
    <definedName name="sizing_w02_nsxt_gm_appliance_size">'Management Domain Sizing'!$M$37</definedName>
    <definedName name="sizing_w02_nsxt_model">'Management Domain Sizing'!$H$37</definedName>
    <definedName name="sizing_w02_spr_chosen">'Management Domain Sizing'!$P$37</definedName>
    <definedName name="sizing_w02_ssp_chosen">'Management Domain Sizing'!$V$37</definedName>
    <definedName name="sizing_w02_vcenter_appliance_size">'Management Domain Sizing'!$D$37</definedName>
    <definedName name="sizing_w02_vcenter_storage_size">'Management Domain Sizing'!$F$37</definedName>
    <definedName name="sizing_w03_avi_appliance_size">'Management Domain Sizing'!$S$38</definedName>
    <definedName name="sizing_w03_chosen">'Management Domain Sizing'!$C$38</definedName>
    <definedName name="sizing_w03_gm_chosen">'Management Domain Sizing'!$L$38</definedName>
    <definedName name="sizing_w03_nsxt_appliance_size">'Management Domain Sizing'!$I$38</definedName>
    <definedName name="sizing_w03_nsxt_gm_appliance_size">'Management Domain Sizing'!$M$38</definedName>
    <definedName name="sizing_w03_nsxt_model">'Management Domain Sizing'!$H$38</definedName>
    <definedName name="sizing_w03_spr_chosen">'Management Domain Sizing'!$P$38</definedName>
    <definedName name="sizing_w03_ssp_chosen">'Management Domain Sizing'!$V$38</definedName>
    <definedName name="sizing_w03_vcenter_appliance_size">'Management Domain Sizing'!$D$38</definedName>
    <definedName name="sizing_w03_vcenter_storage_size">'Management Domain Sizing'!$F$38</definedName>
    <definedName name="sizing_w04_avi_appliance_size">'Management Domain Sizing'!$S$39</definedName>
    <definedName name="sizing_w04_chosen">'Management Domain Sizing'!$C$39</definedName>
    <definedName name="sizing_w04_gm_chosen">'Management Domain Sizing'!$L$39</definedName>
    <definedName name="sizing_w04_nsxt_appliance_size">'Management Domain Sizing'!$I$39</definedName>
    <definedName name="sizing_w04_nsxt_gm_appliance_size">'Management Domain Sizing'!$M$39</definedName>
    <definedName name="sizing_w04_nsxt_model">'Management Domain Sizing'!$H$39</definedName>
    <definedName name="sizing_w04_spr_chosen">'Management Domain Sizing'!$P$39</definedName>
    <definedName name="sizing_w04_ssp_chosen">'Management Domain Sizing'!$V$39</definedName>
    <definedName name="sizing_w04_vcenter_appliance_size">'Management Domain Sizing'!$D$39</definedName>
    <definedName name="sizing_w04_vcenter_storage_size">'Management Domain Sizing'!$F$39</definedName>
    <definedName name="sizing_w05_avi_appliance_size">'Management Domain Sizing'!$S$40</definedName>
    <definedName name="sizing_w05_chosen">'Management Domain Sizing'!$C$40</definedName>
    <definedName name="sizing_w05_gm_chosen">'Management Domain Sizing'!$L$40</definedName>
    <definedName name="sizing_w05_nsxt_appliance_size">'Management Domain Sizing'!$I$40</definedName>
    <definedName name="sizing_w05_nsxt_gm_appliance_size">'Management Domain Sizing'!$M$40</definedName>
    <definedName name="sizing_w05_nsxt_model">'Management Domain Sizing'!$H$40</definedName>
    <definedName name="sizing_w05_spr_chosen">'Management Domain Sizing'!$P$40</definedName>
    <definedName name="sizing_w05_ssp_chosen">'Management Domain Sizing'!$V$40</definedName>
    <definedName name="sizing_w05_vcenter_appliance_size">'Management Domain Sizing'!$D$40</definedName>
    <definedName name="sizing_w05_vcenter_storage_size">'Management Domain Sizing'!$F$40</definedName>
    <definedName name="sizing_w06_avi_appliance_size">'Management Domain Sizing'!$S$41</definedName>
    <definedName name="sizing_w06_chosen">'Management Domain Sizing'!$C$41</definedName>
    <definedName name="sizing_w06_gm_chosen">'Management Domain Sizing'!$L$41</definedName>
    <definedName name="sizing_w06_nsxt_appliance_size">'Management Domain Sizing'!$I$41</definedName>
    <definedName name="sizing_w06_nsxt_gm_appliance_size">'Management Domain Sizing'!$M$41</definedName>
    <definedName name="sizing_w06_nsxt_model">'Management Domain Sizing'!$H$41</definedName>
    <definedName name="sizing_w06_spr_chosen">'Management Domain Sizing'!$P$41</definedName>
    <definedName name="sizing_w06_ssp_chosen">'Management Domain Sizing'!$V$41</definedName>
    <definedName name="sizing_w06_vcenter_appliance_size">'Management Domain Sizing'!$D$41</definedName>
    <definedName name="sizing_w06_vcenter_storage_size">'Management Domain Sizing'!$F$41</definedName>
    <definedName name="sizing_w07_avi_appliance_size">'Management Domain Sizing'!$S$42</definedName>
    <definedName name="sizing_w07_chosen">'Management Domain Sizing'!$C$42</definedName>
    <definedName name="sizing_w07_gm_chosen">'Management Domain Sizing'!$L$42</definedName>
    <definedName name="sizing_w07_nsxt_appliance_size">'Management Domain Sizing'!$I$42</definedName>
    <definedName name="sizing_w07_nsxt_gm_appliance_size">'Management Domain Sizing'!$M$42</definedName>
    <definedName name="sizing_w07_nsxt_model">'Management Domain Sizing'!$H$42</definedName>
    <definedName name="sizing_w07_spr_chosen">'Management Domain Sizing'!$P$42</definedName>
    <definedName name="sizing_w07_ssp_chosen">'Management Domain Sizing'!$V$42</definedName>
    <definedName name="sizing_w07_vcenter_appliance_size">'Management Domain Sizing'!$D$42</definedName>
    <definedName name="sizing_w07_vcenter_storage_size">'Management Domain Sizing'!$F$42</definedName>
    <definedName name="sizing_w08_avi_appliance_size">'Management Domain Sizing'!$S$43</definedName>
    <definedName name="sizing_w08_chosen">'Management Domain Sizing'!$C$43</definedName>
    <definedName name="sizing_w08_gm_chosen">'Management Domain Sizing'!$L$43</definedName>
    <definedName name="sizing_w08_nsxt_appliance_size">'Management Domain Sizing'!$I$43</definedName>
    <definedName name="sizing_w08_nsxt_gm_appliance_size">'Management Domain Sizing'!$M$43</definedName>
    <definedName name="sizing_w08_nsxt_model">'Management Domain Sizing'!$H$43</definedName>
    <definedName name="sizing_w08_spr_chosen">'Management Domain Sizing'!$P$43</definedName>
    <definedName name="sizing_w08_ssp_chosen">'Management Domain Sizing'!$V$43</definedName>
    <definedName name="sizing_w08_vcenter_appliance_size">'Management Domain Sizing'!$D$43</definedName>
    <definedName name="sizing_w08_vcenter_storage_size">'Management Domain Sizing'!$F$43</definedName>
    <definedName name="sizing_w09_avi_appliance_size">'Management Domain Sizing'!$S$44</definedName>
    <definedName name="sizing_w09_chosen">'Management Domain Sizing'!$C$44</definedName>
    <definedName name="sizing_w09_gm_chosen">'Management Domain Sizing'!$L$44</definedName>
    <definedName name="sizing_w09_nsxt_appliance_size">'Management Domain Sizing'!$I$44</definedName>
    <definedName name="sizing_w09_nsxt_gm_appliance_size">'Management Domain Sizing'!$M$44</definedName>
    <definedName name="sizing_w09_nsxt_model">'Management Domain Sizing'!$H$44</definedName>
    <definedName name="sizing_w09_spr_chosen">'Management Domain Sizing'!$P$44</definedName>
    <definedName name="sizing_w09_ssp_chosen">'Management Domain Sizing'!$V$44</definedName>
    <definedName name="sizing_w09_vcenter_appliance_size">'Management Domain Sizing'!$D$44</definedName>
    <definedName name="sizing_w09_vcenter_storage_size">'Management Domain Sizing'!$F$44</definedName>
    <definedName name="sizing_w10_avi_appliance_size">'Management Domain Sizing'!$S$45</definedName>
    <definedName name="sizing_w10_chosen">'Management Domain Sizing'!$C$45</definedName>
    <definedName name="sizing_w10_gm_chosen">'Management Domain Sizing'!$L$45</definedName>
    <definedName name="sizing_w10_nsxt_appliance_size">'Management Domain Sizing'!$I$45</definedName>
    <definedName name="sizing_w10_nsxt_gm_appliance_size">'Management Domain Sizing'!$M$45</definedName>
    <definedName name="sizing_w10_nsxt_model">'Management Domain Sizing'!$H$45</definedName>
    <definedName name="sizing_w10_spr_chosen">'Management Domain Sizing'!$P$45</definedName>
    <definedName name="sizing_w10_ssp_chosen">'Management Domain Sizing'!$V$45</definedName>
    <definedName name="sizing_w10_vcenter_appliance_size">'Management Domain Sizing'!$D$45</definedName>
    <definedName name="sizing_w10_vcenter_storage_size">'Management Domain Sizing'!$F$45</definedName>
    <definedName name="sizing_w11_avi_appliance_size">'Management Domain Sizing'!$S$46</definedName>
    <definedName name="sizing_w11_chosen">'Management Domain Sizing'!$C$46</definedName>
    <definedName name="sizing_w11_gm_chosen">'Management Domain Sizing'!$L$46</definedName>
    <definedName name="sizing_w11_nsxt_appliance_size">'Management Domain Sizing'!$I$46</definedName>
    <definedName name="sizing_w11_nsxt_gm_appliance_size">'Management Domain Sizing'!$M$46</definedName>
    <definedName name="sizing_w11_nsxt_model">'Management Domain Sizing'!$H$46</definedName>
    <definedName name="sizing_w11_spr_chosen">'Management Domain Sizing'!$P$46</definedName>
    <definedName name="sizing_w11_ssp_chosen">'Management Domain Sizing'!$V$46</definedName>
    <definedName name="sizing_w11_vcenter_appliance_size">'Management Domain Sizing'!$D$46</definedName>
    <definedName name="sizing_w11_vcenter_storage_size">'Management Domain Sizing'!$F$46</definedName>
    <definedName name="sizing_w12_avi_appliance_size">'Management Domain Sizing'!$S$47</definedName>
    <definedName name="sizing_w12_chosen">'Management Domain Sizing'!$C$47</definedName>
    <definedName name="sizing_w12_gm_chosen">'Management Domain Sizing'!$L$47</definedName>
    <definedName name="sizing_w12_nsxt_appliance_size">'Management Domain Sizing'!$I$47</definedName>
    <definedName name="sizing_w12_nsxt_gm_appliance_size">'Management Domain Sizing'!$M$47</definedName>
    <definedName name="sizing_w12_nsxt_model">'Management Domain Sizing'!$H$47</definedName>
    <definedName name="sizing_w12_spr_chosen">'Management Domain Sizing'!$P$47</definedName>
    <definedName name="sizing_w12_ssp_chosen">'Management Domain Sizing'!$V$47</definedName>
    <definedName name="sizing_w12_vcenter_appliance_size">'Management Domain Sizing'!$D$47</definedName>
    <definedName name="sizing_w12_vcenter_storage_size">'Management Domain Sizing'!$F$47</definedName>
    <definedName name="sizing_w13_avi_appliance_size">'Management Domain Sizing'!$S$48</definedName>
    <definedName name="sizing_w13_chosen">'Management Domain Sizing'!$C$48</definedName>
    <definedName name="sizing_w13_gm_chosen">'Management Domain Sizing'!$L$48</definedName>
    <definedName name="sizing_w13_nsxt_appliance_size">'Management Domain Sizing'!$I$48</definedName>
    <definedName name="sizing_w13_nsxt_gm_appliance_size">'Management Domain Sizing'!$M$48</definedName>
    <definedName name="sizing_w13_nsxt_model">'Management Domain Sizing'!$H$48</definedName>
    <definedName name="sizing_w13_spr_chosen">'Management Domain Sizing'!$P$48</definedName>
    <definedName name="sizing_w13_ssp_chosen">'Management Domain Sizing'!$V$48</definedName>
    <definedName name="sizing_w13_vcenter_appliance_size">'Management Domain Sizing'!$D$48</definedName>
    <definedName name="sizing_w13_vcenter_storage_size">'Management Domain Sizing'!$F$48</definedName>
    <definedName name="sizing_w14_avi_appliance_size">'Management Domain Sizing'!$S$49</definedName>
    <definedName name="sizing_w14_chosen">'Management Domain Sizing'!$C$49</definedName>
    <definedName name="sizing_w14_gm_chosen">'Management Domain Sizing'!$L$49</definedName>
    <definedName name="sizing_w14_nsxt_appliance_size">'Management Domain Sizing'!$I$49</definedName>
    <definedName name="sizing_w14_nsxt_gm_appliance_size">'Management Domain Sizing'!$M$49</definedName>
    <definedName name="sizing_w14_nsxt_model">'Management Domain Sizing'!$H$49</definedName>
    <definedName name="sizing_w14_spr_chosen">'Management Domain Sizing'!$P$49</definedName>
    <definedName name="sizing_w14_ssp_chosen">'Management Domain Sizing'!$V$49</definedName>
    <definedName name="sizing_w14_vcenter_appliance_size">'Management Domain Sizing'!$D$49</definedName>
    <definedName name="sizing_w14_vcenter_storage_size">'Management Domain Sizing'!$F$49</definedName>
    <definedName name="sizing_w15_avi_appliance_size">'Management Domain Sizing'!$S$50</definedName>
    <definedName name="sizing_w15_chosen">'Management Domain Sizing'!$C$50</definedName>
    <definedName name="sizing_w15_gm_chosen">'Management Domain Sizing'!$L$50</definedName>
    <definedName name="sizing_w15_nsxt_appliance_size">'Management Domain Sizing'!$I$50</definedName>
    <definedName name="sizing_w15_nsxt_gm_appliance_size">'Management Domain Sizing'!$M$50</definedName>
    <definedName name="sizing_w15_nsxt_model">'Management Domain Sizing'!$H$50</definedName>
    <definedName name="sizing_w15_spr_chosen">'Management Domain Sizing'!$P$50</definedName>
    <definedName name="sizing_w15_ssp_chosen">'Management Domain Sizing'!$V$50</definedName>
    <definedName name="sizing_w15_vcenter_appliance_size">'Management Domain Sizing'!$D$50</definedName>
    <definedName name="sizing_w15_vcenter_storage_size">'Management Domain Sizing'!$F$50</definedName>
    <definedName name="sizing_w16_avi_appliance_size">'Management Domain Sizing'!$S$51</definedName>
    <definedName name="sizing_w16_chosen">'Management Domain Sizing'!$C$51</definedName>
    <definedName name="sizing_w16_gm_chosen">'Management Domain Sizing'!$L$51</definedName>
    <definedName name="sizing_w16_nsxt_appliance_size">'Management Domain Sizing'!$I$51</definedName>
    <definedName name="sizing_w16_nsxt_gm_appliance_size">'Management Domain Sizing'!$M$51</definedName>
    <definedName name="sizing_w16_nsxt_model">'Management Domain Sizing'!$H$51</definedName>
    <definedName name="sizing_w16_spr_chosen">'Management Domain Sizing'!$P$51</definedName>
    <definedName name="sizing_w16_ssp_chosen">'Management Domain Sizing'!$V$51</definedName>
    <definedName name="sizing_w16_vcenter_appliance_size">'Management Domain Sizing'!$D$51</definedName>
    <definedName name="sizing_w16_vcenter_storage_size">'Management Domain Sizing'!$F$51</definedName>
    <definedName name="sizing_w17_avi_appliance_size">'Management Domain Sizing'!$S$52</definedName>
    <definedName name="sizing_w17_chosen">'Management Domain Sizing'!$C$52</definedName>
    <definedName name="sizing_w17_gm_chosen">'Management Domain Sizing'!$L$52</definedName>
    <definedName name="sizing_w17_nsxt_appliance_size">'Management Domain Sizing'!$I$52</definedName>
    <definedName name="sizing_w17_nsxt_gm_appliance_size">'Management Domain Sizing'!$M$52</definedName>
    <definedName name="sizing_w17_nsxt_model">'Management Domain Sizing'!$H$52</definedName>
    <definedName name="sizing_w17_spr_chosen">'Management Domain Sizing'!$P$52</definedName>
    <definedName name="sizing_w17_ssp_chosen">'Management Domain Sizing'!$V$52</definedName>
    <definedName name="sizing_w17_vcenter_appliance_size">'Management Domain Sizing'!$D$52</definedName>
    <definedName name="sizing_w17_vcenter_storage_size">'Management Domain Sizing'!$F$52</definedName>
    <definedName name="sizing_w18_avi_appliance_size">'Management Domain Sizing'!$S$53</definedName>
    <definedName name="sizing_w18_chosen">'Management Domain Sizing'!$C$53</definedName>
    <definedName name="sizing_w18_gm_chosen">'Management Domain Sizing'!$L$53</definedName>
    <definedName name="sizing_w18_nsxt_appliance_size">'Management Domain Sizing'!$I$53</definedName>
    <definedName name="sizing_w18_nsxt_gm_appliance_size">'Management Domain Sizing'!$M$53</definedName>
    <definedName name="sizing_w18_nsxt_model">'Management Domain Sizing'!$H$53</definedName>
    <definedName name="sizing_w18_spr_chosen">'Management Domain Sizing'!$P$53</definedName>
    <definedName name="sizing_w18_ssp_chosen">'Management Domain Sizing'!$V$53</definedName>
    <definedName name="sizing_w18_vcenter_appliance_size">'Management Domain Sizing'!$D$53</definedName>
    <definedName name="sizing_w18_vcenter_storage_size">'Management Domain Sizing'!$F$53</definedName>
    <definedName name="sizing_w19_avi_appliance_size">'Management Domain Sizing'!$S$54</definedName>
    <definedName name="sizing_w19_chosen">'Management Domain Sizing'!$C$54</definedName>
    <definedName name="sizing_w19_gm_chosen">'Management Domain Sizing'!$L$54</definedName>
    <definedName name="sizing_w19_nsxt_appliance_size">'Management Domain Sizing'!$I$54</definedName>
    <definedName name="sizing_w19_nsxt_gm_appliance_size">'Management Domain Sizing'!$M$54</definedName>
    <definedName name="sizing_w19_nsxt_model">'Management Domain Sizing'!$H$54</definedName>
    <definedName name="sizing_w19_spr_chosen">'Management Domain Sizing'!$P$54</definedName>
    <definedName name="sizing_w19_ssp_chosen">'Management Domain Sizing'!$V$54</definedName>
    <definedName name="sizing_w19_vcenter_appliance_size">'Management Domain Sizing'!$D$54</definedName>
    <definedName name="sizing_w19_vcenter_storage_size">'Management Domain Sizing'!$F$54</definedName>
    <definedName name="sizing_w20_avi_appliance_size">'Management Domain Sizing'!$S$55</definedName>
    <definedName name="sizing_w20_chosen">'Management Domain Sizing'!$C$55</definedName>
    <definedName name="sizing_w20_gm_chosen">'Management Domain Sizing'!$L$55</definedName>
    <definedName name="sizing_w20_nsxt_appliance_size">'Management Domain Sizing'!$I$55</definedName>
    <definedName name="sizing_w20_nsxt_gm_appliance_size">'Management Domain Sizing'!$M$55</definedName>
    <definedName name="sizing_w20_nsxt_model">'Management Domain Sizing'!$H$55</definedName>
    <definedName name="sizing_w20_spr_chosen">'Management Domain Sizing'!$P$55</definedName>
    <definedName name="sizing_w20_ssp_chosen">'Management Domain Sizing'!$V$55</definedName>
    <definedName name="sizing_w20_vcenter_appliance_size">'Management Domain Sizing'!$D$55</definedName>
    <definedName name="sizing_w20_vcenter_storage_size">'Management Domain Sizing'!$F$55</definedName>
    <definedName name="sizing_w21_avi_appliance_size">'Management Domain Sizing'!$S$56</definedName>
    <definedName name="sizing_w21_chosen">'Management Domain Sizing'!$C$56</definedName>
    <definedName name="sizing_w21_gm_chosen">'Management Domain Sizing'!$L$56</definedName>
    <definedName name="sizing_w21_nsxt_appliance_size">'Management Domain Sizing'!$I$56</definedName>
    <definedName name="sizing_w21_nsxt_gm_appliance_size">'Management Domain Sizing'!$M$56</definedName>
    <definedName name="sizing_w21_nsxt_model">'Management Domain Sizing'!$H$56</definedName>
    <definedName name="sizing_w21_spr_chosen">'Management Domain Sizing'!$P$56</definedName>
    <definedName name="sizing_w21_ssp_chosen">'Management Domain Sizing'!$V$56</definedName>
    <definedName name="sizing_w21_vcenter_appliance_size">'Management Domain Sizing'!$D$56</definedName>
    <definedName name="sizing_w21_vcenter_storage_size">'Management Domain Sizing'!$F$56</definedName>
    <definedName name="sizing_w22_avi_appliance_size">'Management Domain Sizing'!$S$57</definedName>
    <definedName name="sizing_w22_chosen">'Management Domain Sizing'!$C$57</definedName>
    <definedName name="sizing_w22_gm_chosen">'Management Domain Sizing'!$L$57</definedName>
    <definedName name="sizing_w22_nsxt_appliance_size">'Management Domain Sizing'!$I$57</definedName>
    <definedName name="sizing_w22_nsxt_gm_appliance_size">'Management Domain Sizing'!$M$57</definedName>
    <definedName name="sizing_w22_nsxt_model">'Management Domain Sizing'!$H$57</definedName>
    <definedName name="sizing_w22_spr_chosen">'Management Domain Sizing'!$P$57</definedName>
    <definedName name="sizing_w22_ssp_chosen">'Management Domain Sizing'!$V$57</definedName>
    <definedName name="sizing_w22_vcenter_appliance_size">'Management Domain Sizing'!$D$57</definedName>
    <definedName name="sizing_w22_vcenter_storage_size">'Management Domain Sizing'!$F$57</definedName>
    <definedName name="sizing_w23_avi_appliance_size">'Management Domain Sizing'!$S$58</definedName>
    <definedName name="sizing_w23_chosen">'Management Domain Sizing'!$C$58</definedName>
    <definedName name="sizing_w23_gm_chosen">'Management Domain Sizing'!$L$58</definedName>
    <definedName name="sizing_w23_nsxt_appliance_size">'Management Domain Sizing'!$I$58</definedName>
    <definedName name="sizing_w23_nsxt_gm_appliance_size">'Management Domain Sizing'!$M$58</definedName>
    <definedName name="sizing_w23_nsxt_model">'Management Domain Sizing'!$H$58</definedName>
    <definedName name="sizing_w23_spr_chosen">'Management Domain Sizing'!$P$58</definedName>
    <definedName name="sizing_w23_ssp_chosen">'Management Domain Sizing'!$V$58</definedName>
    <definedName name="sizing_w23_vcenter_appliance_size">'Management Domain Sizing'!$D$58</definedName>
    <definedName name="sizing_w23_vcenter_storage_size">'Management Domain Sizing'!$F$58</definedName>
    <definedName name="sizing_w24_avi_appliance_size">'Management Domain Sizing'!$S$59</definedName>
    <definedName name="sizing_w24_chosen">'Management Domain Sizing'!$C$59</definedName>
    <definedName name="sizing_w24_gm_chosen">'Management Domain Sizing'!$L$59</definedName>
    <definedName name="sizing_w24_nsxt_appliance_size">'Management Domain Sizing'!$I$59</definedName>
    <definedName name="sizing_w24_nsxt_gm_appliance_size">'Management Domain Sizing'!$M$59</definedName>
    <definedName name="sizing_w24_nsxt_model">'Management Domain Sizing'!$H$59</definedName>
    <definedName name="sizing_w24_spr_chosen">'Management Domain Sizing'!$P$59</definedName>
    <definedName name="sizing_w24_ssp_chosen">'Management Domain Sizing'!$V$59</definedName>
    <definedName name="sizing_w24_vcenter_appliance_size">'Management Domain Sizing'!$D$59</definedName>
    <definedName name="sizing_w24_vcenter_storage_size">'Management Domain Sizing'!$F$59</definedName>
    <definedName name="sizing_wld_avilb_cluster_formfactor_chosen">'Configure Workload Domain'!$D$153</definedName>
    <definedName name="sizing_wld_nsxt_gm_appliance_size_chosen">'Configure Workload Domain'!$D$364</definedName>
    <definedName name="smtp_server">'Value Reference Tables'!$L$61</definedName>
    <definedName name="smtp_server_port">'Value Reference Tables'!$L$62</definedName>
    <definedName name="spr_chosen">'Management Domain Sizing'!$B$63</definedName>
    <definedName name="spr_mo_result">'Value Reference Tables'!$AA$94</definedName>
    <definedName name="spr_mw_result">'Value Reference Tables'!$AA$96</definedName>
    <definedName name="spr_result">'Management Domain Sizing'!$I$63</definedName>
    <definedName name="spr_wo_result">'Value Reference Tables'!$AA$95</definedName>
    <definedName name="srm_appliance_size">'Value Reference Tables'!$U$56</definedName>
    <definedName name="sso_default_admin">'Value Reference Tables'!$O$52</definedName>
    <definedName name="storage_autopolicy">'Static Reference Tables'!$B$379</definedName>
    <definedName name="storage_ftt">'Static Reference Tables'!$B$376:$B$378</definedName>
    <definedName name="svc_cbr_vcdr_vsphere_password">'Value Reference Tables'!$U$129</definedName>
    <definedName name="svc_cbr_vcdr_vsphere_user">'Value Reference Tables'!$U$128</definedName>
    <definedName name="svc_my_vmware_password">'Value Reference Tables'!$L$30</definedName>
    <definedName name="svc_vcf_bck_password">'Value Reference Tables'!$L$33</definedName>
    <definedName name="svc_vra_nsx_password">'Value Reference Tables'!$L$119</definedName>
    <definedName name="svc_vra_vcf_password">'Value Reference Tables'!$L$120</definedName>
    <definedName name="svc_vra_vrops_password">'Value Reference Tables'!$L$121</definedName>
    <definedName name="svc_vra_vsphere_password">'Value Reference Tables'!$L$118</definedName>
    <definedName name="svc_vrli_vrops_password">'Value Reference Tables'!$L$117</definedName>
    <definedName name="svc_vro_vsphere_password">'Value Reference Tables'!$L$122</definedName>
    <definedName name="svc_vrops_nsx_password">'Value Reference Tables'!$L$115</definedName>
    <definedName name="svc_vrops_vra_password">'Value Reference Tables'!$L$116</definedName>
    <definedName name="svc_vrops_vsan_password">'Value Reference Tables'!$L$114</definedName>
    <definedName name="svc_vrops_vsphere_password">'Value Reference Tables'!$L$113</definedName>
    <definedName name="table_avi_lb_cpu">'Static Reference Tables'!$B$244:$C$246</definedName>
    <definedName name="table_avi_lb_disk">'Static Reference Tables'!$B$252:$C$254</definedName>
    <definedName name="table_avi_lb_ram">'Static Reference Tables'!$B$248:$C$250</definedName>
    <definedName name="table_cidr_to_mask">'Static Reference Tables'!$B$269:$C$301</definedName>
    <definedName name="table_mask_to_cidr">'Static Reference Tables'!$C$251:$D$295</definedName>
    <definedName name="table_masks">'Static Reference Tables'!$C$269:$C$292</definedName>
    <definedName name="table_nsxt_deployment_model">'Static Reference Tables'!$C$303:$C$305</definedName>
    <definedName name="table_nsxt_deployment_model_dedicated">'Static Reference Tables'!$C$304</definedName>
    <definedName name="table_nsxt_edge_cpu">'Static Reference Tables'!$B$80:$C$83</definedName>
    <definedName name="table_nsxt_edge_disk_gb">'Static Reference Tables'!$B$92:$C$95</definedName>
    <definedName name="table_nsxt_edge_ram">'Static Reference Tables'!$B$86:$C$89</definedName>
    <definedName name="table_nsxt_manager_cpu">'Static Reference Tables'!$B$62:$C$66</definedName>
    <definedName name="table_nsxt_manager_disk_gb">'Static Reference Tables'!$B$74:$C$78</definedName>
    <definedName name="table_nsxt_manager_ram">'Static Reference Tables'!$B$68:$C$72</definedName>
    <definedName name="table_srm_cpu">'Static Reference Tables'!$B$187:$C$188</definedName>
    <definedName name="table_srm_disk">'Static Reference Tables'!$B$193:$C$194</definedName>
    <definedName name="table_srm_ram">'Static Reference Tables'!$B$190:$C$191</definedName>
    <definedName name="table_ssp_cpu">'Static Reference Tables'!$B$257:$C$259</definedName>
    <definedName name="table_ssp_disk">'Static Reference Tables'!$B$265:$C$267</definedName>
    <definedName name="table_ssp_ram">'Static Reference Tables'!$B$261:$C$263</definedName>
    <definedName name="table_ssp_sizes">'Static Reference Tables'!$B$256:$B$259</definedName>
    <definedName name="table_vcenter_appliance_cpu">'Static Reference Tables'!$B$34:$C$38</definedName>
    <definedName name="table_vcenter_appliance_ram">'Static Reference Tables'!$B$40:$C$44</definedName>
    <definedName name="table_vcenter_disk_gb">'Static Reference Tables'!$B$46:$C$60</definedName>
    <definedName name="table_vcf_version5x_mgmt_vlcm_image">'Static Reference Tables'!$B$345</definedName>
    <definedName name="table_vcf_version5x_mgmt_vlcm_type">'Static Reference Tables'!$B$342:$B$343</definedName>
    <definedName name="table_vcf_version5x_mgmt_vsan_type">'Static Reference Tables'!$B$332:$B$333</definedName>
    <definedName name="table_vcf_version5x_wld_storage_type">'Static Reference Tables'!$B$335:$B$339</definedName>
    <definedName name="table_vcf_version9x_cluster_storage_type">'Static Reference Tables'!$C$335:$C$340</definedName>
    <definedName name="table_vcfa_appliance_cpu">'Static Reference Tables'!$B$127:$C$129</definedName>
    <definedName name="table_vcfa_appliance_disk">'Static Reference Tables'!$B$135:$C$137</definedName>
    <definedName name="table_vcfa_appliance_ram">'Static Reference Tables'!$B$131:$C$133</definedName>
    <definedName name="table_vcfo_appliance_cpu">'Static Reference Tables'!$B$153:$C$155</definedName>
    <definedName name="table_vcfo_appliance_disk">'Static Reference Tables'!$B$165:$C$167</definedName>
    <definedName name="table_vcfo_appliance_ram">'Static Reference Tables'!$B$159:$C$161</definedName>
    <definedName name="table_vcfo_p_cpu">'Static Reference Tables'!$B$169:$C$170</definedName>
    <definedName name="table_vcfo_p_disk">'Static Reference Tables'!$B$175:$C$176</definedName>
    <definedName name="table_vcfo_p_ram">'Static Reference Tables'!$B$172:$C$173</definedName>
    <definedName name="table_vcfops_appliance_cpu">'Static Reference Tables'!$B$151:$C$155</definedName>
    <definedName name="table_vcfops_appliance_disk">'Static Reference Tables'!$B$163:$C$167</definedName>
    <definedName name="table_vcfops_appliance_ram">'Static Reference Tables'!$B$157:$C$161</definedName>
    <definedName name="table_vcfopsnet_appliance_cpu">'Static Reference Tables'!$B$200:$C$204</definedName>
    <definedName name="table_vcfopsnet_appliance_disk">'Static Reference Tables'!$B$212:$C$216</definedName>
    <definedName name="table_vcfopsnet_appliance_ram">'Static Reference Tables'!$B$206:$C$210</definedName>
    <definedName name="table_vcfopsnet_collector_cpu">'Static Reference Tables'!$B$218:$C$222</definedName>
    <definedName name="table_vcfopsnet_collector_disk">'Static Reference Tables'!$B$230:$C$234</definedName>
    <definedName name="table_vcfopsnet_collector_ram">'Static Reference Tables'!$B$224:$C$228</definedName>
    <definedName name="table_vrli_appliance_cpu">'Static Reference Tables'!$B$139:$C$141</definedName>
    <definedName name="table_vrli_appliance_disk">'Static Reference Tables'!$B$147:$C$149</definedName>
    <definedName name="table_vrli_appliance_ram">'Static Reference Tables'!$B$143:$C$145</definedName>
    <definedName name="table_vrms_cpu">'Static Reference Tables'!$B$178:$C$179</definedName>
    <definedName name="table_vrms_disk">'Static Reference Tables'!$B$184:$C$185</definedName>
    <definedName name="table_vrms_ram">'Static Reference Tables'!$B$181:$C$182</definedName>
    <definedName name="table_wsa_appliance_cpu">'Static Reference Tables'!$B$106:$C$111</definedName>
    <definedName name="table_wsa_appliance_disk">'Static Reference Tables'!$B$120:$C$125</definedName>
    <definedName name="table_wsa_appliance_ram">'Static Reference Tables'!$B$113:$C$118</definedName>
    <definedName name="this_instance">'Value Reference Tables'!$AA$59</definedName>
    <definedName name="user_svc_vcf_bck">'Value Reference Tables'!$O$48</definedName>
    <definedName name="user_svc_vcf_ca_vcf">'Value Reference Tables'!$O$10</definedName>
    <definedName name="user_svc_vra_nsx">'Value Reference Tables'!$L$104</definedName>
    <definedName name="user_svc_vra_vcf">'Value Reference Tables'!$L$105</definedName>
    <definedName name="user_svc_vra_vrops">'Value Reference Tables'!$L$107</definedName>
    <definedName name="user_svc_vra_vsphere">'Value Reference Tables'!$L$103</definedName>
    <definedName name="user_svc_vrli_vrops">'Value Reference Tables'!$L$102</definedName>
    <definedName name="user_svc_vrli_wsa">'Value Reference Tables'!$L$101</definedName>
    <definedName name="user_svc_vro_vsphere">'Value Reference Tables'!$L$106</definedName>
    <definedName name="user_svc_vrops_nsx">'Value Reference Tables'!$L$99</definedName>
    <definedName name="user_svc_vrops_vra">'Value Reference Tables'!$L$100</definedName>
    <definedName name="user_svc_vrops_vsan">'Value Reference Tables'!$L$98</definedName>
    <definedName name="user_svc_vrops_vsphere">'Value Reference Tables'!$L$97</definedName>
    <definedName name="valuevx">42.314159</definedName>
    <definedName name="vcenter_root_password">'Value Reference Tables'!$L$15</definedName>
    <definedName name="vcenter_sizing_limits">'Static Reference Tables'!$E$26:$F$30</definedName>
    <definedName name="vcf_automation_additional_vips">'Value Reference Tables'!$L$365</definedName>
    <definedName name="vcf_automation_admin_password">'Value Reference Tables'!$L$355</definedName>
    <definedName name="vcf_automation_admin_password_alias">'Value Reference Tables'!$L$354</definedName>
    <definedName name="vcf_automation_admin_password_description">'Value Reference Tables'!$L$356</definedName>
    <definedName name="vcf_automation_admin_username">'Value Reference Tables'!$L$357</definedName>
    <definedName name="vcf_automation_cert_alias">'Value Reference Tables'!$L$334</definedName>
    <definedName name="vcf_automation_cert_common_name">'Value Reference Tables'!$L$336</definedName>
    <definedName name="vcf_automation_cert_country_code">'Value Reference Tables'!$L$339</definedName>
    <definedName name="vcf_automation_cert_file">'Value Reference Tables'!$L$335</definedName>
    <definedName name="vcf_automation_cert_key_length_chosen">'Deploy Fleet Management Day-N'!$D$76</definedName>
    <definedName name="vcf_automation_cert_locality">'Value Reference Tables'!$L$340</definedName>
    <definedName name="vcf_automation_cert_organisation">'Value Reference Tables'!$L$337</definedName>
    <definedName name="vcf_automation_cert_state">'Value Reference Tables'!$L$341</definedName>
    <definedName name="vcf_automation_cert_type_chosen">'Deploy Fleet Management Day-N'!$D$67</definedName>
    <definedName name="vcf_automation_folder">'Value Reference Tables'!$L$349</definedName>
    <definedName name="vcf_automation_gateway_ip">'Value Reference Tables'!$L$352</definedName>
    <definedName name="vcf_automation_internal_cidr_chosen">'Deploy Fleet Management Day-N'!$D$111</definedName>
    <definedName name="vcf_automation_lb_type_chosen">'Deploy Fleet Management Day-N'!$D$108</definedName>
    <definedName name="vcf_automation_mask">'Value Reference Tables'!$L$351</definedName>
    <definedName name="vcf_automation_node_prefix_chosen">'Deploy Fleet Management Day-N'!$D$109</definedName>
    <definedName name="vcf_automation_nodea_ip">'Value Reference Tables'!$L$345</definedName>
    <definedName name="vcf_automation_nodeb_ip">'Value Reference Tables'!$L$346</definedName>
    <definedName name="vcf_automation_nodec_ip">'Value Reference Tables'!$L$347</definedName>
    <definedName name="vcf_automation_noded_ip">'Value Reference Tables'!$L$348</definedName>
    <definedName name="vcf_automation_nodee_ip">Arkham!$R$14</definedName>
    <definedName name="vcf_automation_nodef_ip">Arkham!$R$15</definedName>
    <definedName name="vcf_automation_ou_cert">'Value Reference Tables'!$L$338</definedName>
    <definedName name="vcf_automation_portgroup">'Value Reference Tables'!$L$353</definedName>
    <definedName name="vcf_automation_resource_pool">'Value Reference Tables'!$L$350</definedName>
    <definedName name="vcf_automation_root_password">'Value Reference Tables'!$L$359</definedName>
    <definedName name="vcf_automation_root_password_alias">'Value Reference Tables'!$L$358</definedName>
    <definedName name="vcf_automation_root_password_description">'Value Reference Tables'!$L$360</definedName>
    <definedName name="vcf_automation_root_username">'Value Reference Tables'!$L$361</definedName>
    <definedName name="vcf_automation_size_chosen">'Deploy Fleet Management Day-N'!$D$65</definedName>
    <definedName name="vcf_automation_time_sync_mode_chosen">'Deploy Fleet Management Day-N'!$D$91</definedName>
    <definedName name="vcf_automation_type_chosen">'Deploy Fleet Management Day-N'!$D$63</definedName>
    <definedName name="vcf_automation_version">'Value Reference Tables'!$L$331</definedName>
    <definedName name="vcf_automation_vip_fqdn">'Value Reference Tables'!$L$343</definedName>
    <definedName name="vcf_automation_vip_ip">'Value Reference Tables'!$L$344</definedName>
    <definedName name="vcf_granular_option_chosen">'VCF &amp; VVF Planning'!$J$19</definedName>
    <definedName name="vcf_granular_option_result">'VCF &amp; VVF Planning'!$L$19</definedName>
    <definedName name="vcf_installer_fqdn">'Value Reference Tables'!$C$53</definedName>
    <definedName name="vcf_installer_hostname">'Value Reference Tables'!$C$37</definedName>
    <definedName name="vcf_installer_ip">'Value Reference Tables'!$C$14</definedName>
    <definedName name="vcf_instance_name">'Value Reference Tables'!$C$86</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Tables'!$AA$106</definedName>
    <definedName name="vcf_vi_wld_domain_count">'Value Reference Tables'!$AA$105</definedName>
    <definedName name="vi_only_viable">'Value Reference Tables'!$AA$104</definedName>
    <definedName name="VMware_Cloud_Foundation">'Static Reference Tables'!$F$11:$F$12</definedName>
    <definedName name="VMware_vSphere_Foundation">'Static Reference Tables'!$I$11</definedName>
    <definedName name="vrms_appliance_size">'Value Reference Tables'!$U$55</definedName>
    <definedName name="vrslcm_admin_password">'Value Reference Tables'!$C$228</definedName>
    <definedName name="vrslcm_root_password">'Value Reference Tables'!$C$229</definedName>
    <definedName name="vrslcm_xreg_content_library">'Value Reference Tables'!$AA$30</definedName>
    <definedName name="vrslcm_xreg_vm_folder">'Dumping Ground'!$D$104</definedName>
    <definedName name="vs_dr_site_pair">'Site Protection &amp; DR'!$D$235</definedName>
    <definedName name="vsphere_8u1_evc_table">'Static Reference Tables'!$B$307:$B$330</definedName>
    <definedName name="vvf_mgmt_cl01_vds_standard_preconfigured_profiles">'Static Reference Tables'!$G$44:$G$46</definedName>
    <definedName name="vvs_dr_dns1_ip">'Value Reference Tables'!$O$94</definedName>
    <definedName name="vvs_dr_dns2_ip">'Value Reference Tables'!$O$95</definedName>
    <definedName name="vvs_dr_flt_auto_fqdn">'Value Reference Tables'!$O$107</definedName>
    <definedName name="vvs_dr_flt_fleet_manager_fqdn">'Value Reference Tables'!$O$97</definedName>
    <definedName name="vvs_dr_flt_fleet_manager_hostname">'Value Reference Tables'!$O$112</definedName>
    <definedName name="vvs_dr_flt_logs_nodea_fqdn">'Value Reference Tables'!$O$101</definedName>
    <definedName name="vvs_dr_flt_logs_nodea_hostname">'Value Reference Tables'!$O$116</definedName>
    <definedName name="vvs_dr_flt_logs_nodeb_fqdn">'Value Reference Tables'!$O$102</definedName>
    <definedName name="vvs_dr_flt_logs_nodeb_hostname">'Value Reference Tables'!$O$117</definedName>
    <definedName name="vvs_dr_flt_logs_nodec_fqdn">'Value Reference Tables'!$O$103</definedName>
    <definedName name="vvs_dr_flt_logs_nodec_hostname">'Value Reference Tables'!$O$118</definedName>
    <definedName name="vvs_dr_flt_net_nodea_fqdn">'Value Reference Tables'!$O$104</definedName>
    <definedName name="vvs_dr_flt_net_nodea_hostname">'Value Reference Tables'!$O$119</definedName>
    <definedName name="vvs_dr_flt_net_nodeb_fqdn">'Value Reference Tables'!$O$105</definedName>
    <definedName name="vvs_dr_flt_net_nodeb_hostname">'Value Reference Tables'!$O$120</definedName>
    <definedName name="vvs_dr_flt_net_nodec_fqdn">'Value Reference Tables'!$O$106</definedName>
    <definedName name="vvs_dr_flt_net_nodec_hostname">'Value Reference Tables'!$O$121</definedName>
    <definedName name="vvs_dr_flt_ops_nodea_fqdn">'Value Reference Tables'!$O$98</definedName>
    <definedName name="vvs_dr_flt_ops_nodea_hostname">'Value Reference Tables'!$O$113</definedName>
    <definedName name="vvs_dr_flt_ops_nodeb_fqdn">'Value Reference Tables'!$O$99</definedName>
    <definedName name="vvs_dr_flt_ops_nodeb_hostname">'Value Reference Tables'!$O$114</definedName>
    <definedName name="vvs_dr_flt_ops_nodec_fqdn">'Value Reference Tables'!$O$100</definedName>
    <definedName name="vvs_dr_flt_ops_nodec_hostname">'Value Reference Tables'!$O$115</definedName>
    <definedName name="vvs_dr_mgmt_cl01_cluster">'Value Reference Tables'!$O$109</definedName>
    <definedName name="vvs_dr_mgmt_cl01_datastore">'Value Reference Tables'!$O$122</definedName>
    <definedName name="vvs_dr_mgmt_vc_fqdn">'Value Reference Tables'!$O$108</definedName>
    <definedName name="vvs_dr_ntp1_server">'Value Reference Tables'!$O$93</definedName>
    <definedName name="vvs_dr_parent_dns_zone">'Value Reference Tables'!$O$96</definedName>
    <definedName name="vvs_dr_sso_domain">'Value Reference Tables'!$O$111</definedName>
    <definedName name="vvs_dr_vr_password">'Value Reference Tables'!$O$130</definedName>
    <definedName name="vvs_dr_vr_username">'Value Reference Tables'!$O$129</definedName>
    <definedName name="vvs_mgmt_dr_vlr_fqdn">'Value Reference Tables'!$O$110</definedName>
    <definedName name="vvs_mgmt_dr_vlr_hostname">'Value Reference Tables'!$R$115</definedName>
    <definedName name="witness_dns_zone">'Value Reference Tables'!$L$68</definedName>
    <definedName name="witness_dns1_ip">'Value Reference Tables'!$L$55</definedName>
    <definedName name="witness_dns2_ip">'Value Reference Tables'!$L$56</definedName>
    <definedName name="witness_ntp1_server">'Value Reference Tables'!$L$49</definedName>
    <definedName name="witness_ntp2_server">'Value Reference Tables'!$L$50</definedName>
    <definedName name="wld_administrator_vsphere_local_password">'Value Reference Tables'!$C$230</definedName>
    <definedName name="wld_avi_loadbalancer_chosen">'Configure Workload Domain'!$B$13</definedName>
    <definedName name="wld_avi_loadbalancer_result">'Configure Workload Domain'!$D$13</definedName>
    <definedName name="wld_avilb_cluster_name">'Value Reference Tables'!$O$73</definedName>
    <definedName name="wld_avilb_cluster_version">'Value Reference Tables'!$O$74</definedName>
    <definedName name="wld_avilb_fqdn">'Value Reference Tables'!$F$54</definedName>
    <definedName name="wld_avilb_hostname">'Value Reference Tables'!$F$39</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z1_ec01_password_creation_chosen">'Configure Workload Domain'!$D$91</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MR'!$I$172</definedName>
    <definedName name="wld_az1_edge_overlay_pg">'Value Reference Tables - MR'!$I$118</definedName>
    <definedName name="wld_az1_edge_overlay_pool_end_ip">'Value Reference Tables - MR'!$I$160</definedName>
    <definedName name="wld_az1_edge_overlay_pool_start_ip">'Value Reference Tables - MR'!$I$159</definedName>
    <definedName name="wld_az1_edge_overlay_vlan">'Value Reference Tables - MR'!$I$17</definedName>
    <definedName name="wld_az1_en1_edge_overlay_interface_ip_1_ip">'Value Reference Tables - MR'!$I$261</definedName>
    <definedName name="wld_az1_en1_edge_overlay_interface_ip_2_ip">'Value Reference Tables - MR'!$I$262</definedName>
    <definedName name="wld_az1_en1_edge_overlay_network_ip_allocation_chosen">'Configure Workload Domain'!$D$59</definedName>
    <definedName name="wld_az1_en1_eth0_uplink0">'Value Reference Tables'!$C$253</definedName>
    <definedName name="wld_az1_en1_eth0_uplink1">'Value Reference Tables'!$C$254</definedName>
    <definedName name="wld_az1_en1_eth1_uplink0">'Value Reference Tables'!$C$255</definedName>
    <definedName name="wld_az1_en1_eth1_uplink1">'Value Reference Tables'!$C$256</definedName>
    <definedName name="wld_az1_en1_fqdn">'Value Reference Tables'!$F$52</definedName>
    <definedName name="wld_az1_en1_hostname">'Value Reference Tables - MR'!$I$255</definedName>
    <definedName name="wld_az1_en1_ip_allocation_chosen">'Configure Workload Domain'!$D$48</definedName>
    <definedName name="wld_az1_en1_mgmt_cidr">'Value Reference Tables - MR'!$I$258</definedName>
    <definedName name="wld_az1_en1_mgmt_ip">Arkham!$R$19</definedName>
    <definedName name="wld_az1_en1_uplink01_interface_cidr">'Value Reference Tables - MR'!$I$259</definedName>
    <definedName name="wld_az1_en1_uplink02_interface_cidr">'Value Reference Tables - MR'!$I$260</definedName>
    <definedName name="wld_az1_en2_edge_overlay_interface_ip_1_ip">'Value Reference Tables - MR'!$I$272</definedName>
    <definedName name="wld_az1_en2_edge_overlay_interface_ip_2_ip">'Value Reference Tables - MR'!$I$273</definedName>
    <definedName name="wld_az1_en2_eth0_uplink0">'Value Reference Tables'!$C$257</definedName>
    <definedName name="wld_az1_en2_eth0_uplink1">'Value Reference Tables'!$C$258</definedName>
    <definedName name="wld_az1_en2_eth1_uplink0">'Value Reference Tables'!$C$259</definedName>
    <definedName name="wld_az1_en2_eth1_uplink1">'Value Reference Tables'!$C$260</definedName>
    <definedName name="wld_az1_en2_fqdn">'Value Reference Tables'!$F$53</definedName>
    <definedName name="wld_az1_en2_hostname">'Value Reference Tables - MR'!$I$266</definedName>
    <definedName name="wld_az1_en2_ip_allocation_chosen">'Configure Workload Domain'!$D$74</definedName>
    <definedName name="wld_az1_en2_mgmt_cidr">'Value Reference Tables - MR'!$I$269</definedName>
    <definedName name="wld_az1_en2_mgmt_ip">Arkham!$R$20</definedName>
    <definedName name="wld_az1_en2_uplink01_interface_cidr">'Value Reference Tables - MR'!$I$270</definedName>
    <definedName name="wld_az1_en2_uplink02_interface_cidr">'Value Reference Tables - MR'!$I$271</definedName>
    <definedName name="wld_az1_host_fqdns">'Value Reference Tables - MR'!$I$237:$I$252</definedName>
    <definedName name="wld_az1_host_hostnames">'Value Reference Tables - MR'!$I$218:$I$233</definedName>
    <definedName name="wld_az1_host_mgmt_ips">'Value Reference Tables - MR'!$I$183:$I$198</definedName>
    <definedName name="wld_az1_host_overlay_cidr">'Value Reference Tables - MR'!$I$27</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MR'!$I$168</definedName>
    <definedName name="wld_az1_host_overlay_network_pool_name">'Value Reference Tables - MR'!$I$169</definedName>
    <definedName name="wld_az1_host_overlay_network_profile_name">'Value Reference Tables - MR'!$I$167</definedName>
    <definedName name="wld_az1_host_overlay_new_pool_chosen">'Deploy Workload Domain'!$D$305</definedName>
    <definedName name="wld_az1_host_overlay_pg">'Value Reference Tables - MR'!$I$114</definedName>
    <definedName name="wld_az1_host_overlay_pool_end_ip">'Value Reference Tables - MR'!$I$154</definedName>
    <definedName name="wld_az1_host_overlay_pool_start_ip">'Value Reference Tables - MR'!$I$153</definedName>
    <definedName name="wld_az1_host_overlay_transport_zone">'Value Reference Tables - MR'!$I$170</definedName>
    <definedName name="wld_az1_host_overlay_uplink_profile_name">'Value Reference Tables - MR'!$I$171</definedName>
    <definedName name="wld_az1_host_overlay_vlan">'Value Reference Tables - MR'!$I$12</definedName>
    <definedName name="wld_az1_host1_fqdn">'Value Reference Tables - MR'!$I$237</definedName>
    <definedName name="wld_az1_host1_hostname">'Value Reference Tables - MR'!$I$218</definedName>
    <definedName name="wld_az1_host1_mgmt_ip">'Value Reference Tables - MR'!$I$183</definedName>
    <definedName name="wld_az1_host1_vrms_ip">'Value Reference Tables - MR'!$I$199</definedName>
    <definedName name="wld_az1_host10_fqdn">'Value Reference Tables - MR'!$I$246</definedName>
    <definedName name="wld_az1_host10_hostname">'Value Reference Tables - MR'!$I$227</definedName>
    <definedName name="wld_az1_host10_mgmt_ip">'Value Reference Tables - MR'!$I$192</definedName>
    <definedName name="wld_az1_host10_vrms_ip">'Value Reference Tables - MR'!$I$208</definedName>
    <definedName name="wld_az1_host11_fqdn">'Value Reference Tables - MR'!$I$247</definedName>
    <definedName name="wld_az1_host11_hostname">'Value Reference Tables - MR'!$I$228</definedName>
    <definedName name="wld_az1_host11_mgmt_ip">'Value Reference Tables - MR'!$I$193</definedName>
    <definedName name="wld_az1_host11_vrms_ip">'Value Reference Tables - MR'!$I$209</definedName>
    <definedName name="wld_az1_host12_fqdn">'Value Reference Tables - MR'!$I$248</definedName>
    <definedName name="wld_az1_host12_hostname">'Value Reference Tables - MR'!$I$229</definedName>
    <definedName name="wld_az1_host12_mgmt_ip">'Value Reference Tables - MR'!$I$194</definedName>
    <definedName name="wld_az1_host12_vrms_ip">'Value Reference Tables - MR'!$I$210</definedName>
    <definedName name="wld_az1_host13_fqdn">'Value Reference Tables - MR'!$I$249</definedName>
    <definedName name="wld_az1_host13_hostname">'Value Reference Tables - MR'!$I$230</definedName>
    <definedName name="wld_az1_host13_mgmt_ip">'Value Reference Tables - MR'!$I$195</definedName>
    <definedName name="wld_az1_host13_vrms_ip">'Value Reference Tables - MR'!$I$211</definedName>
    <definedName name="wld_az1_host14_fqdn">'Value Reference Tables - MR'!$I$250</definedName>
    <definedName name="wld_az1_host14_hostname">'Value Reference Tables - MR'!$I$231</definedName>
    <definedName name="wld_az1_host14_mgmt_ip">'Value Reference Tables - MR'!$I$196</definedName>
    <definedName name="wld_az1_host14_vrms_ip">'Value Reference Tables - MR'!$I$212</definedName>
    <definedName name="wld_az1_host15_fqdn">'Value Reference Tables - MR'!$I$251</definedName>
    <definedName name="wld_az1_host15_hostname">'Value Reference Tables - MR'!$I$232</definedName>
    <definedName name="wld_az1_host15_mgmt_ip">'Value Reference Tables - MR'!$I$197</definedName>
    <definedName name="wld_az1_host15_vrms_ip">'Value Reference Tables - MR'!$I$213</definedName>
    <definedName name="wld_az1_host16_fqdn">'Value Reference Tables - MR'!$I$252</definedName>
    <definedName name="wld_az1_host16_hostname">'Value Reference Tables - MR'!$I$233</definedName>
    <definedName name="wld_az1_host16_mgmt_ip">'Value Reference Tables - MR'!$I$198</definedName>
    <definedName name="wld_az1_host16_vrms_ip">'Value Reference Tables - MR'!$I$214</definedName>
    <definedName name="wld_az1_host2_fqdn">'Value Reference Tables - MR'!$I$238</definedName>
    <definedName name="wld_az1_host2_hostname">'Value Reference Tables - MR'!$I$219</definedName>
    <definedName name="wld_az1_host2_mgmt_ip">'Value Reference Tables - MR'!$I$184</definedName>
    <definedName name="wld_az1_host2_vrms_ip">'Value Reference Tables - MR'!$I$200</definedName>
    <definedName name="wld_az1_host3_fqdn">'Value Reference Tables - MR'!$I$239</definedName>
    <definedName name="wld_az1_host3_hostname">'Value Reference Tables - MR'!$I$220</definedName>
    <definedName name="wld_az1_host3_mgmt_ip">'Value Reference Tables - MR'!$I$185</definedName>
    <definedName name="wld_az1_host3_vrms_ip">'Value Reference Tables - MR'!$I$201</definedName>
    <definedName name="wld_az1_host4_fqdn">'Value Reference Tables - MR'!$I$240</definedName>
    <definedName name="wld_az1_host4_hostname">'Value Reference Tables - MR'!$I$221</definedName>
    <definedName name="wld_az1_host4_mgmt_ip">'Value Reference Tables - MR'!$I$186</definedName>
    <definedName name="wld_az1_host4_vrms_ip">'Value Reference Tables - MR'!$I$202</definedName>
    <definedName name="wld_az1_host5_fqdn">'Value Reference Tables - MR'!$I$241</definedName>
    <definedName name="wld_az1_host5_hostname">'Value Reference Tables - MR'!$I$222</definedName>
    <definedName name="wld_az1_host5_mgmt_ip">'Value Reference Tables - MR'!$I$187</definedName>
    <definedName name="wld_az1_host5_vrms_ip">'Value Reference Tables - MR'!$I$203</definedName>
    <definedName name="wld_az1_host6_fqdn">'Value Reference Tables - MR'!$I$242</definedName>
    <definedName name="wld_az1_host6_hostname">'Value Reference Tables - MR'!$I$223</definedName>
    <definedName name="wld_az1_host6_mgmt_ip">'Value Reference Tables - MR'!$I$188</definedName>
    <definedName name="wld_az1_host6_vrms_ip">'Value Reference Tables - MR'!$I$204</definedName>
    <definedName name="wld_az1_host7_fqdn">'Value Reference Tables - MR'!$I$243</definedName>
    <definedName name="wld_az1_host7_hostname">'Value Reference Tables - MR'!$I$224</definedName>
    <definedName name="wld_az1_host7_mgmt_ip">'Value Reference Tables - MR'!$I$189</definedName>
    <definedName name="wld_az1_host7_vrms_ip">'Value Reference Tables - MR'!$I$205</definedName>
    <definedName name="wld_az1_host8_fqdn">'Value Reference Tables - MR'!$I$244</definedName>
    <definedName name="wld_az1_host8_hostname">'Value Reference Tables - MR'!$I$225</definedName>
    <definedName name="wld_az1_host8_mgmt_ip">'Value Reference Tables - MR'!$I$190</definedName>
    <definedName name="wld_az1_host8_vrms_ip">'Value Reference Tables - MR'!$I$206</definedName>
    <definedName name="wld_az1_host9_fqdn">'Value Reference Tables - MR'!$I$245</definedName>
    <definedName name="wld_az1_host9_hostname">'Value Reference Tables - MR'!$I$226</definedName>
    <definedName name="wld_az1_host9_mgmt_ip">'Value Reference Tables - MR'!$I$191</definedName>
    <definedName name="wld_az1_host9_vrms_ip">'Value Reference Tables - MR'!$I$207</definedName>
    <definedName name="wld_az1_mgmt_cidr">'Value Reference Tables - MR'!$I$24</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Domain'!$D$320</definedName>
    <definedName name="wld_az1_nsx_uplink2_active_chosen">'Deploy Workload Domain'!$D$321</definedName>
    <definedName name="wld_az1_pool_name">'Value Reference Tables - MR'!$I$166</definedName>
    <definedName name="wld_az1_principal_storage_cidr">'Value Reference Tables - MR'!$I$26</definedName>
    <definedName name="wld_az1_principal_storage_gateway_ip">'Value Reference Tables - MR'!$I$88</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MR'!$I$152</definedName>
    <definedName name="wld_az1_principal_storage_pool_start_ip">'Value Reference Tables - MR'!$I$151</definedName>
    <definedName name="wld_az1_principal_storage_vlan">'Value Reference Tables - MR'!$I$11</definedName>
    <definedName name="wld_az1_rack2_child_dns_zone">'Value Reference Tables - MR'!#REF!</definedName>
    <definedName name="wld_az1_rack2_edge_overlay_cidr">'Value Reference Tables - MR'!$L$32</definedName>
    <definedName name="wld_az1_rack2_edge_overlay_gateway_ip">'Value Reference Tables - MR'!$L$94</definedName>
    <definedName name="wld_az1_rack2_edge_overlay_mask">'Value Reference Tables - MR'!$L$62</definedName>
    <definedName name="wld_az1_rack2_edge_overlay_mtu">'Value Reference Tables - MR'!$L$78</definedName>
    <definedName name="wld_az1_rack2_edge_overlay_network">'Value Reference Tables - MR'!$L$47</definedName>
    <definedName name="wld_az1_rack2_edge_overlay_network_pool_name">'Value Reference Tables - MR'!$L$172</definedName>
    <definedName name="wld_az1_rack2_edge_overlay_pool_end_ip">'Value Reference Tables - MR'!$L$160</definedName>
    <definedName name="wld_az1_rack2_edge_overlay_pool_start_ip">'Value Reference Tables - MR'!$L$159</definedName>
    <definedName name="wld_az1_rack2_edge_overlay_vlan">'Value Reference Tables - MR'!$L$17</definedName>
    <definedName name="wld_az1_rack2_en1_edge_overlay_interface_ip_1_ip">'Value Reference Tables - MR'!$L$244</definedName>
    <definedName name="wld_az1_rack2_en1_edge_overlay_interface_ip_2_ip">'Value Reference Tables - MR'!$L$245</definedName>
    <definedName name="wld_az1_rack2_en1_fqdn">'Value Reference Tables - MR'!$L$240</definedName>
    <definedName name="wld_az1_rack2_en1_hostname">'Value Reference Tables - MR'!$L$239</definedName>
    <definedName name="wld_az1_rack2_en1_mgmt_ip">'Value Reference Tables - MR'!$L$241</definedName>
    <definedName name="wld_az1_rack2_en1_uplink01_interface_ip">'Value Reference Tables - MR'!$L$242</definedName>
    <definedName name="wld_az1_rack2_en1_uplink02_interface_ip">'Value Reference Tables - MR'!$L$243</definedName>
    <definedName name="wld_az1_rack2_en2_fqdn">'Value Reference Tables - MR'!$L$250</definedName>
    <definedName name="wld_az1_rack2_en2_hostname">'Value Reference Tables - MR'!$L$249</definedName>
    <definedName name="wld_az1_rack2_en2_mgmt_ip">'Value Reference Tables - MR'!$L$251</definedName>
    <definedName name="wld_az1_rack2_en2_uplink01_interface_ip">'Value Reference Tables - MR'!$L$252</definedName>
    <definedName name="wld_az1_rack2_en2_uplink02_interface_ip">'Value Reference Tables - MR'!$L$253</definedName>
    <definedName name="wld_az1_rack2_host_fqdns">'Value Reference Tables - MR'!$L$221:$L$236</definedName>
    <definedName name="wld_az1_rack2_host_hostnames">'Value Reference Tables - MR'!$L$202:$L$217</definedName>
    <definedName name="wld_az1_rack2_host_mgmt_ips">'Value Reference Tables - MR'!$L$183:$L$198</definedName>
    <definedName name="wld_az1_rack2_host_overlay_cidr">'Value Reference Tables - MR'!$L$27</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MR'!$L$169</definedName>
    <definedName name="wld_az1_rack2_host_overlay_network_profile_name">'Value Reference Tables - MR'!$L$167</definedName>
    <definedName name="wld_az1_rack2_host_overlay_new_pool_chosen">'Additional Racks'!$D$79</definedName>
    <definedName name="wld_az1_rack2_host_overlay_pool_end_ip">'Value Reference Tables - MR'!$L$154</definedName>
    <definedName name="wld_az1_rack2_host_overlay_pool_start_ip">'Value Reference Tables - MR'!$L$153</definedName>
    <definedName name="wld_az1_rack2_host_overlay_uplink_profile_name">'Value Reference Tables - MR'!$L$171</definedName>
    <definedName name="wld_az1_rack2_host_overlay_vlan">'Value Reference Tables - MR'!$L$12</definedName>
    <definedName name="wld_az1_rack2_host1_fqdn">'Value Reference Tables - MR'!$L$221</definedName>
    <definedName name="wld_az1_rack2_host1_hostname">'Value Reference Tables - MR'!$L$202</definedName>
    <definedName name="wld_az1_rack2_host1_mgmt_ip">'Value Reference Tables - MR'!$L$183</definedName>
    <definedName name="wld_az1_rack2_host10_fqdn">'Value Reference Tables - MR'!$L$230</definedName>
    <definedName name="wld_az1_rack2_host10_hostname">'Value Reference Tables - MR'!$L$211</definedName>
    <definedName name="wld_az1_rack2_host10_mgmt_ip">'Value Reference Tables - MR'!$L$192</definedName>
    <definedName name="wld_az1_rack2_host11_fqdn">'Value Reference Tables - MR'!$L$231</definedName>
    <definedName name="wld_az1_rack2_host11_hostname">'Value Reference Tables - MR'!$L$212</definedName>
    <definedName name="wld_az1_rack2_host11_mgmt_ip">'Value Reference Tables - MR'!$L$193</definedName>
    <definedName name="wld_az1_rack2_host12_fqdn">'Value Reference Tables - MR'!$L$232</definedName>
    <definedName name="wld_az1_rack2_host12_hostname">'Value Reference Tables - MR'!$L$213</definedName>
    <definedName name="wld_az1_rack2_host12_mgmt_ip">'Value Reference Tables - MR'!$L$194</definedName>
    <definedName name="wld_az1_rack2_host13_fqdn">'Value Reference Tables - MR'!$L$233</definedName>
    <definedName name="wld_az1_rack2_host13_hostname">'Value Reference Tables - MR'!$L$214</definedName>
    <definedName name="wld_az1_rack2_host13_mgmt_ip">'Value Reference Tables - MR'!$L$195</definedName>
    <definedName name="wld_az1_rack2_host14_fqdn">'Value Reference Tables - MR'!$L$234</definedName>
    <definedName name="wld_az1_rack2_host14_hostname">'Value Reference Tables - MR'!$L$215</definedName>
    <definedName name="wld_az1_rack2_host14_mgmt_ip">'Value Reference Tables - MR'!$L$196</definedName>
    <definedName name="wld_az1_rack2_host15_fqdn">'Value Reference Tables - MR'!$L$235</definedName>
    <definedName name="wld_az1_rack2_host15_hostname">'Value Reference Tables - MR'!$L$216</definedName>
    <definedName name="wld_az1_rack2_host15_mgmt_ip">'Value Reference Tables - MR'!$L$197</definedName>
    <definedName name="wld_az1_rack2_host16_fqdn">'Value Reference Tables - MR'!$L$236</definedName>
    <definedName name="wld_az1_rack2_host16_hostname">'Value Reference Tables - MR'!$L$217</definedName>
    <definedName name="wld_az1_rack2_host16_mgmt_ip">'Value Reference Tables - MR'!$L$198</definedName>
    <definedName name="wld_az1_rack2_host2_fqdn">'Value Reference Tables - MR'!$L$222</definedName>
    <definedName name="wld_az1_rack2_host2_hostname">'Value Reference Tables - MR'!$L$203</definedName>
    <definedName name="wld_az1_rack2_host2_mgmt_ip">'Value Reference Tables - MR'!$L$184</definedName>
    <definedName name="wld_az1_rack2_host3_fqdn">'Value Reference Tables - MR'!$L$223</definedName>
    <definedName name="wld_az1_rack2_host3_hostname">'Value Reference Tables - MR'!$L$204</definedName>
    <definedName name="wld_az1_rack2_host3_mgmt_ip">'Value Reference Tables - MR'!$L$185</definedName>
    <definedName name="wld_az1_rack2_host4_fqdn">'Value Reference Tables - MR'!$L$224</definedName>
    <definedName name="wld_az1_rack2_host4_hostname">'Value Reference Tables - MR'!$L$205</definedName>
    <definedName name="wld_az1_rack2_host4_mgmt_ip">'Value Reference Tables - MR'!$L$186</definedName>
    <definedName name="wld_az1_rack2_host5_fqdn">'Value Reference Tables - MR'!$L$225</definedName>
    <definedName name="wld_az1_rack2_host5_hostname">'Value Reference Tables - MR'!$L$206</definedName>
    <definedName name="wld_az1_rack2_host5_mgmt_ip">'Value Reference Tables - MR'!$L$187</definedName>
    <definedName name="wld_az1_rack2_host6_fqdn">'Value Reference Tables - MR'!$L$226</definedName>
    <definedName name="wld_az1_rack2_host6_hostname">'Value Reference Tables - MR'!$L$207</definedName>
    <definedName name="wld_az1_rack2_host6_mgmt_ip">'Value Reference Tables - MR'!$L$188</definedName>
    <definedName name="wld_az1_rack2_host7_fqdn">'Value Reference Tables - MR'!$L$227</definedName>
    <definedName name="wld_az1_rack2_host7_hostname">'Value Reference Tables - MR'!$L$208</definedName>
    <definedName name="wld_az1_rack2_host7_mgmt_ip">'Value Reference Tables - MR'!$L$189</definedName>
    <definedName name="wld_az1_rack2_host8_fqdn">'Value Reference Tables - MR'!$L$228</definedName>
    <definedName name="wld_az1_rack2_host8_hostname">'Value Reference Tables - MR'!$L$209</definedName>
    <definedName name="wld_az1_rack2_host8_mgmt_ip">'Value Reference Tables - MR'!$L$190</definedName>
    <definedName name="wld_az1_rack2_host9_fqdn">'Value Reference Tables - MR'!$L$229</definedName>
    <definedName name="wld_az1_rack2_host9_hostname">'Value Reference Tables - MR'!$L$210</definedName>
    <definedName name="wld_az1_rack2_host9_mgmt_ip">'Value Reference Tables - MR'!$L$191</definedName>
    <definedName name="wld_az1_rack2_mgmt_cidr">'Value Reference Tables - MR'!$L$24</definedName>
    <definedName name="wld_az1_rack2_mgmt_gateway_ip">'Value Reference Tables - MR'!$L$86</definedName>
    <definedName name="wld_az1_rack2_mgmt_mask">'Value Reference Tables - MR'!$L$179</definedName>
    <definedName name="wld_az1_rack2_mgmt_mtu">'Value Reference Tables - MR'!$L$70</definedName>
    <definedName name="wld_az1_rack2_mgmt_network">'Value Reference Tables - MR'!$L$39</definedName>
    <definedName name="wld_az1_rack2_mgmt_pg">'Value Reference Tables - MR'!$L$111</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MR'!$L$178</definedName>
    <definedName name="wld_az1_rack2_mgmt_vm_mtu">'Value Reference Tables - MR'!$L$69</definedName>
    <definedName name="wld_az1_rack2_mgmt_vm_pg">'Value Reference Tables - MR'!$L$110</definedName>
    <definedName name="wld_az1_rack2_mgmt_vm_vlan">'Value Reference Tables - MR'!$L$8</definedName>
    <definedName name="wld_az1_rack2_pool_name">'Value Reference Tables - MR'!$L$166</definedName>
    <definedName name="wld_az1_rack2_principal_storage_cidr">'Value Reference Tables - MR'!$L$26</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MR'!$L$113</definedName>
    <definedName name="wld_az1_rack2_principal_storage_pool_end_ip">'Value Reference Tables - MR'!$L$152</definedName>
    <definedName name="wld_az1_rack2_principal_storage_pool_start_ip">'Value Reference Tables - MR'!$L$151</definedName>
    <definedName name="wld_az1_rack2_principal_storage_vlan">'Value Reference Tables - MR'!$L$11</definedName>
    <definedName name="wld_az1_rack2_reuse_vcf_networkpool_chosen">'Additional Racks'!$D$33</definedName>
    <definedName name="wld_az1_rack2_rtep_ip_pool_name">'Value Reference Tables - MR'!$L$173</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MR'!$L$162</definedName>
    <definedName name="wld_az1_rack2_rtep_overlay_pool_start_ip">'Value Reference Tables - MR'!$L$161</definedName>
    <definedName name="wld_az1_rack2_rtep_overlay_vlan">'Value Reference Tables - MR'!$L$18</definedName>
    <definedName name="wld_az1_rack2_secondary_storage_cidr">'Value Reference Tables - MR'!$L$28</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MR'!$L$156</definedName>
    <definedName name="wld_az1_rack2_secondary_storage_pool_start_ip">'Value Reference Tables - MR'!$L$155</definedName>
    <definedName name="wld_az1_rack2_secondary_storage_vlan">'Value Reference Tables - MR'!$L$13</definedName>
    <definedName name="wld_az1_rack2_tor1_peer_asn">'Value Reference Tables - MR'!$L$102</definedName>
    <definedName name="wld_az1_rack2_tor1_peer_bgp_password">'Value Reference Tables - MR'!$L$103</definedName>
    <definedName name="wld_az1_rack2_tor1_peer_ip">'Value Reference Tables - MR'!$L$101</definedName>
    <definedName name="wld_az1_rack2_tor2_peer_asn">'Value Reference Tables - MR'!$L$105</definedName>
    <definedName name="wld_az1_rack2_tor2_peer_bgp_password">'Value Reference Tables - MR'!$L$106</definedName>
    <definedName name="wld_az1_rack2_tor2_peer_ip">'Value Reference Tables - MR'!$L$104</definedName>
    <definedName name="wld_az1_rack2_uplink01_cidr">'Value Reference Tables - MR'!$L$30</definedName>
    <definedName name="wld_az1_rack2_uplink01_gateway_ip">'Value Reference Tables - MR'!$L$92</definedName>
    <definedName name="wld_az1_rack2_uplink01_mask">'Value Reference Tables - MR'!$L$60</definedName>
    <definedName name="wld_az1_rack2_uplink01_mtu">'Value Reference Tables - MR'!$L$76</definedName>
    <definedName name="wld_az1_rack2_uplink01_network">'Value Reference Tables - MR'!$L$45</definedName>
    <definedName name="wld_az1_rack2_uplink01_pg">'Value Reference Tables - MR'!$L$114</definedName>
    <definedName name="wld_az1_rack2_uplink01_vlan">'Value Reference Tables - MR'!$L$15</definedName>
    <definedName name="wld_az1_rack2_uplink02_cidr">'Value Reference Tables - MR'!$L$31</definedName>
    <definedName name="wld_az1_rack2_uplink02_gateway_ip">'Value Reference Tables - MR'!$L$93</definedName>
    <definedName name="wld_az1_rack2_uplink02_mask">'Value Reference Tables - MR'!$L$61</definedName>
    <definedName name="wld_az1_rack2_uplink02_mtu">'Value Reference Tables - MR'!$L$77</definedName>
    <definedName name="wld_az1_rack2_uplink02_network">'Value Reference Tables - MR'!$L$46</definedName>
    <definedName name="wld_az1_rack2_uplink02_pg">'Value Reference Tables - MR'!$L$115</definedName>
    <definedName name="wld_az1_rack2_uplink02_vlan">'Value Reference Tables - MR'!$L$16</definedName>
    <definedName name="wld_az1_rack2_vmotion_cidr">'Value Reference Tables - MR'!$L$25</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MR'!$L$112</definedName>
    <definedName name="wld_az1_rack2_vmotion_pool_end_ip">'Value Reference Tables - MR'!$L$150</definedName>
    <definedName name="wld_az1_rack2_vmotion_pool_start_ip">'Value Reference Tables - MR'!$L$149</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MR'!$L$174</definedName>
    <definedName name="wld_az1_rack3_child_dns_zone">'Value Reference Tables - MR'!#REF!</definedName>
    <definedName name="wld_az1_rack3_edge_overlay_cidr">'Value Reference Tables - MR'!$O$32</definedName>
    <definedName name="wld_az1_rack3_edge_overlay_gateway_ip">'Value Reference Tables - MR'!$O$94</definedName>
    <definedName name="wld_az1_rack3_edge_overlay_mask">'Value Reference Tables - MR'!$O$62</definedName>
    <definedName name="wld_az1_rack3_edge_overlay_mtu">'Value Reference Tables - MR'!$O$78</definedName>
    <definedName name="wld_az1_rack3_edge_overlay_network">'Value Reference Tables - MR'!$O$47</definedName>
    <definedName name="wld_az1_rack3_edge_overlay_network_pool_name">'Value Reference Tables - MR'!$O$172</definedName>
    <definedName name="wld_az1_rack3_edge_overlay_pool_end_ip">'Value Reference Tables - MR'!$O$160</definedName>
    <definedName name="wld_az1_rack3_edge_overlay_pool_start_ip">'Value Reference Tables - MR'!$O$159</definedName>
    <definedName name="wld_az1_rack3_edge_overlay_vlan">'Value Reference Tables - MR'!$O$17</definedName>
    <definedName name="wld_az1_rack3_en1_edge_overlay_interface_ip_1_ip">'Value Reference Tables - MR'!$O$244</definedName>
    <definedName name="wld_az1_rack3_en1_edge_overlay_interface_ip_2_ip">'Value Reference Tables - MR'!$O$245</definedName>
    <definedName name="wld_az1_rack3_en1_fqdn">'Value Reference Tables - MR'!$O$240</definedName>
    <definedName name="wld_az1_rack3_en1_hostname">'Value Reference Tables - MR'!$O$239</definedName>
    <definedName name="wld_az1_rack3_en1_mgmt_ip">'Value Reference Tables - MR'!$O$241</definedName>
    <definedName name="wld_az1_rack3_en1_uplink01_interface_ip">'Value Reference Tables - MR'!$O$242</definedName>
    <definedName name="wld_az1_rack3_en1_uplink02_interface_ip">'Value Reference Tables - MR'!$O$243</definedName>
    <definedName name="wld_az1_rack3_en2_fqdn">'Value Reference Tables - MR'!$O$250</definedName>
    <definedName name="wld_az1_rack3_en2_hostname">'Value Reference Tables - MR'!$O$249</definedName>
    <definedName name="wld_az1_rack3_en2_mgmt_ip">'Value Reference Tables - MR'!$O$251</definedName>
    <definedName name="wld_az1_rack3_en2_uplink01_interface_ip">'Value Reference Tables - MR'!$O$252</definedName>
    <definedName name="wld_az1_rack3_en2_uplink02_interface_ip">'Value Reference Tables - MR'!$O$253</definedName>
    <definedName name="wld_az1_rack3_host_fqdns">'Value Reference Tables - MR'!$O$221:$O$236</definedName>
    <definedName name="wld_az1_rack3_host_hostnames">'Value Reference Tables - MR'!$O$202:$O$217</definedName>
    <definedName name="wld_az1_rack3_host_mgmt_ips">'Value Reference Tables - MR'!$O$183:$O$198</definedName>
    <definedName name="wld_az1_rack3_host_overlay_cidr">'Value Reference Tables - MR'!$O$27</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MR'!$O$169</definedName>
    <definedName name="wld_az1_rack3_host_overlay_network_profile_name">'Value Reference Tables - MR'!$O$167</definedName>
    <definedName name="wld_az1_rack3_host_overlay_new_pool_chosen">'Additional Racks'!$D$172</definedName>
    <definedName name="wld_az1_rack3_host_overlay_pool_end_ip">'Value Reference Tables - MR'!$O$154</definedName>
    <definedName name="wld_az1_rack3_host_overlay_pool_start_ip">'Value Reference Tables - MR'!$O$153</definedName>
    <definedName name="wld_az1_rack3_host_overlay_uplink_profile_name">'Value Reference Tables - MR'!$O$171</definedName>
    <definedName name="wld_az1_rack3_host_overlay_vlan">'Value Reference Tables - MR'!$O$12</definedName>
    <definedName name="wld_az1_rack3_host1_fqdn">'Value Reference Tables - MR'!$O$221</definedName>
    <definedName name="wld_az1_rack3_host1_hostname">'Value Reference Tables - MR'!$O$202</definedName>
    <definedName name="wld_az1_rack3_host1_mgmt_ip">'Value Reference Tables - MR'!$O$183</definedName>
    <definedName name="wld_az1_rack3_host10_fqdn">'Value Reference Tables - MR'!$O$230</definedName>
    <definedName name="wld_az1_rack3_host10_hostname">'Value Reference Tables - MR'!$O$211</definedName>
    <definedName name="wld_az1_rack3_host10_mgmt_ip">'Value Reference Tables - MR'!$O$192</definedName>
    <definedName name="wld_az1_rack3_host11_fqdn">'Value Reference Tables - MR'!$O$231</definedName>
    <definedName name="wld_az1_rack3_host11_hostname">'Value Reference Tables - MR'!$O$212</definedName>
    <definedName name="wld_az1_rack3_host11_mgmt_ip">'Value Reference Tables - MR'!$O$193</definedName>
    <definedName name="wld_az1_rack3_host12_fqdn">'Value Reference Tables - MR'!$O$232</definedName>
    <definedName name="wld_az1_rack3_host12_hostname">'Value Reference Tables - MR'!$O$213</definedName>
    <definedName name="wld_az1_rack3_host12_mgmt_ip">'Value Reference Tables - MR'!$O$194</definedName>
    <definedName name="wld_az1_rack3_host13_fqdn">'Value Reference Tables - MR'!$O$233</definedName>
    <definedName name="wld_az1_rack3_host13_hostname">'Value Reference Tables - MR'!$O$214</definedName>
    <definedName name="wld_az1_rack3_host13_mgmt_ip">'Value Reference Tables - MR'!$O$195</definedName>
    <definedName name="wld_az1_rack3_host14_fqdn">'Value Reference Tables - MR'!$O$234</definedName>
    <definedName name="wld_az1_rack3_host14_hostname">'Value Reference Tables - MR'!$O$215</definedName>
    <definedName name="wld_az1_rack3_host14_mgmt_ip">'Value Reference Tables - MR'!$O$196</definedName>
    <definedName name="wld_az1_rack3_host15_fqdn">'Value Reference Tables - MR'!$O$235</definedName>
    <definedName name="wld_az1_rack3_host15_hostname">'Value Reference Tables - MR'!$O$216</definedName>
    <definedName name="wld_az1_rack3_host15_mgmt_ip">'Value Reference Tables - MR'!$O$197</definedName>
    <definedName name="wld_az1_rack3_host16_fqdn">'Value Reference Tables - MR'!$O$236</definedName>
    <definedName name="wld_az1_rack3_host16_hostname">'Value Reference Tables - MR'!$O$217</definedName>
    <definedName name="wld_az1_rack3_host16_mgmt_ip">'Value Reference Tables - MR'!$O$198</definedName>
    <definedName name="wld_az1_rack3_host2_fqdn">'Value Reference Tables - MR'!$O$222</definedName>
    <definedName name="wld_az1_rack3_host2_hostname">'Value Reference Tables - MR'!$O$203</definedName>
    <definedName name="wld_az1_rack3_host2_mgmt_ip">'Value Reference Tables - MR'!$O$184</definedName>
    <definedName name="wld_az1_rack3_host3_fqdn">'Value Reference Tables - MR'!$O$223</definedName>
    <definedName name="wld_az1_rack3_host3_hostname">'Value Reference Tables - MR'!$O$204</definedName>
    <definedName name="wld_az1_rack3_host3_mgmt_ip">'Value Reference Tables - MR'!$O$185</definedName>
    <definedName name="wld_az1_rack3_host4_fqdn">'Value Reference Tables - MR'!$O$224</definedName>
    <definedName name="wld_az1_rack3_host4_hostname">'Value Reference Tables - MR'!$O$205</definedName>
    <definedName name="wld_az1_rack3_host4_mgmt_ip">'Value Reference Tables - MR'!$O$186</definedName>
    <definedName name="wld_az1_rack3_host5_fqdn">'Value Reference Tables - MR'!$O$225</definedName>
    <definedName name="wld_az1_rack3_host5_hostname">'Value Reference Tables - MR'!$O$206</definedName>
    <definedName name="wld_az1_rack3_host5_mgmt_ip">'Value Reference Tables - MR'!$O$187</definedName>
    <definedName name="wld_az1_rack3_host6_fqdn">'Value Reference Tables - MR'!$O$226</definedName>
    <definedName name="wld_az1_rack3_host6_hostname">'Value Reference Tables - MR'!$O$207</definedName>
    <definedName name="wld_az1_rack3_host6_mgmt_ip">'Value Reference Tables - MR'!$O$188</definedName>
    <definedName name="wld_az1_rack3_host7_fqdn">'Value Reference Tables - MR'!$O$227</definedName>
    <definedName name="wld_az1_rack3_host7_hostname">'Value Reference Tables - MR'!$O$208</definedName>
    <definedName name="wld_az1_rack3_host7_mgmt_ip">'Value Reference Tables - MR'!$O$189</definedName>
    <definedName name="wld_az1_rack3_host8_fqdn">'Value Reference Tables - MR'!$O$228</definedName>
    <definedName name="wld_az1_rack3_host8_hostname">'Value Reference Tables - MR'!$O$209</definedName>
    <definedName name="wld_az1_rack3_host8_mgmt_ip">'Value Reference Tables - MR'!$O$190</definedName>
    <definedName name="wld_az1_rack3_host9_fqdn">'Value Reference Tables - MR'!$O$229</definedName>
    <definedName name="wld_az1_rack3_host9_hostname">'Value Reference Tables - MR'!$O$210</definedName>
    <definedName name="wld_az1_rack3_host9_mgmt_ip">'Value Reference Tables - MR'!$O$191</definedName>
    <definedName name="wld_az1_rack3_mgmt_cidr">'Value Reference Tables - MR'!$O$24</definedName>
    <definedName name="wld_az1_rack3_mgmt_gateway_ip">'Value Reference Tables - MR'!$O$86</definedName>
    <definedName name="wld_az1_rack3_mgmt_mask">'Value Reference Tables - MR'!$O$179</definedName>
    <definedName name="wld_az1_rack3_mgmt_mtu">'Value Reference Tables - MR'!$O$70</definedName>
    <definedName name="wld_az1_rack3_mgmt_network">'Value Reference Tables - MR'!$O$39</definedName>
    <definedName name="wld_az1_rack3_mgmt_pg">'Value Reference Tables - MR'!$O$111</definedName>
    <definedName name="wld_az1_rack3_mgmt_vlan">'Value Reference Tables - MR'!$O$9</definedName>
    <definedName name="wld_az1_rack3_mgmt_vm_cidr">'Value Reference Tables - MR'!$O$23</definedName>
    <definedName name="wld_az1_rack3_mgmt_vm_gateway_ip">'Value Reference Tables - MR'!$O$85</definedName>
    <definedName name="wld_az1_rack3_mgmt_vm_mask">'Value Reference Tables - MR'!$O$178</definedName>
    <definedName name="wld_az1_rack3_mgmt_vm_mtu">'Value Reference Tables - MR'!$O$69</definedName>
    <definedName name="wld_az1_rack3_mgmt_vm_pg">'Value Reference Tables - MR'!$O$110</definedName>
    <definedName name="wld_az1_rack3_mgmt_vm_vlan">'Value Reference Tables - MR'!$O$8</definedName>
    <definedName name="wld_az1_rack3_pool_name">'Value Reference Tables - MR'!$O$166</definedName>
    <definedName name="wld_az1_rack3_principal_storage_cidr">'Value Reference Tables - MR'!$O$26</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MR'!$O$152</definedName>
    <definedName name="wld_az1_rack3_principal_storage_pool_start_ip">'Value Reference Tables - MR'!$O$151</definedName>
    <definedName name="wld_az1_rack3_principal_storage_vlan">'Value Reference Tables - MR'!$O$11</definedName>
    <definedName name="wld_az1_rack3_reuse_vcf_networkpool_chosen">'Additional Racks'!$D$126</definedName>
    <definedName name="wld_az1_rack3_rtep_ip_pool_name">'Value Reference Tables - MR'!$O$173</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MR'!$O$162</definedName>
    <definedName name="wld_az1_rack3_rtep_overlay_pool_start_ip">'Value Reference Tables - MR'!$O$161</definedName>
    <definedName name="wld_az1_rack3_rtep_overlay_vlan">'Value Reference Tables - MR'!$O$18</definedName>
    <definedName name="wld_az1_rack3_secondary_storage_cidr">'Value Reference Tables - MR'!$O$28</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MR'!$O$156</definedName>
    <definedName name="wld_az1_rack3_secondary_storage_pool_start_ip">'Value Reference Tables - MR'!$O$155</definedName>
    <definedName name="wld_az1_rack3_secondary_storage_vlan">'Value Reference Tables - MR'!$O$13</definedName>
    <definedName name="wld_az1_rack3_tor1_peer_asn">'Value Reference Tables - MR'!$O$102</definedName>
    <definedName name="wld_az1_rack3_tor1_peer_bgp_password">'Value Reference Tables - MR'!$O$103</definedName>
    <definedName name="wld_az1_rack3_tor1_peer_ip">'Value Reference Tables - MR'!$O$101</definedName>
    <definedName name="wld_az1_rack3_tor2_peer_asn">'Value Reference Tables - MR'!$O$105</definedName>
    <definedName name="wld_az1_rack3_tor2_peer_bgp_password">'Value Reference Tables - MR'!$O$106</definedName>
    <definedName name="wld_az1_rack3_tor2_peer_ip">'Value Reference Tables - MR'!$O$104</definedName>
    <definedName name="wld_az1_rack3_uplink01_cidr">'Value Reference Tables - MR'!$O$30</definedName>
    <definedName name="wld_az1_rack3_uplink01_gateway_ip">'Value Reference Tables - MR'!$O$92</definedName>
    <definedName name="wld_az1_rack3_uplink01_mask">'Value Reference Tables - MR'!$O$60</definedName>
    <definedName name="wld_az1_rack3_uplink01_mtu">'Value Reference Tables - MR'!$O$76</definedName>
    <definedName name="wld_az1_rack3_uplink01_network">'Value Reference Tables - MR'!$O$45</definedName>
    <definedName name="wld_az1_rack3_uplink01_pg">'Value Reference Tables - MR'!$O$114</definedName>
    <definedName name="wld_az1_rack3_uplink01_vlan">'Value Reference Tables - MR'!$O$15</definedName>
    <definedName name="wld_az1_rack3_uplink02_cidr">'Value Reference Tables - MR'!$O$31</definedName>
    <definedName name="wld_az1_rack3_uplink02_gateway_ip">'Value Reference Tables - MR'!$O$93</definedName>
    <definedName name="wld_az1_rack3_uplink02_mask">'Value Reference Tables - MR'!$O$61</definedName>
    <definedName name="wld_az1_rack3_uplink02_mtu">'Value Reference Tables - MR'!$O$77</definedName>
    <definedName name="wld_az1_rack3_uplink02_network">'Value Reference Tables - MR'!$O$46</definedName>
    <definedName name="wld_az1_rack3_uplink02_pg">'Value Reference Tables - MR'!$O$115</definedName>
    <definedName name="wld_az1_rack3_uplink02_vlan">'Value Reference Tables - MR'!$O$16</definedName>
    <definedName name="wld_az1_rack3_vmotion_cidr">'Value Reference Tables - MR'!$O$25</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MR'!$O$112</definedName>
    <definedName name="wld_az1_rack3_vmotion_pool_end_ip">'Value Reference Tables - MR'!$O$150</definedName>
    <definedName name="wld_az1_rack3_vmotion_pool_start_ip">'Value Reference Tables - MR'!$O$149</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MR'!$O$174</definedName>
    <definedName name="wld_az1_rack4_child_dns_zone">'Value Reference Tables - MR'!#REF!</definedName>
    <definedName name="wld_az1_rack4_edge_overlay_cidr">'Value Reference Tables - MR'!$R$32</definedName>
    <definedName name="wld_az1_rack4_edge_overlay_gateway_ip">'Value Reference Tables - MR'!$R$94</definedName>
    <definedName name="wld_az1_rack4_edge_overlay_mask">'Value Reference Tables - MR'!$R$62</definedName>
    <definedName name="wld_az1_rack4_edge_overlay_mtu">'Value Reference Tables - MR'!$R$78</definedName>
    <definedName name="wld_az1_rack4_edge_overlay_network">'Value Reference Tables - MR'!$R$47</definedName>
    <definedName name="wld_az1_rack4_edge_overlay_network_pool_name">'Value Reference Tables - MR'!$R$172</definedName>
    <definedName name="wld_az1_rack4_edge_overlay_pool_end_ip">'Value Reference Tables - MR'!$R$160</definedName>
    <definedName name="wld_az1_rack4_edge_overlay_pool_start_ip">'Value Reference Tables - MR'!$R$159</definedName>
    <definedName name="wld_az1_rack4_edge_overlay_vlan">'Value Reference Tables - MR'!$R$17</definedName>
    <definedName name="wld_az1_rack4_en1_edge_overlay_interface_ip_1_ip">'Value Reference Tables - MR'!$R$244</definedName>
    <definedName name="wld_az1_rack4_en1_edge_overlay_interface_ip_2_ip">'Value Reference Tables - MR'!$R$245</definedName>
    <definedName name="wld_az1_rack4_en1_fqdn">'Value Reference Tables - MR'!$R$240</definedName>
    <definedName name="wld_az1_rack4_en1_hostname">'Value Reference Tables - MR'!$R$239</definedName>
    <definedName name="wld_az1_rack4_en1_mgmt_ip">'Value Reference Tables - MR'!$R$241</definedName>
    <definedName name="wld_az1_rack4_en1_uplink01_interface_ip">'Value Reference Tables - MR'!$R$242</definedName>
    <definedName name="wld_az1_rack4_en1_uplink02_interface_ip">'Value Reference Tables - MR'!$R$243</definedName>
    <definedName name="wld_az1_rack4_en2_fqdn">'Value Reference Tables - MR'!$R$250</definedName>
    <definedName name="wld_az1_rack4_en2_hostname">'Value Reference Tables - MR'!$R$249</definedName>
    <definedName name="wld_az1_rack4_en2_mgmt_ip">'Value Reference Tables - MR'!$R$251</definedName>
    <definedName name="wld_az1_rack4_en2_uplink01_interface_ip">'Value Reference Tables - MR'!$R$252</definedName>
    <definedName name="wld_az1_rack4_en2_uplink02_interface_ip">'Value Reference Tables - MR'!$R$253</definedName>
    <definedName name="wld_az1_rack4_host_fqdns">'Value Reference Tables - MR'!$R$221:$R$236</definedName>
    <definedName name="wld_az1_rack4_host_hostnames">'Value Reference Tables - MR'!$R$202:$R$217</definedName>
    <definedName name="wld_az1_rack4_host_mgmt_ips">'Value Reference Tables - MR'!$R$183:$R$198</definedName>
    <definedName name="wld_az1_rack4_host_overlay_cidr">'Value Reference Tables - MR'!$R$27</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MR'!$R$169</definedName>
    <definedName name="wld_az1_rack4_host_overlay_network_profile_name">'Value Reference Tables - MR'!$R$167</definedName>
    <definedName name="wld_az1_rack4_host_overlay_new_pool_chosen">'Additional Racks'!$D$265</definedName>
    <definedName name="wld_az1_rack4_host_overlay_pool_end_ip">'Value Reference Tables - MR'!$R$154</definedName>
    <definedName name="wld_az1_rack4_host_overlay_pool_start_ip">'Value Reference Tables - MR'!$R$153</definedName>
    <definedName name="wld_az1_rack4_host_overlay_uplink_profile_name">'Value Reference Tables - MR'!$R$171</definedName>
    <definedName name="wld_az1_rack4_host_overlay_vlan">'Value Reference Tables - MR'!$R$12</definedName>
    <definedName name="wld_az1_rack4_host1_fqdn">'Value Reference Tables - MR'!$R$221</definedName>
    <definedName name="wld_az1_rack4_host1_hostname">'Value Reference Tables - MR'!$R$202</definedName>
    <definedName name="wld_az1_rack4_host1_mgmt_ip">'Value Reference Tables - MR'!$R$183</definedName>
    <definedName name="wld_az1_rack4_host10_fqdn">'Value Reference Tables - MR'!$R$230</definedName>
    <definedName name="wld_az1_rack4_host10_hostname">'Value Reference Tables - MR'!$R$211</definedName>
    <definedName name="wld_az1_rack4_host10_mgmt_ip">'Value Reference Tables - MR'!$R$192</definedName>
    <definedName name="wld_az1_rack4_host11_fqdn">'Value Reference Tables - MR'!$R$231</definedName>
    <definedName name="wld_az1_rack4_host11_hostname">'Value Reference Tables - MR'!$R$212</definedName>
    <definedName name="wld_az1_rack4_host11_mgmt_ip">'Value Reference Tables - MR'!$R$193</definedName>
    <definedName name="wld_az1_rack4_host12_fqdn">'Value Reference Tables - MR'!$R$232</definedName>
    <definedName name="wld_az1_rack4_host12_hostname">'Value Reference Tables - MR'!$R$213</definedName>
    <definedName name="wld_az1_rack4_host12_mgmt_ip">'Value Reference Tables - MR'!$R$194</definedName>
    <definedName name="wld_az1_rack4_host13_fqdn">'Value Reference Tables - MR'!$R$233</definedName>
    <definedName name="wld_az1_rack4_host13_hostname">'Value Reference Tables - MR'!$R$214</definedName>
    <definedName name="wld_az1_rack4_host13_mgmt_ip">'Value Reference Tables - MR'!$R$195</definedName>
    <definedName name="wld_az1_rack4_host14_fqdn">'Value Reference Tables - MR'!$R$234</definedName>
    <definedName name="wld_az1_rack4_host14_hostname">'Value Reference Tables - MR'!$R$215</definedName>
    <definedName name="wld_az1_rack4_host14_mgmt_ip">'Value Reference Tables - MR'!$R$196</definedName>
    <definedName name="wld_az1_rack4_host15_fqdn">'Value Reference Tables - MR'!$R$235</definedName>
    <definedName name="wld_az1_rack4_host15_hostname">'Value Reference Tables - MR'!$R$216</definedName>
    <definedName name="wld_az1_rack4_host15_mgmt_ip">'Value Reference Tables - MR'!$R$197</definedName>
    <definedName name="wld_az1_rack4_host16_fqdn">'Value Reference Tables - MR'!$R$236</definedName>
    <definedName name="wld_az1_rack4_host16_hostname">'Value Reference Tables - MR'!$R$217</definedName>
    <definedName name="wld_az1_rack4_host16_mgmt_ip">'Value Reference Tables - MR'!$R$198</definedName>
    <definedName name="wld_az1_rack4_host2_fqdn">'Value Reference Tables - MR'!$R$222</definedName>
    <definedName name="wld_az1_rack4_host2_hostname">'Value Reference Tables - MR'!$R$203</definedName>
    <definedName name="wld_az1_rack4_host2_mgmt_ip">'Value Reference Tables - MR'!$R$184</definedName>
    <definedName name="wld_az1_rack4_host3_fqdn">'Value Reference Tables - MR'!$R$223</definedName>
    <definedName name="wld_az1_rack4_host3_hostname">'Value Reference Tables - MR'!$R$204</definedName>
    <definedName name="wld_az1_rack4_host3_mgmt_ip">'Value Reference Tables - MR'!$R$185</definedName>
    <definedName name="wld_az1_rack4_host4_fqdn">'Value Reference Tables - MR'!$R$224</definedName>
    <definedName name="wld_az1_rack4_host4_hostname">'Value Reference Tables - MR'!$R$205</definedName>
    <definedName name="wld_az1_rack4_host4_mgmt_ip">'Value Reference Tables - MR'!$R$186</definedName>
    <definedName name="wld_az1_rack4_host5_fqdn">'Value Reference Tables - MR'!$R$225</definedName>
    <definedName name="wld_az1_rack4_host5_hostname">'Value Reference Tables - MR'!$R$206</definedName>
    <definedName name="wld_az1_rack4_host5_mgmt_ip">'Value Reference Tables - MR'!$R$187</definedName>
    <definedName name="wld_az1_rack4_host6_fqdn">'Value Reference Tables - MR'!$R$226</definedName>
    <definedName name="wld_az1_rack4_host6_hostname">'Value Reference Tables - MR'!$R$207</definedName>
    <definedName name="wld_az1_rack4_host6_mgmt_ip">'Value Reference Tables - MR'!$R$188</definedName>
    <definedName name="wld_az1_rack4_host7_fqdn">'Value Reference Tables - MR'!$R$227</definedName>
    <definedName name="wld_az1_rack4_host7_hostname">'Value Reference Tables - MR'!$R$208</definedName>
    <definedName name="wld_az1_rack4_host7_mgmt_ip">'Value Reference Tables - MR'!$R$189</definedName>
    <definedName name="wld_az1_rack4_host8_fqdn">'Value Reference Tables - MR'!$R$228</definedName>
    <definedName name="wld_az1_rack4_host8_hostname">'Value Reference Tables - MR'!$R$209</definedName>
    <definedName name="wld_az1_rack4_host8_mgmt_ip">'Value Reference Tables - MR'!$R$190</definedName>
    <definedName name="wld_az1_rack4_host9_fqdn">'Value Reference Tables - MR'!$R$229</definedName>
    <definedName name="wld_az1_rack4_host9_hostname">'Value Reference Tables - MR'!$R$210</definedName>
    <definedName name="wld_az1_rack4_host9_mgmt_ip">'Value Reference Tables - MR'!$R$191</definedName>
    <definedName name="wld_az1_rack4_mgmt_cidr">'Value Reference Tables - MR'!$R$24</definedName>
    <definedName name="wld_az1_rack4_mgmt_gateway_ip">'Value Reference Tables - MR'!$R$86</definedName>
    <definedName name="wld_az1_rack4_mgmt_mask">'Value Reference Tables - MR'!$R$179</definedName>
    <definedName name="wld_az1_rack4_mgmt_mtu">'Value Reference Tables - MR'!$R$70</definedName>
    <definedName name="wld_az1_rack4_mgmt_network">'Value Reference Tables - MR'!$R$39</definedName>
    <definedName name="wld_az1_rack4_mgmt_pg">'Value Reference Tables - MR'!$R$111</definedName>
    <definedName name="wld_az1_rack4_mgmt_vlan">'Value Reference Tables - MR'!$R$9</definedName>
    <definedName name="wld_az1_rack4_mgmt_vm_cidr">'Value Reference Tables - MR'!$R$23</definedName>
    <definedName name="wld_az1_rack4_mgmt_vm_gateway_ip">'Value Reference Tables - MR'!$R$85</definedName>
    <definedName name="wld_az1_rack4_mgmt_vm_mask">'Value Reference Tables - MR'!$R$178</definedName>
    <definedName name="wld_az1_rack4_mgmt_vm_mtu">'Value Reference Tables - MR'!$R$69</definedName>
    <definedName name="wld_az1_rack4_mgmt_vm_pg">'Value Reference Tables - MR'!$R$110</definedName>
    <definedName name="wld_az1_rack4_mgmt_vm_vlan">'Value Reference Tables - MR'!$R$8</definedName>
    <definedName name="wld_az1_rack4_pool_name">'Value Reference Tables - MR'!$R$166</definedName>
    <definedName name="wld_az1_rack4_principal_storage_cidr">'Value Reference Tables - MR'!$R$26</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MR'!$R$113</definedName>
    <definedName name="wld_az1_rack4_principal_storage_pool_end_ip">'Value Reference Tables - MR'!$R$152</definedName>
    <definedName name="wld_az1_rack4_principal_storage_pool_start_ip">'Value Reference Tables - MR'!$R$151</definedName>
    <definedName name="wld_az1_rack4_principal_storage_vlan">'Value Reference Tables - MR'!$R$11</definedName>
    <definedName name="wld_az1_rack4_reuse_vcf_networkpool_chosen">'Additional Racks'!$D$219</definedName>
    <definedName name="wld_az1_rack4_rtep_ip_pool_name">'Value Reference Tables - MR'!$R$173</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MR'!$R$162</definedName>
    <definedName name="wld_az1_rack4_rtep_overlay_pool_start_ip">'Value Reference Tables - MR'!$R$161</definedName>
    <definedName name="wld_az1_rack4_rtep_overlay_vlan">'Value Reference Tables - MR'!$R$18</definedName>
    <definedName name="wld_az1_rack4_secondary_storage_cidr">'Value Reference Tables - MR'!$R$28</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MR'!$R$156</definedName>
    <definedName name="wld_az1_rack4_secondary_storage_pool_start_ip">'Value Reference Tables - MR'!$R$155</definedName>
    <definedName name="wld_az1_rack4_secondary_storage_vlan">'Value Reference Tables - MR'!$R$13</definedName>
    <definedName name="wld_az1_rack4_tor1_peer_asn">'Value Reference Tables - MR'!$R$102</definedName>
    <definedName name="wld_az1_rack4_tor1_peer_bgp_password">'Value Reference Tables - MR'!$R$103</definedName>
    <definedName name="wld_az1_rack4_tor1_peer_ip">'Value Reference Tables - MR'!$R$101</definedName>
    <definedName name="wld_az1_rack4_tor2_peer_asn">'Value Reference Tables - MR'!$R$105</definedName>
    <definedName name="wld_az1_rack4_tor2_peer_bgp_password">'Value Reference Tables - MR'!$R$106</definedName>
    <definedName name="wld_az1_rack4_tor2_peer_ip">'Value Reference Tables - MR'!$R$104</definedName>
    <definedName name="wld_az1_rack4_uplink01_cidr">'Value Reference Tables - MR'!$R$30</definedName>
    <definedName name="wld_az1_rack4_uplink01_gateway_ip">'Value Reference Tables - MR'!$R$92</definedName>
    <definedName name="wld_az1_rack4_uplink01_mask">'Value Reference Tables - MR'!$R$60</definedName>
    <definedName name="wld_az1_rack4_uplink01_mtu">'Value Reference Tables - MR'!$R$76</definedName>
    <definedName name="wld_az1_rack4_uplink01_network">'Value Reference Tables - MR'!$R$45</definedName>
    <definedName name="wld_az1_rack4_uplink01_pg">'Value Reference Tables - MR'!$R$114</definedName>
    <definedName name="wld_az1_rack4_uplink01_vlan">'Value Reference Tables - MR'!$R$15</definedName>
    <definedName name="wld_az1_rack4_uplink02_cidr">'Value Reference Tables - MR'!$R$31</definedName>
    <definedName name="wld_az1_rack4_uplink02_gateway_ip">'Value Reference Tables - MR'!$R$93</definedName>
    <definedName name="wld_az1_rack4_uplink02_mask">'Value Reference Tables - MR'!$R$61</definedName>
    <definedName name="wld_az1_rack4_uplink02_mtu">'Value Reference Tables - MR'!$R$77</definedName>
    <definedName name="wld_az1_rack4_uplink02_network">'Value Reference Tables - MR'!$R$46</definedName>
    <definedName name="wld_az1_rack4_uplink02_pg">'Value Reference Tables - MR'!$R$115</definedName>
    <definedName name="wld_az1_rack4_uplink02_vlan">'Value Reference Tables - MR'!$R$16</definedName>
    <definedName name="wld_az1_rack4_vmotion_cidr">'Value Reference Tables - MR'!$R$25</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MR'!$R$112</definedName>
    <definedName name="wld_az1_rack4_vmotion_pool_end_ip">'Value Reference Tables - MR'!$R$150</definedName>
    <definedName name="wld_az1_rack4_vmotion_pool_start_ip">'Value Reference Tables - MR'!$R$149</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MR'!$R$174</definedName>
    <definedName name="wld_az1_rack5_child_dns_zone">'Value Reference Tables - MR'!#REF!</definedName>
    <definedName name="wld_az1_rack5_edge_overlay_cidr">'Value Reference Tables - MR'!$U$32</definedName>
    <definedName name="wld_az1_rack5_edge_overlay_gateway_ip">'Value Reference Tables - MR'!$U$94</definedName>
    <definedName name="wld_az1_rack5_edge_overlay_mask">'Value Reference Tables - MR'!$U$62</definedName>
    <definedName name="wld_az1_rack5_edge_overlay_mtu">'Value Reference Tables - MR'!$U$78</definedName>
    <definedName name="wld_az1_rack5_edge_overlay_network">'Value Reference Tables - MR'!$U$47</definedName>
    <definedName name="wld_az1_rack5_edge_overlay_network_pool_name">'Value Reference Tables - MR'!$U$172</definedName>
    <definedName name="wld_az1_rack5_edge_overlay_pool_end_ip">'Value Reference Tables - MR'!$U$160</definedName>
    <definedName name="wld_az1_rack5_edge_overlay_pool_start_ip">'Value Reference Tables - MR'!$U$159</definedName>
    <definedName name="wld_az1_rack5_edge_overlay_vlan">'Value Reference Tables - MR'!$U$17</definedName>
    <definedName name="wld_az1_rack5_en1_edge_overlay_interface_ip_1_ip">'Value Reference Tables - MR'!$U$244</definedName>
    <definedName name="wld_az1_rack5_en1_edge_overlay_interface_ip_2_ip">'Value Reference Tables - MR'!$U$245</definedName>
    <definedName name="wld_az1_rack5_en1_fqdn">'Value Reference Tables - MR'!$U$240</definedName>
    <definedName name="wld_az1_rack5_en1_hostname">'Value Reference Tables - MR'!$U$239</definedName>
    <definedName name="wld_az1_rack5_en1_mgmt_ip">'Value Reference Tables - MR'!$U$241</definedName>
    <definedName name="wld_az1_rack5_en1_uplink01_interface_ip">'Value Reference Tables - MR'!$U$242</definedName>
    <definedName name="wld_az1_rack5_en1_uplink02_interface_ip">'Value Reference Tables - MR'!$U$243</definedName>
    <definedName name="wld_az1_rack5_en2_fqdn">'Value Reference Tables - MR'!$U$250</definedName>
    <definedName name="wld_az1_rack5_en2_hostname">'Value Reference Tables - MR'!$U$249</definedName>
    <definedName name="wld_az1_rack5_en2_mgmt_ip">'Value Reference Tables - MR'!$U$251</definedName>
    <definedName name="wld_az1_rack5_en2_uplink01_interface_ip">'Value Reference Tables - MR'!$U$252</definedName>
    <definedName name="wld_az1_rack5_en2_uplink02_interface_ip">'Value Reference Tables - MR'!$U$253</definedName>
    <definedName name="wld_az1_rack5_host_fqdns">'Value Reference Tables - MR'!$U$221:$U$236</definedName>
    <definedName name="wld_az1_rack5_host_hostnames">'Value Reference Tables - MR'!$U$202:$U$217</definedName>
    <definedName name="wld_az1_rack5_host_mgmt_ips">'Value Reference Tables - MR'!$U$183:$U$198</definedName>
    <definedName name="wld_az1_rack5_host_overlay_cidr">'Value Reference Tables - MR'!$U$27</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MR'!$U$169</definedName>
    <definedName name="wld_az1_rack5_host_overlay_network_profile_name">'Value Reference Tables - MR'!$U$167</definedName>
    <definedName name="wld_az1_rack5_host_overlay_new_pool_chosen">'Additional Racks'!$D$358</definedName>
    <definedName name="wld_az1_rack5_host_overlay_pool_end_ip">'Value Reference Tables - MR'!$U$154</definedName>
    <definedName name="wld_az1_rack5_host_overlay_pool_start_ip">'Value Reference Tables - MR'!$U$153</definedName>
    <definedName name="wld_az1_rack5_host_overlay_uplink_profile_name">'Value Reference Tables - MR'!$U$171</definedName>
    <definedName name="wld_az1_rack5_host_overlay_vlan">'Value Reference Tables - MR'!$U$12</definedName>
    <definedName name="wld_az1_rack5_host1_fqdn">'Value Reference Tables - MR'!$U$221</definedName>
    <definedName name="wld_az1_rack5_host1_hostname">'Value Reference Tables - MR'!$U$202</definedName>
    <definedName name="wld_az1_rack5_host1_mgmt_ip">'Value Reference Tables - MR'!$U$183</definedName>
    <definedName name="wld_az1_rack5_host10_fqdn">'Value Reference Tables - MR'!$U$230</definedName>
    <definedName name="wld_az1_rack5_host10_hostname">'Value Reference Tables - MR'!$U$211</definedName>
    <definedName name="wld_az1_rack5_host10_mgmt_ip">'Value Reference Tables - MR'!$U$192</definedName>
    <definedName name="wld_az1_rack5_host11_fqdn">'Value Reference Tables - MR'!$U$231</definedName>
    <definedName name="wld_az1_rack5_host11_hostname">'Value Reference Tables - MR'!$U$212</definedName>
    <definedName name="wld_az1_rack5_host11_mgmt_ip">'Value Reference Tables - MR'!$U$193</definedName>
    <definedName name="wld_az1_rack5_host12_fqdn">'Value Reference Tables - MR'!$U$232</definedName>
    <definedName name="wld_az1_rack5_host12_hostname">'Value Reference Tables - MR'!$U$213</definedName>
    <definedName name="wld_az1_rack5_host12_mgmt_ip">'Value Reference Tables - MR'!$U$194</definedName>
    <definedName name="wld_az1_rack5_host13_fqdn">'Value Reference Tables - MR'!$U$233</definedName>
    <definedName name="wld_az1_rack5_host13_hostname">'Value Reference Tables - MR'!$U$214</definedName>
    <definedName name="wld_az1_rack5_host13_mgmt_ip">'Value Reference Tables - MR'!$U$195</definedName>
    <definedName name="wld_az1_rack5_host14_fqdn">'Value Reference Tables - MR'!$U$234</definedName>
    <definedName name="wld_az1_rack5_host14_hostname">'Value Reference Tables - MR'!$U$215</definedName>
    <definedName name="wld_az1_rack5_host14_mgmt_ip">'Value Reference Tables - MR'!$U$196</definedName>
    <definedName name="wld_az1_rack5_host15_fqdn">'Value Reference Tables - MR'!$U$235</definedName>
    <definedName name="wld_az1_rack5_host15_hostname">'Value Reference Tables - MR'!$U$216</definedName>
    <definedName name="wld_az1_rack5_host15_mgmt_ip">'Value Reference Tables - MR'!$U$197</definedName>
    <definedName name="wld_az1_rack5_host16_fqdn">'Value Reference Tables - MR'!$U$236</definedName>
    <definedName name="wld_az1_rack5_host16_hostname">'Value Reference Tables - MR'!$U$217</definedName>
    <definedName name="wld_az1_rack5_host16_mgmt_ip">'Value Reference Tables - MR'!$U$198</definedName>
    <definedName name="wld_az1_rack5_host2_fqdn">'Value Reference Tables - MR'!$U$222</definedName>
    <definedName name="wld_az1_rack5_host2_hostname">'Value Reference Tables - MR'!$U$203</definedName>
    <definedName name="wld_az1_rack5_host2_mgmt_ip">'Value Reference Tables - MR'!$U$184</definedName>
    <definedName name="wld_az1_rack5_host3_fqdn">'Value Reference Tables - MR'!$U$223</definedName>
    <definedName name="wld_az1_rack5_host3_hostname">'Value Reference Tables - MR'!$U$204</definedName>
    <definedName name="wld_az1_rack5_host3_mgmt_ip">'Value Reference Tables - MR'!$U$185</definedName>
    <definedName name="wld_az1_rack5_host4_fqdn">'Value Reference Tables - MR'!$U$224</definedName>
    <definedName name="wld_az1_rack5_host4_hostname">'Value Reference Tables - MR'!$U$205</definedName>
    <definedName name="wld_az1_rack5_host4_mgmt_ip">'Value Reference Tables - MR'!$U$186</definedName>
    <definedName name="wld_az1_rack5_host5_fqdn">'Value Reference Tables - MR'!$U$225</definedName>
    <definedName name="wld_az1_rack5_host5_hostname">'Value Reference Tables - MR'!$U$206</definedName>
    <definedName name="wld_az1_rack5_host5_mgmt_ip">'Value Reference Tables - MR'!$U$187</definedName>
    <definedName name="wld_az1_rack5_host6_fqdn">'Value Reference Tables - MR'!$U$226</definedName>
    <definedName name="wld_az1_rack5_host6_hostname">'Value Reference Tables - MR'!$U$207</definedName>
    <definedName name="wld_az1_rack5_host6_mgmt_ip">'Value Reference Tables - MR'!$U$188</definedName>
    <definedName name="wld_az1_rack5_host7_fqdn">'Value Reference Tables - MR'!$U$227</definedName>
    <definedName name="wld_az1_rack5_host7_hostname">'Value Reference Tables - MR'!$U$208</definedName>
    <definedName name="wld_az1_rack5_host7_mgmt_ip">'Value Reference Tables - MR'!$U$189</definedName>
    <definedName name="wld_az1_rack5_host8_fqdn">'Value Reference Tables - MR'!$U$228</definedName>
    <definedName name="wld_az1_rack5_host8_hostname">'Value Reference Tables - MR'!$U$209</definedName>
    <definedName name="wld_az1_rack5_host8_mgmt_ip">'Value Reference Tables - MR'!$U$190</definedName>
    <definedName name="wld_az1_rack5_host9_fqdn">'Value Reference Tables - MR'!$U$229</definedName>
    <definedName name="wld_az1_rack5_host9_hostname">'Value Reference Tables - MR'!$U$210</definedName>
    <definedName name="wld_az1_rack5_host9_mgmt_ip">'Value Reference Tables - MR'!$U$191</definedName>
    <definedName name="wld_az1_rack5_mgmt_cidr">'Value Reference Tables - MR'!$U$24</definedName>
    <definedName name="wld_az1_rack5_mgmt_gateway_ip">'Value Reference Tables - MR'!$U$86</definedName>
    <definedName name="wld_az1_rack5_mgmt_mask">'Value Reference Tables - MR'!$U$179</definedName>
    <definedName name="wld_az1_rack5_mgmt_mtu">'Value Reference Tables - MR'!$U$70</definedName>
    <definedName name="wld_az1_rack5_mgmt_network">'Value Reference Tables - MR'!$U$39</definedName>
    <definedName name="wld_az1_rack5_mgmt_pg">'Value Reference Tables - MR'!$U$111</definedName>
    <definedName name="wld_az1_rack5_mgmt_vlan">'Value Reference Tables - MR'!$U$9</definedName>
    <definedName name="wld_az1_rack5_mgmt_vm_cidr">'Value Reference Tables - MR'!$U$23</definedName>
    <definedName name="wld_az1_rack5_mgmt_vm_gateway_ip">'Value Reference Tables - MR'!$U$85</definedName>
    <definedName name="wld_az1_rack5_mgmt_vm_mask">'Value Reference Tables - MR'!$U$178</definedName>
    <definedName name="wld_az1_rack5_mgmt_vm_mtu">'Value Reference Tables - MR'!$U$69</definedName>
    <definedName name="wld_az1_rack5_mgmt_vm_pg">'Value Reference Tables - MR'!$U$110</definedName>
    <definedName name="wld_az1_rack5_mgmt_vm_vlan">'Value Reference Tables - MR'!$U$8</definedName>
    <definedName name="wld_az1_rack5_pool_name">'Value Reference Tables - MR'!$U$166</definedName>
    <definedName name="wld_az1_rack5_principal_storage_cidr">'Value Reference Tables - MR'!$U$26</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MR'!$U$113</definedName>
    <definedName name="wld_az1_rack5_principal_storage_pool_end_ip">'Value Reference Tables - MR'!$U$152</definedName>
    <definedName name="wld_az1_rack5_principal_storage_pool_start_ip">'Value Reference Tables - MR'!$U$151</definedName>
    <definedName name="wld_az1_rack5_principal_storage_vlan">'Value Reference Tables - MR'!$U$11</definedName>
    <definedName name="wld_az1_rack5_reuse_vcf_networkpool_chosen">'Additional Racks'!$D$312</definedName>
    <definedName name="wld_az1_rack5_rtep_ip_pool_name">'Value Reference Tables - MR'!$U$173</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MR'!$U$162</definedName>
    <definedName name="wld_az1_rack5_rtep_overlay_pool_start_ip">'Value Reference Tables - MR'!$U$161</definedName>
    <definedName name="wld_az1_rack5_rtep_overlay_vlan">'Value Reference Tables - MR'!$U$18</definedName>
    <definedName name="wld_az1_rack5_secondary_storage_cidr">'Value Reference Tables - MR'!$U$28</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MR'!$U$156</definedName>
    <definedName name="wld_az1_rack5_secondary_storage_pool_start_ip">'Value Reference Tables - MR'!$U$155</definedName>
    <definedName name="wld_az1_rack5_secondary_storage_vlan">'Value Reference Tables - MR'!$U$13</definedName>
    <definedName name="wld_az1_rack5_tor1_peer_asn">'Value Reference Tables - MR'!$U$102</definedName>
    <definedName name="wld_az1_rack5_tor1_peer_bgp_password">'Value Reference Tables - MR'!$U$103</definedName>
    <definedName name="wld_az1_rack5_tor1_peer_ip">'Value Reference Tables - MR'!$U$101</definedName>
    <definedName name="wld_az1_rack5_tor2_peer_asn">'Value Reference Tables - MR'!$U$105</definedName>
    <definedName name="wld_az1_rack5_tor2_peer_bgp_password">'Value Reference Tables - MR'!$U$106</definedName>
    <definedName name="wld_az1_rack5_tor2_peer_ip">'Value Reference Tables - MR'!$U$104</definedName>
    <definedName name="wld_az1_rack5_uplink01_cidr">'Value Reference Tables - MR'!$U$30</definedName>
    <definedName name="wld_az1_rack5_uplink01_gateway_ip">'Value Reference Tables - MR'!$U$92</definedName>
    <definedName name="wld_az1_rack5_uplink01_mask">'Value Reference Tables - MR'!$U$60</definedName>
    <definedName name="wld_az1_rack5_uplink01_mtu">'Value Reference Tables - MR'!$U$76</definedName>
    <definedName name="wld_az1_rack5_uplink01_network">'Value Reference Tables - MR'!$U$45</definedName>
    <definedName name="wld_az1_rack5_uplink01_pg">'Value Reference Tables - MR'!$U$114</definedName>
    <definedName name="wld_az1_rack5_uplink01_vlan">'Value Reference Tables - MR'!$U$15</definedName>
    <definedName name="wld_az1_rack5_uplink02_cidr">'Value Reference Tables - MR'!$U$31</definedName>
    <definedName name="wld_az1_rack5_uplink02_gateway_ip">'Value Reference Tables - MR'!$U$93</definedName>
    <definedName name="wld_az1_rack5_uplink02_mask">'Value Reference Tables - MR'!$U$61</definedName>
    <definedName name="wld_az1_rack5_uplink02_mtu">'Value Reference Tables - MR'!$U$77</definedName>
    <definedName name="wld_az1_rack5_uplink02_network">'Value Reference Tables - MR'!$U$46</definedName>
    <definedName name="wld_az1_rack5_uplink02_pg">'Value Reference Tables - MR'!$U$115</definedName>
    <definedName name="wld_az1_rack5_uplink02_vlan">'Value Reference Tables - MR'!$U$16</definedName>
    <definedName name="wld_az1_rack5_vmotion_cidr">'Value Reference Tables - MR'!$U$25</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MR'!$U$112</definedName>
    <definedName name="wld_az1_rack5_vmotion_pool_end_ip">'Value Reference Tables - MR'!$U$150</definedName>
    <definedName name="wld_az1_rack5_vmotion_pool_start_ip">'Value Reference Tables - MR'!$U$149</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MR'!$U$174</definedName>
    <definedName name="wld_az1_rack6_child_dns_zone">'Value Reference Tables - MR'!#REF!</definedName>
    <definedName name="wld_az1_rack6_edge_overlay_cidr">'Value Reference Tables - MR'!$X$32</definedName>
    <definedName name="wld_az1_rack6_edge_overlay_gateway_ip">'Value Reference Tables - MR'!$X$94</definedName>
    <definedName name="wld_az1_rack6_edge_overlay_mask">'Value Reference Tables - MR'!$X$62</definedName>
    <definedName name="wld_az1_rack6_edge_overlay_mtu">'Value Reference Tables - MR'!$X$78</definedName>
    <definedName name="wld_az1_rack6_edge_overlay_network">'Value Reference Tables - MR'!$X$47</definedName>
    <definedName name="wld_az1_rack6_edge_overlay_network_pool_name">'Value Reference Tables - MR'!$X$172</definedName>
    <definedName name="wld_az1_rack6_edge_overlay_pool_end_ip">'Value Reference Tables - MR'!$X$160</definedName>
    <definedName name="wld_az1_rack6_edge_overlay_pool_start_ip">'Value Reference Tables - MR'!$X$159</definedName>
    <definedName name="wld_az1_rack6_edge_overlay_vlan">'Value Reference Tables - MR'!$X$17</definedName>
    <definedName name="wld_az1_rack6_en1_edge_overlay_interface_ip_1_ip">'Value Reference Tables - MR'!$X$244</definedName>
    <definedName name="wld_az1_rack6_en1_edge_overlay_interface_ip_2_ip">'Value Reference Tables - MR'!$X$245</definedName>
    <definedName name="wld_az1_rack6_en1_fqdn">'Value Reference Tables - MR'!$X$240</definedName>
    <definedName name="wld_az1_rack6_en1_hostname">'Value Reference Tables - MR'!$X$239</definedName>
    <definedName name="wld_az1_rack6_en1_mgmt_ip">'Value Reference Tables - MR'!$X$241</definedName>
    <definedName name="wld_az1_rack6_en1_uplink01_interface_ip">'Value Reference Tables - MR'!$X$242</definedName>
    <definedName name="wld_az1_rack6_en1_uplink02_interface_ip">'Value Reference Tables - MR'!$X$243</definedName>
    <definedName name="wld_az1_rack6_en2_fqdn">'Value Reference Tables - MR'!$X$250</definedName>
    <definedName name="wld_az1_rack6_en2_hostname">'Value Reference Tables - MR'!$X$249</definedName>
    <definedName name="wld_az1_rack6_en2_mgmt_ip">'Value Reference Tables - MR'!$X$251</definedName>
    <definedName name="wld_az1_rack6_en2_uplink01_interface_ip">'Value Reference Tables - MR'!$X$252</definedName>
    <definedName name="wld_az1_rack6_en2_uplink02_interface_ip">'Value Reference Tables - MR'!$X$253</definedName>
    <definedName name="wld_az1_rack6_host_fqdns">'Value Reference Tables - MR'!$X$221:$X$236</definedName>
    <definedName name="wld_az1_rack6_host_hostnames">'Value Reference Tables - MR'!$X$202:$X$217</definedName>
    <definedName name="wld_az1_rack6_host_mgmt_ips">'Value Reference Tables - MR'!$X$183:$X$198</definedName>
    <definedName name="wld_az1_rack6_host_overlay_cidr">'Value Reference Tables - MR'!$X$27</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MR'!$X$169</definedName>
    <definedName name="wld_az1_rack6_host_overlay_network_profile_name">'Value Reference Tables - MR'!$X$167</definedName>
    <definedName name="wld_az1_rack6_host_overlay_new_pool_chosen">'Additional Racks'!$D$451</definedName>
    <definedName name="wld_az1_rack6_host_overlay_pool_end_ip">'Value Reference Tables - MR'!$X$154</definedName>
    <definedName name="wld_az1_rack6_host_overlay_pool_start_ip">'Value Reference Tables - MR'!$X$153</definedName>
    <definedName name="wld_az1_rack6_host_overlay_uplink_profile_name">'Value Reference Tables - MR'!$X$171</definedName>
    <definedName name="wld_az1_rack6_host_overlay_vlan">'Value Reference Tables - MR'!$X$12</definedName>
    <definedName name="wld_az1_rack6_host1_fqdn">'Value Reference Tables - MR'!$X$221</definedName>
    <definedName name="wld_az1_rack6_host1_hostname">'Value Reference Tables - MR'!$X$202</definedName>
    <definedName name="wld_az1_rack6_host1_mgmt_ip">'Value Reference Tables - MR'!$X$183</definedName>
    <definedName name="wld_az1_rack6_host10_fqdn">'Value Reference Tables - MR'!$X$230</definedName>
    <definedName name="wld_az1_rack6_host10_hostname">'Value Reference Tables - MR'!$X$211</definedName>
    <definedName name="wld_az1_rack6_host10_mgmt_ip">'Value Reference Tables - MR'!$X$192</definedName>
    <definedName name="wld_az1_rack6_host11_fqdn">'Value Reference Tables - MR'!$X$231</definedName>
    <definedName name="wld_az1_rack6_host11_hostname">'Value Reference Tables - MR'!$X$212</definedName>
    <definedName name="wld_az1_rack6_host11_mgmt_ip">'Value Reference Tables - MR'!$X$193</definedName>
    <definedName name="wld_az1_rack6_host12_fqdn">'Value Reference Tables - MR'!$X$232</definedName>
    <definedName name="wld_az1_rack6_host12_hostname">'Value Reference Tables - MR'!$X$213</definedName>
    <definedName name="wld_az1_rack6_host12_mgmt_ip">'Value Reference Tables - MR'!$X$194</definedName>
    <definedName name="wld_az1_rack6_host13_fqdn">'Value Reference Tables - MR'!$X$233</definedName>
    <definedName name="wld_az1_rack6_host13_hostname">'Value Reference Tables - MR'!$X$214</definedName>
    <definedName name="wld_az1_rack6_host13_mgmt_ip">'Value Reference Tables - MR'!$X$195</definedName>
    <definedName name="wld_az1_rack6_host14_fqdn">'Value Reference Tables - MR'!$X$234</definedName>
    <definedName name="wld_az1_rack6_host14_hostname">'Value Reference Tables - MR'!$X$215</definedName>
    <definedName name="wld_az1_rack6_host14_mgmt_ip">'Value Reference Tables - MR'!$X$196</definedName>
    <definedName name="wld_az1_rack6_host15_fqdn">'Value Reference Tables - MR'!$X$235</definedName>
    <definedName name="wld_az1_rack6_host15_hostname">'Value Reference Tables - MR'!$X$216</definedName>
    <definedName name="wld_az1_rack6_host15_mgmt_ip">'Value Reference Tables - MR'!$X$197</definedName>
    <definedName name="wld_az1_rack6_host16_fqdn">'Value Reference Tables - MR'!$X$236</definedName>
    <definedName name="wld_az1_rack6_host16_hostname">'Value Reference Tables - MR'!$X$217</definedName>
    <definedName name="wld_az1_rack6_host16_mgmt_ip">'Value Reference Tables - MR'!$X$198</definedName>
    <definedName name="wld_az1_rack6_host2_fqdn">'Value Reference Tables - MR'!$X$222</definedName>
    <definedName name="wld_az1_rack6_host2_hostname">'Value Reference Tables - MR'!$X$203</definedName>
    <definedName name="wld_az1_rack6_host2_mgmt_ip">'Value Reference Tables - MR'!$X$184</definedName>
    <definedName name="wld_az1_rack6_host3_fqdn">'Value Reference Tables - MR'!$X$223</definedName>
    <definedName name="wld_az1_rack6_host3_hostname">'Value Reference Tables - MR'!$X$204</definedName>
    <definedName name="wld_az1_rack6_host3_mgmt_ip">'Value Reference Tables - MR'!$X$185</definedName>
    <definedName name="wld_az1_rack6_host4_fqdn">'Value Reference Tables - MR'!$X$224</definedName>
    <definedName name="wld_az1_rack6_host4_hostname">'Value Reference Tables - MR'!$X$205</definedName>
    <definedName name="wld_az1_rack6_host4_mgmt_ip">'Value Reference Tables - MR'!$X$186</definedName>
    <definedName name="wld_az1_rack6_host5_fqdn">'Value Reference Tables - MR'!$X$225</definedName>
    <definedName name="wld_az1_rack6_host5_hostname">'Value Reference Tables - MR'!$X$206</definedName>
    <definedName name="wld_az1_rack6_host5_mgmt_ip">'Value Reference Tables - MR'!$X$187</definedName>
    <definedName name="wld_az1_rack6_host6_fqdn">'Value Reference Tables - MR'!$X$226</definedName>
    <definedName name="wld_az1_rack6_host6_hostname">'Value Reference Tables - MR'!$X$207</definedName>
    <definedName name="wld_az1_rack6_host6_mgmt_ip">'Value Reference Tables - MR'!$X$188</definedName>
    <definedName name="wld_az1_rack6_host7_fqdn">'Value Reference Tables - MR'!$X$227</definedName>
    <definedName name="wld_az1_rack6_host7_hostname">'Value Reference Tables - MR'!$X$208</definedName>
    <definedName name="wld_az1_rack6_host7_mgmt_ip">'Value Reference Tables - MR'!$X$189</definedName>
    <definedName name="wld_az1_rack6_host8_fqdn">'Value Reference Tables - MR'!$X$228</definedName>
    <definedName name="wld_az1_rack6_host8_hostname">'Value Reference Tables - MR'!$X$209</definedName>
    <definedName name="wld_az1_rack6_host8_mgmt_ip">'Value Reference Tables - MR'!$X$190</definedName>
    <definedName name="wld_az1_rack6_host9_fqdn">'Value Reference Tables - MR'!$X$229</definedName>
    <definedName name="wld_az1_rack6_host9_hostname">'Value Reference Tables - MR'!$X$210</definedName>
    <definedName name="wld_az1_rack6_host9_mgmt_ip">'Value Reference Tables - MR'!$X$191</definedName>
    <definedName name="wld_az1_rack6_mgmt_cidr">'Value Reference Tables - MR'!$X$24</definedName>
    <definedName name="wld_az1_rack6_mgmt_gateway_ip">'Value Reference Tables - MR'!$X$86</definedName>
    <definedName name="wld_az1_rack6_mgmt_mask">'Value Reference Tables - MR'!$X$179</definedName>
    <definedName name="wld_az1_rack6_mgmt_mtu">'Value Reference Tables - MR'!$X$70</definedName>
    <definedName name="wld_az1_rack6_mgmt_network">'Value Reference Tables - MR'!$X$39</definedName>
    <definedName name="wld_az1_rack6_mgmt_pg">'Value Reference Tables - MR'!$X$111</definedName>
    <definedName name="wld_az1_rack6_mgmt_vlan">'Value Reference Tables - MR'!$X$9</definedName>
    <definedName name="wld_az1_rack6_mgmt_vm_cidr">'Value Reference Tables - MR'!$X$23</definedName>
    <definedName name="wld_az1_rack6_mgmt_vm_gateway_ip">'Value Reference Tables - MR'!$X$85</definedName>
    <definedName name="wld_az1_rack6_mgmt_vm_mask">'Value Reference Tables - MR'!$X$178</definedName>
    <definedName name="wld_az1_rack6_mgmt_vm_mtu">'Value Reference Tables - MR'!$X$69</definedName>
    <definedName name="wld_az1_rack6_mgmt_vm_pg">'Value Reference Tables - MR'!$X$110</definedName>
    <definedName name="wld_az1_rack6_mgmt_vm_vlan">'Value Reference Tables - MR'!$X$8</definedName>
    <definedName name="wld_az1_rack6_pool_name">'Value Reference Tables - MR'!$X$166</definedName>
    <definedName name="wld_az1_rack6_principal_storage_cidr">'Value Reference Tables - MR'!$X$26</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MR'!$X$113</definedName>
    <definedName name="wld_az1_rack6_principal_storage_pool_end_ip">'Value Reference Tables - MR'!$X$152</definedName>
    <definedName name="wld_az1_rack6_principal_storage_pool_start_ip">'Value Reference Tables - MR'!$X$151</definedName>
    <definedName name="wld_az1_rack6_principal_storage_vlan">'Value Reference Tables - MR'!$X$11</definedName>
    <definedName name="wld_az1_rack6_reuse_vcf_networkpool_chosen">'Additional Racks'!$D$405</definedName>
    <definedName name="wld_az1_rack6_rtep_ip_pool_name">'Value Reference Tables - MR'!$X$173</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MR'!$X$162</definedName>
    <definedName name="wld_az1_rack6_rtep_overlay_pool_start_ip">'Value Reference Tables - MR'!$X$161</definedName>
    <definedName name="wld_az1_rack6_rtep_overlay_vlan">'Value Reference Tables - MR'!$X$18</definedName>
    <definedName name="wld_az1_rack6_secondary_storage_cidr">'Value Reference Tables - MR'!$X$28</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MR'!$X$156</definedName>
    <definedName name="wld_az1_rack6_secondary_storage_pool_start_ip">'Value Reference Tables - MR'!$X$155</definedName>
    <definedName name="wld_az1_rack6_secondary_storage_vlan">'Value Reference Tables - MR'!$X$13</definedName>
    <definedName name="wld_az1_rack6_tor1_peer_asn">'Value Reference Tables - MR'!$X$102</definedName>
    <definedName name="wld_az1_rack6_tor1_peer_bgp_password">'Value Reference Tables - MR'!$X$103</definedName>
    <definedName name="wld_az1_rack6_tor1_peer_ip">'Value Reference Tables - MR'!$X$101</definedName>
    <definedName name="wld_az1_rack6_tor2_peer_asn">'Value Reference Tables - MR'!$X$105</definedName>
    <definedName name="wld_az1_rack6_tor2_peer_bgp_password">'Value Reference Tables - MR'!$X$106</definedName>
    <definedName name="wld_az1_rack6_tor2_peer_ip">'Value Reference Tables - MR'!$X$104</definedName>
    <definedName name="wld_az1_rack6_uplink01_cidr">'Value Reference Tables - MR'!$X$30</definedName>
    <definedName name="wld_az1_rack6_uplink01_gateway_ip">'Value Reference Tables - MR'!$X$92</definedName>
    <definedName name="wld_az1_rack6_uplink01_mask">'Value Reference Tables - MR'!$X$60</definedName>
    <definedName name="wld_az1_rack6_uplink01_mtu">'Value Reference Tables - MR'!$X$76</definedName>
    <definedName name="wld_az1_rack6_uplink01_network">'Value Reference Tables - MR'!$X$45</definedName>
    <definedName name="wld_az1_rack6_uplink01_pg">'Value Reference Tables - MR'!$X$114</definedName>
    <definedName name="wld_az1_rack6_uplink01_vlan">'Value Reference Tables - MR'!$X$15</definedName>
    <definedName name="wld_az1_rack6_uplink02_cidr">'Value Reference Tables - MR'!$X$31</definedName>
    <definedName name="wld_az1_rack6_uplink02_gateway_ip">'Value Reference Tables - MR'!$X$93</definedName>
    <definedName name="wld_az1_rack6_uplink02_mask">'Value Reference Tables - MR'!$X$61</definedName>
    <definedName name="wld_az1_rack6_uplink02_mtu">'Value Reference Tables - MR'!$X$77</definedName>
    <definedName name="wld_az1_rack6_uplink02_network">'Value Reference Tables - MR'!$X$46</definedName>
    <definedName name="wld_az1_rack6_uplink02_pg">'Value Reference Tables - MR'!$X$115</definedName>
    <definedName name="wld_az1_rack6_uplink02_vlan">'Value Reference Tables - MR'!$X$16</definedName>
    <definedName name="wld_az1_rack6_vmotion_cidr">'Value Reference Tables - MR'!$X$25</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MR'!$X$112</definedName>
    <definedName name="wld_az1_rack6_vmotion_pool_end_ip">'Value Reference Tables - MR'!$X$150</definedName>
    <definedName name="wld_az1_rack6_vmotion_pool_start_ip">'Value Reference Tables - MR'!$X$149</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MR'!$X$174</definedName>
    <definedName name="wld_az1_rack7_child_dns_zone">'Value Reference Tables - MR'!#REF!</definedName>
    <definedName name="wld_az1_rack7_edge_overlay_cidr">'Value Reference Tables - MR'!$AA$32</definedName>
    <definedName name="wld_az1_rack7_edge_overlay_gateway_ip">'Value Reference Tables - MR'!$AA$94</definedName>
    <definedName name="wld_az1_rack7_edge_overlay_mask">'Value Reference Tables - MR'!$AA$62</definedName>
    <definedName name="wld_az1_rack7_edge_overlay_mtu">'Value Reference Tables - MR'!$AA$78</definedName>
    <definedName name="wld_az1_rack7_edge_overlay_network">'Value Reference Tables - MR'!$AA$47</definedName>
    <definedName name="wld_az1_rack7_edge_overlay_network_pool_name">'Value Reference Tables - MR'!$AA$172</definedName>
    <definedName name="wld_az1_rack7_edge_overlay_pool_end_ip">'Value Reference Tables - MR'!$AA$160</definedName>
    <definedName name="wld_az1_rack7_edge_overlay_pool_start_ip">'Value Reference Tables - MR'!$AA$159</definedName>
    <definedName name="wld_az1_rack7_edge_overlay_vlan">'Value Reference Tables - MR'!$AA$17</definedName>
    <definedName name="wld_az1_rack7_en1_edge_overlay_interface_ip_1_ip">'Value Reference Tables - MR'!$AA$244</definedName>
    <definedName name="wld_az1_rack7_en1_edge_overlay_interface_ip_2_ip">'Value Reference Tables - MR'!$AA$245</definedName>
    <definedName name="wld_az1_rack7_en1_fqdn">'Value Reference Tables - MR'!$AA$240</definedName>
    <definedName name="wld_az1_rack7_en1_hostname">'Value Reference Tables - MR'!$AA$239</definedName>
    <definedName name="wld_az1_rack7_en1_mgmt_ip">'Value Reference Tables - MR'!$AA$241</definedName>
    <definedName name="wld_az1_rack7_en1_uplink01_interface_ip">'Value Reference Tables - MR'!$AA$242</definedName>
    <definedName name="wld_az1_rack7_en1_uplink02_interface_ip">'Value Reference Tables - MR'!$AA$243</definedName>
    <definedName name="wld_az1_rack7_en2_fqdn">'Value Reference Tables - MR'!$AA$250</definedName>
    <definedName name="wld_az1_rack7_en2_hostname">'Value Reference Tables - MR'!$AA$249</definedName>
    <definedName name="wld_az1_rack7_en2_mgmt_ip">'Value Reference Tables - MR'!$AA$251</definedName>
    <definedName name="wld_az1_rack7_en2_uplink01_interface_ip">'Value Reference Tables - MR'!$AA$252</definedName>
    <definedName name="wld_az1_rack7_en2_uplink02_interface_ip">'Value Reference Tables - MR'!$AA$253</definedName>
    <definedName name="wld_az1_rack7_host_fqdns">'Value Reference Tables - MR'!$AA$221:$AA$236</definedName>
    <definedName name="wld_az1_rack7_host_hostnames">'Value Reference Tables - MR'!$AA$202:$AA$217</definedName>
    <definedName name="wld_az1_rack7_host_mgmt_ips">'Value Reference Tables - MR'!$AA$183:$AA$198</definedName>
    <definedName name="wld_az1_rack7_host_overlay_cidr">'Value Reference Tables - MR'!$AA$27</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MR'!$AA$169</definedName>
    <definedName name="wld_az1_rack7_host_overlay_network_profile_name">'Value Reference Tables - MR'!$AA$167</definedName>
    <definedName name="wld_az1_rack7_host_overlay_new_pool_chosen">'Additional Racks'!$D$544</definedName>
    <definedName name="wld_az1_rack7_host_overlay_pool_end_ip">'Value Reference Tables - MR'!$AA$154</definedName>
    <definedName name="wld_az1_rack7_host_overlay_pool_start_ip">'Value Reference Tables - MR'!$AA$153</definedName>
    <definedName name="wld_az1_rack7_host_overlay_uplink_profile_name">'Value Reference Tables - MR'!$AA$171</definedName>
    <definedName name="wld_az1_rack7_host_overlay_vlan">'Value Reference Tables - MR'!$AA$12</definedName>
    <definedName name="wld_az1_rack7_host1_fqdn">'Value Reference Tables - MR'!$AA$221</definedName>
    <definedName name="wld_az1_rack7_host1_hostname">'Value Reference Tables - MR'!$AA$202</definedName>
    <definedName name="wld_az1_rack7_host1_mgmt_ip">'Value Reference Tables - MR'!$AA$183</definedName>
    <definedName name="wld_az1_rack7_host10_fqdn">'Value Reference Tables - MR'!$AA$230</definedName>
    <definedName name="wld_az1_rack7_host10_hostname">'Value Reference Tables - MR'!$AA$211</definedName>
    <definedName name="wld_az1_rack7_host10_mgmt_ip">'Value Reference Tables - MR'!$AA$192</definedName>
    <definedName name="wld_az1_rack7_host11_fqdn">'Value Reference Tables - MR'!$AA$231</definedName>
    <definedName name="wld_az1_rack7_host11_hostname">'Value Reference Tables - MR'!$AA$212</definedName>
    <definedName name="wld_az1_rack7_host11_mgmt_ip">'Value Reference Tables - MR'!$AA$193</definedName>
    <definedName name="wld_az1_rack7_host12_fqdn">'Value Reference Tables - MR'!$AA$232</definedName>
    <definedName name="wld_az1_rack7_host12_hostname">'Value Reference Tables - MR'!$AA$213</definedName>
    <definedName name="wld_az1_rack7_host12_mgmt_ip">'Value Reference Tables - MR'!$AA$194</definedName>
    <definedName name="wld_az1_rack7_host13_fqdn">'Value Reference Tables - MR'!$AA$233</definedName>
    <definedName name="wld_az1_rack7_host13_hostname">'Value Reference Tables - MR'!$AA$214</definedName>
    <definedName name="wld_az1_rack7_host13_mgmt_ip">'Value Reference Tables - MR'!$AA$195</definedName>
    <definedName name="wld_az1_rack7_host14_fqdn">'Value Reference Tables - MR'!$AA$234</definedName>
    <definedName name="wld_az1_rack7_host14_hostname">'Value Reference Tables - MR'!$AA$215</definedName>
    <definedName name="wld_az1_rack7_host14_mgmt_ip">'Value Reference Tables - MR'!$AA$196</definedName>
    <definedName name="wld_az1_rack7_host15_fqdn">'Value Reference Tables - MR'!$AA$235</definedName>
    <definedName name="wld_az1_rack7_host15_hostname">'Value Reference Tables - MR'!$AA$216</definedName>
    <definedName name="wld_az1_rack7_host15_mgmt_ip">'Value Reference Tables - MR'!$AA$197</definedName>
    <definedName name="wld_az1_rack7_host16_fqdn">'Value Reference Tables - MR'!$AA$236</definedName>
    <definedName name="wld_az1_rack7_host16_hostname">'Value Reference Tables - MR'!$AA$217</definedName>
    <definedName name="wld_az1_rack7_host16_mgmt_ip">'Value Reference Tables - MR'!$AA$198</definedName>
    <definedName name="wld_az1_rack7_host2_fqdn">'Value Reference Tables - MR'!$AA$222</definedName>
    <definedName name="wld_az1_rack7_host2_hostname">'Value Reference Tables - MR'!$AA$203</definedName>
    <definedName name="wld_az1_rack7_host2_mgmt_ip">'Value Reference Tables - MR'!$AA$184</definedName>
    <definedName name="wld_az1_rack7_host3_fqdn">'Value Reference Tables - MR'!$AA$223</definedName>
    <definedName name="wld_az1_rack7_host3_hostname">'Value Reference Tables - MR'!$AA$204</definedName>
    <definedName name="wld_az1_rack7_host3_mgmt_ip">'Value Reference Tables - MR'!$AA$185</definedName>
    <definedName name="wld_az1_rack7_host4_fqdn">'Value Reference Tables - MR'!$AA$224</definedName>
    <definedName name="wld_az1_rack7_host4_hostname">'Value Reference Tables - MR'!$AA$205</definedName>
    <definedName name="wld_az1_rack7_host4_mgmt_ip">'Value Reference Tables - MR'!$AA$186</definedName>
    <definedName name="wld_az1_rack7_host5_fqdn">'Value Reference Tables - MR'!$AA$225</definedName>
    <definedName name="wld_az1_rack7_host5_hostname">'Value Reference Tables - MR'!$AA$206</definedName>
    <definedName name="wld_az1_rack7_host5_mgmt_ip">'Value Reference Tables - MR'!$AA$187</definedName>
    <definedName name="wld_az1_rack7_host6_fqdn">'Value Reference Tables - MR'!$AA$226</definedName>
    <definedName name="wld_az1_rack7_host6_hostname">'Value Reference Tables - MR'!$AA$207</definedName>
    <definedName name="wld_az1_rack7_host6_mgmt_ip">'Value Reference Tables - MR'!$AA$188</definedName>
    <definedName name="wld_az1_rack7_host7_fqdn">'Value Reference Tables - MR'!$AA$227</definedName>
    <definedName name="wld_az1_rack7_host7_hostname">'Value Reference Tables - MR'!$AA$208</definedName>
    <definedName name="wld_az1_rack7_host7_mgmt_ip">'Value Reference Tables - MR'!$AA$189</definedName>
    <definedName name="wld_az1_rack7_host8_fqdn">'Value Reference Tables - MR'!$AA$228</definedName>
    <definedName name="wld_az1_rack7_host8_hostname">'Value Reference Tables - MR'!$AA$209</definedName>
    <definedName name="wld_az1_rack7_host8_mgmt_ip">'Value Reference Tables - MR'!$AA$190</definedName>
    <definedName name="wld_az1_rack7_host9_fqdn">'Value Reference Tables - MR'!$AA$229</definedName>
    <definedName name="wld_az1_rack7_host9_hostname">'Value Reference Tables - MR'!$AA$210</definedName>
    <definedName name="wld_az1_rack7_host9_mgmt_ip">'Value Reference Tables - MR'!$AA$191</definedName>
    <definedName name="wld_az1_rack7_mgmt_cidr">'Value Reference Tables - MR'!$AA$24</definedName>
    <definedName name="wld_az1_rack7_mgmt_gateway_ip">'Value Reference Tables - MR'!$AA$86</definedName>
    <definedName name="wld_az1_rack7_mgmt_mask">'Value Reference Tables - MR'!$AA$179</definedName>
    <definedName name="wld_az1_rack7_mgmt_mtu">'Value Reference Tables - MR'!$AA$70</definedName>
    <definedName name="wld_az1_rack7_mgmt_network">'Value Reference Tables - MR'!$AA$39</definedName>
    <definedName name="wld_az1_rack7_mgmt_pg">'Value Reference Tables - MR'!$AA$111</definedName>
    <definedName name="wld_az1_rack7_mgmt_vlan">'Value Reference Tables - MR'!$AA$9</definedName>
    <definedName name="wld_az1_rack7_mgmt_vm_cidr">'Value Reference Tables - MR'!$AA$23</definedName>
    <definedName name="wld_az1_rack7_mgmt_vm_gateway_ip">'Value Reference Tables - MR'!$AA$85</definedName>
    <definedName name="wld_az1_rack7_mgmt_vm_mask">'Value Reference Tables - MR'!$AA$178</definedName>
    <definedName name="wld_az1_rack7_mgmt_vm_mtu">'Value Reference Tables - MR'!$AA$69</definedName>
    <definedName name="wld_az1_rack7_mgmt_vm_pg">'Value Reference Tables - MR'!$AA$110</definedName>
    <definedName name="wld_az1_rack7_mgmt_vm_vlan">'Value Reference Tables - MR'!$AA$8</definedName>
    <definedName name="wld_az1_rack7_pool_name">'Value Reference Tables - MR'!$AA$166</definedName>
    <definedName name="wld_az1_rack7_principal_storage_cidr">'Value Reference Tables - MR'!$AA$26</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MR'!$AA$113</definedName>
    <definedName name="wld_az1_rack7_principal_storage_pool_end_ip">'Value Reference Tables - MR'!$AA$152</definedName>
    <definedName name="wld_az1_rack7_principal_storage_pool_start_ip">'Value Reference Tables - MR'!$AA$151</definedName>
    <definedName name="wld_az1_rack7_principal_storage_vlan">'Value Reference Tables - MR'!$AA$11</definedName>
    <definedName name="wld_az1_rack7_reuse_vcf_networkpool_chosen">'Additional Racks'!$D$498</definedName>
    <definedName name="wld_az1_rack7_rtep_ip_pool_name">'Value Reference Tables - MR'!$AA$173</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MR'!$AA$162</definedName>
    <definedName name="wld_az1_rack7_rtep_overlay_pool_start_ip">'Value Reference Tables - MR'!$AA$161</definedName>
    <definedName name="wld_az1_rack7_rtep_overlay_vlan">'Value Reference Tables - MR'!$AA$18</definedName>
    <definedName name="wld_az1_rack7_secondary_storage_cidr">'Value Reference Tables - MR'!$AA$28</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MR'!$AA$156</definedName>
    <definedName name="wld_az1_rack7_secondary_storage_pool_start_ip">'Value Reference Tables - MR'!$AA$155</definedName>
    <definedName name="wld_az1_rack7_secondary_storage_vlan">'Value Reference Tables - MR'!$AA$13</definedName>
    <definedName name="wld_az1_rack7_tor1_peer_asn">'Value Reference Tables - MR'!$AA$102</definedName>
    <definedName name="wld_az1_rack7_tor1_peer_bgp_password">'Value Reference Tables - MR'!$AA$103</definedName>
    <definedName name="wld_az1_rack7_tor1_peer_ip">'Value Reference Tables - MR'!$AA$101</definedName>
    <definedName name="wld_az1_rack7_tor2_peer_asn">'Value Reference Tables - MR'!$AA$105</definedName>
    <definedName name="wld_az1_rack7_tor2_peer_bgp_password">'Value Reference Tables - MR'!$AA$106</definedName>
    <definedName name="wld_az1_rack7_tor2_peer_ip">'Value Reference Tables - MR'!$AA$104</definedName>
    <definedName name="wld_az1_rack7_uplink01_cidr">'Value Reference Tables - MR'!$AA$30</definedName>
    <definedName name="wld_az1_rack7_uplink01_gateway_ip">'Value Reference Tables - MR'!$AA$92</definedName>
    <definedName name="wld_az1_rack7_uplink01_mask">'Value Reference Tables - MR'!$AA$60</definedName>
    <definedName name="wld_az1_rack7_uplink01_mtu">'Value Reference Tables - MR'!$AA$76</definedName>
    <definedName name="wld_az1_rack7_uplink01_network">'Value Reference Tables - MR'!$AA$45</definedName>
    <definedName name="wld_az1_rack7_uplink01_pg">'Value Reference Tables - MR'!$AA$114</definedName>
    <definedName name="wld_az1_rack7_uplink01_vlan">'Value Reference Tables - MR'!$AA$15</definedName>
    <definedName name="wld_az1_rack7_uplink02_cidr">'Value Reference Tables - MR'!$AA$31</definedName>
    <definedName name="wld_az1_rack7_uplink02_gateway_ip">'Value Reference Tables - MR'!$AA$93</definedName>
    <definedName name="wld_az1_rack7_uplink02_mask">'Value Reference Tables - MR'!$AA$61</definedName>
    <definedName name="wld_az1_rack7_uplink02_mtu">'Value Reference Tables - MR'!$AA$77</definedName>
    <definedName name="wld_az1_rack7_uplink02_network">'Value Reference Tables - MR'!$AA$46</definedName>
    <definedName name="wld_az1_rack7_uplink02_pg">'Value Reference Tables - MR'!$AA$115</definedName>
    <definedName name="wld_az1_rack7_uplink02_vlan">'Value Reference Tables - MR'!$AA$16</definedName>
    <definedName name="wld_az1_rack7_vmotion_cidr">'Value Reference Tables - MR'!$AA$25</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MR'!$AA$112</definedName>
    <definedName name="wld_az1_rack7_vmotion_pool_end_ip">'Value Reference Tables - MR'!$AA$150</definedName>
    <definedName name="wld_az1_rack7_vmotion_pool_start_ip">'Value Reference Tables - MR'!$AA$149</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MR'!$AA$174</definedName>
    <definedName name="wld_az1_rack8_child_dns_zone">'Value Reference Tables - MR'!#REF!</definedName>
    <definedName name="wld_az1_rack8_edge_overlay_cidr">'Value Reference Tables - MR'!$AD$32</definedName>
    <definedName name="wld_az1_rack8_edge_overlay_gateway_ip">'Value Reference Tables - MR'!$AD$94</definedName>
    <definedName name="wld_az1_rack8_edge_overlay_mask">'Value Reference Tables - MR'!$AD$62</definedName>
    <definedName name="wld_az1_rack8_edge_overlay_mtu">'Value Reference Tables - MR'!$AD$78</definedName>
    <definedName name="wld_az1_rack8_edge_overlay_network">'Value Reference Tables - MR'!$AD$47</definedName>
    <definedName name="wld_az1_rack8_edge_overlay_network_pool_name">'Value Reference Tables - MR'!$AD$172</definedName>
    <definedName name="wld_az1_rack8_edge_overlay_pool_end_ip">'Value Reference Tables - MR'!$AD$160</definedName>
    <definedName name="wld_az1_rack8_edge_overlay_pool_start_ip">'Value Reference Tables - MR'!$AD$159</definedName>
    <definedName name="wld_az1_rack8_edge_overlay_vlan">'Value Reference Tables - MR'!$AD$17</definedName>
    <definedName name="wld_az1_rack8_en1_edge_overlay_interface_ip_1_ip">'Value Reference Tables - MR'!$AD$244</definedName>
    <definedName name="wld_az1_rack8_en1_edge_overlay_interface_ip_2_ip">'Value Reference Tables - MR'!$AD$245</definedName>
    <definedName name="wld_az1_rack8_en1_fqdn">'Value Reference Tables - MR'!$AD$240</definedName>
    <definedName name="wld_az1_rack8_en1_hostname">'Value Reference Tables - MR'!$AD$239</definedName>
    <definedName name="wld_az1_rack8_en1_mgmt_ip">'Value Reference Tables - MR'!$AD$241</definedName>
    <definedName name="wld_az1_rack8_en1_uplink01_interface_ip">'Value Reference Tables - MR'!$AD$242</definedName>
    <definedName name="wld_az1_rack8_en1_uplink02_interface_ip">'Value Reference Tables - MR'!$AD$243</definedName>
    <definedName name="wld_az1_rack8_en2_fqdn">'Value Reference Tables - MR'!$AD$250</definedName>
    <definedName name="wld_az1_rack8_en2_hostname">'Value Reference Tables - MR'!$AD$249</definedName>
    <definedName name="wld_az1_rack8_en2_mgmt_ip">'Value Reference Tables - MR'!$AD$251</definedName>
    <definedName name="wld_az1_rack8_en2_uplink01_interface_ip">'Value Reference Tables - MR'!$AD$252</definedName>
    <definedName name="wld_az1_rack8_en2_uplink02_interface_ip">'Value Reference Tables - MR'!$AD$253</definedName>
    <definedName name="wld_az1_rack8_host_fqdns">'Value Reference Tables - MR'!$AD$221:$AD$236</definedName>
    <definedName name="wld_az1_rack8_host_hostnames">'Value Reference Tables - MR'!$AD$202:$AD$217</definedName>
    <definedName name="wld_az1_rack8_host_mgmt_ips">'Value Reference Tables - MR'!$AD$183:$AD$198</definedName>
    <definedName name="wld_az1_rack8_host_overlay_cidr">'Value Reference Tables - MR'!$AD$27</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MR'!$AD$169</definedName>
    <definedName name="wld_az1_rack8_host_overlay_network_profile_name">'Value Reference Tables - MR'!$AD$167</definedName>
    <definedName name="wld_az1_rack8_host_overlay_new_pool_chosen">'Additional Racks'!$D$637</definedName>
    <definedName name="wld_az1_rack8_host_overlay_pool_end_ip">'Value Reference Tables - MR'!$AD$154</definedName>
    <definedName name="wld_az1_rack8_host_overlay_pool_start_ip">'Value Reference Tables - MR'!$AD$153</definedName>
    <definedName name="wld_az1_rack8_host_overlay_uplink_profile_name">'Value Reference Tables - MR'!$AD$171</definedName>
    <definedName name="wld_az1_rack8_host_overlay_vlan">'Value Reference Tables - MR'!$AD$12</definedName>
    <definedName name="wld_az1_rack8_host1_fqdn">'Value Reference Tables - MR'!$AD$221</definedName>
    <definedName name="wld_az1_rack8_host1_hostname">'Value Reference Tables - MR'!$AD$202</definedName>
    <definedName name="wld_az1_rack8_host1_mgmt_ip">'Value Reference Tables - MR'!$AD$183</definedName>
    <definedName name="wld_az1_rack8_host10_fqdn">'Value Reference Tables - MR'!$AD$230</definedName>
    <definedName name="wld_az1_rack8_host10_hostname">'Value Reference Tables - MR'!$AD$211</definedName>
    <definedName name="wld_az1_rack8_host10_mgmt_ip">'Value Reference Tables - MR'!$AD$192</definedName>
    <definedName name="wld_az1_rack8_host11_fqdn">'Value Reference Tables - MR'!$AD$231</definedName>
    <definedName name="wld_az1_rack8_host11_hostname">'Value Reference Tables - MR'!$AD$212</definedName>
    <definedName name="wld_az1_rack8_host11_mgmt_ip">'Value Reference Tables - MR'!$AD$193</definedName>
    <definedName name="wld_az1_rack8_host12_fqdn">'Value Reference Tables - MR'!$AD$232</definedName>
    <definedName name="wld_az1_rack8_host12_hostname">'Value Reference Tables - MR'!$AD$213</definedName>
    <definedName name="wld_az1_rack8_host12_mgmt_ip">'Value Reference Tables - MR'!$AD$194</definedName>
    <definedName name="wld_az1_rack8_host13_fqdn">'Value Reference Tables - MR'!$AD$233</definedName>
    <definedName name="wld_az1_rack8_host13_hostname">'Value Reference Tables - MR'!$AD$214</definedName>
    <definedName name="wld_az1_rack8_host13_mgmt_ip">'Value Reference Tables - MR'!$AD$195</definedName>
    <definedName name="wld_az1_rack8_host14_fqdn">'Value Reference Tables - MR'!$AD$234</definedName>
    <definedName name="wld_az1_rack8_host14_hostname">'Value Reference Tables - MR'!$AD$215</definedName>
    <definedName name="wld_az1_rack8_host14_mgmt_ip">'Value Reference Tables - MR'!$AD$196</definedName>
    <definedName name="wld_az1_rack8_host15_fqdn">'Value Reference Tables - MR'!$AD$235</definedName>
    <definedName name="wld_az1_rack8_host15_hostname">'Value Reference Tables - MR'!$AD$216</definedName>
    <definedName name="wld_az1_rack8_host15_mgmt_ip">'Value Reference Tables - MR'!$AD$197</definedName>
    <definedName name="wld_az1_rack8_host16_fqdn">'Value Reference Tables - MR'!$AD$236</definedName>
    <definedName name="wld_az1_rack8_host16_hostname">'Value Reference Tables - MR'!$AD$217</definedName>
    <definedName name="wld_az1_rack8_host16_mgmt_ip">'Value Reference Tables - MR'!$AD$198</definedName>
    <definedName name="wld_az1_rack8_host2_fqdn">'Value Reference Tables - MR'!$AD$222</definedName>
    <definedName name="wld_az1_rack8_host2_hostname">'Value Reference Tables - MR'!$AD$203</definedName>
    <definedName name="wld_az1_rack8_host2_mgmt_ip">'Value Reference Tables - MR'!$AD$184</definedName>
    <definedName name="wld_az1_rack8_host3_fqdn">'Value Reference Tables - MR'!$AD$223</definedName>
    <definedName name="wld_az1_rack8_host3_hostname">'Value Reference Tables - MR'!$AD$204</definedName>
    <definedName name="wld_az1_rack8_host3_mgmt_ip">'Value Reference Tables - MR'!$AD$185</definedName>
    <definedName name="wld_az1_rack8_host4_fqdn">'Value Reference Tables - MR'!$AD$224</definedName>
    <definedName name="wld_az1_rack8_host4_hostname">'Value Reference Tables - MR'!$AD$205</definedName>
    <definedName name="wld_az1_rack8_host4_mgmt_ip">'Value Reference Tables - MR'!$AD$186</definedName>
    <definedName name="wld_az1_rack8_host5_fqdn">'Value Reference Tables - MR'!$AD$225</definedName>
    <definedName name="wld_az1_rack8_host5_hostname">'Value Reference Tables - MR'!$AD$206</definedName>
    <definedName name="wld_az1_rack8_host5_mgmt_ip">'Value Reference Tables - MR'!$AD$187</definedName>
    <definedName name="wld_az1_rack8_host6_fqdn">'Value Reference Tables - MR'!$AD$226</definedName>
    <definedName name="wld_az1_rack8_host6_hostname">'Value Reference Tables - MR'!$AD$207</definedName>
    <definedName name="wld_az1_rack8_host6_mgmt_ip">'Value Reference Tables - MR'!$AD$188</definedName>
    <definedName name="wld_az1_rack8_host7_fqdn">'Value Reference Tables - MR'!$AD$227</definedName>
    <definedName name="wld_az1_rack8_host7_hostname">'Value Reference Tables - MR'!$AD$208</definedName>
    <definedName name="wld_az1_rack8_host7_mgmt_ip">'Value Reference Tables - MR'!$AD$189</definedName>
    <definedName name="wld_az1_rack8_host8_fqdn">'Value Reference Tables - MR'!$AD$228</definedName>
    <definedName name="wld_az1_rack8_host8_hostname">'Value Reference Tables - MR'!$AD$209</definedName>
    <definedName name="wld_az1_rack8_host8_mgmt_ip">'Value Reference Tables - MR'!$AD$190</definedName>
    <definedName name="wld_az1_rack8_host9_fqdn">'Value Reference Tables - MR'!$AD$229</definedName>
    <definedName name="wld_az1_rack8_host9_hostname">'Value Reference Tables - MR'!$AD$210</definedName>
    <definedName name="wld_az1_rack8_host9_mgmt_ip">'Value Reference Tables - MR'!$AD$191</definedName>
    <definedName name="wld_az1_rack8_mgmt_cidr">'Value Reference Tables - MR'!$AD$24</definedName>
    <definedName name="wld_az1_rack8_mgmt_gateway_ip">'Value Reference Tables - MR'!$AD$86</definedName>
    <definedName name="wld_az1_rack8_mgmt_mask">'Value Reference Tables - MR'!$AD$179</definedName>
    <definedName name="wld_az1_rack8_mgmt_mtu">'Value Reference Tables - MR'!$AD$70</definedName>
    <definedName name="wld_az1_rack8_mgmt_network">'Value Reference Tables - MR'!$AD$39</definedName>
    <definedName name="wld_az1_rack8_mgmt_pg">'Value Reference Tables - MR'!$AD$111</definedName>
    <definedName name="wld_az1_rack8_mgmt_vlan">'Value Reference Tables - MR'!$AD$9</definedName>
    <definedName name="wld_az1_rack8_mgmt_vm_cidr">'Value Reference Tables - MR'!$AD$23</definedName>
    <definedName name="wld_az1_rack8_mgmt_vm_gateway_ip">'Value Reference Tables - MR'!$AD$85</definedName>
    <definedName name="wld_az1_rack8_mgmt_vm_mask">'Value Reference Tables - MR'!$AD$178</definedName>
    <definedName name="wld_az1_rack8_mgmt_vm_mtu">'Value Reference Tables - MR'!$AD$69</definedName>
    <definedName name="wld_az1_rack8_mgmt_vm_pg">'Value Reference Tables - MR'!$AD$110</definedName>
    <definedName name="wld_az1_rack8_mgmt_vm_vlan">'Value Reference Tables - MR'!$AD$8</definedName>
    <definedName name="wld_az1_rack8_pool_name">'Value Reference Tables - MR'!$AD$166</definedName>
    <definedName name="wld_az1_rack8_principal_storage_cidr">'Value Reference Tables - MR'!$AD$26</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MR'!$AD$113</definedName>
    <definedName name="wld_az1_rack8_principal_storage_pool_end_ip">'Value Reference Tables - MR'!$AD$152</definedName>
    <definedName name="wld_az1_rack8_principal_storage_pool_start_ip">'Value Reference Tables - MR'!$AD$151</definedName>
    <definedName name="wld_az1_rack8_principal_storage_vlan">'Value Reference Tables - MR'!$AD$11</definedName>
    <definedName name="wld_az1_rack8_reuse_vcf_networkpool_chosen">'Additional Racks'!$D$591</definedName>
    <definedName name="wld_az1_rack8_rtep_ip_pool_name">'Value Reference Tables - MR'!$AD$173</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MR'!$AD$162</definedName>
    <definedName name="wld_az1_rack8_rtep_overlay_pool_start_ip">'Value Reference Tables - MR'!$AD$161</definedName>
    <definedName name="wld_az1_rack8_rtep_overlay_vlan">'Value Reference Tables - MR'!$AD$18</definedName>
    <definedName name="wld_az1_rack8_secondary_storage_cidr">'Value Reference Tables - MR'!$AD$28</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MR'!$AD$156</definedName>
    <definedName name="wld_az1_rack8_secondary_storage_pool_start_ip">'Value Reference Tables - MR'!$AD$155</definedName>
    <definedName name="wld_az1_rack8_secondary_storage_vlan">'Value Reference Tables - MR'!$AD$13</definedName>
    <definedName name="wld_az1_rack8_tor1_peer_asn">'Value Reference Tables - MR'!$AD$102</definedName>
    <definedName name="wld_az1_rack8_tor1_peer_bgp_password">'Value Reference Tables - MR'!$AD$103</definedName>
    <definedName name="wld_az1_rack8_tor1_peer_ip">'Value Reference Tables - MR'!$AD$101</definedName>
    <definedName name="wld_az1_rack8_tor2_peer_asn">'Value Reference Tables - MR'!$AD$105</definedName>
    <definedName name="wld_az1_rack8_tor2_peer_bgp_password">'Value Reference Tables - MR'!$AD$106</definedName>
    <definedName name="wld_az1_rack8_tor2_peer_ip">'Value Reference Tables - MR'!$AD$104</definedName>
    <definedName name="wld_az1_rack8_uplink01_cidr">'Value Reference Tables - MR'!$AD$30</definedName>
    <definedName name="wld_az1_rack8_uplink01_gateway_ip">'Value Reference Tables - MR'!$AD$92</definedName>
    <definedName name="wld_az1_rack8_uplink01_mask">'Value Reference Tables - MR'!$AD$60</definedName>
    <definedName name="wld_az1_rack8_uplink01_mtu">'Value Reference Tables - MR'!$AD$76</definedName>
    <definedName name="wld_az1_rack8_uplink01_network">'Value Reference Tables - MR'!$AD$45</definedName>
    <definedName name="wld_az1_rack8_uplink01_pg">'Value Reference Tables - MR'!$AD$114</definedName>
    <definedName name="wld_az1_rack8_uplink01_vlan">'Value Reference Tables - MR'!$AD$15</definedName>
    <definedName name="wld_az1_rack8_uplink02_cidr">'Value Reference Tables - MR'!$AD$31</definedName>
    <definedName name="wld_az1_rack8_uplink02_gateway_ip">'Value Reference Tables - MR'!$AD$93</definedName>
    <definedName name="wld_az1_rack8_uplink02_mask">'Value Reference Tables - MR'!$AD$61</definedName>
    <definedName name="wld_az1_rack8_uplink02_mtu">'Value Reference Tables - MR'!$AD$77</definedName>
    <definedName name="wld_az1_rack8_uplink02_network">'Value Reference Tables - MR'!$AD$46</definedName>
    <definedName name="wld_az1_rack8_uplink02_pg">'Value Reference Tables - MR'!$AD$115</definedName>
    <definedName name="wld_az1_rack8_uplink02_vlan">'Value Reference Tables - MR'!$AD$16</definedName>
    <definedName name="wld_az1_rack8_vmotion_cidr">'Value Reference Tables - MR'!$AD$25</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MR'!$AD$112</definedName>
    <definedName name="wld_az1_rack8_vmotion_pool_end_ip">'Value Reference Tables - MR'!$AD$150</definedName>
    <definedName name="wld_az1_rack8_vmotion_pool_start_ip">'Value Reference Tables - MR'!$AD$149</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MR'!$AD$174</definedName>
    <definedName name="wld_az1_reuse_vcf_networkpool_chosen">'Deploy Workload Domain'!$B$15</definedName>
    <definedName name="wld_az1_reuse_vcf_networkpool_result">'Deploy Workload Domain'!$D$15</definedName>
    <definedName name="wld_az1_rtep_ip_pool_name">'Value Reference Tables - MR'!$I$173</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MR'!$I$119</definedName>
    <definedName name="wld_az1_rtep_overlay_vlan">'Value Reference Tables - MR'!$I$18</definedName>
    <definedName name="wld_az1_secondary_storage_cidr">'Value Reference Tables - MR'!$I$28</definedName>
    <definedName name="wld_az1_secondary_storage_gateway_ip">'Value Reference Tables - MR'!$I$90</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MR'!$I$156</definedName>
    <definedName name="wld_az1_secondary_storage_pool_start_ip">'Value Reference Tables - MR'!$I$155</definedName>
    <definedName name="wld_az1_secondary_storage_vlan">'Value Reference Tables - MR'!$I$13</definedName>
    <definedName name="wld_az1_storage_cluster_cidr">'Value Reference Tables - MR'!$I$29</definedName>
    <definedName name="wld_az1_storage_cluster_gateway_ip">'Value Reference Tables - MR'!$I$91</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MR'!$I$158</definedName>
    <definedName name="wld_az1_storage_cluster_pool_start_ip">'Value Reference Tables - MR'!$I$157</definedName>
    <definedName name="wld_az1_storage_cluster_vlan">'Value Reference Tables - MR'!$I$14</definedName>
    <definedName name="wld_az1_tor1_peer_asn">'Value Reference Tables - MR'!$I$102</definedName>
    <definedName name="wld_az1_tor1_peer_bgp_password">'Value Reference Tables - MR'!$I$103</definedName>
    <definedName name="wld_az1_tor1_peer_ip">'Value Reference Tables - MR'!$I$101</definedName>
    <definedName name="wld_az1_tor2_peer_asn">'Value Reference Tables - MR'!$I$105</definedName>
    <definedName name="wld_az1_tor2_peer_bgp_password">'Value Reference Tables - MR'!$I$106</definedName>
    <definedName name="wld_az1_tor2_peer_ip">'Value Reference Tables - MR'!$I$104</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Tables'!$AD$37</definedName>
    <definedName name="wld_az1_vm_gateway_ip">'Value Reference Tables'!$AD$42</definedName>
    <definedName name="wld_az1_vm_mtu">'Value Reference Tables'!$AD$47</definedName>
    <definedName name="wld_az1_vm_vlan">'Value Reference Tables'!$AD$29</definedName>
    <definedName name="wld_az1_vmotion_cidr">'Value Reference Tables - MR'!$I$25</definedName>
    <definedName name="wld_az1_vmotion_gateway_ip">'Value Reference Tables - MR'!$I$87</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MR'!$I$150</definedName>
    <definedName name="wld_az1_vmotion_pool_start_ip">'Value Reference Tables - MR'!$I$149</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MR'!$I$302</definedName>
    <definedName name="wld_az2_edge_overlay_gateway_ip">'Value Reference Tables - MR'!$I$347</definedName>
    <definedName name="wld_az2_edge_overlay_mask">'Value Reference Tables - MR'!$I$332</definedName>
    <definedName name="wld_az2_edge_overlay_mtu">'Value Reference Tables - MR'!$I$362</definedName>
    <definedName name="wld_az2_edge_overlay_network">'Value Reference Tables - MR'!$I$317</definedName>
    <definedName name="wld_az2_edge_overlay_pg">'Value Reference Tables - MR'!$I$386</definedName>
    <definedName name="wld_az2_edge_overlay_vlan">'Value Reference Tables - MR'!$I$287</definedName>
    <definedName name="wld_az2_host_fqdns">'Value Reference Tables - MR'!$I$477:$I$492</definedName>
    <definedName name="wld_az2_host_hostnames">'Value Reference Tables - MR'!$I$458:$I$473</definedName>
    <definedName name="wld_az2_host_mgmt_ips">'Value Reference Tables - MR'!$I$423:$I$438</definedName>
    <definedName name="wld_az2_host_overlay_cidr">'Value Reference Tables - MR'!$I$297</definedName>
    <definedName name="wld_az2_host_overlay_gateway_ip">'Value Reference Tables - MR'!$I$342</definedName>
    <definedName name="wld_az2_host_overlay_mask">'Value Reference Tables - MR'!$I$327</definedName>
    <definedName name="wld_az2_host_overlay_mtu">'Value Reference Tables - MR'!$I$357</definedName>
    <definedName name="wld_az2_host_overlay_network">'Value Reference Tables - MR'!$I$312</definedName>
    <definedName name="wld_az2_host_overlay_network_pool_name">'Value Reference Tables - MR'!$I$408</definedName>
    <definedName name="wld_az2_host_overlay_network_profile_name">'Value Reference Tables - MR'!$I$407</definedName>
    <definedName name="wld_az2_host_overlay_new_pool_chosen">'Configure Workload Domain'!$D$320</definedName>
    <definedName name="wld_az2_host_overlay_pg">'Value Reference Tables - MR'!$I$382</definedName>
    <definedName name="wld_az2_host_overlay_pool_end_ip">'Value Reference Tables - MR'!$I$396</definedName>
    <definedName name="wld_az2_host_overlay_pool_name">'Value Reference Tables'!$F$116</definedName>
    <definedName name="wld_az2_host_overlay_pool_start_ip">'Value Reference Tables - MR'!$I$395</definedName>
    <definedName name="wld_az2_host_overlay_uplink_profile_name">'Value Reference Tables - MR'!$I$409</definedName>
    <definedName name="wld_az2_host_overlay_vlan">'Value Reference Tables - MR'!$I$282</definedName>
    <definedName name="wld_az2_host_vrms_ips">'Value Reference Tables - MR'!$I$439:$I$454</definedName>
    <definedName name="wld_az2_host1_fqdn">'Value Reference Tables - MR'!$I$477</definedName>
    <definedName name="wld_az2_host1_hostname">'Value Reference Tables - MR'!$I$458</definedName>
    <definedName name="wld_az2_host1_mgmt_ip">'Value Reference Tables - MR'!$I$423</definedName>
    <definedName name="wld_az2_host1_sddc_id">'Value Reference Tables'!$F$111</definedName>
    <definedName name="wld_az2_host1_vrms_ip">'Value Reference Tables - MR'!$I$439</definedName>
    <definedName name="wld_az2_host10_fqdn">'Value Reference Tables - MR'!$I$486</definedName>
    <definedName name="wld_az2_host10_hostname">'Value Reference Tables - MR'!$I$467</definedName>
    <definedName name="wld_az2_host10_mgmt_ip">'Value Reference Tables - MR'!$I$432</definedName>
    <definedName name="wld_az2_host10_vrms_ip">'Value Reference Tables - MR'!$I$448</definedName>
    <definedName name="wld_az2_host11_fqdn">'Value Reference Tables - MR'!$I$487</definedName>
    <definedName name="wld_az2_host11_hostname">'Value Reference Tables - MR'!$I$468</definedName>
    <definedName name="wld_az2_host11_mgmt_ip">'Value Reference Tables - MR'!$I$433</definedName>
    <definedName name="wld_az2_host11_vrms_ip">'Value Reference Tables - MR'!$I$449</definedName>
    <definedName name="wld_az2_host12_fqdn">'Value Reference Tables - MR'!$I$488</definedName>
    <definedName name="wld_az2_host12_hostname">'Value Reference Tables - MR'!$I$469</definedName>
    <definedName name="wld_az2_host12_mgmt_ip">'Value Reference Tables - MR'!$I$434</definedName>
    <definedName name="wld_az2_host12_vrms_ip">'Value Reference Tables - MR'!$I$450</definedName>
    <definedName name="wld_az2_host13_fqdn">'Value Reference Tables - MR'!$I$489</definedName>
    <definedName name="wld_az2_host13_hostname">'Value Reference Tables - MR'!$I$470</definedName>
    <definedName name="wld_az2_host13_mgmt_ip">'Value Reference Tables - MR'!$I$435</definedName>
    <definedName name="wld_az2_host13_vrms_ip">'Value Reference Tables - MR'!$I$451</definedName>
    <definedName name="wld_az2_host14_fqdn">'Value Reference Tables - MR'!$I$490</definedName>
    <definedName name="wld_az2_host14_hostname">'Value Reference Tables - MR'!$I$471</definedName>
    <definedName name="wld_az2_host14_mgmt_ip">'Value Reference Tables - MR'!$I$436</definedName>
    <definedName name="wld_az2_host14_vrms_ip">'Value Reference Tables - MR'!$I$452</definedName>
    <definedName name="wld_az2_host15_fqdn">'Value Reference Tables - MR'!$I$491</definedName>
    <definedName name="wld_az2_host15_hostname">'Value Reference Tables - MR'!$I$472</definedName>
    <definedName name="wld_az2_host15_mgmt_ip">'Value Reference Tables - MR'!$I$437</definedName>
    <definedName name="wld_az2_host15_vrms_ip">'Value Reference Tables - MR'!$I$453</definedName>
    <definedName name="wld_az2_host16_fqdn">'Value Reference Tables - MR'!$I$492</definedName>
    <definedName name="wld_az2_host16_hostname">'Value Reference Tables - MR'!$I$473</definedName>
    <definedName name="wld_az2_host16_mgmt_ip">'Value Reference Tables - MR'!$I$438</definedName>
    <definedName name="wld_az2_host16_vrms_ip">'Value Reference Tables - MR'!$I$454</definedName>
    <definedName name="wld_az2_host2_fqdn">'Value Reference Tables - MR'!$I$478</definedName>
    <definedName name="wld_az2_host2_hostname">'Value Reference Tables - MR'!$I$459</definedName>
    <definedName name="wld_az2_host2_mgmt_ip">'Value Reference Tables - MR'!$I$424</definedName>
    <definedName name="wld_az2_host2_sddc_id">'Value Reference Tables'!$F$112</definedName>
    <definedName name="wld_az2_host2_vrms_ip">'Value Reference Tables - MR'!$I$440</definedName>
    <definedName name="wld_az2_host3_fqdn">'Value Reference Tables - MR'!$I$479</definedName>
    <definedName name="wld_az2_host3_hostname">'Value Reference Tables - MR'!$I$460</definedName>
    <definedName name="wld_az2_host3_mgmt_ip">'Value Reference Tables - MR'!$I$425</definedName>
    <definedName name="wld_az2_host3_sddc_id">'Value Reference Tables'!$F$113</definedName>
    <definedName name="wld_az2_host3_vrms_ip">'Value Reference Tables - MR'!$I$441</definedName>
    <definedName name="wld_az2_host4_fqdn">'Value Reference Tables - MR'!$I$480</definedName>
    <definedName name="wld_az2_host4_hostname">'Value Reference Tables - MR'!$I$461</definedName>
    <definedName name="wld_az2_host4_mgmt_ip">'Value Reference Tables - MR'!$I$426</definedName>
    <definedName name="wld_az2_host4_sddc_id">'Value Reference Tables'!$F$114</definedName>
    <definedName name="wld_az2_host4_vrms_ip">'Value Reference Tables - MR'!$I$442</definedName>
    <definedName name="wld_az2_host5_fqdn">'Value Reference Tables - MR'!$I$481</definedName>
    <definedName name="wld_az2_host5_hostname">'Value Reference Tables - MR'!$I$462</definedName>
    <definedName name="wld_az2_host5_mgmt_ip">'Value Reference Tables - MR'!$I$427</definedName>
    <definedName name="wld_az2_host5_vrms_ip">'Value Reference Tables - MR'!$I$443</definedName>
    <definedName name="wld_az2_host6_fqdn">'Value Reference Tables - MR'!$I$482</definedName>
    <definedName name="wld_az2_host6_hostname">'Value Reference Tables - MR'!$I$463</definedName>
    <definedName name="wld_az2_host6_mgmt_ip">'Value Reference Tables - MR'!$I$428</definedName>
    <definedName name="wld_az2_host6_vrms_ip">'Value Reference Tables - MR'!$I$444</definedName>
    <definedName name="wld_az2_host7_fqdn">'Value Reference Tables - MR'!$I$483</definedName>
    <definedName name="wld_az2_host7_hostname">'Value Reference Tables - MR'!$I$464</definedName>
    <definedName name="wld_az2_host7_mgmt_ip">'Value Reference Tables - MR'!$I$429</definedName>
    <definedName name="wld_az2_host7_vrms_ip">'Value Reference Tables - MR'!$I$445</definedName>
    <definedName name="wld_az2_host8_fqdn">'Value Reference Tables - MR'!$I$484</definedName>
    <definedName name="wld_az2_host8_hostname">'Value Reference Tables - MR'!$I$465</definedName>
    <definedName name="wld_az2_host8_mgmt_ip">'Value Reference Tables - MR'!$I$430</definedName>
    <definedName name="wld_az2_host8_vrms_ip">'Value Reference Tables - MR'!$I$446</definedName>
    <definedName name="wld_az2_host9_fqdn">'Value Reference Tables - MR'!$I$485</definedName>
    <definedName name="wld_az2_host9_hostname">'Value Reference Tables - MR'!$I$466</definedName>
    <definedName name="wld_az2_host9_mgmt_ip">'Value Reference Tables - MR'!$I$431</definedName>
    <definedName name="wld_az2_host9_vrms_ip">'Value Reference Tables - MR'!$I$447</definedName>
    <definedName name="wld_az2_mgmt_cidr">'Value Reference Tables - MR'!$I$294</definedName>
    <definedName name="wld_az2_mgmt_gateway_ip">'Value Reference Tables - MR'!$I$339</definedName>
    <definedName name="wld_az2_mgmt_mask">'Value Reference Tables - MR'!$I$324</definedName>
    <definedName name="wld_az2_mgmt_mtu">'Value Reference Tables - MR'!$I$354</definedName>
    <definedName name="wld_az2_mgmt_network">'Value Reference Tables - MR'!$I$309</definedName>
    <definedName name="wld_az2_mgmt_vlan">'Value Reference Tables - MR'!$I$279</definedName>
    <definedName name="wld_az2_pool_name">'Value Reference Tables - MR'!$I$406</definedName>
    <definedName name="wld_az2_principal_storage_cidr">'Value Reference Tables - MR'!$I$296</definedName>
    <definedName name="wld_az2_principal_storage_gateway_ip">'Value Reference Tables - MR'!$I$341</definedName>
    <definedName name="wld_az2_principal_storage_mask">'Value Reference Tables - MR'!$I$326</definedName>
    <definedName name="wld_az2_principal_storage_mtu">'Value Reference Tables - MR'!$I$356</definedName>
    <definedName name="wld_az2_principal_storage_network">'Value Reference Tables - MR'!$I$311</definedName>
    <definedName name="wld_az2_principal_storage_pool_end_ip">'Value Reference Tables - MR'!$I$394</definedName>
    <definedName name="wld_az2_principal_storage_pool_start_ip">'Value Reference Tables - MR'!$I$393</definedName>
    <definedName name="wld_az2_principal_storage_vlan">'Value Reference Tables - MR'!$I$281</definedName>
    <definedName name="wld_az2_reuse_vcf_networkpool_chosen">'Configure Workload Domain'!$D$194</definedName>
    <definedName name="wld_az2_rtep_overlay_cidr">'Value Reference Tables - MR'!$I$303</definedName>
    <definedName name="wld_az2_rtep_overlay_gateway_ip">'Value Reference Tables - MR'!$I$348</definedName>
    <definedName name="wld_az2_rtep_overlay_mask">'Value Reference Tables - MR'!$I$333</definedName>
    <definedName name="wld_az2_rtep_overlay_mtu">'Value Reference Tables - MR'!$I$363</definedName>
    <definedName name="wld_az2_rtep_overlay_network">'Value Reference Tables - MR'!$I$318</definedName>
    <definedName name="wld_az2_rtep_overlay_pg">'Value Reference Tables - MR'!$I$387</definedName>
    <definedName name="wld_az2_rtep_overlay_vlan">'Value Reference Tables - MR'!$I$288</definedName>
    <definedName name="wld_az2_secondary_storage_cidr">'Value Reference Tables - MR'!$I$298</definedName>
    <definedName name="wld_az2_secondary_storage_gateway_ip">'Value Reference Tables'!$AE$43</definedName>
    <definedName name="wld_az2_secondary_storage_mask">'Value Reference Tables - MR'!$I$328</definedName>
    <definedName name="wld_az2_secondary_storage_mtu">'Value Reference Tables - MR'!$I$358</definedName>
    <definedName name="wld_az2_secondary_storage_network">'Value Reference Tables - MR'!$I$313</definedName>
    <definedName name="wld_az2_secondary_storage_pool_end_ip">'Value Reference Tables - MR'!$I$398</definedName>
    <definedName name="wld_az2_secondary_storage_pool_start_ip">'Value Reference Tables - MR'!$I$397</definedName>
    <definedName name="wld_az2_secondary_storage_vlan">'Value Reference Tables - MR'!$I$283</definedName>
    <definedName name="wld_az2_storage_cluster_cidr">'Value Reference Tables - MR'!$I$299</definedName>
    <definedName name="wld_az2_storage_cluster_gateway_ip">'Value Reference Tables - MR'!$I$344</definedName>
    <definedName name="wld_az2_storage_cluster_mask">'Value Reference Tables - MR'!$I$329</definedName>
    <definedName name="wld_az2_storage_cluster_mtu">'Value Reference Tables - MR'!$I$359</definedName>
    <definedName name="wld_az2_storage_cluster_network">'Value Reference Tables - MR'!$I$314</definedName>
    <definedName name="wld_az2_storage_cluster_pool_end_ip">'Value Reference Tables - MR'!$I$400</definedName>
    <definedName name="wld_az2_storage_cluster_pool_start_ip">'Value Reference Tables - MR'!$I$399</definedName>
    <definedName name="wld_az2_storage_cluster_vlan">'Value Reference Tables - MR'!$I$284</definedName>
    <definedName name="wld_az2_tor1_peer_asn">'Value Reference Tables - MR'!$I$370</definedName>
    <definedName name="wld_az2_tor1_peer_bgp_password">'Value Reference Tables - MR'!$I$371</definedName>
    <definedName name="wld_az2_tor1_peer_ip">'Value Reference Tables - MR'!$I$369</definedName>
    <definedName name="wld_az2_tor2_peer_asn">'Value Reference Tables - MR'!$I$373</definedName>
    <definedName name="wld_az2_tor2_peer_bgp_password">'Value Reference Tables - MR'!$I$374</definedName>
    <definedName name="wld_az2_tor2_peer_ip">'Value Reference Tables - MR'!$I$372</definedName>
    <definedName name="wld_az2_uplink01_cidr">'Value Reference Tables - MR'!$I$300</definedName>
    <definedName name="wld_az2_uplink01_gateway_ip">'Value Reference Tables - MR'!$I$345</definedName>
    <definedName name="wld_az2_uplink01_mask">'Value Reference Tables - MR'!$I$330</definedName>
    <definedName name="wld_az2_uplink01_mtu">'Value Reference Tables - MR'!$I$360</definedName>
    <definedName name="wld_az2_uplink01_network">'Value Reference Tables - MR'!$I$315</definedName>
    <definedName name="wld_az2_uplink01_vlan">'Value Reference Tables - MR'!$I$285</definedName>
    <definedName name="wld_az2_uplink02_cidr">'Value Reference Tables - MR'!$I$301</definedName>
    <definedName name="wld_az2_uplink02_gateway_ip">'Value Reference Tables - MR'!$I$346</definedName>
    <definedName name="wld_az2_uplink02_mask">'Value Reference Tables - MR'!$I$331</definedName>
    <definedName name="wld_az2_uplink02_mtu">'Value Reference Tables - MR'!$I$361</definedName>
    <definedName name="wld_az2_uplink02_network">'Value Reference Tables - MR'!$I$316</definedName>
    <definedName name="wld_az2_uplink02_vlan">'Value Reference Tables - MR'!$I$286</definedName>
    <definedName name="wld_az2_vm_cidr">'Value Reference Tables'!$AE$37</definedName>
    <definedName name="wld_az2_vm_gateway_ip">'Value Reference Tables'!$AE$42</definedName>
    <definedName name="wld_az2_vm_mtu">'Value Reference Tables'!$AE$47</definedName>
    <definedName name="wld_az2_vm_vlan">'Value Reference Tables'!$AE$29</definedName>
    <definedName name="wld_az2_vmotion_cidr">'Value Reference Tables - MR'!$I$295</definedName>
    <definedName name="wld_az2_vmotion_gateway_ip">'Value Reference Tables - MR'!$I$340</definedName>
    <definedName name="wld_az2_vmotion_mask">'Value Reference Tables - MR'!$I$325</definedName>
    <definedName name="wld_az2_vmotion_mtu">'Value Reference Tables - MR'!$I$355</definedName>
    <definedName name="wld_az2_vmotion_network">'Value Reference Tables - MR'!$I$310</definedName>
    <definedName name="wld_az2_vmotion_pool_end_ip">'Value Reference Tables - MR'!$I$392</definedName>
    <definedName name="wld_az2_vmotion_pool_start_ip">'Value Reference Tables - MR'!$I$391</definedName>
    <definedName name="wld_az2_vmotion_vlan">'Value Reference Tables - MR'!$I$280</definedName>
    <definedName name="wld_az2_vrms_cidr">'Value Reference Tables - MR'!$I$304</definedName>
    <definedName name="wld_az2_vrms_gateway_ip">'Value Reference Tables - MR'!$I$349</definedName>
    <definedName name="wld_az2_vrms_mask">'Value Reference Tables - MR'!$I$334</definedName>
    <definedName name="wld_az2_vrms_mtu">'Value Reference Tables - MR'!$I$364</definedName>
    <definedName name="wld_az2_vrms_network">'Value Reference Tables - MR'!$I$319</definedName>
    <definedName name="wld_az2_vrms_vlan">'Value Reference Tables - MR'!$I$289</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Tables'!$I$194</definedName>
    <definedName name="wld_bf_nsxt_audit_password">'Value Reference Tables'!$I$196</definedName>
    <definedName name="wld_bf_nsxt_configure_overlay_on_mgmt_pg_chosen">'Deploy Workload Domain'!$D$46</definedName>
    <definedName name="wld_bf_nsxt_enable_edge_sync_chosen">'Deploy Workload Domain'!$D$45</definedName>
    <definedName name="wld_bf_nsxt_mgra_fqdn">'Value Reference Tables'!$I$187</definedName>
    <definedName name="wld_bf_nsxt_mgrb_fqdn">'Value Reference Tables'!$I$188</definedName>
    <definedName name="wld_bf_nsxt_mgrc_fqdn">'Value Reference Tables'!$I$189</definedName>
    <definedName name="wld_bf_nsxt_root_password">'Value Reference Tables'!$I$195</definedName>
    <definedName name="wld_bf_nsxt_vip_fqdn">'Value Reference Tables'!$I$190</definedName>
    <definedName name="wld_bf_sddc_domain">'Value Reference Tables'!$I$197</definedName>
    <definedName name="wld_bf_vc_fqdn">'Value Reference Tables'!$I$179</definedName>
    <definedName name="wld_bf_vc_root_password">'Value Reference Tables'!$I$180</definedName>
    <definedName name="wld_bf_vc_sso_password">'Value Reference Tables'!$I$182</definedName>
    <definedName name="wld_bf_vc_sso_username">'Value Reference Tables'!$I$181</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Domain'!$D$185</definedName>
    <definedName name="wld_cl01_az1_mgmt_lbt_chosen">'Deploy Workload Domain'!$D$273</definedName>
    <definedName name="wld_cl01_az1_mgmt_pg">'Value Reference Tables - MR'!$I$111</definedName>
    <definedName name="wld_cl01_az1_mgmt_uplink1_chosen">'Deploy Workload Domain'!$D$274</definedName>
    <definedName name="wld_cl01_az1_mgmt_uplink2_chosen">'Deploy Workload Domain'!$D$275</definedName>
    <definedName name="wld_cl01_az1_mgmt_vm_lbt_chosen">'Deploy Workload Domain'!$D$278</definedName>
    <definedName name="wld_cl01_az1_mgmt_vm_pg">'Value Reference Tables - MR'!$I$110</definedName>
    <definedName name="wld_cl01_az1_mgmt_vm_uplink1_chosen">'Deploy Workload Domain'!$D$279</definedName>
    <definedName name="wld_cl01_az1_mgmt_vm_uplink2_chosen">'Deploy Workload Domain'!$D$280</definedName>
    <definedName name="wld_cl01_az1_nsx_lbt_chosen">'Deploy Workload Domain'!$D$319</definedName>
    <definedName name="wld_cl01_az1_nsx_uplink_count">'Value Reference Tables'!$F$172</definedName>
    <definedName name="wld_cl01_az1_nsx_uplink1_chosen">'Deploy Workload Domain'!$D$316</definedName>
    <definedName name="wld_cl01_az1_nsx_uplink2_chosen">'Deploy Workload Domain'!$D$317</definedName>
    <definedName name="wld_cl01_az1_principal_storage_pg">'Value Reference Tables - MR'!$I$113</definedName>
    <definedName name="wld_cl01_az1_uplink01_pg">'Value Reference Tables - MR'!$I$116</definedName>
    <definedName name="wld_cl01_az1_uplink02_pg">'Value Reference Tables - MR'!$I$117</definedName>
    <definedName name="wld_cl01_az1_vm_pg">'Value Reference Tables'!$AD$33</definedName>
    <definedName name="wld_cl01_az1_vmotion_lbt_chosen">'Deploy Workload Domain'!$D$283</definedName>
    <definedName name="wld_cl01_az1_vmotion_pg">'Value Reference Tables - MR'!$I$112</definedName>
    <definedName name="wld_cl01_az1_vmotion_uplink1_chosen">'Deploy Workload Domain'!$D$284</definedName>
    <definedName name="wld_cl01_az1_vmotion_uplink2_chosen">'Deploy Workload Domain'!$D$285</definedName>
    <definedName name="wld_cl01_az1_vsan_lbt_chosen">'Deploy Workload Domain'!$D$288</definedName>
    <definedName name="wld_cl01_az1_vsan_storage_client_lbt_chosen">'Deploy Workload Domain'!$D$293</definedName>
    <definedName name="wld_cl01_az1_vsan_storage_client_pg">'Value Reference Tables - MR'!$I$120</definedName>
    <definedName name="wld_cl01_az1_vsan_storage_client_uplink1_chosen">'Deploy Workload Domain'!$D$294</definedName>
    <definedName name="wld_cl01_az1_vsan_storage_client_uplink2_chosen">'Deploy Workload Domain'!$D$295</definedName>
    <definedName name="wld_cl01_az1_vsan_uplink1_chosen">'Deploy Workload Domain'!$D$289</definedName>
    <definedName name="wld_cl01_az1_vsan_uplink2_chosen">'Deploy Workload Domain'!$D$290</definedName>
    <definedName name="wld_cl01_az2_mgmt_pg">'Value Reference Tables - MR'!$I$379</definedName>
    <definedName name="wld_cl01_az2_principal_storage_pg">'Value Reference Tables - MR'!$I$381</definedName>
    <definedName name="wld_cl01_az2_uplink01_pg">'Value Reference Tables - MR'!$I$384</definedName>
    <definedName name="wld_cl01_az2_uplink02_pg">'Value Reference Tables - MR'!$I$385</definedName>
    <definedName name="wld_cl01_az2_vm_pg">'Value Reference Tables'!$AE$33</definedName>
    <definedName name="wld_cl01_az2_vmotion_pg">'Value Reference Tables - MR'!$I$380</definedName>
    <definedName name="wld_cl01_cluster">'Value Reference Tables'!$F$63</definedName>
    <definedName name="wld_cl01_cluster_sddc_id">'Value Reference Tables'!$O$65</definedName>
    <definedName name="wld_cl01_cluster_zn_name">'Value Reference Tables'!$F$179</definedName>
    <definedName name="wld_cl01_evc_mode">'Value Reference Tables'!$F$64</definedName>
    <definedName name="wld_cl01_image_name">'Value Reference Tables'!$F$147</definedName>
    <definedName name="wld_cl01_nfs_datastore_name">'Value Reference Tables'!$F$100</definedName>
    <definedName name="wld_cl01_nfs_server_address">'Value Reference Tables'!$F$102</definedName>
    <definedName name="wld_cl01_nfs_share_path">'Value Reference Tables'!$F$101</definedName>
    <definedName name="wld_cl01_supervisor_control_plane_ip_range">'Value Reference Tables'!$F$180</definedName>
    <definedName name="wld_cl01_supervisor_dns">'Value Reference Tables'!$F$181</definedName>
    <definedName name="wld_cl01_supervisor_name">'Value Reference Tables'!$F$182</definedName>
    <definedName name="wld_cl01_supervisor_nsx_project">'Value Reference Tables'!$F$183</definedName>
    <definedName name="wld_cl01_supervisor_ntp">'Value Reference Tables'!$F$184</definedName>
    <definedName name="wld_cl01_supervisor_private_cidr">'Value Reference Tables'!$F$185</definedName>
    <definedName name="wld_cl01_supervisor_private_transit_gateway_cidr">'Value Reference Tables'!$F$186</definedName>
    <definedName name="wld_cl01_supervisor_service_cidr">'Value Reference Tables'!$F$187</definedName>
    <definedName name="wld_cl01_supervisor_use_mgmt_vmk_chosen">'Deploy Workload Domain'!$D$328</definedName>
    <definedName name="wld_cl01_supervisor_vpc_profile">'Value Reference Tables'!$F$189</definedName>
    <definedName name="wld_cl01_vds_copy_profile_chosen">'Deploy Workload Domain'!$D$234</definedName>
    <definedName name="wld_cl01_vds_name">'Value Reference Tables'!$O$66</definedName>
    <definedName name="wld_cl01_vds_profile_chosen">'Deploy Workload Domain'!$D$233</definedName>
    <definedName name="wld_cl01_vds_standard_preconfigured_profiles">'Static Reference Tables'!$F$44:$F$48</definedName>
    <definedName name="wld_cl01_vds_vsanmax_preconfigured_profiles">'Static Reference Tables'!$E$44:$E$45</definedName>
    <definedName name="wld_cl01_vds01_lacp_mode_chosen">'Deploy Workload Domain'!$D$243</definedName>
    <definedName name="wld_cl01_vds01_lacp_timeout_chosen">'Deploy Workload Domain'!$D$245</definedName>
    <definedName name="wld_cl01_vds01_lag_lbt_chosen">'Deploy Workload Domain'!$D$244</definedName>
    <definedName name="wld_cl01_vds01_lag_name">'Value Reference Tables'!$F$76</definedName>
    <definedName name="wld_cl01_vds01_link_type_chosen">'Deploy Workload Domain'!$D$241</definedName>
    <definedName name="wld_cl01_vds01_mtu">'Value Reference Tables'!$F$73</definedName>
    <definedName name="wld_cl01_vds01_name">'Value Reference Tables'!$F$70</definedName>
    <definedName name="wld_cl01_vds01_pnics">'Value Reference Tables'!$F$71</definedName>
    <definedName name="wld_cl01_vds01_traffic_type">'Value Reference Tables'!$F$75</definedName>
    <definedName name="wld_cl01_vds01_uplink_count">'Value Reference Tables'!$F$72</definedName>
    <definedName name="wld_cl01_vds02_lacp_mode_chosen">'Deploy Workload Domain'!$D$254</definedName>
    <definedName name="wld_cl01_vds02_lacp_timeout_chosen">'Deploy Workload Domain'!$D$256</definedName>
    <definedName name="wld_cl01_vds02_lag_lbt_chosen">'Deploy Workload Domain'!$D$255</definedName>
    <definedName name="wld_cl01_vds02_lag_name">'Value Reference Tables'!$F$84</definedName>
    <definedName name="wld_cl01_vds02_link_type_chosen">'Deploy Workload Domain'!$D$252</definedName>
    <definedName name="wld_cl01_vds02_mtu">'Value Reference Tables'!$F$81</definedName>
    <definedName name="wld_cl01_vds02_name">'Value Reference Tables'!$F$78</definedName>
    <definedName name="wld_cl01_vds02_pnics">'Value Reference Tables'!$F$79</definedName>
    <definedName name="wld_cl01_vds02_traffic_type">'Value Reference Tables'!$F$83</definedName>
    <definedName name="wld_cl01_vds02_uplink_count">'Value Reference Tables'!$F$80</definedName>
    <definedName name="wld_cl01_vds03_lacp_mode_chosen">'Deploy Workload Domain'!$D$265</definedName>
    <definedName name="wld_cl01_vds03_lacp_timeout_chosen">'Deploy Workload Domain'!$D$267</definedName>
    <definedName name="wld_cl01_vds03_lag_lbt_chosen">'Deploy Workload Domain'!$D$266</definedName>
    <definedName name="wld_cl01_vds03_lag_name">'Value Reference Tables'!$F$92</definedName>
    <definedName name="wld_cl01_vds03_link_type_chosen">'Deploy Workload Domain'!$D$263</definedName>
    <definedName name="wld_cl01_vds03_mtu">'Value Reference Tables'!$F$87</definedName>
    <definedName name="wld_cl01_vds03_name">'Value Reference Tables'!$F$86</definedName>
    <definedName name="wld_cl01_vds03_pnics">'Value Reference Tables'!$F$88</definedName>
    <definedName name="wld_cl01_vds03_traffic_type">'Value Reference Tables'!$F$91</definedName>
    <definedName name="wld_cl01_vds03_uplink_count">'Value Reference Tables'!$F$89</definedName>
    <definedName name="wld_cl01_vmfs_datastore_name">'Value Reference Tables'!$F$99</definedName>
    <definedName name="wld_cl01_vsan_client_network">'Deploy Workload Domain'!$D$202</definedName>
    <definedName name="wld_cl01_vsan_datastore">'Value Reference Tables'!$F$96</definedName>
    <definedName name="wld_cl01_vsan_dedupe_compression_chosen">'Deploy Workload Domain'!$D$204</definedName>
    <definedName name="wld_cl01_vsan_ftt_chosen">'Deploy Workload Domain'!$D$203</definedName>
    <definedName name="wld_cluster_compute_edge">'Static Reference Tables'!$B$381:$B$382</definedName>
    <definedName name="wld_cluster_compute_only">'Static Reference Tables'!$B$381</definedName>
    <definedName name="wld_cluster_edge">'Static Reference Tables'!$B$382</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Tables'!$O$88</definedName>
    <definedName name="wld_dedicated_edge_cluster_chosen_exclude">'Static Reference Tables'!$B$386</definedName>
    <definedName name="wld_dedicated_edge_cluster_chosen_include">'Static Reference Tables'!$B$385:$B$386</definedName>
    <definedName name="wld_domain_chosen">'Deploy Workload Domain'!$B$10</definedName>
    <definedName name="wld_domain_number_chosen">'Value Reference Tables'!$F$7</definedName>
    <definedName name="wld_domain_password_creation_chosen">'Deploy Workload Domain'!$D$151</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Domain'!$D$134</definedName>
    <definedName name="wld_ec_formfactor_chosen">'Configure Workload Domain'!$D$40</definedName>
    <definedName name="wld_ec_gateway_type">'Value Reference Tables'!$F$152</definedName>
    <definedName name="wld_ec_mtu">'Value Reference Tables'!$F$190</definedName>
    <definedName name="wld_ec_name">'Value Reference Tables'!$O$67</definedName>
    <definedName name="wld_ec_rp_name">'Value Reference Tables'!$F$153</definedName>
    <definedName name="wld_ec01_en01_host_group_affinity_rule_name">'Value Reference Tables'!$F$155</definedName>
    <definedName name="wld_ec01_en02_host_group_affinity_rule_name">'Value Reference Tables'!$F$156</definedName>
    <definedName name="wld_ec01_host_group_affinity_rule_chosen">'Configure Workload Domain'!$D$45</definedName>
    <definedName name="wld_ec01_use_host_overlay_chosen">'Configure Workload Domain'!$D$52</definedName>
    <definedName name="wld_en_asn">'Value Reference Tables - MR'!$I$100</definedName>
    <definedName name="wld_en01_bfd_chosen">'Configure Workload Domain'!$D$104</definedName>
    <definedName name="wld_en02_bfd_chosen">'Configure Workload Domain'!$D$119</definedName>
    <definedName name="wld_esx_root_password">'Value Reference Tables'!$C$223</definedName>
    <definedName name="wld_esx_root_username">'Value Reference Tables'!$L$40</definedName>
    <definedName name="wld_esxi_external_certs_chosen">'Deploy Workload Domain'!$B$17</definedName>
    <definedName name="wld_esxi_external_certs_result">'Deploy Workload Domain'!$D$17</definedName>
    <definedName name="wld_existing_active_nsx_gm">'Value Reference Tables'!$O$85</definedName>
    <definedName name="wld_existing_cross_instance_t0_name">'Value Reference Tables'!$O$86</definedName>
    <definedName name="wld_gateway_routing_type_chosen">'Configure Workload Domain'!$D$98</definedName>
    <definedName name="wld_host_overlay_addressing_chosen">'Deploy Workload Domain'!$D$304</definedName>
    <definedName name="wld_iaas_chosen">'Deploy Workload Domain'!$B$18</definedName>
    <definedName name="wld_iaas_result">'Deploy Workload Domain'!$D$18</definedName>
    <definedName name="wld_iaas_service_chosen">'Value Reference Tables'!$F$167</definedName>
    <definedName name="wld_multi_rack_count_chosen">'Deploy Workload Domain'!$B$12</definedName>
    <definedName name="wld_multi_rack_count_result">'Deploy Workload Domain'!$D$12</definedName>
    <definedName name="wld_multirack_calc">'Value Reference Tables'!$E$10</definedName>
    <definedName name="wld_multirack_result">'Value Reference Tables'!$F$10</definedName>
    <definedName name="wld_nsx_default_operation_mode_chosen">'Deploy Workload Domain'!$D$297</definedName>
    <definedName name="wld_nsx_ha_mode_chosen">'Deploy Workload Domain'!$D$173</definedName>
    <definedName name="wld_nsx_operation_mode_chosen">'Deploy Workload Domain'!$D$298</definedName>
    <definedName name="wld_nsx_overlay_transport_zone_chosen">'Deploy Workload Domain'!$D$299</definedName>
    <definedName name="wld_nsx_vlan_transport_zone_chosen">'Deploy Workload Domain'!$D$300</definedName>
    <definedName name="wld_nsx_vlan_transport_zone_name">'Value Reference Tables'!$F$173</definedName>
    <definedName name="wld_nsxt_appliance_size_chosen">'Deploy Workload Domain'!$D$174</definedName>
    <definedName name="wld_nsxt_en_admin_password">'Value Reference Tables'!$F$191</definedName>
    <definedName name="wld_nsxt_en_root_password">'Value Reference Tables'!$F$192</definedName>
    <definedName name="wld_nsxt_federation_chosen">'Configure Workload Domain'!$B$15</definedName>
    <definedName name="wld_nsxt_federation_global_manager_name">'Value Reference Tables'!$O$80</definedName>
    <definedName name="wld_nsxt_federation_location_name">'Value Reference Tables'!$O$81</definedName>
    <definedName name="wld_nsxt_federation_result">'Configure Workload Domain'!$D$15</definedName>
    <definedName name="wld_nsxt_global_mgr_anti_affinity_rule_name">'Value Reference Tables'!$O$77</definedName>
    <definedName name="wld_nsxt_global_mgr_certificate_id">'Value Reference Tables'!$O$78</definedName>
    <definedName name="wld_nsxt_global_mgr_cluster_id">'Value Reference Tables'!$O$76</definedName>
    <definedName name="wld_nsxt_global_mgr_vmca_signed_thumbprint">'Value Reference Tables'!$O$75</definedName>
    <definedName name="wld_nsxt_global_mgra_fqdn">'Value Reference Tables'!$F$49</definedName>
    <definedName name="wld_nsxt_global_mgra_hostname">'Value Reference Tables'!$F$36</definedName>
    <definedName name="wld_nsxt_global_mgra_ip">'Value Reference Tables'!$F$20</definedName>
    <definedName name="wld_nsxt_global_mgrb_fqdn">'Value Reference Tables'!$F$50</definedName>
    <definedName name="wld_nsxt_global_mgrb_hostname">'Value Reference Tables'!$F$37</definedName>
    <definedName name="wld_nsxt_global_mgrb_ip">'Value Reference Tables'!$F$21</definedName>
    <definedName name="wld_nsxt_global_mgrc_fqdn">'Value Reference Tables'!$F$51</definedName>
    <definedName name="wld_nsxt_global_mgrc_hostname">'Value Reference Tables'!$F$38</definedName>
    <definedName name="wld_nsxt_global_mgrc_ip">'Value Reference Tables'!$F$22</definedName>
    <definedName name="wld_nsxt_gm_admin_password">'Value Reference Tables'!$L$25</definedName>
    <definedName name="wld_nsxt_gm_audit_password">'Value Reference Tables'!$L$26</definedName>
    <definedName name="wld_nsxt_gm_fingerprint">'Value Reference Tables'!$O$83</definedName>
    <definedName name="wld_nsxt_gm_hostname">'Value Reference Tables'!$F$35</definedName>
    <definedName name="wld_nsxt_gm_root_password">'Value Reference Tables'!$L$24</definedName>
    <definedName name="wld_nsxt_gm_vip_fqdn">'Value Reference Tables'!$F$48</definedName>
    <definedName name="wld_nsxt_gm_vip_ip">'Value Reference Tables'!$F$19</definedName>
    <definedName name="wld_nsxt_hostname">'Value Reference Tables'!$F$31</definedName>
    <definedName name="wld_nsxt_lm_admin_password">'Value Reference Tables'!$F$150</definedName>
    <definedName name="wld_nsxt_lm_audit_password">'Value Reference Tables'!$F$149</definedName>
    <definedName name="wld_nsxt_lm_fingerprint">'Value Reference Tables'!$O$82</definedName>
    <definedName name="wld_nsxt_mgra_fqdn">'Value Reference Tables'!$F$45</definedName>
    <definedName name="wld_nsxt_mgra_hostname">'Value Reference Tables'!$F$32</definedName>
    <definedName name="wld_nsxt_mgra_ip">'Value Reference Tables'!$F$16</definedName>
    <definedName name="wld_nsxt_mgrb_fqdn">'Value Reference Tables'!$F$46</definedName>
    <definedName name="wld_nsxt_mgrb_hostname">'Value Reference Tables'!$F$33</definedName>
    <definedName name="wld_nsxt_mgrb_ip">'Value Reference Tables'!$F$17</definedName>
    <definedName name="wld_nsxt_mgrc_fqdn">'Value Reference Tables'!$F$47</definedName>
    <definedName name="wld_nsxt_mgrc_hostname">'Value Reference Tables'!$F$34</definedName>
    <definedName name="wld_nsxt_mgrc_ip">'Value Reference Tables'!$F$18</definedName>
    <definedName name="wld_nsxt_vip_fqdn">'Value Reference Tables'!$F$44</definedName>
    <definedName name="wld_nsxt_vip_ip">'Value Reference Tables'!$F$15</definedName>
    <definedName name="wld_nsxt_xreg_t1_name">'Value Reference Tables'!$O$84</definedName>
    <definedName name="wld_principal_storage_chosen">'Deploy Workload Domain'!$B$14</definedName>
    <definedName name="wld_principal_storage_result">'Deploy Workload Domain'!$D$14</definedName>
    <definedName name="wld_rack2_en_asn">'Value Reference Tables - MR'!$L$100</definedName>
    <definedName name="wld_rack3_en_asn">'Value Reference Tables - MR'!$O$100</definedName>
    <definedName name="wld_rack4_en_asn">'Value Reference Tables - MR'!$R$100</definedName>
    <definedName name="wld_rack5_en_asn">'Value Reference Tables - MR'!$U$100</definedName>
    <definedName name="wld_rack6_en_asn">'Value Reference Tables - MR'!$X$100</definedName>
    <definedName name="wld_rack7_en_asn">'Value Reference Tables - MR'!$AA$100</definedName>
    <definedName name="wld_rack8_en_asn">'Value Reference Tables - MR'!$AD$100</definedName>
    <definedName name="wld_rtep_ip_pool_name">'Value Reference Tables'!$O$79</definedName>
    <definedName name="wld_rtep_overlay_pool_end_ip">'Value Reference Tables - MR'!$I$162</definedName>
    <definedName name="wld_rtep_overlay_pool_start_ip">'Value Reference Tables - MR'!$I$161</definedName>
    <definedName name="wld_rwr_az1_vrms_gateway_ip">'Value Reference Tables'!$U$206</definedName>
    <definedName name="wld_rwr_az1_vrms_gateway_mask">'Value Reference Tables'!$U$208</definedName>
    <definedName name="wld_rwr_cl02_cluster">'Value Reference Tables'!$U$195</definedName>
    <definedName name="wld_rwr_recovery_site_az1_vrms_cidr">'Value Reference Tables'!$U$207</definedName>
    <definedName name="wld_rwr_recovery_site_vc_fqdn">'Value Reference Tables'!$U$202</definedName>
    <definedName name="wld_rwr_recoverysite_fd">'Value Reference Tables'!$U$204</definedName>
    <definedName name="wld_rwr_recoverysite_prefix">'Value Reference Tables'!$U$205</definedName>
    <definedName name="wld_rwr_vc_fqdn">'Value Reference Tables'!$U$192</definedName>
    <definedName name="wld_rwr_vcfops_vlsr_username">'Value Reference Tables'!$U$210</definedName>
    <definedName name="wld_rwr_vcfops_vr_username">'Value Reference Tables'!$U$211</definedName>
    <definedName name="wld_sddc_domain">'Value Reference Tables'!$O$63</definedName>
    <definedName name="wld_sddc_org">'Value Reference Tables'!$O$64</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Tables'!$U$115</definedName>
    <definedName name="wld_srm_admin_password">'Value Reference Tables'!$U$112</definedName>
    <definedName name="wld_srm_database_password">'Value Reference Tables'!$U$113</definedName>
    <definedName name="wld_srm_fqdn">'Value Reference Tables'!$R$130</definedName>
    <definedName name="wld_srm_hostname">'Value Reference Tables'!$R$120</definedName>
    <definedName name="wld_srm_ip">'Value Reference Tables'!$R$110</definedName>
    <definedName name="wld_srm_p12_password">'Value Reference Tables'!$U$116</definedName>
    <definedName name="wld_srm_recovery_vcenter_fqdn">'Value Reference Tables'!$U$118</definedName>
    <definedName name="wld_srm_recovery_vcenter_password">'Value Reference Tables'!$U$120</definedName>
    <definedName name="wld_srm_recovery_vcenter_username">'Value Reference Tables'!$U$119</definedName>
    <definedName name="wld_srm_root_password">'Value Reference Tables'!$U$111</definedName>
    <definedName name="wld_srm_site_name">'Value Reference Tables'!$U$114</definedName>
    <definedName name="wld_srm_sso_domain_membership">'Value Reference Tables'!$U$122</definedName>
    <definedName name="wld_srm_vm_folder">'Value Reference Tables'!$U$110</definedName>
    <definedName name="wld_srm_vm_size">'Value Reference Tables'!$U$117</definedName>
    <definedName name="wld_srm_vm_size_chosen">'Management Domain Sizing'!$F$72</definedName>
    <definedName name="wld_sso_domain_administrator">'Value Reference Tables'!$F$146</definedName>
    <definedName name="wld_sso_domain_administrator_password">'Value Reference Tables'!$F$145</definedName>
    <definedName name="wld_sso_domain_name">'Value Reference Tables'!$F$144</definedName>
    <definedName name="wld_stretched_cluster_chosen">'Configure Workload Domain'!$B$14</definedName>
    <definedName name="wld_stretched_cluster_result">'Configure Workload Domain'!$D$14</definedName>
    <definedName name="wld_tier0_ha_chosen">'Configure Workload Domain'!$D$97</definedName>
    <definedName name="wld_tier0_name">'Value Reference Tables'!$O$69</definedName>
    <definedName name="wld_tier0_skip_chosen">'Configure Workload Domain'!$D$95</definedName>
    <definedName name="wld_vc_fqdn">'Value Reference Tables'!$F$43</definedName>
    <definedName name="wld_vc_hostname">'Value Reference Tables'!$F$30</definedName>
    <definedName name="wld_vc_ip">'Value Reference Tables'!$F$14</definedName>
    <definedName name="wld_vcenter_root_password">'Value Reference Tables'!$C$224</definedName>
    <definedName name="wld_vlr_fqdn">'Value Reference Tables'!$U$194</definedName>
    <definedName name="wld_vlr_hostname">'Value Reference Tables'!$U$193</definedName>
    <definedName name="wld_vlr_replication_user">'Value Reference Tables'!$U$198</definedName>
    <definedName name="wld_vnaa_fqdn">Arkham!$R$45</definedName>
    <definedName name="wld_vnaa_ip">Arkham!$R$43</definedName>
    <definedName name="wld_vnab_fqdn">Arkham!$R$46</definedName>
    <definedName name="wld_vnab_ip">Arkham!$R$44</definedName>
    <definedName name="wld_vpc_ext_ip_blocks">'Value Reference Tables'!$O$71</definedName>
    <definedName name="wld_vpc_transit_gateway_ip_blocks">'Value Reference Tables'!$O$72</definedName>
    <definedName name="wld_vrms_admin_email">'Value Reference Tables'!$U$107</definedName>
    <definedName name="wld_vrms_admin_password">'Value Reference Tables'!$U$105</definedName>
    <definedName name="wld_vrms_fqdn">'Value Reference Tables'!$R$129</definedName>
    <definedName name="wld_vrms_hostname">'Value Reference Tables'!$R$119</definedName>
    <definedName name="wld_vrms_mask">'Value Reference Tables'!$AA$50</definedName>
    <definedName name="wld_vrms_mgmt_ip">'Value Reference Tables'!$R$108</definedName>
    <definedName name="wld_vrms_p12_password">'Value Reference Tables'!$U$109</definedName>
    <definedName name="wld_vrms_pg">'Value Reference Tables'!$U$108</definedName>
    <definedName name="wld_vrms_recovery_replication_cidr">'Value Reference Tables'!$U$121</definedName>
    <definedName name="wld_vrms_root_password">'Value Reference Tables'!$U$104</definedName>
    <definedName name="wld_vrms_site_name">'Value Reference Tables'!$U$106</definedName>
    <definedName name="wld_vrms_vm_folder">'Value Reference Tables'!$U$103</definedName>
    <definedName name="wld_vrms_vrms_ip">'Value Reference Tables'!$R$109</definedName>
    <definedName name="wld_vsan_type">'Value Reference Tables'!$F$170</definedName>
    <definedName name="wld_vsan_type_chosen">'Configure Workload Domain'!$D$249</definedName>
    <definedName name="wld_witness_az_mgmt_mask">'Value Reference Tables'!$AA$43</definedName>
    <definedName name="wld_witness_cluster">'Value Reference Tables'!$F$121</definedName>
    <definedName name="wld_witness_dns1_ip">'Value Reference Tables'!$F$123</definedName>
    <definedName name="wld_witness_dns2_ip">'Value Reference Tables'!$F$124</definedName>
    <definedName name="wld_witness_fqdn">'Value Reference Tables'!$F$59</definedName>
    <definedName name="wld_witness_hostname">'Value Reference Tables'!$F$107</definedName>
    <definedName name="wld_witness_ip">'Value Reference Tables'!$F$132</definedName>
    <definedName name="wld_witness_mgmt_pg">'Value Reference Tables'!$X$56</definedName>
    <definedName name="wld_witness_ntp1_server">'Value Reference Tables'!$F$125</definedName>
    <definedName name="wld_witness_ntp2_server">'Value Reference Tables'!$F$126</definedName>
    <definedName name="wld_witness_root_password">'Value Reference Tables'!$L$35</definedName>
    <definedName name="wld_witness_vc_fqdn">'Value Reference Tables'!$F$58</definedName>
    <definedName name="wld_witness_vm_folder">'Value Reference Tables'!$F$122</definedName>
    <definedName name="wld_witness_vsan_datastore">'Value Reference Tables'!$F$120</definedName>
    <definedName name="wld_witness_zone_vc_fqdn">'Value Reference Tables'!$F$133</definedName>
    <definedName name="wld_witness_zone_vc_hostname">'Value Reference Tables'!$F$106</definedName>
    <definedName name="wld_witness_zone_vc_ip">'Value Reference Tables'!$F$130</definedName>
    <definedName name="wld_witnessaz_gateway_ip">'Value Reference Tables'!$X$64</definedName>
    <definedName name="wld_witnessaz_mgmt_cidr">'Value Reference Tables'!$F$134</definedName>
    <definedName name="wld_witnessaz_mgmt_gateway_ip">'Value Reference Tables'!$F$135</definedName>
    <definedName name="wld_witnessaz_mgmt_mask">'Value Reference Tables'!$F$136</definedName>
    <definedName name="wld_witnessaz_mgmt_mtu">'Value Reference Tables'!$X$68</definedName>
    <definedName name="wld_witnessaz_mgmt_network">'Value Reference Tables'!$F$137</definedName>
    <definedName name="wld_witnessaz_mgmt_vlan">'Value Reference Tables'!$X$52</definedName>
    <definedName name="workload_descriptor">'Value Reference Tables'!$AA$61</definedName>
    <definedName name="xreg_seg01_mask">'Value Reference Tables'!$AA$41</definedName>
    <definedName name="xreg_vra_admin_password">'Value Reference Tables'!$C$225</definedName>
    <definedName name="xreg_vra_k8s_cluster_cidr_chosen">'Deploy Management Domain'!$L$85</definedName>
    <definedName name="xreg_vra_node_pool_end_ip">Arkham!$R$38</definedName>
    <definedName name="xreg_vra_node_pool_start_ip">Arkham!$R$37</definedName>
    <definedName name="xreg_vra_nodea_ip">'Value Reference Tables'!$R$39</definedName>
    <definedName name="xreg_vra_nodeb_ip">'Value Reference Tables'!$R$40</definedName>
    <definedName name="xreg_vra_nodec_ip">'Value Reference Tables'!$R$41</definedName>
    <definedName name="xreg_vra_noded_ip">'Value Reference Tables'!$R$42</definedName>
    <definedName name="xreg_vra_nodee_ip">Arkham!$R$8</definedName>
    <definedName name="xreg_vra_nodef_ip">Arkham!$R$9</definedName>
    <definedName name="xreg_vra_prefix">'Value Reference Tables'!$F$138</definedName>
    <definedName name="xreg_vra_size_chosen">Arkham!$P$4</definedName>
    <definedName name="xreg_vra_virtual_fqdn">'Value Reference Tables'!$R$52</definedName>
    <definedName name="xreg_vra_virtual_hostname">'Value Reference Tables'!$R$48</definedName>
    <definedName name="xreg_vra_virtual_ip">'Value Reference Tables'!$R$38</definedName>
    <definedName name="xreg_vra_vm_folder">'Dumping Ground'!$D$107</definedName>
    <definedName name="xreg_vrni_nodea_hostname">'Value Reference Tables'!$R$139</definedName>
    <definedName name="xreg_vrni_nodea_ip">'Value Reference Tables'!$R$134</definedName>
    <definedName name="xreg_vrops_admin_password">'Value Reference Tables'!$C$226</definedName>
    <definedName name="xreg_vrops_collector_fqdn">'Value Reference Tables'!$R$97</definedName>
    <definedName name="xreg_vrops_collector_hostname">'Value Reference Tables'!$R$89</definedName>
    <definedName name="xreg_vrops_collector_ip">'Value Reference Tables'!$F$139</definedName>
    <definedName name="xreg_vrops_collector_root_password">'Value Reference Tables'!$L$39</definedName>
    <definedName name="xreg_vrops_nodea_fqdn">'Value Reference Tables'!$R$94</definedName>
    <definedName name="xreg_vrops_nodea_hostname">'Value Reference Tables'!$R$86</definedName>
    <definedName name="xreg_vrops_nodea_ip">'Value Reference Tables'!$R$78</definedName>
    <definedName name="xreg_vrops_nodeb_fqdn">'Value Reference Tables'!$R$95</definedName>
    <definedName name="xreg_vrops_nodeb_hostname">'Value Reference Tables'!$R$87</definedName>
    <definedName name="xreg_vrops_nodeb_ip">'Value Reference Tables'!$R$79</definedName>
    <definedName name="xreg_vrops_nodec_fqdn">'Value Reference Tables'!$R$96</definedName>
    <definedName name="xreg_vrops_nodec_hostname">'Value Reference Tables'!$R$88</definedName>
    <definedName name="xreg_vrops_nodec_ip">'Value Reference Tables'!$R$80</definedName>
    <definedName name="xreg_vrops_root_password">'Value Reference Tables'!$C$227</definedName>
    <definedName name="xreg_vrops_srm_sso_password">'Value Reference Tables'!$U$60</definedName>
    <definedName name="xreg_vrops_srm_sso_username">'Value Reference Tables'!$U$59</definedName>
    <definedName name="xreg_vrops_virtual_fqdn">'Value Reference Tables'!$R$93</definedName>
    <definedName name="xreg_vrops_virtual_hostname">'Value Reference Tables'!$R$85</definedName>
    <definedName name="xreg_vrops_virtual_ip">'Value Reference Tables'!$R$77</definedName>
    <definedName name="xreg_vrops_vm_folder">'Dumping Ground'!$D$106</definedName>
    <definedName name="xreg_vrops_vrms_sso_password">'Value Reference Tables'!$U$58</definedName>
    <definedName name="xreg_vrops_vrms_sso_username">'Value Reference Tables'!$U$57</definedName>
    <definedName name="xreg_vrslcm_fqdn">'Value Reference Tables'!$R$16</definedName>
    <definedName name="xreg_vrslcm_hostname">'Value Reference Tables'!$R$12</definedName>
    <definedName name="xreg_vrslcm_ip">'Value Reference Tables'!$R$8</definedName>
    <definedName name="xreg_wsa_cert_name">'Value Reference Tables'!$AA$15</definedName>
    <definedName name="xreg_wsa_vm_folder">'Dumping Ground'!$D$105</definedName>
    <definedName name="xregion_dns1_ip">'Value Reference Tables'!$L$53</definedName>
    <definedName name="xregion_dns2_ip">'Value Reference Tables'!$L$54</definedName>
    <definedName name="xregion_ntp1_server">'Value Reference Tables'!$L$47</definedName>
    <definedName name="xregion_ntp2_server">'Value Reference Tables'!$L$48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3" i="62" l="1"/>
  <c r="C125" i="108" l="1"/>
  <c r="C60" i="109" l="1"/>
  <c r="C68" i="109"/>
  <c r="C72" i="109"/>
  <c r="C46" i="109"/>
  <c r="C42" i="109"/>
  <c r="C99" i="108"/>
  <c r="C103" i="108"/>
  <c r="C117" i="108"/>
  <c r="C129" i="108"/>
  <c r="P44" i="123"/>
  <c r="P43" i="123"/>
  <c r="D229" i="85"/>
  <c r="D228" i="85"/>
  <c r="D227" i="85"/>
  <c r="C223" i="85"/>
  <c r="C222" i="85"/>
  <c r="C221" i="85"/>
  <c r="D220" i="85"/>
  <c r="C220" i="85"/>
  <c r="C219" i="85"/>
  <c r="C218" i="85"/>
  <c r="C209" i="85"/>
  <c r="C210" i="85" s="1"/>
  <c r="D210" i="85" s="1"/>
  <c r="D199" i="85"/>
  <c r="C179" i="85"/>
  <c r="D177" i="85"/>
  <c r="D171" i="85"/>
  <c r="D167" i="85"/>
  <c r="C157" i="85"/>
  <c r="C156" i="85"/>
  <c r="C155" i="85"/>
  <c r="C150" i="85"/>
  <c r="D149" i="85"/>
  <c r="D148" i="85"/>
  <c r="D147" i="85"/>
  <c r="C146" i="85"/>
  <c r="C145" i="85"/>
  <c r="C134" i="85"/>
  <c r="C128" i="85"/>
  <c r="C125" i="85"/>
  <c r="C121" i="85"/>
  <c r="C120" i="85"/>
  <c r="C111" i="85"/>
  <c r="C110" i="85"/>
  <c r="C102" i="85"/>
  <c r="D101" i="85"/>
  <c r="D97" i="85"/>
  <c r="C97" i="85"/>
  <c r="C92" i="85"/>
  <c r="D91" i="85"/>
  <c r="D90" i="85"/>
  <c r="D89" i="85"/>
  <c r="C88" i="85"/>
  <c r="C87" i="85"/>
  <c r="C82" i="85"/>
  <c r="C81" i="85"/>
  <c r="C80" i="85"/>
  <c r="C79" i="85"/>
  <c r="C78" i="85"/>
  <c r="C77" i="85"/>
  <c r="C76" i="85"/>
  <c r="D75" i="85"/>
  <c r="C53" i="85"/>
  <c r="C52" i="85"/>
  <c r="C46" i="85"/>
  <c r="C166" i="86"/>
  <c r="D166" i="86" s="1"/>
  <c r="D165" i="86"/>
  <c r="C165" i="86"/>
  <c r="D156" i="86"/>
  <c r="C155" i="86"/>
  <c r="C154" i="86"/>
  <c r="D153" i="86"/>
  <c r="D148" i="86"/>
  <c r="C144" i="86"/>
  <c r="C143" i="86"/>
  <c r="D140" i="86"/>
  <c r="C120" i="86"/>
  <c r="C119" i="86"/>
  <c r="C118" i="86"/>
  <c r="C117" i="86"/>
  <c r="D116" i="86"/>
  <c r="C116" i="86"/>
  <c r="D113" i="86"/>
  <c r="C108" i="86" a="1"/>
  <c r="C108" i="86" s="1"/>
  <c r="C107" i="86" a="1"/>
  <c r="C107" i="86"/>
  <c r="D102" i="86"/>
  <c r="D100" i="86"/>
  <c r="C93" i="86" a="1"/>
  <c r="C93" i="86"/>
  <c r="C86" i="86" a="1"/>
  <c r="C86" i="86"/>
  <c r="C85" i="86"/>
  <c r="C80" i="86" a="1"/>
  <c r="C80" i="86"/>
  <c r="D79" i="86"/>
  <c r="C79" i="86"/>
  <c r="C74" i="86"/>
  <c r="C69" i="86" a="1"/>
  <c r="C69" i="86"/>
  <c r="D68" i="86"/>
  <c r="D67" i="86"/>
  <c r="D66" i="86"/>
  <c r="C65" i="86" a="1"/>
  <c r="C65" i="86"/>
  <c r="C64" i="86" a="1"/>
  <c r="C64" i="86" s="1"/>
  <c r="C59" i="86" a="1"/>
  <c r="C59" i="86"/>
  <c r="C58" i="86" a="1"/>
  <c r="C58" i="86" s="1"/>
  <c r="C57" i="86" a="1"/>
  <c r="C57" i="86" s="1"/>
  <c r="C56" i="86" a="1"/>
  <c r="C56" i="86"/>
  <c r="C55" i="86" a="1"/>
  <c r="C55" i="86"/>
  <c r="C54" i="86" a="1"/>
  <c r="C54" i="86"/>
  <c r="C53" i="86" a="1"/>
  <c r="C53" i="86" s="1"/>
  <c r="D52" i="86"/>
  <c r="C112" i="95"/>
  <c r="C108" i="95"/>
  <c r="C104" i="95"/>
  <c r="D100" i="95"/>
  <c r="C100" i="95"/>
  <c r="C86" i="95"/>
  <c r="C70" i="95"/>
  <c r="C69" i="95"/>
  <c r="D65" i="95"/>
  <c r="D61" i="95"/>
  <c r="D60" i="95"/>
  <c r="C54" i="95"/>
  <c r="C53" i="95"/>
  <c r="C169" i="112"/>
  <c r="D166" i="112"/>
  <c r="F163" i="112"/>
  <c r="H144" i="112"/>
  <c r="C144" i="112"/>
  <c r="H143" i="112"/>
  <c r="C143" i="112"/>
  <c r="H141" i="112"/>
  <c r="C139" i="112"/>
  <c r="C120" i="112"/>
  <c r="C45" i="112"/>
  <c r="H41" i="112"/>
  <c r="G41" i="112"/>
  <c r="F41" i="112" a="1"/>
  <c r="F41" i="112" s="1"/>
  <c r="E41" i="112"/>
  <c r="C20" i="112"/>
  <c r="C19" i="112"/>
  <c r="G17" i="112"/>
  <c r="G16" i="112"/>
  <c r="F16" i="112" a="1"/>
  <c r="F16" i="112"/>
  <c r="E16" i="112"/>
  <c r="C15" i="112" a="1"/>
  <c r="C15" i="112"/>
  <c r="C106" i="116"/>
  <c r="C103" i="116"/>
  <c r="D97" i="116"/>
  <c r="C93" i="116"/>
  <c r="C85" i="116"/>
  <c r="C78" i="116"/>
  <c r="C72" i="116"/>
  <c r="C67" i="116"/>
  <c r="C54" i="116"/>
  <c r="C35" i="116"/>
  <c r="C32" i="116"/>
  <c r="D30" i="116"/>
  <c r="C23" i="116"/>
  <c r="D21" i="116"/>
  <c r="C18" i="116"/>
  <c r="B147" i="113"/>
  <c r="B142" i="113"/>
  <c r="C132" i="113"/>
  <c r="C124" i="113"/>
  <c r="C121" i="113"/>
  <c r="D111" i="113"/>
  <c r="D98" i="113"/>
  <c r="C86" i="113"/>
  <c r="C79" i="113"/>
  <c r="C73" i="113"/>
  <c r="C68" i="113"/>
  <c r="C55" i="113"/>
  <c r="C36" i="113"/>
  <c r="C33" i="113"/>
  <c r="C28" i="113"/>
  <c r="C23" i="113"/>
  <c r="C18" i="113"/>
  <c r="C13" i="113"/>
  <c r="C202" i="119"/>
  <c r="D181" i="119"/>
  <c r="C134" i="119"/>
  <c r="C131" i="119"/>
  <c r="C126" i="119"/>
  <c r="C125" i="119"/>
  <c r="C130" i="119" s="1"/>
  <c r="C123" i="119"/>
  <c r="C127" i="119" s="1"/>
  <c r="C113" i="119"/>
  <c r="C101" i="119"/>
  <c r="C100" i="119"/>
  <c r="E97" i="119"/>
  <c r="C91" i="119"/>
  <c r="C88" i="119"/>
  <c r="D85" i="119" a="1"/>
  <c r="D85" i="119" s="1"/>
  <c r="C85" i="119"/>
  <c r="C79" i="119"/>
  <c r="E78" i="119"/>
  <c r="E71" i="119"/>
  <c r="E70" i="119"/>
  <c r="C62" i="119"/>
  <c r="D57" i="119"/>
  <c r="C43" i="119"/>
  <c r="C212" i="119" s="1"/>
  <c r="C32" i="119"/>
  <c r="C23" i="119"/>
  <c r="C36" i="119" s="1"/>
  <c r="C21" i="119"/>
  <c r="C20" i="119"/>
  <c r="D525" i="75"/>
  <c r="D520" i="75"/>
  <c r="C519" i="75"/>
  <c r="C518" i="75"/>
  <c r="C517" i="75"/>
  <c r="D514" i="75"/>
  <c r="C514" i="75"/>
  <c r="C508" i="75"/>
  <c r="C507" i="75"/>
  <c r="C506" i="75"/>
  <c r="C503" i="75"/>
  <c r="D496" i="75"/>
  <c r="D491" i="75"/>
  <c r="D490" i="75"/>
  <c r="C490" i="75"/>
  <c r="D489" i="75"/>
  <c r="C488" i="75"/>
  <c r="C487" i="75"/>
  <c r="C477" i="75"/>
  <c r="C466" i="75"/>
  <c r="D455" i="75"/>
  <c r="D452" i="75" a="1"/>
  <c r="D452" i="75" s="1"/>
  <c r="D450" i="75"/>
  <c r="D448" i="75"/>
  <c r="D431" i="75"/>
  <c r="C431" i="75"/>
  <c r="D430" i="75"/>
  <c r="C430" i="75"/>
  <c r="D423" i="75"/>
  <c r="C423" i="75"/>
  <c r="C416" i="75"/>
  <c r="C415" i="75"/>
  <c r="C408" i="75"/>
  <c r="D405" i="75"/>
  <c r="D404" i="75"/>
  <c r="D402" i="75"/>
  <c r="D401" i="75" a="1"/>
  <c r="D401" i="75"/>
  <c r="C382" i="75"/>
  <c r="C380" i="75"/>
  <c r="C379" i="75"/>
  <c r="D375" i="75"/>
  <c r="D372" i="75"/>
  <c r="C361" i="75"/>
  <c r="C358" i="75"/>
  <c r="C357" i="75"/>
  <c r="C356" i="75"/>
  <c r="C355" i="75"/>
  <c r="C353" i="75"/>
  <c r="C352" i="75"/>
  <c r="C351" i="75"/>
  <c r="C350" i="75"/>
  <c r="C347" i="75"/>
  <c r="C346" i="75"/>
  <c r="C345" i="75"/>
  <c r="C344" i="75"/>
  <c r="C336" i="75"/>
  <c r="C335" i="75"/>
  <c r="D334" i="75"/>
  <c r="C334" i="75"/>
  <c r="C332" i="75"/>
  <c r="C331" i="75"/>
  <c r="C330" i="75"/>
  <c r="C328" i="75"/>
  <c r="C327" i="75"/>
  <c r="D326" i="75" a="1"/>
  <c r="D326" i="75" s="1"/>
  <c r="C326" i="75"/>
  <c r="C318" i="75"/>
  <c r="C317" i="75"/>
  <c r="C316" i="75"/>
  <c r="C315" i="75"/>
  <c r="C306" i="75"/>
  <c r="C305" i="75"/>
  <c r="D304" i="75"/>
  <c r="C304" i="75"/>
  <c r="C302" i="75"/>
  <c r="C301" i="75"/>
  <c r="C300" i="75"/>
  <c r="C293" i="75"/>
  <c r="C292" i="75"/>
  <c r="C291" i="75"/>
  <c r="D290" i="75" a="1"/>
  <c r="D290" i="75" s="1"/>
  <c r="C290" i="75"/>
  <c r="C281" i="75"/>
  <c r="C280" i="75"/>
  <c r="D279" i="75"/>
  <c r="C279" i="75"/>
  <c r="C277" i="75"/>
  <c r="C276" i="75"/>
  <c r="C275" i="75"/>
  <c r="C268" i="75"/>
  <c r="C267" i="75"/>
  <c r="C266" i="75"/>
  <c r="C265" i="75"/>
  <c r="C264" i="75"/>
  <c r="C251" i="75"/>
  <c r="C250" i="75"/>
  <c r="C249" i="75"/>
  <c r="C248" i="75"/>
  <c r="C348" i="75" s="1"/>
  <c r="C218" i="75"/>
  <c r="C207" i="75"/>
  <c r="C200" i="75"/>
  <c r="C199" i="75"/>
  <c r="C197" i="75"/>
  <c r="C196" i="75"/>
  <c r="C193" i="75"/>
  <c r="C187" i="75"/>
  <c r="C186" i="75"/>
  <c r="C185" i="75"/>
  <c r="C183" i="75"/>
  <c r="C182" i="75"/>
  <c r="C181" i="75"/>
  <c r="C173" i="75"/>
  <c r="C171" i="75"/>
  <c r="C153" i="75"/>
  <c r="C149" i="75"/>
  <c r="C142" i="75"/>
  <c r="C141" i="75"/>
  <c r="C134" i="75"/>
  <c r="C124" i="75"/>
  <c r="C123" i="75"/>
  <c r="C122" i="75"/>
  <c r="C121" i="75"/>
  <c r="C120" i="75"/>
  <c r="C108" i="75"/>
  <c r="C107" i="75"/>
  <c r="C106" i="75"/>
  <c r="C103" i="75"/>
  <c r="D102" i="75"/>
  <c r="C100" i="75"/>
  <c r="C102" i="75" s="1"/>
  <c r="D90" i="75"/>
  <c r="C85" i="75"/>
  <c r="D82" i="75"/>
  <c r="C82" i="75"/>
  <c r="D76" i="75"/>
  <c r="C70" i="75"/>
  <c r="D68" i="75"/>
  <c r="C67" i="75"/>
  <c r="C62" i="75"/>
  <c r="C54" i="75"/>
  <c r="C53" i="75"/>
  <c r="D51" i="75"/>
  <c r="C40" i="75"/>
  <c r="C39" i="75"/>
  <c r="C61" i="75" s="1"/>
  <c r="C38" i="75"/>
  <c r="C59" i="75" s="1"/>
  <c r="C37" i="75"/>
  <c r="C36" i="75"/>
  <c r="C35" i="75"/>
  <c r="C51" i="75" s="1"/>
  <c r="C34" i="75"/>
  <c r="C33" i="75"/>
  <c r="C32" i="75"/>
  <c r="D30" i="75"/>
  <c r="C21" i="75"/>
  <c r="C13" i="75"/>
  <c r="C641" i="117"/>
  <c r="C640" i="117"/>
  <c r="C639" i="117"/>
  <c r="C638" i="117"/>
  <c r="E637" i="117"/>
  <c r="D633" i="117"/>
  <c r="D630" i="117"/>
  <c r="D629" i="117"/>
  <c r="C592" i="117"/>
  <c r="C631" i="117" s="1"/>
  <c r="E591" i="117"/>
  <c r="C548" i="117"/>
  <c r="C547" i="117"/>
  <c r="C545" i="117"/>
  <c r="E544" i="117"/>
  <c r="D540" i="117"/>
  <c r="D537" i="117"/>
  <c r="D536" i="117"/>
  <c r="E498" i="117"/>
  <c r="C453" i="117"/>
  <c r="C452" i="117"/>
  <c r="E451" i="117"/>
  <c r="D444" i="117"/>
  <c r="D443" i="117"/>
  <c r="E405" i="117"/>
  <c r="C365" i="117"/>
  <c r="C361" i="117"/>
  <c r="E358" i="117"/>
  <c r="D354" i="117"/>
  <c r="D351" i="117"/>
  <c r="D350" i="117"/>
  <c r="C313" i="117"/>
  <c r="C352" i="117" s="1"/>
  <c r="E312" i="117"/>
  <c r="C272" i="117"/>
  <c r="C269" i="117"/>
  <c r="E265" i="117"/>
  <c r="D258" i="117"/>
  <c r="D257" i="117"/>
  <c r="E219" i="117"/>
  <c r="C175" i="117"/>
  <c r="C174" i="117"/>
  <c r="C173" i="117"/>
  <c r="E172" i="117"/>
  <c r="C166" i="117"/>
  <c r="D165" i="117"/>
  <c r="D164" i="117"/>
  <c r="C127" i="117"/>
  <c r="E126" i="117"/>
  <c r="C86" i="117"/>
  <c r="C83" i="117"/>
  <c r="C82" i="117"/>
  <c r="C80" i="117"/>
  <c r="E79" i="117"/>
  <c r="D75" i="117"/>
  <c r="D72" i="117"/>
  <c r="D71" i="117"/>
  <c r="C34" i="117"/>
  <c r="C73" i="117" s="1"/>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D418" i="120"/>
  <c r="C417" i="120"/>
  <c r="D416" i="120"/>
  <c r="C416" i="120"/>
  <c r="D404" i="120"/>
  <c r="D394" i="120"/>
  <c r="C394" i="120"/>
  <c r="D393" i="120"/>
  <c r="C387" i="120"/>
  <c r="D386" i="120"/>
  <c r="D378" i="120"/>
  <c r="C376" i="120"/>
  <c r="D373" i="120"/>
  <c r="C373" i="120"/>
  <c r="C372" i="120"/>
  <c r="C368" i="120"/>
  <c r="D367" i="120"/>
  <c r="D354" i="120" a="1"/>
  <c r="D354" i="120"/>
  <c r="D352" i="120"/>
  <c r="D349" i="120"/>
  <c r="D348" i="120" a="1"/>
  <c r="D348" i="120" s="1"/>
  <c r="D345" i="120" a="1"/>
  <c r="D345" i="120"/>
  <c r="C345" i="120" a="1"/>
  <c r="C345" i="120"/>
  <c r="D341" i="120" a="1"/>
  <c r="D341" i="120" s="1"/>
  <c r="D338" i="120" a="1"/>
  <c r="D338" i="120" s="1"/>
  <c r="D335" i="120" a="1"/>
  <c r="D335" i="120" s="1"/>
  <c r="C335" i="120" a="1"/>
  <c r="C335" i="120" s="1"/>
  <c r="D332" i="120" a="1"/>
  <c r="D332" i="120"/>
  <c r="C320" i="120"/>
  <c r="C303" i="120"/>
  <c r="C301" i="120"/>
  <c r="C300" i="120"/>
  <c r="C299" i="120"/>
  <c r="C298" i="120"/>
  <c r="D285" i="120" a="1"/>
  <c r="D285" i="120"/>
  <c r="C285" i="120"/>
  <c r="C284" i="120"/>
  <c r="C270" i="120"/>
  <c r="C281" i="120" s="1"/>
  <c r="C269" i="120"/>
  <c r="C259" i="120"/>
  <c r="D258" i="120"/>
  <c r="C256" i="120"/>
  <c r="D255" i="120"/>
  <c r="C249" i="120"/>
  <c r="D243" i="120"/>
  <c r="D237" i="120"/>
  <c r="C236" i="120"/>
  <c r="C235" i="120"/>
  <c r="D233" i="120"/>
  <c r="D224" i="120"/>
  <c r="D213" i="120"/>
  <c r="D212" i="120"/>
  <c r="D210" i="120"/>
  <c r="D209" i="120"/>
  <c r="D208" i="120"/>
  <c r="D207" i="120"/>
  <c r="D205" i="120"/>
  <c r="D199" i="120"/>
  <c r="D198" i="120"/>
  <c r="D192" i="120"/>
  <c r="D190" i="120"/>
  <c r="D189" i="120"/>
  <c r="D188" i="120"/>
  <c r="D186" i="120"/>
  <c r="D185" i="120"/>
  <c r="D184" i="120"/>
  <c r="D179" i="120"/>
  <c r="D173" i="120"/>
  <c r="D172" i="120"/>
  <c r="D171" i="120"/>
  <c r="D170" i="120"/>
  <c r="D169" i="120"/>
  <c r="D168" i="120"/>
  <c r="D167" i="120"/>
  <c r="D166" i="120"/>
  <c r="D165" i="120"/>
  <c r="D164" i="120"/>
  <c r="D163" i="120"/>
  <c r="D158" i="120"/>
  <c r="D157" i="120"/>
  <c r="D156" i="120"/>
  <c r="D155" i="120"/>
  <c r="D150" i="120"/>
  <c r="D149" i="120"/>
  <c r="D148" i="120"/>
  <c r="D146" i="120"/>
  <c r="D145" i="120"/>
  <c r="D144" i="120"/>
  <c r="D143" i="120"/>
  <c r="D137" i="120"/>
  <c r="D136" i="120"/>
  <c r="D130" i="120"/>
  <c r="D125" i="120"/>
  <c r="D119" i="120"/>
  <c r="D118" i="120"/>
  <c r="C118" i="120"/>
  <c r="D117" i="120"/>
  <c r="C117" i="120"/>
  <c r="C116" i="120"/>
  <c r="D115" i="120"/>
  <c r="D113" i="120"/>
  <c r="D112" i="120"/>
  <c r="C104" i="120" a="1"/>
  <c r="C104" i="120"/>
  <c r="D103" i="120"/>
  <c r="D98" i="120"/>
  <c r="C88" i="120"/>
  <c r="C82" i="120"/>
  <c r="C397" i="120" s="1"/>
  <c r="C77" i="120"/>
  <c r="C361" i="120" s="1"/>
  <c r="C74" i="120"/>
  <c r="C291" i="120" s="1"/>
  <c r="C73" i="120"/>
  <c r="C69" i="120"/>
  <c r="C231" i="120" s="1"/>
  <c r="C63" i="120"/>
  <c r="C41" i="120"/>
  <c r="C36" i="120"/>
  <c r="C28" i="120"/>
  <c r="F12" i="120"/>
  <c r="C381" i="120" s="1"/>
  <c r="D12" i="120"/>
  <c r="F11" i="120"/>
  <c r="C283" i="120" s="1"/>
  <c r="D10" i="120"/>
  <c r="D4" i="120"/>
  <c r="L365" i="63"/>
  <c r="L364" i="63"/>
  <c r="L363" i="63"/>
  <c r="L362" i="63"/>
  <c r="L361" i="63"/>
  <c r="L360" i="63"/>
  <c r="L359" i="63"/>
  <c r="L358" i="63"/>
  <c r="L357" i="63"/>
  <c r="L356" i="63"/>
  <c r="L355" i="63"/>
  <c r="L354" i="63"/>
  <c r="L353" i="63"/>
  <c r="L352" i="63"/>
  <c r="L351" i="63"/>
  <c r="L350" i="63"/>
  <c r="L349" i="63"/>
  <c r="L348" i="63"/>
  <c r="L347" i="63"/>
  <c r="L346" i="63"/>
  <c r="L345" i="63"/>
  <c r="L344" i="63"/>
  <c r="L343" i="63"/>
  <c r="L342" i="63"/>
  <c r="L341" i="63"/>
  <c r="L340" i="63"/>
  <c r="L339" i="63"/>
  <c r="L338" i="63"/>
  <c r="L337" i="63"/>
  <c r="L336" i="63"/>
  <c r="L335" i="63"/>
  <c r="L334" i="63"/>
  <c r="L333" i="63"/>
  <c r="L332" i="63"/>
  <c r="L331" i="63"/>
  <c r="L330" i="63"/>
  <c r="L327" i="63"/>
  <c r="L326" i="63"/>
  <c r="L325" i="63"/>
  <c r="L324" i="63"/>
  <c r="L323" i="63"/>
  <c r="L322" i="63"/>
  <c r="L321" i="63"/>
  <c r="L320" i="63"/>
  <c r="L319" i="63"/>
  <c r="L318" i="63"/>
  <c r="L317" i="63"/>
  <c r="L316" i="63"/>
  <c r="L315" i="63"/>
  <c r="L314" i="63"/>
  <c r="L313" i="63"/>
  <c r="L312" i="63"/>
  <c r="I312" i="63"/>
  <c r="I311" i="63"/>
  <c r="L310" i="63"/>
  <c r="I310" i="63"/>
  <c r="L309" i="63"/>
  <c r="I309" i="63"/>
  <c r="L308" i="63"/>
  <c r="I308" i="63"/>
  <c r="L307" i="63"/>
  <c r="I307" i="63"/>
  <c r="L306" i="63"/>
  <c r="I306" i="63"/>
  <c r="I305" i="63"/>
  <c r="L304" i="63"/>
  <c r="I304" i="63"/>
  <c r="L303" i="63"/>
  <c r="I303" i="63"/>
  <c r="L302" i="63"/>
  <c r="I302" i="63"/>
  <c r="L301" i="63"/>
  <c r="I301" i="63"/>
  <c r="L300" i="63"/>
  <c r="I300" i="63"/>
  <c r="L299" i="63"/>
  <c r="I299" i="63"/>
  <c r="L298" i="63"/>
  <c r="I298" i="63"/>
  <c r="L297" i="63"/>
  <c r="I297" i="63"/>
  <c r="I296" i="63"/>
  <c r="L295" i="63"/>
  <c r="I295" i="63"/>
  <c r="L294" i="63"/>
  <c r="I294" i="63"/>
  <c r="L293" i="63"/>
  <c r="I293" i="63"/>
  <c r="L292" i="63"/>
  <c r="I292" i="63"/>
  <c r="I291" i="63"/>
  <c r="L290" i="63"/>
  <c r="I290" i="63"/>
  <c r="L289" i="63"/>
  <c r="I289" i="63"/>
  <c r="L288" i="63"/>
  <c r="I288" i="63"/>
  <c r="I287" i="63"/>
  <c r="I286" i="63"/>
  <c r="I285" i="63"/>
  <c r="L284" i="63"/>
  <c r="I284" i="63"/>
  <c r="L283" i="63"/>
  <c r="I283" i="63"/>
  <c r="L282" i="63"/>
  <c r="I282" i="63"/>
  <c r="L281" i="63"/>
  <c r="I281" i="63"/>
  <c r="L280" i="63"/>
  <c r="I280" i="63"/>
  <c r="L279" i="63"/>
  <c r="I279" i="63"/>
  <c r="L278" i="63"/>
  <c r="I278" i="63"/>
  <c r="L277" i="63"/>
  <c r="I277" i="63"/>
  <c r="D377" i="115" s="1" a="1"/>
  <c r="L276" i="63"/>
  <c r="I276" i="63" a="1"/>
  <c r="I276" i="63"/>
  <c r="L275" i="63"/>
  <c r="I275" i="63"/>
  <c r="L274" i="63" a="1"/>
  <c r="L274" i="63"/>
  <c r="I273" i="63"/>
  <c r="L272" i="63"/>
  <c r="I272" i="63"/>
  <c r="L271" i="63"/>
  <c r="L270" i="63"/>
  <c r="L269" i="63"/>
  <c r="I269" i="63"/>
  <c r="I268" i="63"/>
  <c r="I267" i="63"/>
  <c r="I266" i="63"/>
  <c r="I265" i="63" a="1"/>
  <c r="I265" i="63"/>
  <c r="I264" i="63"/>
  <c r="I263" i="63"/>
  <c r="L262" i="63"/>
  <c r="I262" i="63"/>
  <c r="L261" i="63"/>
  <c r="I261" i="63"/>
  <c r="L260" i="63"/>
  <c r="I260" i="63"/>
  <c r="C260" i="63"/>
  <c r="L259" i="63"/>
  <c r="C259" i="63"/>
  <c r="L258" i="63"/>
  <c r="C258" i="63"/>
  <c r="L257" i="63"/>
  <c r="C257" i="63"/>
  <c r="L256" i="63"/>
  <c r="I256" i="63"/>
  <c r="C256" i="63"/>
  <c r="L255" i="63"/>
  <c r="I255" i="63"/>
  <c r="C255" i="63"/>
  <c r="L254" i="63"/>
  <c r="I254" i="63"/>
  <c r="C254" i="63"/>
  <c r="C253" i="63"/>
  <c r="I252" i="63"/>
  <c r="L251" i="63"/>
  <c r="I251" i="63"/>
  <c r="I253" i="63" s="1"/>
  <c r="C251" i="63"/>
  <c r="I250" i="63"/>
  <c r="C250" i="63"/>
  <c r="I249" i="63"/>
  <c r="C249" i="63"/>
  <c r="L248" i="63"/>
  <c r="C248" i="63"/>
  <c r="L247" i="63"/>
  <c r="I247" i="63"/>
  <c r="C247" i="63"/>
  <c r="L246" i="63"/>
  <c r="I246" i="63"/>
  <c r="C246" i="63"/>
  <c r="L245" i="63"/>
  <c r="I245" i="63"/>
  <c r="C245" i="63"/>
  <c r="L244" i="63"/>
  <c r="L252" i="63" s="1"/>
  <c r="D354" i="118" s="1"/>
  <c r="I244" i="63"/>
  <c r="C244" i="63"/>
  <c r="L243" i="63"/>
  <c r="I243" i="63"/>
  <c r="L242" i="63"/>
  <c r="L250" i="63" s="1"/>
  <c r="I242" i="63"/>
  <c r="C242" i="63"/>
  <c r="L241" i="63"/>
  <c r="L249" i="63" s="1"/>
  <c r="I241" i="63"/>
  <c r="C241" i="63"/>
  <c r="L240" i="63"/>
  <c r="C240" i="63"/>
  <c r="L239" i="63"/>
  <c r="I239" i="63"/>
  <c r="C239" i="63"/>
  <c r="L238" i="63"/>
  <c r="I238" i="63"/>
  <c r="C238" i="63"/>
  <c r="L237" i="63"/>
  <c r="I237" i="63"/>
  <c r="C237" i="63"/>
  <c r="L236" i="63"/>
  <c r="C236" i="63"/>
  <c r="L235" i="63"/>
  <c r="I235" i="63"/>
  <c r="C235" i="63"/>
  <c r="L234" i="63"/>
  <c r="I234" i="63"/>
  <c r="I236" i="63" s="1"/>
  <c r="C234" i="63"/>
  <c r="I233" i="63"/>
  <c r="C233" i="63"/>
  <c r="I232" i="63"/>
  <c r="C232" i="63"/>
  <c r="I230" i="63"/>
  <c r="C230" i="63"/>
  <c r="L229" i="63"/>
  <c r="I229" i="63"/>
  <c r="C229" i="63"/>
  <c r="I228" i="63"/>
  <c r="C228" i="63"/>
  <c r="I227" i="63"/>
  <c r="C227" i="63"/>
  <c r="I226" i="63"/>
  <c r="C226" i="63"/>
  <c r="I225" i="63"/>
  <c r="C225" i="63"/>
  <c r="L224" i="63"/>
  <c r="I224" i="63"/>
  <c r="C224" i="63"/>
  <c r="L223" i="63"/>
  <c r="I223" i="63"/>
  <c r="C223" i="63"/>
  <c r="L222" i="63"/>
  <c r="C222" i="63"/>
  <c r="L221" i="63"/>
  <c r="I221" i="63"/>
  <c r="L220" i="63"/>
  <c r="I220" i="63"/>
  <c r="L219" i="63"/>
  <c r="I219" i="63"/>
  <c r="L218" i="63"/>
  <c r="I218" i="63"/>
  <c r="L217" i="63"/>
  <c r="I217" i="63"/>
  <c r="L216" i="63"/>
  <c r="I216" i="63"/>
  <c r="C216" i="63"/>
  <c r="L215" i="63"/>
  <c r="I215" i="63"/>
  <c r="C215" i="63"/>
  <c r="L214" i="63"/>
  <c r="I214" i="63"/>
  <c r="C214" i="63"/>
  <c r="L213" i="63"/>
  <c r="I213" i="63"/>
  <c r="C213" i="63"/>
  <c r="D99" i="113" s="1"/>
  <c r="L212" i="63"/>
  <c r="I212" i="63"/>
  <c r="U211" i="63"/>
  <c r="D242" i="119" s="1"/>
  <c r="L211" i="63"/>
  <c r="I211" i="63"/>
  <c r="U210" i="63"/>
  <c r="D231" i="119" s="1"/>
  <c r="L210" i="63"/>
  <c r="I210" i="63"/>
  <c r="U209" i="63"/>
  <c r="L209" i="63"/>
  <c r="I209" i="63"/>
  <c r="C209" i="63"/>
  <c r="U208" i="63"/>
  <c r="L208" i="63"/>
  <c r="I208" i="63"/>
  <c r="C208" i="63"/>
  <c r="U207" i="63"/>
  <c r="L207" i="63"/>
  <c r="I207" i="63"/>
  <c r="C207" i="63"/>
  <c r="U206" i="63"/>
  <c r="L206" i="63"/>
  <c r="I206" i="63"/>
  <c r="C206" i="63"/>
  <c r="U205" i="63"/>
  <c r="C104" i="119" s="1"/>
  <c r="L205" i="63"/>
  <c r="I205" i="63"/>
  <c r="U204" i="63"/>
  <c r="L204" i="63"/>
  <c r="I204" i="63"/>
  <c r="U203" i="63"/>
  <c r="L203" i="63"/>
  <c r="I203" i="63"/>
  <c r="U202" i="63"/>
  <c r="D156" i="119" s="1" a="1"/>
  <c r="D156" i="119" s="1"/>
  <c r="L202" i="63"/>
  <c r="I202" i="63"/>
  <c r="C202" i="63"/>
  <c r="U201" i="63"/>
  <c r="D79" i="119" s="1"/>
  <c r="L201" i="63"/>
  <c r="I201" i="63"/>
  <c r="C201" i="63"/>
  <c r="U200" i="63"/>
  <c r="L200" i="63"/>
  <c r="C200" i="63"/>
  <c r="U199" i="63"/>
  <c r="D21" i="119" s="1"/>
  <c r="L199" i="63"/>
  <c r="C199" i="63"/>
  <c r="U198" i="63"/>
  <c r="L198" i="63"/>
  <c r="C198" i="63"/>
  <c r="U197" i="63"/>
  <c r="L197" i="63"/>
  <c r="I197" i="63"/>
  <c r="C197" i="63"/>
  <c r="U196" i="63"/>
  <c r="L196" i="63"/>
  <c r="I196" i="63"/>
  <c r="U195" i="63" a="1"/>
  <c r="U195" i="63" s="1"/>
  <c r="D97" i="119" s="1" a="1"/>
  <c r="D97" i="119" s="1"/>
  <c r="L195" i="63"/>
  <c r="I195" i="63"/>
  <c r="U194" i="63"/>
  <c r="L194" i="63"/>
  <c r="I194" i="63"/>
  <c r="U193" i="63"/>
  <c r="L193" i="63"/>
  <c r="I193" i="63"/>
  <c r="C193" i="63"/>
  <c r="B97" i="116" s="1"/>
  <c r="U192" i="63"/>
  <c r="L192" i="63"/>
  <c r="I192" i="63"/>
  <c r="F192" i="63"/>
  <c r="C192" i="63"/>
  <c r="C71" i="63" s="1"/>
  <c r="U191" i="63"/>
  <c r="L191" i="63"/>
  <c r="I191" i="63"/>
  <c r="F191" i="63"/>
  <c r="L190" i="63"/>
  <c r="I190" i="63"/>
  <c r="F190" i="63"/>
  <c r="L189" i="63"/>
  <c r="I189" i="63"/>
  <c r="F189" i="63"/>
  <c r="U188" i="63"/>
  <c r="D200" i="85" s="1"/>
  <c r="L188" i="63"/>
  <c r="I188" i="63"/>
  <c r="F188" i="63"/>
  <c r="C188" i="63"/>
  <c r="U187" i="63"/>
  <c r="L187" i="63"/>
  <c r="I187" i="63"/>
  <c r="F187" i="63"/>
  <c r="C187" i="63"/>
  <c r="U186" i="63" a="1"/>
  <c r="U186" i="63"/>
  <c r="D176" i="85" s="1"/>
  <c r="L186" i="63"/>
  <c r="I186" i="63"/>
  <c r="F186" i="63"/>
  <c r="C186" i="63"/>
  <c r="U185" i="63" a="1"/>
  <c r="U185" i="63"/>
  <c r="D166" i="85" s="1"/>
  <c r="L185" i="63"/>
  <c r="I185" i="63"/>
  <c r="F185" i="63"/>
  <c r="C185" i="63"/>
  <c r="U184" i="63"/>
  <c r="D157" i="85" s="1"/>
  <c r="L184" i="63"/>
  <c r="I184" i="63"/>
  <c r="F184" i="63"/>
  <c r="C184" i="63"/>
  <c r="U183" i="63"/>
  <c r="D156" i="85" s="1"/>
  <c r="L183" i="63"/>
  <c r="I183" i="63"/>
  <c r="F183" i="63"/>
  <c r="C183" i="63"/>
  <c r="U182" i="63"/>
  <c r="D155" i="85" s="1"/>
  <c r="I182" i="63"/>
  <c r="F182" i="63"/>
  <c r="C182" i="63"/>
  <c r="U181" i="63"/>
  <c r="I181" i="63"/>
  <c r="F181" i="63"/>
  <c r="C181" i="63"/>
  <c r="U180" i="63"/>
  <c r="D111" i="85" s="1"/>
  <c r="I180" i="63"/>
  <c r="F180" i="63"/>
  <c r="C180" i="63"/>
  <c r="U179" i="63"/>
  <c r="L179" i="63"/>
  <c r="I179" i="63"/>
  <c r="F179" i="63"/>
  <c r="C179" i="63"/>
  <c r="U178" i="63"/>
  <c r="L178" i="63"/>
  <c r="D66" i="113" s="1"/>
  <c r="I178" i="63"/>
  <c r="F178" i="63"/>
  <c r="C178" i="63"/>
  <c r="U177" i="63"/>
  <c r="D121" i="85" s="1"/>
  <c r="L177" i="63"/>
  <c r="F177" i="63"/>
  <c r="C177" i="63"/>
  <c r="U176" i="63"/>
  <c r="D120" i="85" s="1"/>
  <c r="L176" i="63"/>
  <c r="F176" i="63"/>
  <c r="C176" i="63"/>
  <c r="U175" i="63"/>
  <c r="F175" i="63"/>
  <c r="C175" i="63"/>
  <c r="U174" i="63"/>
  <c r="I174" i="63"/>
  <c r="F174" i="63"/>
  <c r="C174" i="63"/>
  <c r="U173" i="63"/>
  <c r="D145" i="85" s="1"/>
  <c r="I173" i="63"/>
  <c r="F173" i="63"/>
  <c r="C173" i="63"/>
  <c r="U172" i="63"/>
  <c r="D87" i="85" s="1"/>
  <c r="I172" i="63"/>
  <c r="F172" i="63"/>
  <c r="C172" i="63"/>
  <c r="U171" i="63"/>
  <c r="D82" i="85" s="1"/>
  <c r="L171" i="63"/>
  <c r="I171" i="63"/>
  <c r="F171" i="63"/>
  <c r="C171" i="63"/>
  <c r="U170" i="63"/>
  <c r="D81" i="85" s="1"/>
  <c r="L170" i="63"/>
  <c r="I170" i="63"/>
  <c r="C170" i="63"/>
  <c r="U169" i="63"/>
  <c r="D80" i="85" s="1"/>
  <c r="L169" i="63"/>
  <c r="I169" i="63"/>
  <c r="F169" i="63"/>
  <c r="C169" i="63"/>
  <c r="U168" i="63"/>
  <c r="D79" i="85" s="1"/>
  <c r="L168" i="63"/>
  <c r="I168" i="63"/>
  <c r="F168" i="63"/>
  <c r="C168" i="63"/>
  <c r="U167" i="63"/>
  <c r="D78" i="85" s="1"/>
  <c r="L167" i="63"/>
  <c r="B99" i="113" s="1" a="1"/>
  <c r="B99" i="113" s="1"/>
  <c r="I167" i="63"/>
  <c r="C167" i="63"/>
  <c r="U166" i="63"/>
  <c r="D77" i="85" s="1"/>
  <c r="I166" i="63"/>
  <c r="F166" i="63"/>
  <c r="C166" i="63"/>
  <c r="U165" i="63"/>
  <c r="I165" i="63"/>
  <c r="U164" i="63" a="1"/>
  <c r="U164" i="63"/>
  <c r="D128" i="85" s="1"/>
  <c r="I164" i="63"/>
  <c r="F164" i="63"/>
  <c r="C164" i="63"/>
  <c r="U163" i="63"/>
  <c r="I163" i="63"/>
  <c r="F163" i="63"/>
  <c r="C163" i="63"/>
  <c r="U162" i="63"/>
  <c r="D186" i="85" s="1"/>
  <c r="I162" i="63"/>
  <c r="F162" i="63"/>
  <c r="C162" i="63"/>
  <c r="U161" i="63"/>
  <c r="D188" i="85" s="1"/>
  <c r="I161" i="63"/>
  <c r="F161" i="63"/>
  <c r="C161" i="63"/>
  <c r="U160" i="63"/>
  <c r="L160" i="63"/>
  <c r="I160" i="63"/>
  <c r="F160" i="63"/>
  <c r="C160" i="63"/>
  <c r="U159" i="63"/>
  <c r="D125" i="85" s="1"/>
  <c r="L159" i="63"/>
  <c r="I159" i="63"/>
  <c r="C159" i="63"/>
  <c r="U158" i="63"/>
  <c r="L158" i="63"/>
  <c r="I158" i="63"/>
  <c r="F158" i="63"/>
  <c r="C158" i="63"/>
  <c r="U157" i="63"/>
  <c r="D53" i="85" s="1"/>
  <c r="L157" i="63"/>
  <c r="I157" i="63"/>
  <c r="F157" i="63"/>
  <c r="C157" i="63"/>
  <c r="L156" i="63"/>
  <c r="F156" i="63"/>
  <c r="C156" i="63"/>
  <c r="L155" i="63"/>
  <c r="F155" i="63"/>
  <c r="C155" i="63"/>
  <c r="L154" i="63"/>
  <c r="F154" i="63"/>
  <c r="C154" i="63"/>
  <c r="U153" i="63"/>
  <c r="L153" i="63"/>
  <c r="I153" i="63"/>
  <c r="F153" i="63"/>
  <c r="C153" i="63"/>
  <c r="U152" i="63"/>
  <c r="L152" i="63"/>
  <c r="I152" i="63"/>
  <c r="C152" i="63"/>
  <c r="U151" i="63"/>
  <c r="D155" i="86" s="1"/>
  <c r="L151" i="63"/>
  <c r="F151" i="63"/>
  <c r="C151" i="63"/>
  <c r="U150" i="63"/>
  <c r="D154" i="86" s="1"/>
  <c r="L150" i="63"/>
  <c r="I150" i="63"/>
  <c r="F150" i="63"/>
  <c r="C150" i="63"/>
  <c r="U149" i="63"/>
  <c r="D127" i="86" s="1"/>
  <c r="L149" i="63"/>
  <c r="I149" i="63"/>
  <c r="F149" i="63"/>
  <c r="C149" i="63"/>
  <c r="U148" i="63"/>
  <c r="D109" i="86" s="1" a="1"/>
  <c r="D109" i="86" s="1"/>
  <c r="L148" i="63"/>
  <c r="I148" i="63"/>
  <c r="F148" i="63"/>
  <c r="C148" i="63"/>
  <c r="U147" i="63"/>
  <c r="D108" i="86" s="1" a="1"/>
  <c r="D108" i="86" s="1"/>
  <c r="L147" i="63"/>
  <c r="I147" i="63"/>
  <c r="F147" i="63"/>
  <c r="C147" i="63"/>
  <c r="U146" i="63"/>
  <c r="D107" i="86" s="1" a="1"/>
  <c r="D107" i="86" s="1"/>
  <c r="L146" i="63"/>
  <c r="F146" i="63"/>
  <c r="U145" i="63"/>
  <c r="D93" i="86" s="1" a="1"/>
  <c r="D93" i="86" s="1"/>
  <c r="L145" i="63"/>
  <c r="I145" i="63"/>
  <c r="F145" i="63"/>
  <c r="U144" i="63"/>
  <c r="L144" i="63"/>
  <c r="I144" i="63"/>
  <c r="F144" i="63"/>
  <c r="D51" i="119" s="1"/>
  <c r="U143" i="63"/>
  <c r="L143" i="63"/>
  <c r="I143" i="63"/>
  <c r="C143" i="63"/>
  <c r="U142" i="63"/>
  <c r="L142" i="63"/>
  <c r="I142" i="63"/>
  <c r="C142" i="63"/>
  <c r="U141" i="63" a="1"/>
  <c r="U141" i="63" s="1"/>
  <c r="L141" i="63"/>
  <c r="C141" i="63"/>
  <c r="U140" i="63"/>
  <c r="D86" i="86" s="1" a="1"/>
  <c r="D86" i="86" s="1"/>
  <c r="L140" i="63"/>
  <c r="I140" i="63"/>
  <c r="F140" i="63"/>
  <c r="C140" i="63"/>
  <c r="U139" i="63"/>
  <c r="L139" i="63"/>
  <c r="I139" i="63"/>
  <c r="F139" i="63"/>
  <c r="C139" i="63"/>
  <c r="U138" i="63"/>
  <c r="D64" i="86" s="1" a="1"/>
  <c r="D64" i="86" s="1"/>
  <c r="L138" i="63"/>
  <c r="I138" i="63"/>
  <c r="F138" i="63"/>
  <c r="C138" i="63"/>
  <c r="U137" i="63"/>
  <c r="D59" i="86" s="1"/>
  <c r="L137" i="63"/>
  <c r="I137" i="63"/>
  <c r="F137" i="63"/>
  <c r="C137" i="63"/>
  <c r="U136" i="63"/>
  <c r="D58" i="86" s="1" a="1"/>
  <c r="D58" i="86" s="1"/>
  <c r="L136" i="63"/>
  <c r="C136" i="63"/>
  <c r="C458" i="75" s="1"/>
  <c r="U135" i="63"/>
  <c r="D57" i="86" s="1"/>
  <c r="L135" i="63"/>
  <c r="I135" i="63"/>
  <c r="F135" i="63"/>
  <c r="D65" i="116" s="1"/>
  <c r="C135" i="63"/>
  <c r="U134" i="63"/>
  <c r="D56" i="86" s="1"/>
  <c r="L134" i="63"/>
  <c r="I134" i="63"/>
  <c r="F134" i="63"/>
  <c r="D66" i="116" s="1"/>
  <c r="C134" i="63" a="1"/>
  <c r="C134" i="63"/>
  <c r="U133" i="63"/>
  <c r="D55" i="86" s="1"/>
  <c r="L133" i="63"/>
  <c r="I133" i="63"/>
  <c r="F133" i="63"/>
  <c r="C133" i="63" a="1"/>
  <c r="C133" i="63" s="1"/>
  <c r="U132" i="63"/>
  <c r="L132" i="63"/>
  <c r="D54" i="95" s="1"/>
  <c r="K132" i="63"/>
  <c r="I132" i="63"/>
  <c r="F132" i="63"/>
  <c r="C132" i="63"/>
  <c r="U131" i="63"/>
  <c r="D53" i="86" s="1"/>
  <c r="L131" i="63"/>
  <c r="D53" i="95" s="1"/>
  <c r="K131" i="63"/>
  <c r="F131" i="63"/>
  <c r="C131" i="63"/>
  <c r="U130" i="63"/>
  <c r="D48" i="86" s="1" a="1"/>
  <c r="D48" i="86" s="1"/>
  <c r="O130" i="63"/>
  <c r="D150" i="75" s="1"/>
  <c r="I130" i="63"/>
  <c r="F130" i="63"/>
  <c r="D98" i="116" s="1"/>
  <c r="C130" i="63"/>
  <c r="U129" i="63"/>
  <c r="R129" i="63"/>
  <c r="D248" i="120" s="1"/>
  <c r="O129" i="63"/>
  <c r="I129" i="63"/>
  <c r="C129" i="63"/>
  <c r="U128" i="63"/>
  <c r="I128" i="63"/>
  <c r="U127" i="63"/>
  <c r="D120" i="86" s="1"/>
  <c r="O127" i="63"/>
  <c r="L127" i="63"/>
  <c r="I127" i="63"/>
  <c r="O126" i="63"/>
  <c r="L126" i="63"/>
  <c r="O125" i="63"/>
  <c r="D427" i="75" s="1" a="1"/>
  <c r="D427" i="75" s="1"/>
  <c r="I125" i="63" a="1"/>
  <c r="I125" i="63" s="1"/>
  <c r="O124" i="63"/>
  <c r="I124" i="63"/>
  <c r="F124" i="63"/>
  <c r="C124" i="63"/>
  <c r="O123" i="63"/>
  <c r="I123" i="63"/>
  <c r="F123" i="63"/>
  <c r="C123" i="63"/>
  <c r="U122" i="63"/>
  <c r="D414" i="120" s="1"/>
  <c r="O122" i="63"/>
  <c r="L122" i="63"/>
  <c r="I122" i="63"/>
  <c r="F122" i="63"/>
  <c r="C122" i="63"/>
  <c r="U121" i="63"/>
  <c r="D351" i="120" s="1" a="1"/>
  <c r="D351" i="120" s="1"/>
  <c r="L121" i="63"/>
  <c r="I121" i="63"/>
  <c r="F121" i="63"/>
  <c r="C121" i="63"/>
  <c r="U120" i="63"/>
  <c r="D417" i="120" s="1"/>
  <c r="R120" i="63"/>
  <c r="R130" i="63" s="1"/>
  <c r="O120" i="63"/>
  <c r="L120" i="63"/>
  <c r="I120" i="63"/>
  <c r="F120" i="63"/>
  <c r="C120" i="63"/>
  <c r="U119" i="63"/>
  <c r="R119" i="63"/>
  <c r="O119" i="63"/>
  <c r="L119" i="63"/>
  <c r="I119" i="63" a="1"/>
  <c r="I119" i="63"/>
  <c r="C119" i="63"/>
  <c r="U118" i="63"/>
  <c r="D415" i="120" s="1"/>
  <c r="L118" i="63"/>
  <c r="I118" i="63"/>
  <c r="C118" i="63"/>
  <c r="U117" i="63"/>
  <c r="I117" i="63"/>
  <c r="U116" i="63"/>
  <c r="D387" i="120" s="1"/>
  <c r="O116" i="63"/>
  <c r="D291" i="75" s="1"/>
  <c r="L116" i="63"/>
  <c r="I116" i="63"/>
  <c r="F116" i="63"/>
  <c r="U115" i="63"/>
  <c r="D397" i="120" s="1"/>
  <c r="R115" i="63"/>
  <c r="R125" i="63" s="1"/>
  <c r="L115" i="63"/>
  <c r="I115" i="63"/>
  <c r="F115" i="63"/>
  <c r="U114" i="63"/>
  <c r="D396" i="120" s="1"/>
  <c r="R114" i="63"/>
  <c r="L114" i="63"/>
  <c r="I114" i="63"/>
  <c r="F114" i="63"/>
  <c r="C114" i="63"/>
  <c r="U113" i="63"/>
  <c r="D376" i="120" s="1"/>
  <c r="O113" i="63"/>
  <c r="L113" i="63"/>
  <c r="I113" i="63"/>
  <c r="F113" i="63"/>
  <c r="U112" i="63"/>
  <c r="L112" i="63"/>
  <c r="I112" i="63"/>
  <c r="F112" i="63"/>
  <c r="U111" i="63"/>
  <c r="D372" i="120" s="1"/>
  <c r="O111" i="63"/>
  <c r="D507" i="75" s="1"/>
  <c r="L111" i="63"/>
  <c r="I111" i="63"/>
  <c r="F111" i="63"/>
  <c r="C111" i="63" a="1"/>
  <c r="C111" i="63" s="1"/>
  <c r="U110" i="63"/>
  <c r="R110" i="63"/>
  <c r="D381" i="120" s="1"/>
  <c r="O110" i="63"/>
  <c r="I110" i="63"/>
  <c r="C110" i="63"/>
  <c r="U109" i="63"/>
  <c r="D249" i="120" s="1"/>
  <c r="R109" i="63"/>
  <c r="D283" i="120" s="1"/>
  <c r="O109" i="63"/>
  <c r="I109" i="63"/>
  <c r="C109" i="63"/>
  <c r="U108" i="63"/>
  <c r="R108" i="63"/>
  <c r="O108" i="63"/>
  <c r="D476" i="75" s="1"/>
  <c r="I108" i="63"/>
  <c r="C108" i="63"/>
  <c r="U107" i="63"/>
  <c r="D259" i="120" s="1"/>
  <c r="O107" i="63"/>
  <c r="D75" i="75" s="1"/>
  <c r="L107" i="63"/>
  <c r="I107" i="63"/>
  <c r="F107" i="63"/>
  <c r="C107" i="63"/>
  <c r="AA106" i="63" a="1"/>
  <c r="AA106" i="63" s="1"/>
  <c r="U106" i="63"/>
  <c r="O106" i="63"/>
  <c r="O121" i="63" s="1"/>
  <c r="L106" i="63"/>
  <c r="F106" i="63"/>
  <c r="B98" i="116" s="1"/>
  <c r="C106" i="63"/>
  <c r="AA105" i="63" a="1"/>
  <c r="AA105" i="63" s="1"/>
  <c r="U105" i="63"/>
  <c r="D236" i="120" s="1"/>
  <c r="O105" i="63"/>
  <c r="D61" i="75" s="1"/>
  <c r="L105" i="63"/>
  <c r="I105" i="63"/>
  <c r="U104" i="63"/>
  <c r="D235" i="120" s="1"/>
  <c r="R104" i="63"/>
  <c r="D116" i="120" s="1"/>
  <c r="O104" i="63"/>
  <c r="D59" i="75" s="1"/>
  <c r="L104" i="63"/>
  <c r="I104" i="63"/>
  <c r="C104" i="63"/>
  <c r="U103" i="63"/>
  <c r="D231" i="120" s="1"/>
  <c r="R103" i="63"/>
  <c r="O103" i="63"/>
  <c r="L103" i="63"/>
  <c r="I103" i="63"/>
  <c r="C103" i="63"/>
  <c r="R102" i="63"/>
  <c r="O102" i="63"/>
  <c r="D53" i="75" s="1"/>
  <c r="I102" i="63"/>
  <c r="F102" i="63"/>
  <c r="C102" i="63"/>
  <c r="R101" i="63"/>
  <c r="D126" i="75" s="1"/>
  <c r="O101" i="63"/>
  <c r="I101" i="63"/>
  <c r="F101" i="63"/>
  <c r="C101" i="63"/>
  <c r="O100" i="63" a="1"/>
  <c r="O100" i="63" s="1"/>
  <c r="O115" i="63" s="1"/>
  <c r="L100" i="63"/>
  <c r="I100" i="63"/>
  <c r="F100" i="63"/>
  <c r="C100" i="63"/>
  <c r="U99" i="63"/>
  <c r="O99" i="63" a="1"/>
  <c r="O99" i="63"/>
  <c r="O114" i="63" s="1"/>
  <c r="I99" i="63"/>
  <c r="F99" i="63"/>
  <c r="C99" i="63"/>
  <c r="U98" i="63"/>
  <c r="O98" i="63"/>
  <c r="D45" i="75" s="1"/>
  <c r="F98" i="63"/>
  <c r="U97" i="63"/>
  <c r="R97" i="63"/>
  <c r="R89" i="63" s="1"/>
  <c r="C61" i="87" s="1"/>
  <c r="O97" i="63"/>
  <c r="O112" i="63" s="1"/>
  <c r="I97" i="63"/>
  <c r="F97" i="63"/>
  <c r="C97" i="63"/>
  <c r="AA96" i="63"/>
  <c r="U96" i="63"/>
  <c r="R96" i="63"/>
  <c r="C96" i="112" s="1"/>
  <c r="O96" i="63"/>
  <c r="I96" i="63"/>
  <c r="F96" i="63"/>
  <c r="D187" i="85" s="1"/>
  <c r="C96" i="63"/>
  <c r="U95" i="63"/>
  <c r="D114" i="120" s="1"/>
  <c r="R95" i="63"/>
  <c r="C95" i="112" s="1"/>
  <c r="O95" i="63"/>
  <c r="D85" i="75" s="1" a="1"/>
  <c r="D85" i="75" s="1"/>
  <c r="C95" i="63"/>
  <c r="U94" i="63"/>
  <c r="D197" i="120" s="1"/>
  <c r="R94" i="63"/>
  <c r="O94" i="63"/>
  <c r="D381" i="75" s="1"/>
  <c r="I94" i="63"/>
  <c r="C94" i="63"/>
  <c r="U93" i="63"/>
  <c r="R93" i="63"/>
  <c r="O93" i="63"/>
  <c r="D77" i="75" s="1"/>
  <c r="I93" i="63"/>
  <c r="C93" i="63"/>
  <c r="U92" i="63"/>
  <c r="I92" i="63"/>
  <c r="F92" i="63" a="1"/>
  <c r="F92" i="63"/>
  <c r="C92" i="63"/>
  <c r="D265" i="120" s="1"/>
  <c r="U91" i="63"/>
  <c r="I91" i="63"/>
  <c r="F91" i="63"/>
  <c r="U90" i="63"/>
  <c r="D341" i="75" s="1"/>
  <c r="F90" i="63"/>
  <c r="C90" i="63"/>
  <c r="U89" i="63"/>
  <c r="O89" i="63"/>
  <c r="F89" i="63" a="1"/>
  <c r="F89" i="63" s="1"/>
  <c r="AA88" i="63"/>
  <c r="U88" i="63"/>
  <c r="R88" i="63"/>
  <c r="D96" i="112" s="1"/>
  <c r="O88" i="63"/>
  <c r="L88" i="63"/>
  <c r="F88" i="63"/>
  <c r="U87" i="63"/>
  <c r="D264" i="75" s="1"/>
  <c r="L87" i="63"/>
  <c r="I87" i="63"/>
  <c r="F87" i="63"/>
  <c r="U86" i="63"/>
  <c r="O86" i="63"/>
  <c r="I86" i="63"/>
  <c r="F86" i="63"/>
  <c r="C86" i="63"/>
  <c r="U85" i="63"/>
  <c r="O85" i="63"/>
  <c r="D481" i="109" s="1"/>
  <c r="I85" i="63"/>
  <c r="C85" i="63"/>
  <c r="AA84" i="63"/>
  <c r="U84" i="63"/>
  <c r="O84" i="63"/>
  <c r="I84" i="63"/>
  <c r="F84" i="63" a="1"/>
  <c r="F84" i="63"/>
  <c r="C84" i="63"/>
  <c r="AA83" i="63"/>
  <c r="C65" i="95" s="1"/>
  <c r="U83" i="63"/>
  <c r="O83" i="63"/>
  <c r="L83" i="63"/>
  <c r="I83" i="63"/>
  <c r="F83" i="63"/>
  <c r="AA82" i="63"/>
  <c r="U82" i="63"/>
  <c r="O82" i="63"/>
  <c r="L82" i="63"/>
  <c r="I82" i="63"/>
  <c r="F82" i="63"/>
  <c r="C82" i="63"/>
  <c r="AA81" i="63"/>
  <c r="U81" i="63"/>
  <c r="R81" i="63"/>
  <c r="O81" i="63"/>
  <c r="D535" i="109" s="1"/>
  <c r="I81" i="63"/>
  <c r="F81" i="63"/>
  <c r="C81" i="63"/>
  <c r="AA80" i="63"/>
  <c r="U80" i="63"/>
  <c r="R80" i="63"/>
  <c r="E96" i="112" s="1"/>
  <c r="O80" i="63"/>
  <c r="I80" i="63"/>
  <c r="F80" i="63" a="1"/>
  <c r="F80" i="63"/>
  <c r="C80" i="63"/>
  <c r="U79" i="63"/>
  <c r="R79" i="63"/>
  <c r="E95" i="112" s="1"/>
  <c r="O79" i="63"/>
  <c r="I79" i="63"/>
  <c r="F79" i="63"/>
  <c r="C79" i="63"/>
  <c r="U78" i="63"/>
  <c r="R78" i="63"/>
  <c r="E94" i="112" s="1"/>
  <c r="O78" i="63"/>
  <c r="L78" i="63"/>
  <c r="I78" i="63"/>
  <c r="F78" i="63"/>
  <c r="C78" i="63"/>
  <c r="AA77" i="63"/>
  <c r="C319" i="120" s="1"/>
  <c r="U77" i="63"/>
  <c r="R77" i="63"/>
  <c r="E97" i="112" s="1"/>
  <c r="O77" i="63"/>
  <c r="L77" i="63"/>
  <c r="I77" i="63"/>
  <c r="C77" i="63"/>
  <c r="AA76" i="63"/>
  <c r="U76" i="63"/>
  <c r="O76" i="63"/>
  <c r="I76" i="63"/>
  <c r="F76" i="63"/>
  <c r="C76" i="63"/>
  <c r="AA75" i="63"/>
  <c r="U75" i="63"/>
  <c r="O75" i="63"/>
  <c r="D429" i="109" s="1"/>
  <c r="I75" i="63"/>
  <c r="F75" i="63"/>
  <c r="AA74" i="63"/>
  <c r="U74" i="63"/>
  <c r="O74" i="63"/>
  <c r="I74" i="63"/>
  <c r="F74" i="63"/>
  <c r="AA73" i="63"/>
  <c r="U73" i="63"/>
  <c r="R73" i="63"/>
  <c r="O73" i="63" a="1"/>
  <c r="O73" i="63"/>
  <c r="L73" i="63"/>
  <c r="I73" i="63"/>
  <c r="F73" i="63" a="1"/>
  <c r="F73" i="63" s="1"/>
  <c r="AA72" i="63"/>
  <c r="R72" i="63"/>
  <c r="O72" i="63"/>
  <c r="L72" i="63"/>
  <c r="I72" i="63"/>
  <c r="F72" i="63"/>
  <c r="C72" i="63"/>
  <c r="B98" i="113" s="1"/>
  <c r="AA71" i="63"/>
  <c r="U71" i="63"/>
  <c r="R71" i="63"/>
  <c r="O71" i="63"/>
  <c r="I71" i="63"/>
  <c r="F71" i="63"/>
  <c r="AA70" i="63"/>
  <c r="U70" i="63"/>
  <c r="R70" i="63"/>
  <c r="F70" i="63"/>
  <c r="AA69" i="63"/>
  <c r="F7" i="120" s="1"/>
  <c r="U69" i="63"/>
  <c r="O69" i="63"/>
  <c r="I69" i="63"/>
  <c r="AA68" i="63"/>
  <c r="X68" i="63"/>
  <c r="U68" i="63"/>
  <c r="O68" i="63"/>
  <c r="L68" i="63"/>
  <c r="I68" i="63"/>
  <c r="F68" i="63"/>
  <c r="U67" i="63"/>
  <c r="O67" i="63"/>
  <c r="L67" i="63"/>
  <c r="D379" i="120" s="1"/>
  <c r="I67" i="63"/>
  <c r="C67" i="63"/>
  <c r="C103" i="112" s="1"/>
  <c r="U66" i="63"/>
  <c r="O66" i="63"/>
  <c r="L66" i="63"/>
  <c r="I66" i="63"/>
  <c r="C66" i="63"/>
  <c r="C48" i="63" s="1"/>
  <c r="U65" i="63"/>
  <c r="O65" i="63"/>
  <c r="I65" i="63"/>
  <c r="C65" i="63"/>
  <c r="AA64" i="63"/>
  <c r="X64" i="63"/>
  <c r="U64" i="63"/>
  <c r="I64" i="63"/>
  <c r="F64" i="63"/>
  <c r="C64" i="63"/>
  <c r="AA63" i="63"/>
  <c r="C202" i="75" s="1"/>
  <c r="O63" i="63"/>
  <c r="I63" i="63"/>
  <c r="F63" i="63"/>
  <c r="D290" i="120" s="1"/>
  <c r="C63" i="63"/>
  <c r="B141" i="113" s="1"/>
  <c r="AA62" i="63"/>
  <c r="C163" i="75" s="1"/>
  <c r="L62" i="63"/>
  <c r="I62" i="63"/>
  <c r="C62" i="63"/>
  <c r="L61" i="63"/>
  <c r="I61" i="63"/>
  <c r="C61" i="63"/>
  <c r="C45" i="63" s="1"/>
  <c r="AA60" i="63"/>
  <c r="C153" i="119" s="1"/>
  <c r="X60" i="63"/>
  <c r="U60" i="63"/>
  <c r="D508" i="75" s="1"/>
  <c r="L60" i="63"/>
  <c r="D218" i="85" s="1"/>
  <c r="I60" i="63"/>
  <c r="C60" i="63"/>
  <c r="AA59" i="63"/>
  <c r="U59" i="63"/>
  <c r="D506" i="75" s="1"/>
  <c r="O59" i="63" a="1"/>
  <c r="O59" i="63"/>
  <c r="L59" i="63"/>
  <c r="I59" i="63"/>
  <c r="F59" i="63"/>
  <c r="C59" i="63"/>
  <c r="U58" i="63"/>
  <c r="D519" i="75" s="1"/>
  <c r="O58" i="63"/>
  <c r="L58" i="63"/>
  <c r="I58" i="63"/>
  <c r="F58" i="63"/>
  <c r="C58" i="63"/>
  <c r="C90" i="112" s="1"/>
  <c r="U57" i="63"/>
  <c r="O57" i="63"/>
  <c r="L57" i="63"/>
  <c r="I57" i="63"/>
  <c r="C57" i="63"/>
  <c r="X56" i="63"/>
  <c r="O56" i="63"/>
  <c r="L56" i="63"/>
  <c r="I56" i="63"/>
  <c r="C56" i="63"/>
  <c r="C88" i="112" s="1"/>
  <c r="O55" i="63"/>
  <c r="L55" i="63"/>
  <c r="I55" i="63"/>
  <c r="C55" i="63"/>
  <c r="C39" i="63" s="1"/>
  <c r="D87" i="112" s="1"/>
  <c r="U54" i="63"/>
  <c r="O54" i="63"/>
  <c r="L54" i="63"/>
  <c r="I54" i="63"/>
  <c r="F54" i="63"/>
  <c r="C54" i="63"/>
  <c r="D40" i="95" s="1"/>
  <c r="U53" i="63"/>
  <c r="O53" i="63"/>
  <c r="L53" i="63"/>
  <c r="I53" i="63"/>
  <c r="F53" i="63"/>
  <c r="C53" i="63"/>
  <c r="C37" i="63" s="1"/>
  <c r="X52" i="63"/>
  <c r="D64" i="116" s="1"/>
  <c r="U52" i="63"/>
  <c r="R52" i="63"/>
  <c r="C98" i="112" s="1"/>
  <c r="L52" i="63"/>
  <c r="D170" i="85" s="1"/>
  <c r="F52" i="63"/>
  <c r="O51" i="63"/>
  <c r="L51" i="63"/>
  <c r="I51" i="63"/>
  <c r="F51" i="63"/>
  <c r="B123" i="116" s="1"/>
  <c r="AA50" i="63"/>
  <c r="O50" i="63"/>
  <c r="L50" i="63"/>
  <c r="I50" i="63"/>
  <c r="F50" i="63" a="1"/>
  <c r="F50" i="63" s="1"/>
  <c r="D459" i="109" s="1"/>
  <c r="O49" i="63"/>
  <c r="D223" i="85" s="1"/>
  <c r="L49" i="63"/>
  <c r="I49" i="63"/>
  <c r="F49" i="63"/>
  <c r="C49" i="63"/>
  <c r="D103" i="112" s="1" a="1"/>
  <c r="D103" i="112" s="1"/>
  <c r="X48" i="63"/>
  <c r="D68" i="113" s="1"/>
  <c r="O48" i="63"/>
  <c r="D221" i="85" s="1"/>
  <c r="L48" i="63"/>
  <c r="I48" i="63"/>
  <c r="F48" i="63"/>
  <c r="F35" i="63" s="1"/>
  <c r="AA47" i="63"/>
  <c r="U47" i="63"/>
  <c r="O47" i="63"/>
  <c r="L47" i="63"/>
  <c r="I47" i="63"/>
  <c r="F47" i="63"/>
  <c r="C208" i="112" s="1"/>
  <c r="C47" i="63"/>
  <c r="AA46" i="63"/>
  <c r="U46" i="63"/>
  <c r="O46" i="63"/>
  <c r="D219" i="85" s="1"/>
  <c r="I46" i="63"/>
  <c r="F46" i="63"/>
  <c r="C207" i="112" s="1"/>
  <c r="U45" i="63"/>
  <c r="O45" i="63"/>
  <c r="L45" i="63"/>
  <c r="I45" i="63"/>
  <c r="F45" i="63"/>
  <c r="X44" i="63"/>
  <c r="U44" i="63"/>
  <c r="O44" i="63"/>
  <c r="L44" i="63"/>
  <c r="D118" i="85" s="1"/>
  <c r="I44" i="63"/>
  <c r="F44" i="63"/>
  <c r="F31" i="63" s="1"/>
  <c r="D70" i="85" s="1"/>
  <c r="C44" i="63"/>
  <c r="AE43" i="63"/>
  <c r="D84" i="116" s="1"/>
  <c r="AA43" i="63"/>
  <c r="R43" i="63"/>
  <c r="O43" i="63"/>
  <c r="F43" i="63"/>
  <c r="D395" i="120" s="1"/>
  <c r="AA42" i="63"/>
  <c r="R42" i="63"/>
  <c r="E102" i="112" s="1"/>
  <c r="O42" i="63"/>
  <c r="I42" i="63"/>
  <c r="R41" i="63"/>
  <c r="E101" i="112" s="1"/>
  <c r="O41" i="63"/>
  <c r="I41" i="63"/>
  <c r="X40" i="63"/>
  <c r="U40" i="63"/>
  <c r="R40" i="63"/>
  <c r="E100" i="112" s="1"/>
  <c r="O40" i="63"/>
  <c r="L40" i="63"/>
  <c r="I40" i="63"/>
  <c r="AA39" i="63"/>
  <c r="U39" i="63"/>
  <c r="R39" i="63"/>
  <c r="E99" i="112" s="1"/>
  <c r="O39" i="63"/>
  <c r="L39" i="63"/>
  <c r="I39" i="63"/>
  <c r="F39" i="63"/>
  <c r="AA38" i="63"/>
  <c r="U38" i="63"/>
  <c r="D70" i="95" s="1"/>
  <c r="R38" i="63"/>
  <c r="O38" i="63"/>
  <c r="L38" i="63"/>
  <c r="I38" i="63"/>
  <c r="F38" i="63"/>
  <c r="AE37" i="63"/>
  <c r="AA37" i="63"/>
  <c r="O37" i="63"/>
  <c r="L37" i="63"/>
  <c r="I37" i="63"/>
  <c r="AA36" i="63"/>
  <c r="X36" i="63"/>
  <c r="O36" i="63"/>
  <c r="I36" i="63"/>
  <c r="F36" i="63"/>
  <c r="O35" i="63"/>
  <c r="L35" i="63"/>
  <c r="I35" i="63"/>
  <c r="U34" i="63"/>
  <c r="O34" i="63"/>
  <c r="L34" i="63" a="1"/>
  <c r="L34" i="63" s="1"/>
  <c r="F34" i="63"/>
  <c r="D208" i="112" s="1"/>
  <c r="AE33" i="63"/>
  <c r="O33" i="63"/>
  <c r="L33" i="63"/>
  <c r="D222" i="85" s="1"/>
  <c r="I33" i="63"/>
  <c r="F33" i="63"/>
  <c r="D207" i="112" s="1"/>
  <c r="C33" i="63"/>
  <c r="E107" i="112" s="1"/>
  <c r="X32" i="63"/>
  <c r="D65" i="113" s="1"/>
  <c r="O32" i="63"/>
  <c r="L32" i="63"/>
  <c r="I32" i="63"/>
  <c r="C32" i="63"/>
  <c r="E106" i="112" s="1"/>
  <c r="O31" i="63"/>
  <c r="L31" i="63"/>
  <c r="I31" i="63"/>
  <c r="C31" i="63"/>
  <c r="E105" i="112" s="1"/>
  <c r="O30" i="63"/>
  <c r="L30" i="63"/>
  <c r="I30" i="63"/>
  <c r="C30" i="63"/>
  <c r="E104" i="112" s="1"/>
  <c r="L29" i="63"/>
  <c r="I29" i="63"/>
  <c r="C29" i="63"/>
  <c r="E103" i="112" s="1"/>
  <c r="X28" i="63"/>
  <c r="L28" i="63"/>
  <c r="I28" i="63"/>
  <c r="C28" i="63"/>
  <c r="U27" i="63"/>
  <c r="O27" i="63"/>
  <c r="L27" i="63"/>
  <c r="I27" i="63"/>
  <c r="C27" i="63"/>
  <c r="U26" i="63"/>
  <c r="D69" i="95" s="1"/>
  <c r="O26" i="63"/>
  <c r="L26" i="63"/>
  <c r="I26" i="63"/>
  <c r="F26" i="63"/>
  <c r="D59" i="116" s="1"/>
  <c r="C26" i="63"/>
  <c r="D58" i="113" s="1"/>
  <c r="U25" i="63"/>
  <c r="R25" i="63"/>
  <c r="O25" i="63"/>
  <c r="L25" i="63"/>
  <c r="F25" i="63"/>
  <c r="D58" i="116" s="1"/>
  <c r="C25" i="63"/>
  <c r="D57" i="113" s="1"/>
  <c r="U24" i="63"/>
  <c r="R24" i="63"/>
  <c r="O24" i="63"/>
  <c r="L24" i="63"/>
  <c r="I24" i="63"/>
  <c r="F24" i="63"/>
  <c r="D57" i="116" s="1"/>
  <c r="C24" i="63"/>
  <c r="D141" i="113" s="1"/>
  <c r="O23" i="63"/>
  <c r="L23" i="63"/>
  <c r="I23" i="63"/>
  <c r="F23" i="63"/>
  <c r="D56" i="116" s="1"/>
  <c r="C23" i="63"/>
  <c r="D140" i="113" s="1"/>
  <c r="O22" i="63"/>
  <c r="L22" i="63"/>
  <c r="I22" i="63"/>
  <c r="F22" i="63"/>
  <c r="D123" i="116" s="1"/>
  <c r="C22" i="63"/>
  <c r="D139" i="113" s="1"/>
  <c r="O21" i="63"/>
  <c r="L21" i="63"/>
  <c r="F21" i="63"/>
  <c r="D122" i="116" s="1"/>
  <c r="C21" i="63"/>
  <c r="D138" i="113" s="1"/>
  <c r="U20" i="63"/>
  <c r="O20" i="63"/>
  <c r="L20" i="63"/>
  <c r="I20" i="63"/>
  <c r="F20" i="63"/>
  <c r="D121" i="116" s="1"/>
  <c r="C20" i="63"/>
  <c r="E91" i="112" s="1"/>
  <c r="U19" i="63"/>
  <c r="O19" i="63"/>
  <c r="L19" i="63"/>
  <c r="I19" i="63"/>
  <c r="I21" i="63" s="1"/>
  <c r="F19" i="63"/>
  <c r="D120" i="116" s="1"/>
  <c r="C19" i="63"/>
  <c r="E90" i="112" s="1"/>
  <c r="U18" i="63"/>
  <c r="O18" i="63"/>
  <c r="L18" i="63"/>
  <c r="I18" i="63"/>
  <c r="F18" i="63"/>
  <c r="E208" i="112" s="1"/>
  <c r="C18" i="63"/>
  <c r="E89" i="112" s="1"/>
  <c r="O17" i="63"/>
  <c r="L17" i="63"/>
  <c r="I17" i="63"/>
  <c r="F17" i="63"/>
  <c r="E207" i="112" s="1"/>
  <c r="C17" i="63"/>
  <c r="E88" i="112" s="1"/>
  <c r="R16" i="63"/>
  <c r="O16" i="63"/>
  <c r="L16" i="63"/>
  <c r="F16" i="63"/>
  <c r="E206" i="112" s="1"/>
  <c r="C16" i="63"/>
  <c r="E87" i="112" s="1"/>
  <c r="O15" i="63"/>
  <c r="L15" i="63"/>
  <c r="I15" i="63"/>
  <c r="F15" i="63"/>
  <c r="E205" i="112" s="1"/>
  <c r="C15" i="63"/>
  <c r="E86" i="112" s="1"/>
  <c r="O14" i="63"/>
  <c r="L14" i="63"/>
  <c r="D117" i="86" s="1"/>
  <c r="I14" i="63"/>
  <c r="F14" i="63"/>
  <c r="C14" i="63"/>
  <c r="O13" i="63"/>
  <c r="L13" i="63"/>
  <c r="I13" i="63"/>
  <c r="R12" i="63"/>
  <c r="O12" i="63"/>
  <c r="I12" i="63"/>
  <c r="O11" i="63"/>
  <c r="O10" i="63"/>
  <c r="I10" i="63"/>
  <c r="F10" i="63"/>
  <c r="D12" i="65" s="1"/>
  <c r="E10" i="63"/>
  <c r="C10" i="63"/>
  <c r="I9" i="63"/>
  <c r="R8" i="63"/>
  <c r="O8" i="63"/>
  <c r="L8" i="63"/>
  <c r="F8" i="63"/>
  <c r="F9" i="63" s="1"/>
  <c r="C7" i="63"/>
  <c r="I492" i="87"/>
  <c r="C230" i="112" s="1"/>
  <c r="I491" i="87"/>
  <c r="C229" i="112" s="1"/>
  <c r="I490" i="87"/>
  <c r="C228" i="112" s="1"/>
  <c r="I489" i="87"/>
  <c r="C227" i="112" s="1"/>
  <c r="I488" i="87"/>
  <c r="C226" i="112" s="1"/>
  <c r="I487" i="87"/>
  <c r="C225" i="112" s="1"/>
  <c r="I486" i="87"/>
  <c r="C224" i="112" s="1"/>
  <c r="I485" i="87"/>
  <c r="C223" i="112" s="1"/>
  <c r="I484" i="87"/>
  <c r="C222" i="112" s="1"/>
  <c r="F484" i="87"/>
  <c r="C128" i="112" s="1"/>
  <c r="I483" i="87"/>
  <c r="C221" i="112" s="1"/>
  <c r="F483" i="87"/>
  <c r="C127" i="112" s="1"/>
  <c r="I482" i="87"/>
  <c r="F482" i="87"/>
  <c r="C126" i="112" s="1"/>
  <c r="I481" i="87"/>
  <c r="C219" i="112" s="1"/>
  <c r="F481" i="87"/>
  <c r="C125" i="112" s="1"/>
  <c r="I480" i="87"/>
  <c r="C218" i="112" s="1"/>
  <c r="F480" i="87"/>
  <c r="C124" i="112" s="1"/>
  <c r="I479" i="87"/>
  <c r="C217" i="112" s="1"/>
  <c r="F479" i="87"/>
  <c r="C123" i="112" s="1"/>
  <c r="I478" i="87"/>
  <c r="I459" i="87" s="1"/>
  <c r="D216" i="112" s="1"/>
  <c r="F478" i="87"/>
  <c r="C122" i="112" s="1"/>
  <c r="I477" i="87"/>
  <c r="F477" i="87"/>
  <c r="C121" i="112" s="1"/>
  <c r="F476" i="87"/>
  <c r="F475" i="87"/>
  <c r="C119" i="112" s="1"/>
  <c r="F474" i="87"/>
  <c r="C118" i="112" s="1"/>
  <c r="I473" i="87"/>
  <c r="D230" i="112" s="1"/>
  <c r="F473" i="87"/>
  <c r="C117" i="112" s="1"/>
  <c r="I472" i="87"/>
  <c r="D229" i="112" s="1"/>
  <c r="F472" i="87"/>
  <c r="C116" i="112" s="1"/>
  <c r="I471" i="87"/>
  <c r="D228" i="112" s="1"/>
  <c r="F471" i="87"/>
  <c r="I470" i="87"/>
  <c r="D227" i="112" s="1"/>
  <c r="F470" i="87"/>
  <c r="C114" i="112" s="1"/>
  <c r="I469" i="87"/>
  <c r="D226" i="112" s="1"/>
  <c r="F469" i="87"/>
  <c r="C113" i="112" s="1"/>
  <c r="I468" i="87"/>
  <c r="D225" i="112" s="1"/>
  <c r="I467" i="87"/>
  <c r="D224" i="112" s="1"/>
  <c r="I466" i="87"/>
  <c r="D223" i="112" s="1"/>
  <c r="I465" i="87"/>
  <c r="D222" i="112" s="1"/>
  <c r="F464" i="87"/>
  <c r="D127" i="112" s="1"/>
  <c r="I462" i="87"/>
  <c r="D219" i="112" s="1"/>
  <c r="F462" i="87"/>
  <c r="D125" i="112" s="1"/>
  <c r="I461" i="87"/>
  <c r="D218" i="112" s="1"/>
  <c r="I460" i="87"/>
  <c r="D217" i="112" s="1"/>
  <c r="F458" i="87"/>
  <c r="D121" i="112" s="1"/>
  <c r="F457" i="87"/>
  <c r="D120" i="112" s="1"/>
  <c r="F456" i="87"/>
  <c r="D119" i="112" s="1"/>
  <c r="F455" i="87"/>
  <c r="D118" i="112" s="1"/>
  <c r="I454" i="87"/>
  <c r="F454" i="87"/>
  <c r="D117" i="112" s="1"/>
  <c r="I453" i="87"/>
  <c r="F453" i="87"/>
  <c r="D116" i="112" s="1"/>
  <c r="I452" i="87"/>
  <c r="I451" i="87"/>
  <c r="F451" i="87"/>
  <c r="D114" i="112" s="1"/>
  <c r="I450" i="87"/>
  <c r="F450" i="87"/>
  <c r="D113" i="112" s="1"/>
  <c r="I449" i="87"/>
  <c r="I448" i="87"/>
  <c r="I447" i="87"/>
  <c r="I446" i="87"/>
  <c r="F446" i="87"/>
  <c r="I445" i="87"/>
  <c r="F445" i="87"/>
  <c r="I444" i="87"/>
  <c r="F444" i="87"/>
  <c r="I443" i="87"/>
  <c r="F443" i="87"/>
  <c r="I442" i="87"/>
  <c r="F442" i="87"/>
  <c r="I441" i="87"/>
  <c r="F441" i="87"/>
  <c r="I440" i="87"/>
  <c r="F440" i="87"/>
  <c r="I439" i="87"/>
  <c r="F439" i="87"/>
  <c r="I438" i="87"/>
  <c r="E230" i="112" s="1"/>
  <c r="F438" i="87"/>
  <c r="I437" i="87"/>
  <c r="E229" i="112" s="1"/>
  <c r="F437" i="87"/>
  <c r="I436" i="87"/>
  <c r="E228" i="112" s="1"/>
  <c r="F436" i="87"/>
  <c r="I435" i="87"/>
  <c r="E227" i="112" s="1"/>
  <c r="F435" i="87"/>
  <c r="I434" i="87"/>
  <c r="E226" i="112" s="1"/>
  <c r="F434" i="87"/>
  <c r="I433" i="87"/>
  <c r="E225" i="112" s="1"/>
  <c r="F433" i="87"/>
  <c r="I432" i="87"/>
  <c r="E224" i="112" s="1"/>
  <c r="F432" i="87"/>
  <c r="I431" i="87"/>
  <c r="E223" i="112" s="1"/>
  <c r="F431" i="87"/>
  <c r="I430" i="87"/>
  <c r="E222" i="112" s="1"/>
  <c r="F430" i="87"/>
  <c r="I429" i="87"/>
  <c r="E221" i="112" s="1"/>
  <c r="F429" i="87"/>
  <c r="I428" i="87"/>
  <c r="E220" i="112" s="1"/>
  <c r="F428" i="87"/>
  <c r="I427" i="87"/>
  <c r="E219" i="112" s="1"/>
  <c r="F427" i="87"/>
  <c r="I426" i="87"/>
  <c r="E218" i="112" s="1"/>
  <c r="F426" i="87"/>
  <c r="I425" i="87"/>
  <c r="E217" i="112" s="1"/>
  <c r="F425" i="87"/>
  <c r="E123" i="112" s="1"/>
  <c r="I424" i="87"/>
  <c r="E216" i="112" s="1"/>
  <c r="F424" i="87"/>
  <c r="E122" i="112" s="1"/>
  <c r="I423" i="87"/>
  <c r="E215" i="112" s="1"/>
  <c r="F423" i="87"/>
  <c r="F422" i="87"/>
  <c r="F421" i="87"/>
  <c r="F420" i="87"/>
  <c r="D106" i="113" s="1"/>
  <c r="F419" i="87"/>
  <c r="F418" i="87"/>
  <c r="F417" i="87"/>
  <c r="F416" i="87"/>
  <c r="F415" i="87"/>
  <c r="I409" i="87"/>
  <c r="I408" i="87"/>
  <c r="I407" i="87"/>
  <c r="I406" i="87"/>
  <c r="F401" i="87"/>
  <c r="I400" i="87"/>
  <c r="F400" i="87"/>
  <c r="I399" i="87"/>
  <c r="F399" i="87"/>
  <c r="I398" i="87"/>
  <c r="D88" i="116" s="1"/>
  <c r="F398" i="87"/>
  <c r="I397" i="87"/>
  <c r="D87" i="116" s="1"/>
  <c r="I396" i="87"/>
  <c r="D95" i="116" s="1"/>
  <c r="I395" i="87"/>
  <c r="D94" i="116" s="1"/>
  <c r="I394" i="87"/>
  <c r="D81" i="116" s="1"/>
  <c r="I393" i="87"/>
  <c r="D80" i="116" s="1"/>
  <c r="I392" i="87"/>
  <c r="D73" i="116" s="1"/>
  <c r="F392" i="87"/>
  <c r="D89" i="113" s="1"/>
  <c r="I391" i="87"/>
  <c r="D74" i="116" s="1"/>
  <c r="F391" i="87"/>
  <c r="D88" i="113" s="1"/>
  <c r="F390" i="87"/>
  <c r="D96" i="113" s="1"/>
  <c r="F389" i="87"/>
  <c r="D95" i="113" s="1"/>
  <c r="F388" i="87"/>
  <c r="D82" i="113" s="1"/>
  <c r="I387" i="87"/>
  <c r="F387" i="87"/>
  <c r="D81" i="113" s="1"/>
  <c r="I386" i="87"/>
  <c r="C168" i="112" s="1" a="1"/>
  <c r="C168" i="112" s="1"/>
  <c r="F386" i="87"/>
  <c r="D74" i="113" s="1"/>
  <c r="F385" i="87"/>
  <c r="D75" i="113" s="1"/>
  <c r="I382" i="87"/>
  <c r="C164" i="112" s="1" a="1"/>
  <c r="C164" i="112" s="1"/>
  <c r="F381" i="87"/>
  <c r="F380" i="87"/>
  <c r="C44" i="112" s="1" a="1"/>
  <c r="C44" i="112" s="1"/>
  <c r="F376" i="87"/>
  <c r="C40" i="112" s="1"/>
  <c r="F375" i="87"/>
  <c r="C39" i="112" s="1"/>
  <c r="I374" i="87"/>
  <c r="I373" i="87"/>
  <c r="I372" i="87"/>
  <c r="I371" i="87"/>
  <c r="I370" i="87"/>
  <c r="I369" i="87"/>
  <c r="F368" i="87"/>
  <c r="F367" i="87"/>
  <c r="F366" i="87"/>
  <c r="F365" i="87"/>
  <c r="F364" i="87"/>
  <c r="I363" i="87"/>
  <c r="H169" i="112" s="1"/>
  <c r="F363" i="87"/>
  <c r="I362" i="87"/>
  <c r="H168" i="112" s="1"/>
  <c r="F362" i="87"/>
  <c r="I361" i="87"/>
  <c r="H167" i="112" s="1"/>
  <c r="I360" i="87"/>
  <c r="H166" i="112" s="1"/>
  <c r="I359" i="87"/>
  <c r="I358" i="87"/>
  <c r="D85" i="116" s="1"/>
  <c r="I357" i="87"/>
  <c r="H164" i="112" s="1"/>
  <c r="I356" i="87"/>
  <c r="I355" i="87"/>
  <c r="F355" i="87"/>
  <c r="I354" i="87"/>
  <c r="AE47" i="63" s="1"/>
  <c r="F354" i="87"/>
  <c r="F353" i="87"/>
  <c r="D86" i="113" s="1"/>
  <c r="F352" i="87"/>
  <c r="D93" i="113" s="1"/>
  <c r="F351" i="87"/>
  <c r="H39" i="112" s="1"/>
  <c r="E351" i="87"/>
  <c r="F350" i="87"/>
  <c r="F349" i="87"/>
  <c r="I346" i="87"/>
  <c r="G167" i="112" s="1"/>
  <c r="I344" i="87"/>
  <c r="I343" i="87"/>
  <c r="F343" i="87"/>
  <c r="G45" i="112" s="1"/>
  <c r="I342" i="87"/>
  <c r="F342" i="87"/>
  <c r="I341" i="87"/>
  <c r="F341" i="87"/>
  <c r="I340" i="87"/>
  <c r="F340" i="87"/>
  <c r="I339" i="87"/>
  <c r="F339" i="87"/>
  <c r="D85" i="113" s="1"/>
  <c r="F338" i="87"/>
  <c r="F337" i="87"/>
  <c r="E337" i="87"/>
  <c r="F336" i="87"/>
  <c r="F335" i="87"/>
  <c r="G37" i="112" s="1"/>
  <c r="I334" i="87"/>
  <c r="I333" i="87"/>
  <c r="I329" i="87"/>
  <c r="I328" i="87"/>
  <c r="F328" i="87"/>
  <c r="I327" i="87"/>
  <c r="I326" i="87"/>
  <c r="I325" i="87"/>
  <c r="F325" i="87"/>
  <c r="I324" i="87"/>
  <c r="F324" i="87"/>
  <c r="F323" i="87"/>
  <c r="E323" i="87"/>
  <c r="F322" i="87"/>
  <c r="I319" i="87"/>
  <c r="F165" i="112" s="1"/>
  <c r="I318" i="87"/>
  <c r="I314" i="87"/>
  <c r="I299" i="87" s="1"/>
  <c r="I313" i="87"/>
  <c r="I312" i="87"/>
  <c r="F164" i="112" s="1"/>
  <c r="I311" i="87"/>
  <c r="D79" i="116" s="1"/>
  <c r="F311" i="87"/>
  <c r="F297" i="87" s="1"/>
  <c r="I310" i="87"/>
  <c r="F162" i="112" s="1"/>
  <c r="I309" i="87"/>
  <c r="F161" i="112" s="1" a="1"/>
  <c r="F161" i="112" s="1"/>
  <c r="F309" i="87"/>
  <c r="F39" i="112" s="1"/>
  <c r="E309" i="87"/>
  <c r="F308" i="87"/>
  <c r="F38" i="112" s="1" a="1"/>
  <c r="F38" i="112" s="1"/>
  <c r="F307" i="87"/>
  <c r="F37" i="112" s="1"/>
  <c r="I304" i="87"/>
  <c r="E165" i="112" s="1"/>
  <c r="I303" i="87"/>
  <c r="E169" i="112" s="1"/>
  <c r="I302" i="87"/>
  <c r="E168" i="112" s="1"/>
  <c r="I301" i="87"/>
  <c r="E167" i="112" s="1"/>
  <c r="F301" i="87"/>
  <c r="I300" i="87"/>
  <c r="E166" i="112" s="1"/>
  <c r="F300" i="87"/>
  <c r="F299" i="87"/>
  <c r="I298" i="87"/>
  <c r="D86" i="116" s="1"/>
  <c r="F298" i="87"/>
  <c r="I297" i="87"/>
  <c r="D92" i="116" s="1"/>
  <c r="I296" i="87"/>
  <c r="E163" i="112" s="1"/>
  <c r="F296" i="87"/>
  <c r="I295" i="87"/>
  <c r="F295" i="87"/>
  <c r="E295" i="87"/>
  <c r="I294" i="87"/>
  <c r="E161" i="112" s="1"/>
  <c r="F294" i="87"/>
  <c r="F293" i="87"/>
  <c r="I289" i="87"/>
  <c r="D165" i="112" s="1"/>
  <c r="I288" i="87"/>
  <c r="D169" i="112" s="1"/>
  <c r="F288" i="87"/>
  <c r="D41" i="112" s="1"/>
  <c r="I287" i="87"/>
  <c r="D168" i="112" s="1"/>
  <c r="F287" i="87"/>
  <c r="I286" i="87"/>
  <c r="D167" i="112" s="1"/>
  <c r="F286" i="87"/>
  <c r="D44" i="112" s="1"/>
  <c r="I285" i="87"/>
  <c r="F285" i="87"/>
  <c r="D43" i="112" s="1"/>
  <c r="I284" i="87"/>
  <c r="F284" i="87"/>
  <c r="I283" i="87"/>
  <c r="D83" i="116" s="1"/>
  <c r="F283" i="87"/>
  <c r="D84" i="113" s="1"/>
  <c r="I282" i="87"/>
  <c r="F282" i="87"/>
  <c r="I281" i="87"/>
  <c r="F281" i="87"/>
  <c r="E281" i="87"/>
  <c r="I280" i="87"/>
  <c r="F280" i="87"/>
  <c r="I279" i="87"/>
  <c r="F279" i="87"/>
  <c r="F274" i="87"/>
  <c r="I273" i="87"/>
  <c r="D46" i="116" s="1"/>
  <c r="F273" i="87"/>
  <c r="I272" i="87"/>
  <c r="F272" i="87"/>
  <c r="I271" i="87"/>
  <c r="F271" i="87"/>
  <c r="I270" i="87"/>
  <c r="D130" i="116" s="1"/>
  <c r="F270" i="87"/>
  <c r="D148" i="113" s="1"/>
  <c r="I269" i="87"/>
  <c r="F269" i="87"/>
  <c r="D43" i="113" s="1"/>
  <c r="I267" i="87"/>
  <c r="F267" i="87"/>
  <c r="F266" i="87"/>
  <c r="D93" i="112" s="1"/>
  <c r="F263" i="87"/>
  <c r="I262" i="87"/>
  <c r="F262" i="87"/>
  <c r="I261" i="87"/>
  <c r="F261" i="87"/>
  <c r="I260" i="87"/>
  <c r="D126" i="116" s="1"/>
  <c r="F260" i="87"/>
  <c r="I259" i="87"/>
  <c r="F259" i="87"/>
  <c r="I258" i="87"/>
  <c r="F258" i="87"/>
  <c r="E92" i="112" s="1"/>
  <c r="I257" i="87"/>
  <c r="F257" i="87"/>
  <c r="F256" i="87"/>
  <c r="I255" i="87"/>
  <c r="F255" i="87"/>
  <c r="D92" i="112" s="1"/>
  <c r="I252" i="87"/>
  <c r="C200" i="112" s="1"/>
  <c r="F252" i="87"/>
  <c r="C81" i="112" s="1"/>
  <c r="I251" i="87"/>
  <c r="F251" i="87"/>
  <c r="C80" i="112" s="1"/>
  <c r="I250" i="87"/>
  <c r="C198" i="112" s="1"/>
  <c r="F250" i="87"/>
  <c r="I249" i="87"/>
  <c r="B392" i="65" s="1"/>
  <c r="F249" i="87"/>
  <c r="C78" i="112" s="1"/>
  <c r="I248" i="87"/>
  <c r="C196" i="112" s="1"/>
  <c r="F248" i="87"/>
  <c r="C77" i="112" s="1"/>
  <c r="I247" i="87"/>
  <c r="C195" i="112" s="1"/>
  <c r="F247" i="87"/>
  <c r="C76" i="112" s="1"/>
  <c r="I246" i="87"/>
  <c r="C194" i="112" s="1"/>
  <c r="F246" i="87"/>
  <c r="C75" i="112" s="1"/>
  <c r="I245" i="87"/>
  <c r="C193" i="112" s="1"/>
  <c r="F245" i="87"/>
  <c r="C74" i="112" s="1"/>
  <c r="I244" i="87"/>
  <c r="F244" i="87"/>
  <c r="C73" i="112" s="1"/>
  <c r="I243" i="87"/>
  <c r="C191" i="112" s="1"/>
  <c r="F243" i="87"/>
  <c r="C72" i="112" s="1"/>
  <c r="I242" i="87"/>
  <c r="C190" i="112" s="1"/>
  <c r="F242" i="87"/>
  <c r="C71" i="112" s="1"/>
  <c r="I241" i="87"/>
  <c r="F241" i="87"/>
  <c r="C70" i="112" s="1"/>
  <c r="I240" i="87"/>
  <c r="C188" i="112" s="1"/>
  <c r="F240" i="87"/>
  <c r="I239" i="87"/>
  <c r="I220" i="87" s="1"/>
  <c r="D187" i="112" s="1"/>
  <c r="F239" i="87"/>
  <c r="C68" i="112" s="1"/>
  <c r="I238" i="87"/>
  <c r="F238" i="87"/>
  <c r="C67" i="112" s="1"/>
  <c r="I237" i="87"/>
  <c r="C185" i="112" s="1"/>
  <c r="F237" i="87"/>
  <c r="AD236" i="87"/>
  <c r="AA236" i="87"/>
  <c r="X236" i="87"/>
  <c r="U236" i="87"/>
  <c r="U217" i="87" s="1"/>
  <c r="R236" i="87"/>
  <c r="R217" i="87" s="1"/>
  <c r="O236" i="87"/>
  <c r="L236" i="87"/>
  <c r="L217" i="87" s="1"/>
  <c r="AD235" i="87"/>
  <c r="AA235" i="87"/>
  <c r="AA216" i="87" s="1"/>
  <c r="X235" i="87"/>
  <c r="U235" i="87"/>
  <c r="U216" i="87" s="1"/>
  <c r="R235" i="87"/>
  <c r="R216" i="87" s="1"/>
  <c r="O235" i="87"/>
  <c r="L235" i="87"/>
  <c r="L216" i="87" s="1"/>
  <c r="AD234" i="87"/>
  <c r="AD215" i="87" s="1"/>
  <c r="AA234" i="87"/>
  <c r="AA215" i="87" s="1"/>
  <c r="X234" i="87"/>
  <c r="U234" i="87"/>
  <c r="R234" i="87"/>
  <c r="O234" i="87"/>
  <c r="L234" i="87"/>
  <c r="AD233" i="87"/>
  <c r="AD214" i="87" s="1"/>
  <c r="AA233" i="87"/>
  <c r="AA214" i="87" s="1"/>
  <c r="X233" i="87"/>
  <c r="X214" i="87" s="1"/>
  <c r="U233" i="87"/>
  <c r="U214" i="87" s="1"/>
  <c r="R233" i="87"/>
  <c r="O233" i="87"/>
  <c r="O214" i="87" s="1"/>
  <c r="L233" i="87"/>
  <c r="I233" i="87"/>
  <c r="D200" i="112" s="1"/>
  <c r="F233" i="87"/>
  <c r="D81" i="112" s="1"/>
  <c r="AD232" i="87"/>
  <c r="AD213" i="87" s="1"/>
  <c r="AA232" i="87"/>
  <c r="AA213" i="87" s="1"/>
  <c r="X232" i="87"/>
  <c r="X213" i="87" s="1"/>
  <c r="U232" i="87"/>
  <c r="U213" i="87" s="1"/>
  <c r="R232" i="87"/>
  <c r="R213" i="87" s="1"/>
  <c r="O232" i="87"/>
  <c r="L232" i="87"/>
  <c r="AD231" i="87"/>
  <c r="AA231" i="87"/>
  <c r="X231" i="87"/>
  <c r="X212" i="87" s="1"/>
  <c r="U231" i="87"/>
  <c r="U212" i="87" s="1"/>
  <c r="R231" i="87"/>
  <c r="R212" i="87" s="1"/>
  <c r="O231" i="87"/>
  <c r="L231" i="87"/>
  <c r="L212" i="87" s="1"/>
  <c r="AD230" i="87"/>
  <c r="AD211" i="87" s="1"/>
  <c r="AA230" i="87"/>
  <c r="X230" i="87"/>
  <c r="U230" i="87"/>
  <c r="R230" i="87"/>
  <c r="R211" i="87" s="1"/>
  <c r="O230" i="87"/>
  <c r="O211" i="87" s="1"/>
  <c r="L230" i="87"/>
  <c r="L211" i="87" s="1"/>
  <c r="F230" i="87"/>
  <c r="D78" i="112" s="1"/>
  <c r="AD229" i="87"/>
  <c r="AA229" i="87"/>
  <c r="X229" i="87"/>
  <c r="X210" i="87" s="1"/>
  <c r="U229" i="87"/>
  <c r="R229" i="87"/>
  <c r="O229" i="87"/>
  <c r="L229" i="87"/>
  <c r="L210" i="87" s="1"/>
  <c r="I229" i="87"/>
  <c r="D196" i="112" s="1"/>
  <c r="F229" i="87"/>
  <c r="D77" i="112" s="1"/>
  <c r="AD228" i="87"/>
  <c r="AD209" i="87" s="1"/>
  <c r="AA228" i="87"/>
  <c r="X228" i="87"/>
  <c r="U228" i="87"/>
  <c r="R228" i="87"/>
  <c r="R209" i="87" s="1"/>
  <c r="O228" i="87"/>
  <c r="L228" i="87"/>
  <c r="I228" i="87"/>
  <c r="D195" i="112" s="1"/>
  <c r="F228" i="87"/>
  <c r="D76" i="112" s="1"/>
  <c r="AD227" i="87"/>
  <c r="AA227" i="87"/>
  <c r="AA208" i="87" s="1"/>
  <c r="X227" i="87"/>
  <c r="U227" i="87"/>
  <c r="R227" i="87"/>
  <c r="O227" i="87"/>
  <c r="O208" i="87" s="1"/>
  <c r="L227" i="87"/>
  <c r="I227" i="87"/>
  <c r="D194" i="112" s="1"/>
  <c r="F227" i="87"/>
  <c r="D75" i="112" s="1"/>
  <c r="AD226" i="87"/>
  <c r="AD207" i="87" s="1"/>
  <c r="AA226" i="87"/>
  <c r="X226" i="87"/>
  <c r="X207" i="87" s="1"/>
  <c r="U226" i="87"/>
  <c r="R226" i="87"/>
  <c r="O226" i="87"/>
  <c r="L226" i="87"/>
  <c r="L207" i="87" s="1"/>
  <c r="F226" i="87"/>
  <c r="D74" i="112" s="1"/>
  <c r="AD225" i="87"/>
  <c r="AD206" i="87" s="1"/>
  <c r="AA225" i="87"/>
  <c r="AA206" i="87" s="1"/>
  <c r="X225" i="87"/>
  <c r="U225" i="87"/>
  <c r="U206" i="87" s="1"/>
  <c r="R225" i="87"/>
  <c r="O225" i="87"/>
  <c r="O206" i="87" s="1"/>
  <c r="L225" i="87"/>
  <c r="AD224" i="87"/>
  <c r="AA224" i="87"/>
  <c r="AA205" i="87" s="1"/>
  <c r="X224" i="87"/>
  <c r="X205" i="87" s="1"/>
  <c r="U224" i="87"/>
  <c r="R224" i="87"/>
  <c r="R205" i="87" s="1"/>
  <c r="O224" i="87"/>
  <c r="L224" i="87"/>
  <c r="L205" i="87" s="1"/>
  <c r="F224" i="87"/>
  <c r="D72" i="112" s="1"/>
  <c r="AD223" i="87"/>
  <c r="AA223" i="87"/>
  <c r="AA204" i="87" s="1"/>
  <c r="X223" i="87"/>
  <c r="X204" i="87" s="1"/>
  <c r="U223" i="87"/>
  <c r="R223" i="87"/>
  <c r="O223" i="87"/>
  <c r="O204" i="87" s="1"/>
  <c r="L223" i="87"/>
  <c r="I223" i="87"/>
  <c r="D190" i="112" s="1"/>
  <c r="F223" i="87"/>
  <c r="D71" i="112" s="1"/>
  <c r="AD222" i="87"/>
  <c r="AD203" i="87" s="1"/>
  <c r="AA222" i="87"/>
  <c r="X222" i="87"/>
  <c r="U222" i="87"/>
  <c r="U203" i="87" s="1"/>
  <c r="R222" i="87"/>
  <c r="R203" i="87" s="1"/>
  <c r="O222" i="87"/>
  <c r="L222" i="87"/>
  <c r="L203" i="87" s="1"/>
  <c r="AD221" i="87"/>
  <c r="AA221" i="87"/>
  <c r="AA202" i="87" s="1"/>
  <c r="X221" i="87"/>
  <c r="X202" i="87" s="1"/>
  <c r="U221" i="87"/>
  <c r="R221" i="87"/>
  <c r="R202" i="87" s="1"/>
  <c r="O221" i="87"/>
  <c r="O202" i="87" s="1"/>
  <c r="L221" i="87"/>
  <c r="L202" i="87" s="1"/>
  <c r="F220" i="87"/>
  <c r="D68" i="112" s="1"/>
  <c r="I219" i="87"/>
  <c r="D186" i="112" s="1"/>
  <c r="F219" i="87"/>
  <c r="D67" i="112" s="1"/>
  <c r="I218" i="87"/>
  <c r="D185" i="112" s="1"/>
  <c r="F218" i="87"/>
  <c r="D66" i="112" s="1"/>
  <c r="AD217" i="87"/>
  <c r="AA217" i="87"/>
  <c r="X217" i="87"/>
  <c r="O217" i="87"/>
  <c r="AD216" i="87"/>
  <c r="X216" i="87"/>
  <c r="O216" i="87"/>
  <c r="X215" i="87"/>
  <c r="U215" i="87"/>
  <c r="R215" i="87"/>
  <c r="O215" i="87"/>
  <c r="L215" i="87"/>
  <c r="R214" i="87"/>
  <c r="L214" i="87"/>
  <c r="I214" i="87"/>
  <c r="F214" i="87"/>
  <c r="O213" i="87"/>
  <c r="L213" i="87"/>
  <c r="I213" i="87"/>
  <c r="F213" i="87"/>
  <c r="AD212" i="87"/>
  <c r="AA212" i="87"/>
  <c r="O212" i="87"/>
  <c r="I212" i="87"/>
  <c r="F212" i="87"/>
  <c r="AA211" i="87"/>
  <c r="X211" i="87"/>
  <c r="U211" i="87"/>
  <c r="I211" i="87"/>
  <c r="F211" i="87"/>
  <c r="AD210" i="87"/>
  <c r="AA210" i="87"/>
  <c r="U210" i="87"/>
  <c r="R210" i="87"/>
  <c r="O210" i="87"/>
  <c r="I210" i="87"/>
  <c r="F210" i="87"/>
  <c r="AA209" i="87"/>
  <c r="X209" i="87"/>
  <c r="U209" i="87"/>
  <c r="O209" i="87"/>
  <c r="L209" i="87"/>
  <c r="I209" i="87"/>
  <c r="F209" i="87"/>
  <c r="AD208" i="87"/>
  <c r="X208" i="87"/>
  <c r="U208" i="87"/>
  <c r="R208" i="87"/>
  <c r="L208" i="87"/>
  <c r="I208" i="87"/>
  <c r="F208" i="87"/>
  <c r="AA207" i="87"/>
  <c r="U207" i="87"/>
  <c r="R207" i="87"/>
  <c r="O207" i="87"/>
  <c r="I207" i="87"/>
  <c r="F207" i="87"/>
  <c r="X206" i="87"/>
  <c r="R206" i="87"/>
  <c r="L206" i="87"/>
  <c r="I206" i="87"/>
  <c r="F206" i="87"/>
  <c r="AD205" i="87"/>
  <c r="U205" i="87"/>
  <c r="O205" i="87"/>
  <c r="I205" i="87"/>
  <c r="F205" i="87"/>
  <c r="AD204" i="87"/>
  <c r="U204" i="87"/>
  <c r="R204" i="87"/>
  <c r="L204" i="87"/>
  <c r="I204" i="87"/>
  <c r="F204" i="87"/>
  <c r="AA203" i="87"/>
  <c r="X203" i="87"/>
  <c r="O203" i="87"/>
  <c r="I203" i="87"/>
  <c r="F203" i="87"/>
  <c r="AD202" i="87"/>
  <c r="U202" i="87"/>
  <c r="I202" i="87"/>
  <c r="F202" i="87"/>
  <c r="I201" i="87"/>
  <c r="F201" i="87"/>
  <c r="I200" i="87"/>
  <c r="F200" i="87"/>
  <c r="I199" i="87"/>
  <c r="F199" i="87"/>
  <c r="AD198" i="87"/>
  <c r="AA198" i="87"/>
  <c r="X198" i="87"/>
  <c r="U198" i="87"/>
  <c r="R198" i="87"/>
  <c r="O198" i="87"/>
  <c r="L198" i="87"/>
  <c r="I198" i="87"/>
  <c r="E200" i="112" s="1"/>
  <c r="F198" i="87"/>
  <c r="E81" i="112" s="1"/>
  <c r="AD197" i="87"/>
  <c r="AA197" i="87"/>
  <c r="X197" i="87"/>
  <c r="U197" i="87"/>
  <c r="R197" i="87"/>
  <c r="O197" i="87"/>
  <c r="L197" i="87"/>
  <c r="I197" i="87"/>
  <c r="E199" i="112" s="1"/>
  <c r="F197" i="87"/>
  <c r="E80" i="112" s="1"/>
  <c r="AD196" i="87"/>
  <c r="AA196" i="87"/>
  <c r="X196" i="87"/>
  <c r="U196" i="87"/>
  <c r="R196" i="87"/>
  <c r="O196" i="87"/>
  <c r="L196" i="87"/>
  <c r="I196" i="87"/>
  <c r="E198" i="112" s="1"/>
  <c r="F196" i="87"/>
  <c r="E79" i="112" s="1"/>
  <c r="AD195" i="87"/>
  <c r="AA195" i="87"/>
  <c r="X195" i="87"/>
  <c r="U195" i="87"/>
  <c r="R195" i="87"/>
  <c r="O195" i="87"/>
  <c r="L195" i="87"/>
  <c r="I195" i="87"/>
  <c r="E197" i="112" s="1"/>
  <c r="F195" i="87"/>
  <c r="E78" i="112" s="1"/>
  <c r="AD194" i="87"/>
  <c r="AA194" i="87"/>
  <c r="X194" i="87"/>
  <c r="U194" i="87"/>
  <c r="R194" i="87"/>
  <c r="O194" i="87"/>
  <c r="L194" i="87"/>
  <c r="I194" i="87"/>
  <c r="E196" i="112" s="1"/>
  <c r="F194" i="87"/>
  <c r="E77" i="112" s="1"/>
  <c r="AD193" i="87"/>
  <c r="AA193" i="87"/>
  <c r="X193" i="87"/>
  <c r="U193" i="87"/>
  <c r="R193" i="87"/>
  <c r="O193" i="87"/>
  <c r="L193" i="87"/>
  <c r="I193" i="87"/>
  <c r="E195" i="112" s="1"/>
  <c r="F193" i="87"/>
  <c r="E76" i="112" s="1"/>
  <c r="AD192" i="87"/>
  <c r="AA192" i="87"/>
  <c r="X192" i="87"/>
  <c r="U192" i="87"/>
  <c r="R192" i="87"/>
  <c r="O192" i="87"/>
  <c r="L192" i="87"/>
  <c r="I192" i="87"/>
  <c r="E194" i="112" s="1"/>
  <c r="F192" i="87"/>
  <c r="E75" i="112" s="1"/>
  <c r="AD191" i="87"/>
  <c r="AA191" i="87"/>
  <c r="X191" i="87"/>
  <c r="U191" i="87"/>
  <c r="R191" i="87"/>
  <c r="O191" i="87"/>
  <c r="L191" i="87"/>
  <c r="I191" i="87"/>
  <c r="E193" i="112" s="1"/>
  <c r="F191" i="87"/>
  <c r="E74" i="112" s="1"/>
  <c r="AD190" i="87"/>
  <c r="AA190" i="87"/>
  <c r="X190" i="87"/>
  <c r="U190" i="87"/>
  <c r="R190" i="87"/>
  <c r="O190" i="87"/>
  <c r="L190" i="87"/>
  <c r="I190" i="87"/>
  <c r="E192" i="112" s="1"/>
  <c r="F190" i="87"/>
  <c r="E73" i="112" s="1"/>
  <c r="AD189" i="87"/>
  <c r="AA189" i="87"/>
  <c r="X189" i="87"/>
  <c r="U189" i="87"/>
  <c r="R189" i="87"/>
  <c r="O189" i="87"/>
  <c r="L189" i="87"/>
  <c r="I189" i="87"/>
  <c r="E191" i="112" s="1"/>
  <c r="F189" i="87"/>
  <c r="E72" i="112" s="1"/>
  <c r="AD188" i="87"/>
  <c r="AA188" i="87"/>
  <c r="X188" i="87"/>
  <c r="U188" i="87"/>
  <c r="R188" i="87"/>
  <c r="O188" i="87"/>
  <c r="L188" i="87"/>
  <c r="I188" i="87"/>
  <c r="E190" i="112" s="1"/>
  <c r="F188" i="87"/>
  <c r="E71" i="112" s="1"/>
  <c r="AD187" i="87"/>
  <c r="AA187" i="87"/>
  <c r="X187" i="87"/>
  <c r="U187" i="87"/>
  <c r="R187" i="87"/>
  <c r="O187" i="87"/>
  <c r="L187" i="87"/>
  <c r="I187" i="87"/>
  <c r="E189" i="112" s="1"/>
  <c r="F187" i="87"/>
  <c r="E70" i="112" s="1"/>
  <c r="AD186" i="87"/>
  <c r="AA186" i="87"/>
  <c r="X186" i="87"/>
  <c r="U186" i="87"/>
  <c r="R186" i="87"/>
  <c r="O186" i="87"/>
  <c r="L186" i="87"/>
  <c r="I186" i="87"/>
  <c r="E188" i="112" s="1"/>
  <c r="F186" i="87"/>
  <c r="E69" i="112" s="1"/>
  <c r="AD185" i="87"/>
  <c r="AA185" i="87"/>
  <c r="X185" i="87"/>
  <c r="U185" i="87"/>
  <c r="R185" i="87"/>
  <c r="O185" i="87"/>
  <c r="L185" i="87"/>
  <c r="I185" i="87"/>
  <c r="E187" i="112" s="1"/>
  <c r="F185" i="87"/>
  <c r="E68" i="112" s="1"/>
  <c r="AD184" i="87"/>
  <c r="AA184" i="87"/>
  <c r="X184" i="87"/>
  <c r="U184" i="87"/>
  <c r="R184" i="87"/>
  <c r="O184" i="87"/>
  <c r="L184" i="87"/>
  <c r="I184" i="87"/>
  <c r="E186" i="112" s="1"/>
  <c r="F184" i="87"/>
  <c r="E67" i="112" s="1"/>
  <c r="AD183" i="87"/>
  <c r="AA183" i="87"/>
  <c r="X183" i="87"/>
  <c r="U183" i="87"/>
  <c r="R183" i="87"/>
  <c r="O183" i="87"/>
  <c r="L183" i="87"/>
  <c r="I183" i="87"/>
  <c r="E185" i="112" s="1"/>
  <c r="F183" i="87"/>
  <c r="E66" i="112" s="1"/>
  <c r="AD179" i="87"/>
  <c r="AA179" i="87"/>
  <c r="X179" i="87"/>
  <c r="U179" i="87"/>
  <c r="R179" i="87"/>
  <c r="O179" i="87"/>
  <c r="L179" i="87"/>
  <c r="AD178" i="87"/>
  <c r="AA178" i="87"/>
  <c r="X178" i="87"/>
  <c r="U178" i="87"/>
  <c r="R178" i="87"/>
  <c r="O178" i="87"/>
  <c r="L178" i="87"/>
  <c r="AD174" i="87"/>
  <c r="AA174" i="87"/>
  <c r="X174" i="87"/>
  <c r="U174" i="87"/>
  <c r="R174" i="87"/>
  <c r="O174" i="87"/>
  <c r="L174" i="87"/>
  <c r="AD173" i="87"/>
  <c r="AA173" i="87"/>
  <c r="X173" i="87"/>
  <c r="U173" i="87"/>
  <c r="R173" i="87"/>
  <c r="O173" i="87"/>
  <c r="L173" i="87"/>
  <c r="I173" i="87"/>
  <c r="F173" i="87"/>
  <c r="AD172" i="87"/>
  <c r="AA172" i="87"/>
  <c r="X172" i="87"/>
  <c r="U172" i="87"/>
  <c r="R172" i="87"/>
  <c r="O172" i="87"/>
  <c r="L172" i="87"/>
  <c r="I172" i="87"/>
  <c r="F172" i="87"/>
  <c r="AD171" i="87"/>
  <c r="AA171" i="87"/>
  <c r="X171" i="87"/>
  <c r="U171" i="87"/>
  <c r="R171" i="87"/>
  <c r="O171" i="87"/>
  <c r="L171" i="87"/>
  <c r="I171" i="87"/>
  <c r="F171" i="87"/>
  <c r="I170" i="87"/>
  <c r="F170" i="87"/>
  <c r="AD169" i="87"/>
  <c r="AA169" i="87"/>
  <c r="X169" i="87"/>
  <c r="U169" i="87"/>
  <c r="R169" i="87"/>
  <c r="O169" i="87"/>
  <c r="L169" i="87"/>
  <c r="I169" i="87"/>
  <c r="F169" i="87"/>
  <c r="I168" i="87"/>
  <c r="F168" i="87"/>
  <c r="AD167" i="87"/>
  <c r="AA167" i="87"/>
  <c r="X167" i="87"/>
  <c r="U167" i="87"/>
  <c r="R167" i="87"/>
  <c r="O167" i="87"/>
  <c r="L167" i="87"/>
  <c r="I167" i="87"/>
  <c r="AD166" i="87"/>
  <c r="D631" i="117" s="1"/>
  <c r="AA166" i="87"/>
  <c r="D538" i="117" s="1"/>
  <c r="X166" i="87"/>
  <c r="D445" i="117" s="1"/>
  <c r="U166" i="87"/>
  <c r="D352" i="117" s="1"/>
  <c r="R166" i="87"/>
  <c r="D259" i="117" s="1"/>
  <c r="O166" i="87"/>
  <c r="D166" i="117" s="1"/>
  <c r="L166" i="87"/>
  <c r="D73" i="117" s="1"/>
  <c r="I166" i="87"/>
  <c r="F166" i="87"/>
  <c r="I162" i="87"/>
  <c r="F162" i="87"/>
  <c r="I161" i="87"/>
  <c r="F161" i="87"/>
  <c r="AD160" i="87" a="1"/>
  <c r="AD160" i="87"/>
  <c r="AA160" i="87" a="1"/>
  <c r="AA160" i="87"/>
  <c r="X160" i="87" a="1"/>
  <c r="X160" i="87"/>
  <c r="U160" i="87" a="1"/>
  <c r="U160" i="87" s="1"/>
  <c r="R160" i="87" a="1"/>
  <c r="R160" i="87"/>
  <c r="O160" i="87" a="1"/>
  <c r="O160" i="87"/>
  <c r="L160" i="87" a="1"/>
  <c r="L160" i="87"/>
  <c r="I160" i="87"/>
  <c r="F160" i="87"/>
  <c r="AD159" i="87" a="1"/>
  <c r="AD159" i="87" s="1"/>
  <c r="AA159" i="87" a="1"/>
  <c r="AA159" i="87"/>
  <c r="X159" i="87" a="1"/>
  <c r="X159" i="87"/>
  <c r="U159" i="87" a="1"/>
  <c r="U159" i="87"/>
  <c r="R159" i="87" a="1"/>
  <c r="R159" i="87"/>
  <c r="O159" i="87" a="1"/>
  <c r="O159" i="87" s="1"/>
  <c r="L159" i="87" a="1"/>
  <c r="L159" i="87"/>
  <c r="I159" i="87"/>
  <c r="F159" i="87"/>
  <c r="I158" i="87"/>
  <c r="I157" i="87"/>
  <c r="AD156" i="87"/>
  <c r="AA156" i="87"/>
  <c r="X156" i="87"/>
  <c r="U156" i="87"/>
  <c r="R156" i="87"/>
  <c r="O156" i="87"/>
  <c r="L156" i="87"/>
  <c r="I156" i="87"/>
  <c r="F156" i="87"/>
  <c r="AD155" i="87"/>
  <c r="AA155" i="87"/>
  <c r="X155" i="87"/>
  <c r="U155" i="87"/>
  <c r="R155" i="87"/>
  <c r="O155" i="87"/>
  <c r="L155" i="87"/>
  <c r="I155" i="87"/>
  <c r="F155" i="87"/>
  <c r="AD154" i="87"/>
  <c r="AA154" i="87"/>
  <c r="X154" i="87"/>
  <c r="U154" i="87"/>
  <c r="R154" i="87"/>
  <c r="O154" i="87"/>
  <c r="L154" i="87"/>
  <c r="I154" i="87"/>
  <c r="D370" i="65" s="1"/>
  <c r="F154" i="87"/>
  <c r="AD153" i="87"/>
  <c r="AA153" i="87"/>
  <c r="X153" i="87"/>
  <c r="U153" i="87"/>
  <c r="R153" i="87"/>
  <c r="O153" i="87"/>
  <c r="L153" i="87"/>
  <c r="I153" i="87"/>
  <c r="F153" i="87"/>
  <c r="AD152" i="87"/>
  <c r="AA152" i="87"/>
  <c r="X152" i="87"/>
  <c r="U152" i="87"/>
  <c r="R152" i="87"/>
  <c r="O152" i="87"/>
  <c r="L152" i="87"/>
  <c r="I152" i="87"/>
  <c r="F152" i="87"/>
  <c r="AD151" i="87"/>
  <c r="AA151" i="87"/>
  <c r="X151" i="87"/>
  <c r="U151" i="87"/>
  <c r="R151" i="87"/>
  <c r="O151" i="87"/>
  <c r="L151" i="87"/>
  <c r="I151" i="87"/>
  <c r="F151" i="87"/>
  <c r="AD150" i="87"/>
  <c r="AA150" i="87"/>
  <c r="X150" i="87"/>
  <c r="U150" i="87"/>
  <c r="R150" i="87"/>
  <c r="O150" i="87"/>
  <c r="L150" i="87"/>
  <c r="I150" i="87"/>
  <c r="D356" i="65" s="1"/>
  <c r="F150" i="87"/>
  <c r="AD149" i="87"/>
  <c r="AA149" i="87"/>
  <c r="X149" i="87"/>
  <c r="U149" i="87"/>
  <c r="R149" i="87"/>
  <c r="O149" i="87"/>
  <c r="L149" i="87"/>
  <c r="I149" i="87"/>
  <c r="F149" i="87"/>
  <c r="F145" i="87"/>
  <c r="I144" i="87"/>
  <c r="I143" i="87"/>
  <c r="F143" i="87"/>
  <c r="I142" i="87"/>
  <c r="F142" i="87"/>
  <c r="I141" i="87"/>
  <c r="F141" i="87"/>
  <c r="I140" i="87"/>
  <c r="F140" i="87"/>
  <c r="I139" i="87"/>
  <c r="F139" i="87"/>
  <c r="I135" i="87"/>
  <c r="F135" i="87"/>
  <c r="I134" i="87"/>
  <c r="F134" i="87"/>
  <c r="I133" i="87"/>
  <c r="F133" i="87"/>
  <c r="I132" i="87"/>
  <c r="F132" i="87"/>
  <c r="I131" i="87"/>
  <c r="F131" i="87"/>
  <c r="I130" i="87"/>
  <c r="F130" i="87"/>
  <c r="I129" i="87"/>
  <c r="F129" i="87"/>
  <c r="I128" i="87"/>
  <c r="F128" i="87"/>
  <c r="I127" i="87"/>
  <c r="F127" i="87"/>
  <c r="I126" i="87"/>
  <c r="F126" i="87"/>
  <c r="I125" i="87"/>
  <c r="F125" i="87"/>
  <c r="I124" i="87"/>
  <c r="F124" i="87"/>
  <c r="I120" i="87"/>
  <c r="F120" i="87"/>
  <c r="I117" i="87"/>
  <c r="C142" i="112" s="1"/>
  <c r="F117" i="87"/>
  <c r="I116" i="87"/>
  <c r="F116" i="87"/>
  <c r="C17" i="112" s="1"/>
  <c r="AA115" i="87"/>
  <c r="O115" i="87"/>
  <c r="F115" i="87"/>
  <c r="AD114" i="87"/>
  <c r="AA114" i="87"/>
  <c r="R113" i="87"/>
  <c r="I113" i="87"/>
  <c r="F113" i="87"/>
  <c r="C14" i="112" s="1"/>
  <c r="AD112" i="87"/>
  <c r="R112" i="87"/>
  <c r="L112" i="87"/>
  <c r="I112" i="87"/>
  <c r="F112" i="87"/>
  <c r="U111" i="87"/>
  <c r="I111" i="87"/>
  <c r="F111" i="87"/>
  <c r="F373" i="87" s="1"/>
  <c r="C37" i="112" s="1"/>
  <c r="X110" i="87"/>
  <c r="R110" i="87"/>
  <c r="I110" i="87"/>
  <c r="C135" i="112" s="1"/>
  <c r="F110" i="87"/>
  <c r="D400" i="109" s="1"/>
  <c r="AD106" i="87"/>
  <c r="AA106" i="87"/>
  <c r="X106" i="87"/>
  <c r="U106" i="87"/>
  <c r="R106" i="87"/>
  <c r="O106" i="87"/>
  <c r="L106" i="87"/>
  <c r="I106" i="87"/>
  <c r="F106" i="87"/>
  <c r="AD105" i="87"/>
  <c r="AA105" i="87"/>
  <c r="X105" i="87"/>
  <c r="U105" i="87"/>
  <c r="R105" i="87"/>
  <c r="O105" i="87"/>
  <c r="L105" i="87"/>
  <c r="I105" i="87"/>
  <c r="F105" i="87"/>
  <c r="AD104" i="87"/>
  <c r="AA104" i="87"/>
  <c r="X104" i="87"/>
  <c r="U104" i="87"/>
  <c r="R104" i="87"/>
  <c r="O104" i="87"/>
  <c r="L104" i="87"/>
  <c r="I104" i="87"/>
  <c r="F104" i="87"/>
  <c r="AD103" i="87"/>
  <c r="AA103" i="87"/>
  <c r="X103" i="87"/>
  <c r="U103" i="87"/>
  <c r="R103" i="87"/>
  <c r="O103" i="87"/>
  <c r="L103" i="87"/>
  <c r="I103" i="87"/>
  <c r="F103" i="87"/>
  <c r="AD102" i="87"/>
  <c r="AA102" i="87"/>
  <c r="X102" i="87"/>
  <c r="U102" i="87"/>
  <c r="R102" i="87"/>
  <c r="O102" i="87"/>
  <c r="L102" i="87"/>
  <c r="I102" i="87"/>
  <c r="F102" i="87"/>
  <c r="AD101" i="87"/>
  <c r="AA101" i="87"/>
  <c r="X101" i="87"/>
  <c r="U101" i="87"/>
  <c r="R101" i="87"/>
  <c r="O101" i="87"/>
  <c r="L101" i="87"/>
  <c r="I101" i="87"/>
  <c r="F101" i="87"/>
  <c r="AD100" i="87"/>
  <c r="AA100" i="87"/>
  <c r="X100" i="87"/>
  <c r="U100" i="87"/>
  <c r="R100" i="87"/>
  <c r="O100" i="87"/>
  <c r="L100" i="87"/>
  <c r="I100" i="87"/>
  <c r="D341" i="109" s="1"/>
  <c r="F100" i="87"/>
  <c r="I96" i="87"/>
  <c r="I95" i="87"/>
  <c r="F95" i="87"/>
  <c r="D135" i="113" s="1"/>
  <c r="AD94" i="87"/>
  <c r="AA94" i="87"/>
  <c r="X94" i="87"/>
  <c r="U94" i="87"/>
  <c r="R94" i="87"/>
  <c r="O94" i="87"/>
  <c r="L94" i="87"/>
  <c r="I94" i="87"/>
  <c r="F94" i="87"/>
  <c r="AD93" i="87"/>
  <c r="AA93" i="87"/>
  <c r="X93" i="87"/>
  <c r="U93" i="87"/>
  <c r="R93" i="87"/>
  <c r="O93" i="87"/>
  <c r="L93" i="87"/>
  <c r="I93" i="87"/>
  <c r="G142" i="112" s="1"/>
  <c r="F93" i="87"/>
  <c r="AD92" i="87"/>
  <c r="AA92" i="87"/>
  <c r="X92" i="87"/>
  <c r="U92" i="87"/>
  <c r="R92" i="87"/>
  <c r="O92" i="87"/>
  <c r="L92" i="87"/>
  <c r="I92" i="87"/>
  <c r="F92" i="87"/>
  <c r="D16" i="113" s="1"/>
  <c r="I91" i="87"/>
  <c r="AD90" i="87"/>
  <c r="AA90" i="87"/>
  <c r="X90" i="87"/>
  <c r="U90" i="87"/>
  <c r="R90" i="87"/>
  <c r="O90" i="87"/>
  <c r="L90" i="87"/>
  <c r="I90" i="87"/>
  <c r="F90" i="87"/>
  <c r="AD89" i="87"/>
  <c r="AA89" i="87"/>
  <c r="X89" i="87"/>
  <c r="U89" i="87"/>
  <c r="R89" i="87"/>
  <c r="O89" i="87"/>
  <c r="L89" i="87"/>
  <c r="I89" i="87"/>
  <c r="F89" i="87"/>
  <c r="G15" i="112" s="1"/>
  <c r="AD88" i="87"/>
  <c r="AC88" i="87"/>
  <c r="AA88" i="87"/>
  <c r="Z88" i="87"/>
  <c r="X88" i="87"/>
  <c r="W88" i="87"/>
  <c r="U88" i="87"/>
  <c r="T88" i="87"/>
  <c r="R88" i="87"/>
  <c r="Q88" i="87"/>
  <c r="O88" i="87"/>
  <c r="N88" i="87"/>
  <c r="L88" i="87"/>
  <c r="K88" i="87"/>
  <c r="I88" i="87"/>
  <c r="G138" i="112" s="1"/>
  <c r="F88" i="87"/>
  <c r="G14" i="112" s="1"/>
  <c r="E88" i="87"/>
  <c r="AD87" i="87"/>
  <c r="AA87" i="87"/>
  <c r="X87" i="87"/>
  <c r="U87" i="87"/>
  <c r="R87" i="87"/>
  <c r="O87" i="87"/>
  <c r="L87" i="87"/>
  <c r="I87" i="87"/>
  <c r="F87" i="87"/>
  <c r="G13" i="112" s="1"/>
  <c r="AD86" i="87"/>
  <c r="AA86" i="87"/>
  <c r="X86" i="87"/>
  <c r="U86" i="87"/>
  <c r="R86" i="87"/>
  <c r="O86" i="87"/>
  <c r="L86" i="87"/>
  <c r="I86" i="87"/>
  <c r="F86" i="87"/>
  <c r="AD85" i="87"/>
  <c r="AA85" i="87"/>
  <c r="X85" i="87"/>
  <c r="U85" i="87"/>
  <c r="R85" i="87"/>
  <c r="O85" i="87"/>
  <c r="L85" i="87"/>
  <c r="I85" i="87"/>
  <c r="D239" i="120" s="1"/>
  <c r="F85" i="87"/>
  <c r="I80" i="87"/>
  <c r="H140" i="112" s="1"/>
  <c r="F80" i="87"/>
  <c r="H16" i="112" s="1"/>
  <c r="AD78" i="87"/>
  <c r="AA78" i="87"/>
  <c r="X78" i="87"/>
  <c r="U78" i="87"/>
  <c r="R78" i="87"/>
  <c r="O78" i="87"/>
  <c r="L78" i="87"/>
  <c r="F78" i="87"/>
  <c r="AD77" i="87"/>
  <c r="AA77" i="87"/>
  <c r="X77" i="87"/>
  <c r="U77" i="87"/>
  <c r="R77" i="87"/>
  <c r="O77" i="87"/>
  <c r="L77" i="87"/>
  <c r="I77" i="87"/>
  <c r="F77" i="87"/>
  <c r="AD76" i="87"/>
  <c r="AA76" i="87"/>
  <c r="X76" i="87"/>
  <c r="U76" i="87"/>
  <c r="R76" i="87"/>
  <c r="O76" i="87"/>
  <c r="L76" i="87"/>
  <c r="I76" i="87"/>
  <c r="D18" i="116" s="1"/>
  <c r="F76" i="87"/>
  <c r="I75" i="87"/>
  <c r="AD74" i="87"/>
  <c r="AA74" i="87"/>
  <c r="X74" i="87"/>
  <c r="U74" i="87"/>
  <c r="R74" i="87"/>
  <c r="O74" i="87"/>
  <c r="L74" i="87"/>
  <c r="I74" i="87"/>
  <c r="F74" i="87"/>
  <c r="AD73" i="87"/>
  <c r="AA73" i="87"/>
  <c r="X73" i="87"/>
  <c r="U73" i="87"/>
  <c r="R73" i="87"/>
  <c r="O73" i="87"/>
  <c r="L73" i="87"/>
  <c r="I73" i="87"/>
  <c r="H139" i="112" s="1"/>
  <c r="F73" i="87"/>
  <c r="H15" i="112" s="1"/>
  <c r="AD72" i="87"/>
  <c r="AC72" i="87"/>
  <c r="AA72" i="87"/>
  <c r="Z72" i="87"/>
  <c r="X72" i="87"/>
  <c r="W72" i="87"/>
  <c r="U72" i="87"/>
  <c r="T72" i="87"/>
  <c r="R72" i="87"/>
  <c r="Q72" i="87"/>
  <c r="O72" i="87"/>
  <c r="N72" i="87"/>
  <c r="L72" i="87"/>
  <c r="K72" i="87"/>
  <c r="I72" i="87"/>
  <c r="F72" i="87"/>
  <c r="H14" i="112" s="1"/>
  <c r="E72" i="87"/>
  <c r="AD71" i="87"/>
  <c r="AA71" i="87"/>
  <c r="X71" i="87"/>
  <c r="U71" i="87"/>
  <c r="R71" i="87"/>
  <c r="O71" i="87"/>
  <c r="L71" i="87"/>
  <c r="I71" i="87"/>
  <c r="F71" i="87"/>
  <c r="H13" i="112" s="1"/>
  <c r="AD70" i="87"/>
  <c r="AA70" i="87"/>
  <c r="X70" i="87"/>
  <c r="U70" i="87"/>
  <c r="R70" i="87"/>
  <c r="O70" i="87"/>
  <c r="L70" i="87"/>
  <c r="I70" i="87"/>
  <c r="H136" i="112" s="1"/>
  <c r="F70" i="87"/>
  <c r="L277" i="62" s="1"/>
  <c r="AD69" i="87"/>
  <c r="AA69" i="87"/>
  <c r="X69" i="87"/>
  <c r="U69" i="87"/>
  <c r="R69" i="87"/>
  <c r="O69" i="87"/>
  <c r="L69" i="87"/>
  <c r="I69" i="87"/>
  <c r="F69" i="87"/>
  <c r="I64" i="87"/>
  <c r="AD62" i="87"/>
  <c r="AD32" i="87" s="1"/>
  <c r="AA62" i="87"/>
  <c r="X62" i="87"/>
  <c r="U62" i="87"/>
  <c r="R62" i="87"/>
  <c r="O62" i="87"/>
  <c r="L62" i="87"/>
  <c r="I62" i="87"/>
  <c r="F62" i="87"/>
  <c r="AD61" i="87"/>
  <c r="AA61" i="87"/>
  <c r="X61" i="87"/>
  <c r="X31" i="87" s="1"/>
  <c r="U61" i="87"/>
  <c r="R61" i="87"/>
  <c r="O61" i="87"/>
  <c r="L61" i="87"/>
  <c r="L31" i="87" s="1"/>
  <c r="F61" i="87"/>
  <c r="F327" i="87" s="1"/>
  <c r="AD60" i="87"/>
  <c r="AA60" i="87"/>
  <c r="AA30" i="87" s="1"/>
  <c r="X60" i="87"/>
  <c r="U60" i="87"/>
  <c r="R60" i="87"/>
  <c r="O60" i="87"/>
  <c r="L60" i="87"/>
  <c r="L30" i="87" s="1"/>
  <c r="I59" i="87"/>
  <c r="F59" i="87"/>
  <c r="AD58" i="87"/>
  <c r="AA58" i="87"/>
  <c r="X58" i="87"/>
  <c r="U58" i="87"/>
  <c r="U28" i="87" s="1"/>
  <c r="R58" i="87"/>
  <c r="O58" i="87"/>
  <c r="L58" i="87"/>
  <c r="I58" i="87"/>
  <c r="I28" i="87" s="1"/>
  <c r="AD57" i="87"/>
  <c r="AA57" i="87"/>
  <c r="X57" i="87"/>
  <c r="X27" i="87" s="1"/>
  <c r="U57" i="87"/>
  <c r="U27" i="87" s="1"/>
  <c r="R57" i="87"/>
  <c r="O57" i="87"/>
  <c r="O27" i="87" s="1"/>
  <c r="L57" i="87"/>
  <c r="F57" i="87"/>
  <c r="C57" i="87"/>
  <c r="AD56" i="87"/>
  <c r="AA56" i="87"/>
  <c r="X56" i="87"/>
  <c r="U56" i="87"/>
  <c r="R56" i="87"/>
  <c r="O56" i="87"/>
  <c r="O26" i="87" s="1"/>
  <c r="L56" i="87"/>
  <c r="I56" i="87"/>
  <c r="C56" i="87"/>
  <c r="AD55" i="87"/>
  <c r="AA55" i="87"/>
  <c r="X55" i="87"/>
  <c r="U55" i="87"/>
  <c r="R55" i="87"/>
  <c r="O55" i="87"/>
  <c r="L55" i="87"/>
  <c r="I55" i="87"/>
  <c r="C55" i="87"/>
  <c r="O54" i="87"/>
  <c r="C54" i="87"/>
  <c r="I53" i="87"/>
  <c r="C53" i="87"/>
  <c r="C49" i="87"/>
  <c r="C48" i="87"/>
  <c r="AD47" i="87"/>
  <c r="AA47" i="87"/>
  <c r="X47" i="87"/>
  <c r="U47" i="87"/>
  <c r="R47" i="87"/>
  <c r="R32" i="87" s="1"/>
  <c r="O47" i="87"/>
  <c r="L47" i="87"/>
  <c r="I47" i="87"/>
  <c r="F143" i="112" s="1"/>
  <c r="C47" i="87"/>
  <c r="AD46" i="87"/>
  <c r="AA46" i="87"/>
  <c r="AA31" i="87" s="1"/>
  <c r="X46" i="87"/>
  <c r="U46" i="87"/>
  <c r="U31" i="87" s="1"/>
  <c r="R46" i="87"/>
  <c r="O46" i="87"/>
  <c r="L46" i="87"/>
  <c r="F46" i="87"/>
  <c r="F18" i="112" s="1" a="1"/>
  <c r="F18" i="112" s="1"/>
  <c r="C46" i="87"/>
  <c r="AD45" i="87"/>
  <c r="AA45" i="87"/>
  <c r="X45" i="87"/>
  <c r="U45" i="87"/>
  <c r="U30" i="87" s="1"/>
  <c r="R45" i="87"/>
  <c r="O45" i="87"/>
  <c r="O30" i="87" s="1"/>
  <c r="L45" i="87"/>
  <c r="I45" i="87"/>
  <c r="C45" i="87"/>
  <c r="AD44" i="87"/>
  <c r="AA44" i="87"/>
  <c r="AA28" i="87" s="1"/>
  <c r="X44" i="87"/>
  <c r="U44" i="87"/>
  <c r="R44" i="87"/>
  <c r="R28" i="87" s="1"/>
  <c r="O44" i="87"/>
  <c r="L44" i="87"/>
  <c r="I44" i="87"/>
  <c r="I29" i="87" s="1"/>
  <c r="I43" i="87"/>
  <c r="F43" i="87"/>
  <c r="AD42" i="87"/>
  <c r="AA42" i="87"/>
  <c r="AA27" i="87" s="1"/>
  <c r="X42" i="87"/>
  <c r="U42" i="87"/>
  <c r="R42" i="87"/>
  <c r="R27" i="87" s="1"/>
  <c r="O42" i="87"/>
  <c r="L42" i="87"/>
  <c r="F42" i="87"/>
  <c r="F15" i="112" s="1" a="1"/>
  <c r="F15" i="112" s="1"/>
  <c r="AD41" i="87"/>
  <c r="AC41" i="87"/>
  <c r="AA41" i="87"/>
  <c r="AA26" i="87" s="1"/>
  <c r="Z41" i="87"/>
  <c r="X41" i="87"/>
  <c r="X26" i="87" s="1"/>
  <c r="W41" i="87"/>
  <c r="U41" i="87"/>
  <c r="T41" i="87"/>
  <c r="R41" i="87"/>
  <c r="R26" i="87" s="1"/>
  <c r="Q41" i="87"/>
  <c r="O41" i="87"/>
  <c r="N41" i="87"/>
  <c r="L41" i="87"/>
  <c r="L26" i="87" s="1"/>
  <c r="K41" i="87"/>
  <c r="I41" i="87"/>
  <c r="F41" i="87"/>
  <c r="F14" i="112" s="1" a="1"/>
  <c r="F14" i="112" s="1"/>
  <c r="E41" i="87"/>
  <c r="C41" i="87"/>
  <c r="AD40" i="87"/>
  <c r="AD25" i="87" s="1"/>
  <c r="AA40" i="87"/>
  <c r="X40" i="87"/>
  <c r="U40" i="87"/>
  <c r="R40" i="87"/>
  <c r="R25" i="87" s="1"/>
  <c r="O40" i="87"/>
  <c r="L40" i="87"/>
  <c r="L25" i="87" s="1"/>
  <c r="I40" i="87"/>
  <c r="F137" i="112" s="1"/>
  <c r="F40" i="87"/>
  <c r="F13" i="112" s="1" a="1"/>
  <c r="F13" i="112" s="1"/>
  <c r="AD39" i="87"/>
  <c r="R39" i="87"/>
  <c r="O39" i="87"/>
  <c r="I39" i="87"/>
  <c r="F136" i="112" s="1"/>
  <c r="C39" i="87"/>
  <c r="C38" i="87"/>
  <c r="C36" i="87"/>
  <c r="C35" i="87"/>
  <c r="I34" i="87"/>
  <c r="E140" i="112" s="1"/>
  <c r="C34" i="87"/>
  <c r="I33" i="87"/>
  <c r="F33" i="87"/>
  <c r="X32" i="87"/>
  <c r="L32" i="87"/>
  <c r="I32" i="87"/>
  <c r="F32" i="87"/>
  <c r="AD31" i="87"/>
  <c r="O31" i="87"/>
  <c r="I31" i="87"/>
  <c r="F31" i="87"/>
  <c r="AD30" i="87"/>
  <c r="X30" i="87"/>
  <c r="R30" i="87"/>
  <c r="I30" i="87"/>
  <c r="F30" i="87"/>
  <c r="C29" i="87"/>
  <c r="X28" i="87"/>
  <c r="O28" i="87"/>
  <c r="L28" i="87"/>
  <c r="F28" i="87"/>
  <c r="C28" i="87"/>
  <c r="AD27" i="87"/>
  <c r="L27" i="87"/>
  <c r="I27" i="87"/>
  <c r="E139" i="112" s="1"/>
  <c r="F27" i="87"/>
  <c r="E15" i="112" s="1"/>
  <c r="C27" i="87"/>
  <c r="AD26" i="87"/>
  <c r="AC26" i="87"/>
  <c r="Z26" i="87"/>
  <c r="W26" i="87"/>
  <c r="T26" i="87"/>
  <c r="Q26" i="87"/>
  <c r="N26" i="87"/>
  <c r="K26" i="87"/>
  <c r="F26" i="87"/>
  <c r="E26" i="87"/>
  <c r="C26" i="87"/>
  <c r="AA25" i="87"/>
  <c r="X25" i="87"/>
  <c r="U25" i="87"/>
  <c r="O25" i="87"/>
  <c r="F25" i="87"/>
  <c r="E13" i="112" s="1"/>
  <c r="AD24" i="87"/>
  <c r="AD54" i="87" s="1"/>
  <c r="AA24" i="87"/>
  <c r="AA39" i="87" s="1"/>
  <c r="X24" i="87"/>
  <c r="X39" i="87" s="1"/>
  <c r="U24" i="87"/>
  <c r="R24" i="87"/>
  <c r="R54" i="87" s="1"/>
  <c r="O24" i="87"/>
  <c r="L24" i="87"/>
  <c r="L39" i="87" s="1"/>
  <c r="I24" i="87"/>
  <c r="F24" i="87"/>
  <c r="F39" i="87" s="1"/>
  <c r="F12" i="112" s="1" a="1"/>
  <c r="F12" i="112" s="1"/>
  <c r="C24" i="87"/>
  <c r="AD23" i="87"/>
  <c r="AA23" i="87"/>
  <c r="X23" i="87"/>
  <c r="U23" i="87"/>
  <c r="R23" i="87"/>
  <c r="O23" i="87"/>
  <c r="L23" i="87"/>
  <c r="I23" i="87"/>
  <c r="F23" i="87"/>
  <c r="E11" i="112" s="1"/>
  <c r="C23" i="87"/>
  <c r="AH22" i="87"/>
  <c r="AH21" i="87"/>
  <c r="K78" i="123" s="1"/>
  <c r="I19" i="87"/>
  <c r="D140" i="112" s="1"/>
  <c r="F19" i="87"/>
  <c r="D16" i="112" s="1"/>
  <c r="C19" i="87"/>
  <c r="AH18" i="87"/>
  <c r="I18" i="87"/>
  <c r="D144" i="112" s="1"/>
  <c r="F18" i="87"/>
  <c r="C18" i="87"/>
  <c r="AD17" i="87"/>
  <c r="AA17" i="87"/>
  <c r="X17" i="87"/>
  <c r="U17" i="87"/>
  <c r="R17" i="87"/>
  <c r="O17" i="87"/>
  <c r="L17" i="87"/>
  <c r="I17" i="87"/>
  <c r="F17" i="87"/>
  <c r="C17" i="87"/>
  <c r="AD16" i="87"/>
  <c r="AD115" i="87" s="1"/>
  <c r="AA16" i="87"/>
  <c r="X16" i="87"/>
  <c r="X115" i="87" s="1"/>
  <c r="U16" i="87"/>
  <c r="U115" i="87" s="1"/>
  <c r="R16" i="87"/>
  <c r="R115" i="87" s="1"/>
  <c r="O16" i="87"/>
  <c r="L16" i="87"/>
  <c r="L115" i="87" s="1"/>
  <c r="I16" i="87"/>
  <c r="F16" i="87"/>
  <c r="D541" i="108" s="1"/>
  <c r="C16" i="87"/>
  <c r="AD15" i="87"/>
  <c r="AA15" i="87"/>
  <c r="X15" i="87"/>
  <c r="X114" i="87" s="1"/>
  <c r="U15" i="87"/>
  <c r="U114" i="87" s="1"/>
  <c r="R15" i="87"/>
  <c r="R114" i="87" s="1"/>
  <c r="O15" i="87"/>
  <c r="O114" i="87" s="1"/>
  <c r="L15" i="87"/>
  <c r="L114" i="87" s="1"/>
  <c r="I15" i="87"/>
  <c r="F15" i="87"/>
  <c r="C15" i="87"/>
  <c r="I14" i="87"/>
  <c r="C14" i="87"/>
  <c r="AD13" i="87"/>
  <c r="AA13" i="87"/>
  <c r="X13" i="87"/>
  <c r="U13" i="87"/>
  <c r="R13" i="87"/>
  <c r="O13" i="87"/>
  <c r="L13" i="87"/>
  <c r="I13" i="87"/>
  <c r="F13" i="87"/>
  <c r="C13" i="87"/>
  <c r="AD12" i="87"/>
  <c r="AA12" i="87"/>
  <c r="X12" i="87"/>
  <c r="U12" i="87"/>
  <c r="R12" i="87"/>
  <c r="O12" i="87"/>
  <c r="L12" i="87"/>
  <c r="I12" i="87"/>
  <c r="D139" i="112" s="1"/>
  <c r="F12" i="87"/>
  <c r="D15" i="112" s="1"/>
  <c r="C12" i="87"/>
  <c r="AD11" i="87"/>
  <c r="AD113" i="87" s="1"/>
  <c r="AC11" i="87"/>
  <c r="AA11" i="87"/>
  <c r="AA113" i="87" s="1"/>
  <c r="Z11" i="87"/>
  <c r="X11" i="87"/>
  <c r="X113" i="87" s="1"/>
  <c r="W11" i="87"/>
  <c r="U11" i="87"/>
  <c r="U113" i="87" s="1"/>
  <c r="T11" i="87"/>
  <c r="R11" i="87"/>
  <c r="Q11" i="87"/>
  <c r="O11" i="87"/>
  <c r="O113" i="87" s="1"/>
  <c r="N11" i="87"/>
  <c r="L11" i="87"/>
  <c r="L113" i="87" s="1"/>
  <c r="K11" i="87"/>
  <c r="I11" i="87"/>
  <c r="D138" i="112" s="1"/>
  <c r="F11" i="87"/>
  <c r="D14" i="112" s="1"/>
  <c r="E11" i="87"/>
  <c r="C11" i="87"/>
  <c r="AD10" i="87"/>
  <c r="AA10" i="87"/>
  <c r="AA112" i="87" s="1"/>
  <c r="X10" i="87"/>
  <c r="X112" i="87" s="1"/>
  <c r="U10" i="87"/>
  <c r="U112" i="87" s="1"/>
  <c r="R10" i="87"/>
  <c r="O10" i="87"/>
  <c r="O112" i="87" s="1"/>
  <c r="L10" i="87"/>
  <c r="I10" i="87"/>
  <c r="F10" i="87"/>
  <c r="D13" i="112" s="1"/>
  <c r="C10" i="87"/>
  <c r="AD9" i="87"/>
  <c r="AD111" i="87" s="1"/>
  <c r="AA9" i="87"/>
  <c r="AA111" i="87" s="1"/>
  <c r="X9" i="87"/>
  <c r="X111" i="87" s="1"/>
  <c r="U9" i="87"/>
  <c r="R9" i="87"/>
  <c r="R111" i="87" s="1"/>
  <c r="O9" i="87"/>
  <c r="O111" i="87" s="1"/>
  <c r="L9" i="87"/>
  <c r="L111" i="87" s="1"/>
  <c r="I9" i="87"/>
  <c r="D341" i="65" s="1"/>
  <c r="F9" i="87"/>
  <c r="C9" i="87"/>
  <c r="AH8" i="87"/>
  <c r="AH10" i="87" s="1"/>
  <c r="AD8" i="87"/>
  <c r="AD110" i="87" s="1"/>
  <c r="AA8" i="87"/>
  <c r="AA110" i="87" s="1"/>
  <c r="X8" i="87"/>
  <c r="U8" i="87"/>
  <c r="U110" i="87" s="1"/>
  <c r="R8" i="87"/>
  <c r="O8" i="87"/>
  <c r="O110" i="87" s="1"/>
  <c r="L8" i="87"/>
  <c r="L110" i="87" s="1"/>
  <c r="I8" i="87"/>
  <c r="F8" i="87"/>
  <c r="D129" i="113" s="1"/>
  <c r="C8" i="87"/>
  <c r="AH7" i="87"/>
  <c r="C439" i="115"/>
  <c r="C438" i="115"/>
  <c r="C437" i="115"/>
  <c r="C436" i="115"/>
  <c r="C434" i="115"/>
  <c r="C433" i="115"/>
  <c r="C432" i="115"/>
  <c r="C431" i="115"/>
  <c r="D430" i="115" a="1"/>
  <c r="D430" i="115"/>
  <c r="D426" i="115" a="1"/>
  <c r="D426" i="115" s="1"/>
  <c r="D417" i="115"/>
  <c r="D416" i="115"/>
  <c r="D415" i="115"/>
  <c r="C414" i="115"/>
  <c r="C413" i="115"/>
  <c r="C411" i="115"/>
  <c r="C410" i="115"/>
  <c r="C409" i="115"/>
  <c r="C408" i="115"/>
  <c r="C407" i="115"/>
  <c r="E406" i="115"/>
  <c r="C405" i="115"/>
  <c r="B400" i="115"/>
  <c r="B399" i="115"/>
  <c r="B397" i="115"/>
  <c r="B396" i="115"/>
  <c r="B393" i="115"/>
  <c r="B391" i="115"/>
  <c r="B390" i="115"/>
  <c r="B387" i="115" a="1"/>
  <c r="B387" i="115"/>
  <c r="D382" i="115"/>
  <c r="D381" i="115" a="1"/>
  <c r="D381" i="115" s="1"/>
  <c r="C381" i="115"/>
  <c r="D380" i="115"/>
  <c r="D377" i="115"/>
  <c r="C377" i="115"/>
  <c r="D376" i="115" a="1"/>
  <c r="D376" i="115" s="1"/>
  <c r="D375" i="115"/>
  <c r="D372" i="115"/>
  <c r="C372" i="115"/>
  <c r="C370" i="115"/>
  <c r="C369" i="115"/>
  <c r="C380" i="115" s="1"/>
  <c r="C366" i="115"/>
  <c r="C365" i="115"/>
  <c r="C364" i="115"/>
  <c r="C363" i="115"/>
  <c r="D362" i="115" a="1"/>
  <c r="D362" i="115"/>
  <c r="C362" i="115"/>
  <c r="D360" i="115" a="1"/>
  <c r="D360" i="115" s="1"/>
  <c r="C360" i="115"/>
  <c r="C358" i="115"/>
  <c r="C417" i="115" s="1"/>
  <c r="E357" i="115"/>
  <c r="D357" i="115"/>
  <c r="C357" i="115"/>
  <c r="D356" i="115"/>
  <c r="C355" i="115"/>
  <c r="C354" i="115"/>
  <c r="C353" i="115"/>
  <c r="C352" i="115"/>
  <c r="C351" i="115"/>
  <c r="C376" i="115" s="1"/>
  <c r="C350" i="115"/>
  <c r="C344" i="115"/>
  <c r="C416" i="115" s="1"/>
  <c r="C343" i="115"/>
  <c r="C342" i="115"/>
  <c r="D338" i="115"/>
  <c r="C338" i="115"/>
  <c r="D337" i="115"/>
  <c r="C337" i="115"/>
  <c r="D336" i="115"/>
  <c r="D335" i="115"/>
  <c r="D333" i="115"/>
  <c r="C328" i="115"/>
  <c r="C323" i="115"/>
  <c r="C320" i="115"/>
  <c r="C313" i="115"/>
  <c r="C312" i="115"/>
  <c r="C311" i="115"/>
  <c r="C309" i="115"/>
  <c r="C307" i="115"/>
  <c r="C305" i="115"/>
  <c r="C304" i="115"/>
  <c r="C303" i="115"/>
  <c r="C301" i="115"/>
  <c r="C299" i="115"/>
  <c r="B298" i="115"/>
  <c r="C297" i="115"/>
  <c r="C296" i="115"/>
  <c r="C295" i="115"/>
  <c r="C293" i="115"/>
  <c r="C291" i="115"/>
  <c r="C289" i="115"/>
  <c r="C288" i="115"/>
  <c r="C287" i="115"/>
  <c r="C285" i="115"/>
  <c r="C283" i="115"/>
  <c r="E280" i="115"/>
  <c r="C276" i="115"/>
  <c r="C275" i="115"/>
  <c r="C274" i="115"/>
  <c r="C273" i="115"/>
  <c r="C272" i="115"/>
  <c r="C271" i="115"/>
  <c r="C270" i="115"/>
  <c r="C269" i="115"/>
  <c r="C268" i="115"/>
  <c r="C267" i="115"/>
  <c r="C266" i="115"/>
  <c r="C265" i="115"/>
  <c r="C264" i="115"/>
  <c r="C263" i="115"/>
  <c r="C262" i="115"/>
  <c r="C261" i="115"/>
  <c r="C258" i="115"/>
  <c r="C257" i="115"/>
  <c r="C256" i="115"/>
  <c r="E249" i="115"/>
  <c r="E248" i="115"/>
  <c r="E247" i="115"/>
  <c r="C246" i="115"/>
  <c r="C242" i="115"/>
  <c r="E240" i="115"/>
  <c r="C239" i="115"/>
  <c r="C238" i="115"/>
  <c r="C237" i="115"/>
  <c r="C236" i="115"/>
  <c r="C234" i="115"/>
  <c r="C231" i="115"/>
  <c r="C230" i="115"/>
  <c r="E221" i="115"/>
  <c r="C220" i="115"/>
  <c r="E218" i="115"/>
  <c r="E217" i="115"/>
  <c r="E216" i="115"/>
  <c r="E215" i="115"/>
  <c r="C215" i="115"/>
  <c r="B214" i="115"/>
  <c r="E213" i="115"/>
  <c r="E212" i="115"/>
  <c r="E211" i="115"/>
  <c r="E210" i="115"/>
  <c r="C210" i="115"/>
  <c r="E208" i="115"/>
  <c r="E207" i="115"/>
  <c r="E206" i="115"/>
  <c r="C205" i="115"/>
  <c r="E203" i="115"/>
  <c r="E202" i="115"/>
  <c r="E201" i="115"/>
  <c r="C200" i="115"/>
  <c r="D198" i="115"/>
  <c r="E195" i="115"/>
  <c r="E194" i="115"/>
  <c r="E193" i="115"/>
  <c r="E192" i="115"/>
  <c r="C192" i="115"/>
  <c r="E191" i="115"/>
  <c r="C189" i="115"/>
  <c r="D187" i="115" a="1"/>
  <c r="D187" i="115" s="1"/>
  <c r="E184" i="115"/>
  <c r="E183" i="115"/>
  <c r="E182" i="115"/>
  <c r="E181" i="115"/>
  <c r="C181" i="115"/>
  <c r="E180" i="115"/>
  <c r="D176" i="115"/>
  <c r="C176" i="115"/>
  <c r="E173" i="115"/>
  <c r="E172" i="115"/>
  <c r="E171" i="115"/>
  <c r="E170" i="115"/>
  <c r="C170" i="115"/>
  <c r="E169" i="115"/>
  <c r="C167" i="115"/>
  <c r="D155" i="115"/>
  <c r="D141" i="115" a="1"/>
  <c r="C136" i="115"/>
  <c r="C135" i="115"/>
  <c r="C134" i="115"/>
  <c r="C133" i="115"/>
  <c r="B131" i="115"/>
  <c r="C129" i="115"/>
  <c r="C128" i="115"/>
  <c r="B124" i="115"/>
  <c r="C122" i="115"/>
  <c r="C117" i="115"/>
  <c r="C178" i="115" s="1"/>
  <c r="D112" i="115"/>
  <c r="D103" i="115"/>
  <c r="C103" i="115"/>
  <c r="D102" i="115"/>
  <c r="D101" i="115"/>
  <c r="D100" i="115"/>
  <c r="C97" i="115"/>
  <c r="C94" i="115"/>
  <c r="C87" i="115"/>
  <c r="C80" i="115"/>
  <c r="C79" i="115"/>
  <c r="C78" i="115"/>
  <c r="C76" i="115"/>
  <c r="C74" i="115"/>
  <c r="C72" i="115"/>
  <c r="C71" i="115"/>
  <c r="C70" i="115"/>
  <c r="C68" i="115"/>
  <c r="C66" i="115"/>
  <c r="B65" i="115"/>
  <c r="C64" i="115"/>
  <c r="C63" i="115"/>
  <c r="C62" i="115"/>
  <c r="C60" i="115"/>
  <c r="C58" i="115"/>
  <c r="B57" i="115"/>
  <c r="C56" i="115"/>
  <c r="C55" i="115"/>
  <c r="C54" i="115"/>
  <c r="C52" i="115"/>
  <c r="C50" i="115"/>
  <c r="C48" i="115"/>
  <c r="C44" i="115"/>
  <c r="C43" i="115"/>
  <c r="C42" i="115"/>
  <c r="C41" i="115"/>
  <c r="C40" i="115"/>
  <c r="C39" i="115"/>
  <c r="C38" i="115"/>
  <c r="C37" i="115"/>
  <c r="C36" i="115"/>
  <c r="C35" i="115"/>
  <c r="C34" i="115"/>
  <c r="C33" i="115"/>
  <c r="C32" i="115"/>
  <c r="C31" i="115"/>
  <c r="C30" i="115"/>
  <c r="C29" i="115"/>
  <c r="C26" i="115"/>
  <c r="C25" i="115"/>
  <c r="C24" i="115"/>
  <c r="C19" i="115"/>
  <c r="E14" i="115"/>
  <c r="D14" i="115"/>
  <c r="E13" i="115"/>
  <c r="E12" i="115"/>
  <c r="D12" i="115"/>
  <c r="E11" i="115"/>
  <c r="D11" i="115"/>
  <c r="E10" i="115"/>
  <c r="D10" i="115"/>
  <c r="E9" i="115"/>
  <c r="D9" i="115"/>
  <c r="E8" i="115"/>
  <c r="D8" i="115"/>
  <c r="D13" i="115" s="1"/>
  <c r="D558" i="109"/>
  <c r="C558" i="109"/>
  <c r="D557" i="109"/>
  <c r="D556" i="109"/>
  <c r="D555" i="109"/>
  <c r="C555" i="109"/>
  <c r="D551" i="109"/>
  <c r="C551" i="109"/>
  <c r="D550" i="109"/>
  <c r="D549" i="109"/>
  <c r="D546" i="109"/>
  <c r="C546" i="109"/>
  <c r="C545" i="109"/>
  <c r="D544" i="109"/>
  <c r="D541" i="109"/>
  <c r="D540" i="109"/>
  <c r="C540" i="109"/>
  <c r="D539" i="109"/>
  <c r="C539" i="109"/>
  <c r="D537" i="109"/>
  <c r="C537" i="109"/>
  <c r="D536" i="109"/>
  <c r="D533" i="109"/>
  <c r="C533" i="109"/>
  <c r="C532" i="109"/>
  <c r="C538" i="109" s="1"/>
  <c r="D531" i="109"/>
  <c r="C531" i="109"/>
  <c r="D529" i="109"/>
  <c r="C527" i="109"/>
  <c r="D526" i="109"/>
  <c r="C526" i="109"/>
  <c r="D524" i="109"/>
  <c r="C523" i="109"/>
  <c r="D522" i="109"/>
  <c r="D521" i="109"/>
  <c r="C521" i="109"/>
  <c r="C520" i="109"/>
  <c r="D519" i="109"/>
  <c r="C517" i="109"/>
  <c r="D516" i="109"/>
  <c r="D515" i="109"/>
  <c r="C515" i="109"/>
  <c r="D514" i="109"/>
  <c r="C514" i="109"/>
  <c r="C513" i="109"/>
  <c r="C512" i="109"/>
  <c r="D508" i="109"/>
  <c r="C508" i="109"/>
  <c r="D507" i="109"/>
  <c r="D506" i="109"/>
  <c r="C505" i="109"/>
  <c r="C556" i="109" s="1"/>
  <c r="D504" i="109"/>
  <c r="D500" i="109"/>
  <c r="C499" i="109"/>
  <c r="C116" i="116" s="1"/>
  <c r="D498" i="109"/>
  <c r="D497" i="109"/>
  <c r="C497" i="109"/>
  <c r="D496" i="109"/>
  <c r="C496" i="109"/>
  <c r="D494" i="109"/>
  <c r="C493" i="109"/>
  <c r="C557" i="109" s="1"/>
  <c r="D492" i="109"/>
  <c r="C492" i="109" a="1"/>
  <c r="C492" i="109" s="1"/>
  <c r="D490" i="109"/>
  <c r="D486" i="109"/>
  <c r="C486" i="109"/>
  <c r="D485" i="109"/>
  <c r="C485" i="109"/>
  <c r="D484" i="109"/>
  <c r="D483" i="109"/>
  <c r="D482" i="109"/>
  <c r="C482" i="109"/>
  <c r="C481" i="109" a="1"/>
  <c r="C481" i="109" s="1"/>
  <c r="D479" i="109"/>
  <c r="C475" i="109"/>
  <c r="D474" i="109"/>
  <c r="C470" i="109"/>
  <c r="C117" i="116" s="1"/>
  <c r="C469" i="109"/>
  <c r="C118" i="116" s="1"/>
  <c r="C467" i="109"/>
  <c r="C466" i="109"/>
  <c r="C500" i="109" s="1"/>
  <c r="D465" i="109"/>
  <c r="D461" i="109"/>
  <c r="C461" i="109"/>
  <c r="D460" i="109"/>
  <c r="D458" i="109"/>
  <c r="D454" i="109"/>
  <c r="C454" i="109"/>
  <c r="D453" i="109"/>
  <c r="D451" i="109"/>
  <c r="D447" i="109"/>
  <c r="C442" i="109"/>
  <c r="C120" i="116" s="1"/>
  <c r="D441" i="109"/>
  <c r="D437" i="109"/>
  <c r="D435" i="109"/>
  <c r="C434" i="109"/>
  <c r="D433" i="109"/>
  <c r="C429" i="109"/>
  <c r="D428" i="109"/>
  <c r="C428" i="109"/>
  <c r="D426" i="109"/>
  <c r="C426" i="109"/>
  <c r="D424" i="109"/>
  <c r="C423" i="109"/>
  <c r="D422" i="109"/>
  <c r="C422" i="109"/>
  <c r="D420" i="109"/>
  <c r="C420" i="109"/>
  <c r="C419" i="109"/>
  <c r="D418" i="109"/>
  <c r="C415" i="109"/>
  <c r="D411" i="109"/>
  <c r="C411" i="109"/>
  <c r="D410" i="109"/>
  <c r="D409" i="109"/>
  <c r="D408" i="109"/>
  <c r="C408" i="109"/>
  <c r="C405" i="109"/>
  <c r="C123" i="116" s="1"/>
  <c r="D403" i="109" a="1"/>
  <c r="D403" i="109" s="1"/>
  <c r="C403" i="109"/>
  <c r="D402" i="109" a="1"/>
  <c r="D402" i="109"/>
  <c r="C402" i="109"/>
  <c r="D401" i="109" a="1"/>
  <c r="D401" i="109" s="1"/>
  <c r="C401" i="109"/>
  <c r="C400" i="109"/>
  <c r="D399" i="109"/>
  <c r="C399" i="109"/>
  <c r="D398" i="109"/>
  <c r="D397" i="109"/>
  <c r="D396" i="109"/>
  <c r="C395" i="109"/>
  <c r="C437" i="109" s="1"/>
  <c r="D393" i="109"/>
  <c r="D392" i="109"/>
  <c r="C392" i="109"/>
  <c r="D391" i="109"/>
  <c r="C391" i="109"/>
  <c r="C388" i="109"/>
  <c r="C122" i="116" s="1"/>
  <c r="D386" i="109" a="1"/>
  <c r="D386" i="109" s="1"/>
  <c r="C386" i="109"/>
  <c r="D385" i="109" a="1"/>
  <c r="D385" i="109" s="1"/>
  <c r="C385" i="109"/>
  <c r="D384" i="109" a="1"/>
  <c r="D384" i="109" s="1"/>
  <c r="C384" i="109"/>
  <c r="D382" i="109"/>
  <c r="D381" i="109"/>
  <c r="D380" i="109"/>
  <c r="D379" i="109"/>
  <c r="C378" i="109"/>
  <c r="D376" i="109"/>
  <c r="D375" i="109"/>
  <c r="D374" i="109"/>
  <c r="C371" i="109"/>
  <c r="D366" i="109"/>
  <c r="D365" i="109"/>
  <c r="C365" i="109"/>
  <c r="D363" i="109"/>
  <c r="D362" i="109"/>
  <c r="C361" i="109"/>
  <c r="D359" i="109"/>
  <c r="C359" i="109"/>
  <c r="D353" i="109"/>
  <c r="D352" i="109"/>
  <c r="C350" i="109"/>
  <c r="C104" i="116" s="1"/>
  <c r="C345" i="109"/>
  <c r="C101" i="116" s="1"/>
  <c r="D344" i="109"/>
  <c r="C344" i="109"/>
  <c r="D340" i="109"/>
  <c r="E337" i="109"/>
  <c r="D337" i="109"/>
  <c r="D331" i="109"/>
  <c r="C331" i="109"/>
  <c r="D330" i="109"/>
  <c r="D329" i="109"/>
  <c r="C328" i="109"/>
  <c r="C95" i="116" s="1"/>
  <c r="C327" i="109"/>
  <c r="C94" i="116" s="1"/>
  <c r="C325" i="109"/>
  <c r="C92" i="116" s="1"/>
  <c r="C324" i="109"/>
  <c r="C91" i="116" s="1"/>
  <c r="C323" i="109"/>
  <c r="C90" i="116" s="1"/>
  <c r="C322" i="109"/>
  <c r="C321" i="109"/>
  <c r="E320" i="109"/>
  <c r="B316" i="109"/>
  <c r="B313" i="109"/>
  <c r="B303" i="109" a="1"/>
  <c r="B303" i="109"/>
  <c r="D298" i="109"/>
  <c r="D297" i="109"/>
  <c r="C297" i="109"/>
  <c r="D296" i="109"/>
  <c r="D293" i="109"/>
  <c r="D292" i="109"/>
  <c r="C292" i="109"/>
  <c r="D288" i="109"/>
  <c r="C288" i="109"/>
  <c r="C286" i="109"/>
  <c r="C282" i="109"/>
  <c r="F126" i="63" s="1"/>
  <c r="C281" i="109"/>
  <c r="F125" i="63" s="1"/>
  <c r="C280" i="109"/>
  <c r="C279" i="109"/>
  <c r="D278" i="109"/>
  <c r="C278" i="109"/>
  <c r="C276" i="109"/>
  <c r="C274" i="109"/>
  <c r="C97" i="116" s="1"/>
  <c r="D272" i="109"/>
  <c r="C272" i="109"/>
  <c r="C271" i="109"/>
  <c r="C270" i="109"/>
  <c r="C269" i="109"/>
  <c r="C268" i="109"/>
  <c r="C267" i="109"/>
  <c r="C287" i="109" s="1"/>
  <c r="C329" i="109" s="1"/>
  <c r="C266" i="109"/>
  <c r="C98" i="116" s="1"/>
  <c r="C265" i="109"/>
  <c r="C260" i="109"/>
  <c r="C259" i="109"/>
  <c r="C258" i="109"/>
  <c r="C65" i="116" s="1"/>
  <c r="C257" i="109"/>
  <c r="D251" i="109"/>
  <c r="C251" i="109"/>
  <c r="D250" i="109"/>
  <c r="D248" i="109"/>
  <c r="C246" i="109"/>
  <c r="C239" i="109"/>
  <c r="C238" i="109"/>
  <c r="C235" i="109"/>
  <c r="C232" i="109"/>
  <c r="C343" i="120" s="1"/>
  <c r="C227" i="109"/>
  <c r="C226" i="109"/>
  <c r="C225" i="109"/>
  <c r="C223" i="109"/>
  <c r="C221" i="109"/>
  <c r="C219" i="109"/>
  <c r="C88" i="116" s="1"/>
  <c r="C218" i="109"/>
  <c r="C87" i="116" s="1"/>
  <c r="C217" i="109"/>
  <c r="C84" i="116" s="1"/>
  <c r="C215" i="109"/>
  <c r="C213" i="109"/>
  <c r="C83" i="116" s="1"/>
  <c r="B212" i="109"/>
  <c r="C211" i="109"/>
  <c r="C210" i="109"/>
  <c r="E209" i="109"/>
  <c r="C209" i="109"/>
  <c r="C77" i="116" s="1"/>
  <c r="C207" i="109"/>
  <c r="C205" i="109"/>
  <c r="C76" i="116" s="1"/>
  <c r="C203" i="109"/>
  <c r="C73" i="116" s="1"/>
  <c r="C202" i="109"/>
  <c r="C74" i="116" s="1"/>
  <c r="C201" i="109"/>
  <c r="C70" i="116" s="1"/>
  <c r="C199" i="109"/>
  <c r="C197" i="109"/>
  <c r="C69" i="116" s="1"/>
  <c r="C195" i="109"/>
  <c r="E194" i="109"/>
  <c r="C189" i="109"/>
  <c r="C188" i="109"/>
  <c r="C187" i="109"/>
  <c r="C186" i="109"/>
  <c r="C185" i="109"/>
  <c r="C184" i="109"/>
  <c r="C183" i="109"/>
  <c r="C182" i="109"/>
  <c r="C181" i="109"/>
  <c r="C180" i="109"/>
  <c r="C179" i="109"/>
  <c r="C178" i="109"/>
  <c r="C177" i="109"/>
  <c r="C176" i="109"/>
  <c r="C175" i="109"/>
  <c r="C174" i="109"/>
  <c r="C171" i="109"/>
  <c r="C170" i="109"/>
  <c r="C169" i="109"/>
  <c r="C161" i="109"/>
  <c r="C160" i="109"/>
  <c r="B56" i="116" s="1"/>
  <c r="C159" i="109"/>
  <c r="C56" i="116" s="1"/>
  <c r="C158" i="109"/>
  <c r="C59" i="116" s="1"/>
  <c r="C157" i="109"/>
  <c r="C58" i="116" s="1"/>
  <c r="C156" i="109"/>
  <c r="C57" i="116" s="1"/>
  <c r="C155" i="109"/>
  <c r="C144" i="109"/>
  <c r="C27" i="116" s="1"/>
  <c r="C142" i="109"/>
  <c r="C141" i="109"/>
  <c r="C21" i="116" s="1"/>
  <c r="C140" i="109"/>
  <c r="C138" i="109"/>
  <c r="C137" i="109"/>
  <c r="C16" i="116" s="1"/>
  <c r="E134" i="109"/>
  <c r="C132" i="109"/>
  <c r="D129" i="109"/>
  <c r="C129" i="109"/>
  <c r="D128" i="109"/>
  <c r="D127" i="109"/>
  <c r="C127" i="109"/>
  <c r="D126" i="109"/>
  <c r="D125" i="109"/>
  <c r="D123" i="109"/>
  <c r="C123" i="109"/>
  <c r="D122" i="109"/>
  <c r="C122" i="109"/>
  <c r="D120" i="109"/>
  <c r="C120" i="109"/>
  <c r="D118" i="109"/>
  <c r="D116" i="109"/>
  <c r="C116" i="109"/>
  <c r="D111" i="109"/>
  <c r="C110" i="109"/>
  <c r="C33" i="116" s="1"/>
  <c r="C108" i="109"/>
  <c r="C20" i="116" s="1"/>
  <c r="C106" i="109"/>
  <c r="C31" i="116" s="1"/>
  <c r="C103" i="109"/>
  <c r="C30" i="116" s="1"/>
  <c r="C102" i="109"/>
  <c r="C101" i="109"/>
  <c r="C15" i="116" s="1"/>
  <c r="C99" i="109"/>
  <c r="C96" i="109"/>
  <c r="C506" i="109" s="1"/>
  <c r="E95" i="109"/>
  <c r="C95" i="109"/>
  <c r="C90" i="109"/>
  <c r="C89" i="109"/>
  <c r="C88" i="109"/>
  <c r="C87" i="109"/>
  <c r="D86" i="109"/>
  <c r="D85" i="109"/>
  <c r="D84" i="109"/>
  <c r="D78" i="109"/>
  <c r="D77" i="109"/>
  <c r="D75" i="109"/>
  <c r="D73" i="109"/>
  <c r="D71" i="109"/>
  <c r="D70" i="109"/>
  <c r="D69" i="109"/>
  <c r="C65" i="109"/>
  <c r="C26" i="116" s="1"/>
  <c r="C64" i="109"/>
  <c r="C63" i="109"/>
  <c r="C62" i="109"/>
  <c r="C61" i="109"/>
  <c r="C86" i="109"/>
  <c r="C58" i="109"/>
  <c r="D51" i="109"/>
  <c r="D49" i="109"/>
  <c r="D47" i="109"/>
  <c r="C44" i="109"/>
  <c r="C70" i="109" s="1"/>
  <c r="D43" i="109"/>
  <c r="C43" i="109"/>
  <c r="C38" i="109"/>
  <c r="C525" i="109" s="1"/>
  <c r="C36" i="109"/>
  <c r="C35" i="109"/>
  <c r="D33" i="109"/>
  <c r="D27" i="109"/>
  <c r="C27" i="109"/>
  <c r="D26" i="109"/>
  <c r="C26" i="109"/>
  <c r="D25" i="109"/>
  <c r="C25" i="109"/>
  <c r="D24" i="109"/>
  <c r="C24" i="109"/>
  <c r="D23" i="109"/>
  <c r="C23" i="109"/>
  <c r="D22" i="109"/>
  <c r="C22" i="109"/>
  <c r="D21" i="109"/>
  <c r="C21" i="109"/>
  <c r="D20" i="109"/>
  <c r="C20" i="109"/>
  <c r="D15" i="109"/>
  <c r="C113" i="109" s="1"/>
  <c r="D14" i="109"/>
  <c r="D13" i="109"/>
  <c r="D12" i="109"/>
  <c r="D11" i="109"/>
  <c r="E20" i="109" s="1"/>
  <c r="Q78" i="123"/>
  <c r="N78" i="123"/>
  <c r="E78" i="123"/>
  <c r="T77" i="123"/>
  <c r="Q77" i="123"/>
  <c r="N77" i="123"/>
  <c r="K77" i="123"/>
  <c r="H77" i="123"/>
  <c r="E77" i="123"/>
  <c r="B77" i="123"/>
  <c r="Q75" i="123"/>
  <c r="H75" i="123"/>
  <c r="E75" i="123"/>
  <c r="T74" i="123"/>
  <c r="Q74" i="123"/>
  <c r="N74" i="123"/>
  <c r="K74" i="123"/>
  <c r="H74" i="123"/>
  <c r="E74" i="123"/>
  <c r="B74" i="123"/>
  <c r="T73" i="123"/>
  <c r="Q73" i="123"/>
  <c r="N73" i="123"/>
  <c r="K73" i="123"/>
  <c r="H73" i="123"/>
  <c r="E73" i="123"/>
  <c r="B73" i="123"/>
  <c r="T72" i="123"/>
  <c r="Q72" i="123"/>
  <c r="N72" i="123"/>
  <c r="K72" i="123"/>
  <c r="H72" i="123"/>
  <c r="E72" i="123"/>
  <c r="B72" i="123"/>
  <c r="T71" i="123"/>
  <c r="Q71" i="123"/>
  <c r="N71" i="123"/>
  <c r="K71" i="123"/>
  <c r="H71" i="123"/>
  <c r="E71" i="123"/>
  <c r="B71" i="123"/>
  <c r="T64" i="123"/>
  <c r="Q64" i="123"/>
  <c r="N64" i="123"/>
  <c r="K64" i="123"/>
  <c r="H64" i="123"/>
  <c r="E64" i="123"/>
  <c r="B64" i="123"/>
  <c r="T63" i="123"/>
  <c r="Q63" i="123"/>
  <c r="N63" i="123"/>
  <c r="K63" i="123"/>
  <c r="H63" i="123"/>
  <c r="E63" i="123"/>
  <c r="B63" i="123"/>
  <c r="T62" i="123"/>
  <c r="Q62" i="123"/>
  <c r="N62" i="123"/>
  <c r="K62" i="123"/>
  <c r="H62" i="123"/>
  <c r="E62" i="123"/>
  <c r="B62" i="123"/>
  <c r="T61" i="123"/>
  <c r="Q61" i="123"/>
  <c r="N61" i="123"/>
  <c r="K61" i="123"/>
  <c r="H61" i="123"/>
  <c r="E61" i="123"/>
  <c r="B61" i="123"/>
  <c r="T60" i="123"/>
  <c r="Q60" i="123"/>
  <c r="N60" i="123"/>
  <c r="K60" i="123"/>
  <c r="H60" i="123"/>
  <c r="E60" i="123"/>
  <c r="B60" i="123"/>
  <c r="T59" i="123"/>
  <c r="Q59" i="123"/>
  <c r="N59" i="123"/>
  <c r="K59" i="123"/>
  <c r="H59" i="123"/>
  <c r="E59" i="123"/>
  <c r="B59" i="123"/>
  <c r="T58" i="123"/>
  <c r="Q58" i="123"/>
  <c r="N58" i="123"/>
  <c r="K58" i="123"/>
  <c r="H58" i="123"/>
  <c r="E58" i="123"/>
  <c r="B58" i="123"/>
  <c r="T57" i="123"/>
  <c r="Q57" i="123"/>
  <c r="N57" i="123"/>
  <c r="K57" i="123"/>
  <c r="H57" i="123"/>
  <c r="E57" i="123"/>
  <c r="B57" i="123"/>
  <c r="T56" i="123"/>
  <c r="Q56" i="123"/>
  <c r="N56" i="123"/>
  <c r="K56" i="123"/>
  <c r="H56" i="123"/>
  <c r="E56" i="123"/>
  <c r="B56" i="123"/>
  <c r="R50" i="123"/>
  <c r="P50" i="123"/>
  <c r="C50" i="123"/>
  <c r="R49" i="123"/>
  <c r="C49" i="123"/>
  <c r="R48" i="123"/>
  <c r="P48" i="123"/>
  <c r="R47" i="123"/>
  <c r="P47" i="123"/>
  <c r="R46" i="123"/>
  <c r="R45" i="123"/>
  <c r="P45" i="123"/>
  <c r="R44" i="123"/>
  <c r="R43" i="123"/>
  <c r="R41" i="123"/>
  <c r="P41" i="123"/>
  <c r="R40" i="123"/>
  <c r="P40" i="123"/>
  <c r="R38" i="123"/>
  <c r="P38" i="123"/>
  <c r="R37" i="123"/>
  <c r="P37" i="123"/>
  <c r="R35" i="123"/>
  <c r="P35" i="123"/>
  <c r="R34" i="123"/>
  <c r="P34" i="123"/>
  <c r="R32" i="123"/>
  <c r="R31" i="123"/>
  <c r="P31" i="123"/>
  <c r="R30" i="123"/>
  <c r="R29" i="123"/>
  <c r="R28" i="123"/>
  <c r="P28" i="123"/>
  <c r="R26" i="123"/>
  <c r="P26" i="123"/>
  <c r="R25" i="123"/>
  <c r="P25" i="123"/>
  <c r="R24" i="123"/>
  <c r="P24" i="123"/>
  <c r="R23" i="123"/>
  <c r="P23" i="123"/>
  <c r="R22" i="123"/>
  <c r="P22" i="123"/>
  <c r="R20" i="123"/>
  <c r="R19" i="123"/>
  <c r="P19" i="123"/>
  <c r="B19" i="123"/>
  <c r="R18" i="123"/>
  <c r="P18" i="123"/>
  <c r="B18" i="123"/>
  <c r="R17" i="123"/>
  <c r="P17" i="123"/>
  <c r="R15" i="123"/>
  <c r="P15" i="123"/>
  <c r="B15" i="123"/>
  <c r="R14" i="123"/>
  <c r="P14" i="123"/>
  <c r="B14" i="123"/>
  <c r="B13" i="123"/>
  <c r="R12" i="123"/>
  <c r="P12" i="123"/>
  <c r="B12" i="123"/>
  <c r="R11" i="123"/>
  <c r="P11" i="123"/>
  <c r="B11" i="123"/>
  <c r="C329" i="115" s="1"/>
  <c r="R9" i="123"/>
  <c r="P9" i="123"/>
  <c r="C9" i="123"/>
  <c r="A9" i="123"/>
  <c r="R8" i="123"/>
  <c r="P8" i="123"/>
  <c r="B8" i="123"/>
  <c r="B5" i="123"/>
  <c r="B4" i="123"/>
  <c r="B3" i="123"/>
  <c r="D395" i="65"/>
  <c r="C395" i="65"/>
  <c r="B395" i="65"/>
  <c r="D394" i="65"/>
  <c r="B394" i="65"/>
  <c r="D393" i="65"/>
  <c r="C393" i="65"/>
  <c r="B393" i="65"/>
  <c r="D392" i="65"/>
  <c r="C392" i="65"/>
  <c r="D391" i="65"/>
  <c r="C391" i="65"/>
  <c r="B391" i="65"/>
  <c r="D390" i="65"/>
  <c r="C390" i="65"/>
  <c r="B390" i="65"/>
  <c r="D389" i="65"/>
  <c r="B389" i="65"/>
  <c r="D388" i="65"/>
  <c r="B388" i="65"/>
  <c r="D387" i="65"/>
  <c r="B387" i="65"/>
  <c r="D386" i="65"/>
  <c r="B386" i="65"/>
  <c r="D385" i="65"/>
  <c r="B385" i="65"/>
  <c r="D384" i="65"/>
  <c r="B384" i="65"/>
  <c r="D383" i="65"/>
  <c r="B383" i="65"/>
  <c r="D382" i="65"/>
  <c r="C382" i="65"/>
  <c r="D381" i="65"/>
  <c r="C381" i="65"/>
  <c r="B381" i="65"/>
  <c r="D380" i="65"/>
  <c r="C380" i="65"/>
  <c r="B380" i="65"/>
  <c r="D378" i="65"/>
  <c r="C378" i="65"/>
  <c r="B378" i="65"/>
  <c r="D377" i="65"/>
  <c r="B377" i="65"/>
  <c r="D376" i="65"/>
  <c r="B376" i="65"/>
  <c r="D375" i="65"/>
  <c r="B375" i="65"/>
  <c r="C373" i="65"/>
  <c r="B373" i="65"/>
  <c r="C370" i="65"/>
  <c r="D369" i="65"/>
  <c r="C366" i="65"/>
  <c r="D365" i="65"/>
  <c r="D363" i="65"/>
  <c r="D362" i="65"/>
  <c r="C361" i="65"/>
  <c r="C360" i="65"/>
  <c r="D359" i="65"/>
  <c r="C359" i="65"/>
  <c r="D358" i="65"/>
  <c r="B357" i="65"/>
  <c r="D355" i="65"/>
  <c r="D354" i="65"/>
  <c r="C354" i="65"/>
  <c r="C353" i="65"/>
  <c r="C177" i="85" s="1"/>
  <c r="D352" i="65"/>
  <c r="C352" i="65"/>
  <c r="C347" i="65"/>
  <c r="C346" i="65"/>
  <c r="C51" i="116" s="1"/>
  <c r="D344" i="65"/>
  <c r="C344" i="65"/>
  <c r="D343" i="65"/>
  <c r="C343" i="65"/>
  <c r="D342" i="65"/>
  <c r="C335" i="65"/>
  <c r="C329" i="65"/>
  <c r="E321" i="65"/>
  <c r="E320" i="65"/>
  <c r="E319" i="65"/>
  <c r="C318" i="65"/>
  <c r="C314" i="65"/>
  <c r="C311" i="65"/>
  <c r="C310" i="65"/>
  <c r="C309" i="65"/>
  <c r="C369" i="65" s="1"/>
  <c r="C308" i="65"/>
  <c r="C367" i="65" s="1"/>
  <c r="C306" i="65"/>
  <c r="E305" i="65"/>
  <c r="E304" i="65"/>
  <c r="C303" i="65"/>
  <c r="C365" i="65" s="1"/>
  <c r="E302" i="65"/>
  <c r="C302" i="65"/>
  <c r="E290" i="65"/>
  <c r="E289" i="65"/>
  <c r="E288" i="65"/>
  <c r="E287" i="65"/>
  <c r="B286" i="65"/>
  <c r="E285" i="65"/>
  <c r="E284" i="65"/>
  <c r="E283" i="65"/>
  <c r="E282" i="65"/>
  <c r="E280" i="65"/>
  <c r="E279" i="65"/>
  <c r="E278" i="65"/>
  <c r="E275" i="65"/>
  <c r="E274" i="65"/>
  <c r="E273" i="65"/>
  <c r="E270" i="65"/>
  <c r="D270" i="65"/>
  <c r="E269" i="65"/>
  <c r="E268" i="65"/>
  <c r="E267" i="65"/>
  <c r="E266" i="65"/>
  <c r="E265" i="65"/>
  <c r="E264" i="65"/>
  <c r="C264" i="65"/>
  <c r="E263" i="65"/>
  <c r="E262" i="65"/>
  <c r="E261" i="65"/>
  <c r="C261" i="65"/>
  <c r="E259" i="65"/>
  <c r="D259" i="65"/>
  <c r="E258" i="65"/>
  <c r="E257" i="65"/>
  <c r="E256" i="65"/>
  <c r="E255" i="65"/>
  <c r="E254" i="65"/>
  <c r="E253" i="65"/>
  <c r="C253" i="65"/>
  <c r="E252" i="65"/>
  <c r="E251" i="65"/>
  <c r="E250" i="65"/>
  <c r="D248" i="65"/>
  <c r="E245" i="65"/>
  <c r="E244" i="65"/>
  <c r="E243" i="65"/>
  <c r="E242" i="65"/>
  <c r="C242" i="65"/>
  <c r="E241" i="65"/>
  <c r="C239" i="65"/>
  <c r="D227" i="65"/>
  <c r="D224" i="65"/>
  <c r="D214" i="65"/>
  <c r="D213" i="65" a="1"/>
  <c r="C208" i="65"/>
  <c r="C207" i="65"/>
  <c r="C206" i="65"/>
  <c r="C205" i="65"/>
  <c r="B203" i="65"/>
  <c r="D202" i="65"/>
  <c r="E200" i="65"/>
  <c r="D200" i="65"/>
  <c r="B197" i="65"/>
  <c r="D195" i="65"/>
  <c r="D194" i="65"/>
  <c r="C189" i="65"/>
  <c r="C182" i="65"/>
  <c r="C375" i="65" s="1"/>
  <c r="C181" i="65"/>
  <c r="C180" i="65"/>
  <c r="C179" i="65"/>
  <c r="C178" i="65"/>
  <c r="C377" i="65" s="1"/>
  <c r="C176" i="65"/>
  <c r="C376" i="65" s="1"/>
  <c r="C168" i="65"/>
  <c r="E164" i="65"/>
  <c r="C163" i="65"/>
  <c r="C157" i="65"/>
  <c r="C150" i="65"/>
  <c r="C51" i="119" s="1"/>
  <c r="D149" i="65"/>
  <c r="C148" i="65"/>
  <c r="C72" i="120" s="1"/>
  <c r="C258" i="120" s="1"/>
  <c r="D139" i="65"/>
  <c r="D138" i="65"/>
  <c r="D137" i="65"/>
  <c r="D136" i="65"/>
  <c r="C134" i="65"/>
  <c r="C130" i="65"/>
  <c r="C129" i="65"/>
  <c r="C126" i="65"/>
  <c r="C124" i="65"/>
  <c r="C115" i="65"/>
  <c r="C114" i="65"/>
  <c r="C113" i="65"/>
  <c r="C111" i="65"/>
  <c r="C109" i="65"/>
  <c r="C107" i="65"/>
  <c r="C106" i="65"/>
  <c r="C105" i="65"/>
  <c r="C103" i="65"/>
  <c r="C101" i="65"/>
  <c r="B100" i="65"/>
  <c r="C99" i="65"/>
  <c r="C98" i="65"/>
  <c r="E97" i="65"/>
  <c r="C97" i="65"/>
  <c r="C95" i="65"/>
  <c r="C93" i="65"/>
  <c r="C358" i="65" s="1"/>
  <c r="B92" i="65"/>
  <c r="C91" i="65"/>
  <c r="C90" i="65"/>
  <c r="C89" i="65"/>
  <c r="C178" i="85" s="1"/>
  <c r="C87" i="65"/>
  <c r="C85" i="65"/>
  <c r="C351" i="65" s="1"/>
  <c r="C83" i="65"/>
  <c r="C139" i="65" s="1"/>
  <c r="C78" i="65"/>
  <c r="C77" i="65"/>
  <c r="C76" i="65"/>
  <c r="C75" i="65"/>
  <c r="C74" i="65"/>
  <c r="C73" i="65"/>
  <c r="C72" i="65"/>
  <c r="C71" i="65"/>
  <c r="C70" i="65"/>
  <c r="C69" i="65"/>
  <c r="C68" i="65"/>
  <c r="C67" i="65"/>
  <c r="C66" i="65"/>
  <c r="C65" i="65"/>
  <c r="C64" i="65"/>
  <c r="C63" i="65"/>
  <c r="C60" i="65"/>
  <c r="C53" i="116" s="1"/>
  <c r="C59" i="65"/>
  <c r="C58" i="65"/>
  <c r="C341" i="65" s="1"/>
  <c r="C44" i="65"/>
  <c r="C31" i="65"/>
  <c r="E23" i="65"/>
  <c r="C23" i="65"/>
  <c r="E18" i="65"/>
  <c r="E17" i="65"/>
  <c r="E16" i="65"/>
  <c r="C16" i="65"/>
  <c r="E15" i="65"/>
  <c r="D15" i="65"/>
  <c r="E14" i="65"/>
  <c r="E13" i="65"/>
  <c r="D13" i="65"/>
  <c r="E12" i="65"/>
  <c r="E11" i="65"/>
  <c r="D11" i="65"/>
  <c r="D10" i="65"/>
  <c r="D14" i="65" s="1"/>
  <c r="C10" i="65"/>
  <c r="C358" i="118"/>
  <c r="C356" i="118"/>
  <c r="D355" i="118" a="1"/>
  <c r="D355" i="118" s="1"/>
  <c r="C355" i="118"/>
  <c r="C354" i="118"/>
  <c r="D351" i="118" a="1"/>
  <c r="D351" i="118" s="1"/>
  <c r="D350" i="118"/>
  <c r="D347" i="118" a="1"/>
  <c r="D347" i="118" s="1"/>
  <c r="C347" i="118"/>
  <c r="D346" i="118"/>
  <c r="D343" i="118" a="1"/>
  <c r="D343" i="118"/>
  <c r="C343" i="118"/>
  <c r="D342" i="118"/>
  <c r="C340" i="118"/>
  <c r="D336" i="118"/>
  <c r="D333" i="118"/>
  <c r="C333" i="118"/>
  <c r="C328" i="118"/>
  <c r="C325" i="118"/>
  <c r="D324" i="118"/>
  <c r="D322" i="118"/>
  <c r="C322" i="118"/>
  <c r="D321" i="118"/>
  <c r="C321" i="118"/>
  <c r="D320" i="118"/>
  <c r="C320" i="118"/>
  <c r="C317" i="118"/>
  <c r="C316" i="118"/>
  <c r="C315" i="118"/>
  <c r="C314" i="118"/>
  <c r="C312" i="118"/>
  <c r="D310" i="118"/>
  <c r="C310" i="118"/>
  <c r="C309" i="118"/>
  <c r="C308" i="118"/>
  <c r="C351" i="118" s="1"/>
  <c r="C307" i="118"/>
  <c r="C306" i="118"/>
  <c r="C305" i="118"/>
  <c r="C304" i="118"/>
  <c r="C303" i="118"/>
  <c r="C302" i="118"/>
  <c r="C295" i="118"/>
  <c r="C294" i="118"/>
  <c r="C293" i="118"/>
  <c r="D283" i="118"/>
  <c r="D282" i="118" a="1"/>
  <c r="D282" i="118"/>
  <c r="D279" i="118"/>
  <c r="C279" i="118"/>
  <c r="D278" i="118" a="1"/>
  <c r="D278" i="118"/>
  <c r="D275" i="118"/>
  <c r="D274" i="118" a="1"/>
  <c r="D274" i="118"/>
  <c r="C274" i="118"/>
  <c r="D271" i="118"/>
  <c r="C271" i="118"/>
  <c r="D270" i="118" a="1"/>
  <c r="D270" i="118"/>
  <c r="C270" i="118"/>
  <c r="D267" i="118"/>
  <c r="C267" i="118"/>
  <c r="D261" i="118" a="1"/>
  <c r="D261" i="118"/>
  <c r="C258" i="118"/>
  <c r="C254" i="118"/>
  <c r="C250" i="118"/>
  <c r="C247" i="118"/>
  <c r="D246" i="118"/>
  <c r="D244" i="118"/>
  <c r="D243" i="118"/>
  <c r="C243" i="118"/>
  <c r="D242" i="118"/>
  <c r="C242" i="118"/>
  <c r="C239" i="118"/>
  <c r="C238" i="118"/>
  <c r="C237" i="118"/>
  <c r="C236" i="118"/>
  <c r="D232" i="118" a="1"/>
  <c r="D232" i="118"/>
  <c r="C232" i="118"/>
  <c r="C231" i="118"/>
  <c r="C283" i="118" s="1"/>
  <c r="C230" i="118"/>
  <c r="C229" i="118"/>
  <c r="C275" i="118" s="1"/>
  <c r="C228" i="118"/>
  <c r="C227" i="118"/>
  <c r="C282" i="118" s="1"/>
  <c r="C226" i="118"/>
  <c r="C278" i="118" s="1"/>
  <c r="C225" i="118"/>
  <c r="C224" i="118"/>
  <c r="C217" i="118"/>
  <c r="C216" i="118"/>
  <c r="C214" i="118"/>
  <c r="C261" i="118" s="1"/>
  <c r="C186" i="118"/>
  <c r="D177" i="118"/>
  <c r="D176" i="118"/>
  <c r="C176" i="118"/>
  <c r="C173" i="118"/>
  <c r="C172" i="118"/>
  <c r="C171" i="118"/>
  <c r="C170" i="118"/>
  <c r="D168" i="118" a="1"/>
  <c r="D168" i="118" s="1"/>
  <c r="C168" i="118"/>
  <c r="C166" i="118"/>
  <c r="D165" i="118"/>
  <c r="C165" i="118"/>
  <c r="D164" i="118"/>
  <c r="C163" i="118"/>
  <c r="C161" i="118"/>
  <c r="C159" i="118"/>
  <c r="C156" i="118"/>
  <c r="C153" i="118"/>
  <c r="D150" i="118"/>
  <c r="D149" i="118"/>
  <c r="C149" i="118"/>
  <c r="D148" i="118"/>
  <c r="C148" i="118"/>
  <c r="C146" i="118"/>
  <c r="C145" i="118"/>
  <c r="C144" i="118"/>
  <c r="C143" i="118"/>
  <c r="D139" i="118"/>
  <c r="C138" i="118"/>
  <c r="C137" i="118"/>
  <c r="C130" i="118"/>
  <c r="C129" i="118"/>
  <c r="C128" i="118"/>
  <c r="E127" i="118"/>
  <c r="C116" i="118"/>
  <c r="C115" i="118"/>
  <c r="C114" i="118"/>
  <c r="C113" i="118"/>
  <c r="D110" i="118" a="1"/>
  <c r="D110" i="118"/>
  <c r="C109" i="118"/>
  <c r="D107" i="118" a="1"/>
  <c r="D107" i="118" s="1"/>
  <c r="D106" i="118" a="1"/>
  <c r="D106" i="118" s="1"/>
  <c r="D105" i="118" a="1"/>
  <c r="D105" i="118" s="1"/>
  <c r="C100" i="118"/>
  <c r="C93" i="118"/>
  <c r="D92" i="118"/>
  <c r="D90" i="118"/>
  <c r="D89" i="118"/>
  <c r="C89" i="118"/>
  <c r="D88" i="118"/>
  <c r="C88" i="118"/>
  <c r="C85" i="118"/>
  <c r="C84" i="118"/>
  <c r="C83" i="118"/>
  <c r="D81" i="118"/>
  <c r="C79" i="118"/>
  <c r="C78" i="118"/>
  <c r="C110" i="118" s="1"/>
  <c r="C77" i="118"/>
  <c r="C70" i="118"/>
  <c r="C69" i="118"/>
  <c r="C68" i="118"/>
  <c r="E67" i="118"/>
  <c r="C56" i="118"/>
  <c r="C55" i="118"/>
  <c r="C54" i="118"/>
  <c r="C53" i="118"/>
  <c r="C52" i="118"/>
  <c r="C51" i="118"/>
  <c r="C50" i="118"/>
  <c r="C45" i="118"/>
  <c r="C44" i="118"/>
  <c r="C39" i="118"/>
  <c r="C38" i="118"/>
  <c r="C37" i="118"/>
  <c r="C36" i="118"/>
  <c r="C35" i="118"/>
  <c r="C34" i="118"/>
  <c r="C33" i="118"/>
  <c r="C32" i="118"/>
  <c r="C27" i="118"/>
  <c r="C26" i="118"/>
  <c r="C23" i="118"/>
  <c r="C21" i="118"/>
  <c r="C19" i="118"/>
  <c r="C17" i="118"/>
  <c r="E11" i="118"/>
  <c r="D11" i="118"/>
  <c r="E10" i="118"/>
  <c r="D10" i="118"/>
  <c r="E9" i="118"/>
  <c r="D9" i="118"/>
  <c r="E8" i="118"/>
  <c r="D8" i="118"/>
  <c r="E7" i="118"/>
  <c r="D7" i="118"/>
  <c r="D575" i="108"/>
  <c r="D574" i="108"/>
  <c r="D573" i="108"/>
  <c r="D572" i="108"/>
  <c r="D570" i="108"/>
  <c r="C570" i="108"/>
  <c r="D569" i="108"/>
  <c r="D568" i="108"/>
  <c r="D567" i="108"/>
  <c r="D566" i="108"/>
  <c r="D565" i="108"/>
  <c r="C565" i="108"/>
  <c r="D564" i="108"/>
  <c r="C564" i="108"/>
  <c r="D563" i="108"/>
  <c r="D562" i="108"/>
  <c r="D561" i="108"/>
  <c r="D560" i="108"/>
  <c r="D559" i="108"/>
  <c r="D558" i="108"/>
  <c r="C558" i="108"/>
  <c r="D557" i="108"/>
  <c r="C557" i="108" a="1"/>
  <c r="C557" i="108"/>
  <c r="D555" i="108"/>
  <c r="D554" i="108"/>
  <c r="D553" i="108"/>
  <c r="D552" i="108"/>
  <c r="C552" i="108"/>
  <c r="D551" i="108"/>
  <c r="C551" i="108"/>
  <c r="D550" i="108"/>
  <c r="C550" i="108"/>
  <c r="D549" i="108"/>
  <c r="D548" i="108"/>
  <c r="D547" i="108"/>
  <c r="D546" i="108"/>
  <c r="C546" i="108"/>
  <c r="D545" i="108"/>
  <c r="D544" i="108"/>
  <c r="C544" i="108"/>
  <c r="D543" i="108"/>
  <c r="C543" i="108"/>
  <c r="D542" i="108"/>
  <c r="D540" i="108"/>
  <c r="C540" i="108"/>
  <c r="D539" i="108"/>
  <c r="D538" i="108"/>
  <c r="D537" i="108"/>
  <c r="D536" i="108"/>
  <c r="D534" i="108"/>
  <c r="D533" i="108"/>
  <c r="C532" i="108"/>
  <c r="C531" i="108"/>
  <c r="D529" i="108"/>
  <c r="D527" i="108"/>
  <c r="D525" i="108"/>
  <c r="D524" i="108"/>
  <c r="C523" i="108"/>
  <c r="C522" i="108"/>
  <c r="C573" i="108" s="1"/>
  <c r="D521" i="108"/>
  <c r="D519" i="108"/>
  <c r="C518" i="108"/>
  <c r="C134" i="113" s="1"/>
  <c r="D516" i="108"/>
  <c r="C516" i="108"/>
  <c r="D515" i="108"/>
  <c r="C515" i="108"/>
  <c r="D513" i="108"/>
  <c r="C512" i="108"/>
  <c r="C560" i="108" s="1"/>
  <c r="D511" i="108" a="1"/>
  <c r="D511" i="108" s="1"/>
  <c r="D509" i="108"/>
  <c r="D507" i="108"/>
  <c r="C507" i="108"/>
  <c r="D506" i="108"/>
  <c r="C506" i="108"/>
  <c r="D504" i="108"/>
  <c r="D503" i="108"/>
  <c r="D502" i="108" a="1"/>
  <c r="D502" i="108"/>
  <c r="D500" i="108"/>
  <c r="C498" i="108"/>
  <c r="C503" i="108" s="1"/>
  <c r="D497" i="108"/>
  <c r="C495" i="108"/>
  <c r="C135" i="113" s="1"/>
  <c r="C494" i="108"/>
  <c r="C136" i="113" s="1"/>
  <c r="C493" i="108"/>
  <c r="C492" i="108"/>
  <c r="C491" i="108"/>
  <c r="C519" i="108" s="1"/>
  <c r="D490" i="108"/>
  <c r="D488" i="108"/>
  <c r="C488" i="108"/>
  <c r="D487" i="108"/>
  <c r="D486" i="108"/>
  <c r="D485" i="108"/>
  <c r="D483" i="108"/>
  <c r="C483" i="108"/>
  <c r="D482" i="108"/>
  <c r="D480" i="108"/>
  <c r="D478" i="108"/>
  <c r="D476" i="108"/>
  <c r="C475" i="108"/>
  <c r="C138" i="113" s="1"/>
  <c r="D474" i="108"/>
  <c r="D472" i="108"/>
  <c r="C472" i="108"/>
  <c r="D470" i="108"/>
  <c r="C470" i="108"/>
  <c r="D468" i="108"/>
  <c r="D466" i="108"/>
  <c r="C466" i="108"/>
  <c r="D465" i="108"/>
  <c r="C465" i="108"/>
  <c r="D463" i="108"/>
  <c r="C463" i="108"/>
  <c r="D462" i="108"/>
  <c r="D461" i="108"/>
  <c r="D460" i="108"/>
  <c r="C460" i="108"/>
  <c r="D459" i="108"/>
  <c r="C459" i="108"/>
  <c r="D457" i="108"/>
  <c r="C457" i="108"/>
  <c r="D456" i="108"/>
  <c r="D455" i="108"/>
  <c r="D452" i="108"/>
  <c r="C450" i="108"/>
  <c r="C511" i="108" s="1" a="1"/>
  <c r="C511" i="108" s="1"/>
  <c r="D449" i="108"/>
  <c r="D448" i="108"/>
  <c r="D447" i="108"/>
  <c r="D446" i="108"/>
  <c r="C444" i="108"/>
  <c r="C141" i="113" s="1"/>
  <c r="C443" i="108"/>
  <c r="D442" i="108"/>
  <c r="C442" i="108"/>
  <c r="D441" i="108"/>
  <c r="C441" i="108"/>
  <c r="D440" i="108"/>
  <c r="C440" i="108"/>
  <c r="D438" i="108"/>
  <c r="D437" i="108"/>
  <c r="D436" i="108"/>
  <c r="D435" i="108"/>
  <c r="C434" i="108"/>
  <c r="C461" i="108" s="1"/>
  <c r="D432" i="108"/>
  <c r="D431" i="108"/>
  <c r="C431" i="108"/>
  <c r="D430" i="108"/>
  <c r="D429" i="108"/>
  <c r="C427" i="108"/>
  <c r="C140" i="113" s="1"/>
  <c r="D425" i="108"/>
  <c r="C425" i="108"/>
  <c r="D424" i="108"/>
  <c r="C424" i="108"/>
  <c r="D423" i="108"/>
  <c r="C423" i="108"/>
  <c r="C422" i="108"/>
  <c r="D421" i="108"/>
  <c r="C421" i="108"/>
  <c r="D420" i="108"/>
  <c r="D419" i="108"/>
  <c r="D418" i="108"/>
  <c r="C417" i="108"/>
  <c r="C455" i="108" s="1"/>
  <c r="D415" i="108"/>
  <c r="D414" i="108"/>
  <c r="C414" i="108"/>
  <c r="D413" i="108"/>
  <c r="D412" i="108"/>
  <c r="C410" i="108"/>
  <c r="D405" i="108"/>
  <c r="D404" i="108"/>
  <c r="D402" i="108"/>
  <c r="D401" i="108"/>
  <c r="C400" i="108"/>
  <c r="C409" i="108" s="1"/>
  <c r="D398" i="108"/>
  <c r="C392" i="108"/>
  <c r="C123" i="113" s="1"/>
  <c r="D391" i="108"/>
  <c r="D390" i="108"/>
  <c r="C389" i="108"/>
  <c r="C122" i="113" s="1"/>
  <c r="D387" i="108"/>
  <c r="D386" i="108"/>
  <c r="C386" i="108"/>
  <c r="C384" i="108"/>
  <c r="C119" i="113" s="1"/>
  <c r="D383" i="108"/>
  <c r="C383" i="108"/>
  <c r="D381" i="108"/>
  <c r="D380" i="108"/>
  <c r="E378" i="108"/>
  <c r="D378" i="108"/>
  <c r="D373" i="108"/>
  <c r="D372" i="108"/>
  <c r="C372" i="108"/>
  <c r="C368" i="108"/>
  <c r="C93" i="113" s="1"/>
  <c r="C365" i="108"/>
  <c r="C91" i="113" s="1"/>
  <c r="C364" i="108"/>
  <c r="C363" i="108"/>
  <c r="E362" i="108"/>
  <c r="B353" i="108"/>
  <c r="B345" i="108" a="1"/>
  <c r="D340" i="108"/>
  <c r="D339" i="108"/>
  <c r="D338" i="108"/>
  <c r="D336" i="108"/>
  <c r="D335" i="108"/>
  <c r="C335" i="108"/>
  <c r="D334" i="108"/>
  <c r="D332" i="108"/>
  <c r="C332" i="108"/>
  <c r="D331" i="108"/>
  <c r="D330" i="108"/>
  <c r="D329" i="108"/>
  <c r="C327" i="108"/>
  <c r="C326" i="108"/>
  <c r="C217" i="63" s="1"/>
  <c r="C325" i="108"/>
  <c r="C413" i="108" s="1"/>
  <c r="C324" i="108"/>
  <c r="D323" i="108"/>
  <c r="C323" i="108"/>
  <c r="D321" i="108"/>
  <c r="C319" i="108"/>
  <c r="D317" i="108"/>
  <c r="C317" i="108"/>
  <c r="C316" i="108"/>
  <c r="C315" i="108"/>
  <c r="C314" i="108"/>
  <c r="C313" i="108"/>
  <c r="C312" i="108"/>
  <c r="C311" i="108"/>
  <c r="C99" i="113" s="1"/>
  <c r="C310" i="108"/>
  <c r="C307" i="108"/>
  <c r="C67" i="113" s="1"/>
  <c r="C306" i="108"/>
  <c r="C66" i="113" s="1"/>
  <c r="C305" i="108"/>
  <c r="C65" i="113" s="1"/>
  <c r="D298" i="108"/>
  <c r="C298" i="108"/>
  <c r="D297" i="108"/>
  <c r="C294" i="108"/>
  <c r="C293" i="108"/>
  <c r="C291" i="108"/>
  <c r="C289" i="108"/>
  <c r="C287" i="108"/>
  <c r="C286" i="108"/>
  <c r="C284" i="108"/>
  <c r="C283" i="108"/>
  <c r="C281" i="108"/>
  <c r="C279" i="108"/>
  <c r="E268" i="108"/>
  <c r="C268" i="108"/>
  <c r="C84" i="113" s="1"/>
  <c r="E260" i="108"/>
  <c r="C260" i="108"/>
  <c r="C77" i="113" s="1"/>
  <c r="E252" i="108"/>
  <c r="C252" i="108"/>
  <c r="C70" i="113" s="1"/>
  <c r="C250" i="108"/>
  <c r="E249" i="108"/>
  <c r="C225" i="108"/>
  <c r="C218" i="108"/>
  <c r="C217" i="108"/>
  <c r="B57" i="113" s="1" a="1"/>
  <c r="B57" i="113" s="1"/>
  <c r="C216" i="108"/>
  <c r="C57" i="113" s="1"/>
  <c r="C215" i="108"/>
  <c r="C60" i="113" s="1"/>
  <c r="C214" i="108"/>
  <c r="C59" i="113" s="1"/>
  <c r="C213" i="108"/>
  <c r="C58" i="113" s="1"/>
  <c r="C201" i="108"/>
  <c r="C27" i="113" s="1"/>
  <c r="C199" i="108"/>
  <c r="C22" i="113" s="1"/>
  <c r="C198" i="108"/>
  <c r="C21" i="113" s="1"/>
  <c r="C197" i="108"/>
  <c r="C195" i="108"/>
  <c r="C17" i="113" s="1"/>
  <c r="C194" i="108"/>
  <c r="C16" i="113" s="1"/>
  <c r="C193" i="108"/>
  <c r="E191" i="108"/>
  <c r="D186" i="108"/>
  <c r="C186" i="108"/>
  <c r="D185" i="108"/>
  <c r="D184" i="108"/>
  <c r="D183" i="108"/>
  <c r="D182" i="108"/>
  <c r="C182" i="108"/>
  <c r="D180" i="108"/>
  <c r="C180" i="108"/>
  <c r="D179" i="108"/>
  <c r="C179" i="108"/>
  <c r="D178" i="108"/>
  <c r="D175" i="108"/>
  <c r="C175" i="108"/>
  <c r="D173" i="108"/>
  <c r="C173" i="108"/>
  <c r="E171" i="108"/>
  <c r="E170" i="108"/>
  <c r="C170" i="108"/>
  <c r="C35" i="113" s="1"/>
  <c r="D168" i="108"/>
  <c r="E167" i="108"/>
  <c r="C167" i="108"/>
  <c r="C34" i="113" s="1"/>
  <c r="C166" i="108"/>
  <c r="C165" i="108"/>
  <c r="C20" i="113" s="1"/>
  <c r="E164" i="108"/>
  <c r="E163" i="108"/>
  <c r="E160" i="108"/>
  <c r="C160" i="108"/>
  <c r="C31" i="113" s="1"/>
  <c r="C159" i="108"/>
  <c r="C158" i="108"/>
  <c r="C15" i="113" s="1"/>
  <c r="C156" i="108"/>
  <c r="C153" i="108"/>
  <c r="E152" i="108"/>
  <c r="C152" i="108"/>
  <c r="E150" i="108"/>
  <c r="E149" i="108"/>
  <c r="E147" i="108"/>
  <c r="D147" i="108"/>
  <c r="C147" i="108"/>
  <c r="E146" i="108"/>
  <c r="D146" i="108"/>
  <c r="E145" i="108"/>
  <c r="C145" i="108"/>
  <c r="E144" i="108"/>
  <c r="C144" i="108"/>
  <c r="E143" i="108"/>
  <c r="D143" i="108"/>
  <c r="D142" i="108"/>
  <c r="E141" i="108"/>
  <c r="D141" i="108"/>
  <c r="C140" i="108"/>
  <c r="C139" i="108"/>
  <c r="C138" i="108"/>
  <c r="C137" i="108"/>
  <c r="D135" i="108"/>
  <c r="E134" i="108"/>
  <c r="E133" i="108"/>
  <c r="D132" i="108"/>
  <c r="C132" i="108"/>
  <c r="D131" i="108"/>
  <c r="D130" i="108"/>
  <c r="D128" i="108"/>
  <c r="E127" i="108"/>
  <c r="D127" i="108"/>
  <c r="D126" i="108"/>
  <c r="C122" i="108"/>
  <c r="E121" i="108"/>
  <c r="C121" i="108"/>
  <c r="E120" i="108"/>
  <c r="C120" i="108"/>
  <c r="E119" i="108"/>
  <c r="C119" i="108"/>
  <c r="E118" i="108"/>
  <c r="C118" i="108"/>
  <c r="E117" i="108"/>
  <c r="C143" i="108"/>
  <c r="E115" i="108"/>
  <c r="C115" i="108"/>
  <c r="C114" i="108"/>
  <c r="C113" i="108"/>
  <c r="C112" i="108"/>
  <c r="C111" i="108"/>
  <c r="E108" i="108"/>
  <c r="D108" i="108"/>
  <c r="E107" i="108"/>
  <c r="D106" i="108"/>
  <c r="D104" i="108"/>
  <c r="C104" i="108"/>
  <c r="E103" i="108"/>
  <c r="C101" i="108"/>
  <c r="C127" i="108" s="1"/>
  <c r="D100" i="108"/>
  <c r="C95" i="108"/>
  <c r="E92" i="108"/>
  <c r="D90" i="108"/>
  <c r="C84" i="108"/>
  <c r="C82" i="108"/>
  <c r="C81" i="108"/>
  <c r="C80" i="108"/>
  <c r="C79" i="108"/>
  <c r="C78" i="108"/>
  <c r="C77" i="108"/>
  <c r="C76" i="108"/>
  <c r="C75" i="108"/>
  <c r="C73" i="108"/>
  <c r="C72" i="108"/>
  <c r="C71" i="108"/>
  <c r="C70" i="108"/>
  <c r="C69" i="108"/>
  <c r="E67" i="108"/>
  <c r="D56" i="108"/>
  <c r="C56" i="108"/>
  <c r="D54" i="108"/>
  <c r="C54" i="108"/>
  <c r="D53" i="108"/>
  <c r="C53" i="108"/>
  <c r="E52" i="108"/>
  <c r="D49" i="108"/>
  <c r="C49" i="108"/>
  <c r="D48" i="108"/>
  <c r="C48" i="108"/>
  <c r="E47" i="108"/>
  <c r="D47" i="108"/>
  <c r="C47" i="108"/>
  <c r="D44" i="108"/>
  <c r="C44" i="108"/>
  <c r="D43" i="108"/>
  <c r="C43" i="108"/>
  <c r="E42" i="108"/>
  <c r="D42" i="108"/>
  <c r="C42" i="108"/>
  <c r="D40" i="108"/>
  <c r="C40" i="108"/>
  <c r="D39" i="108"/>
  <c r="C39" i="108"/>
  <c r="D38" i="108"/>
  <c r="C38" i="108"/>
  <c r="D37" i="108"/>
  <c r="C37" i="108"/>
  <c r="E16" i="108"/>
  <c r="D16" i="108"/>
  <c r="E15" i="108"/>
  <c r="D15" i="108"/>
  <c r="E14" i="108"/>
  <c r="D14" i="108"/>
  <c r="E13" i="108"/>
  <c r="D13" i="108"/>
  <c r="E90" i="108" s="1"/>
  <c r="E12" i="108"/>
  <c r="D12" i="108"/>
  <c r="E37" i="108" s="1"/>
  <c r="K353" i="62"/>
  <c r="K352" i="62"/>
  <c r="K351" i="62"/>
  <c r="K350" i="62"/>
  <c r="K345" i="62"/>
  <c r="K344" i="62"/>
  <c r="K343" i="62"/>
  <c r="K342" i="62"/>
  <c r="K341" i="62"/>
  <c r="K340" i="62"/>
  <c r="K339" i="62"/>
  <c r="K338" i="62"/>
  <c r="K337" i="62"/>
  <c r="K336" i="62"/>
  <c r="K335" i="62"/>
  <c r="K334" i="62"/>
  <c r="K333" i="62"/>
  <c r="K332" i="62"/>
  <c r="K331" i="62"/>
  <c r="K330" i="62"/>
  <c r="J330" i="62" a="1"/>
  <c r="J343" i="62" s="1"/>
  <c r="M328" i="62"/>
  <c r="K328" i="62"/>
  <c r="J328" i="62"/>
  <c r="M327" i="62"/>
  <c r="K327" i="62"/>
  <c r="J327" i="62"/>
  <c r="M326" i="62"/>
  <c r="K326" i="62"/>
  <c r="J326" i="62"/>
  <c r="M325" i="62"/>
  <c r="K325" i="62"/>
  <c r="J325" i="62"/>
  <c r="K323" i="62"/>
  <c r="J323" i="62"/>
  <c r="M322" i="62"/>
  <c r="K322" i="62"/>
  <c r="J322" i="62"/>
  <c r="M321" i="62"/>
  <c r="K321" i="62"/>
  <c r="M319" i="62"/>
  <c r="L319" i="62"/>
  <c r="K319" i="62"/>
  <c r="M318" i="62"/>
  <c r="L318" i="62"/>
  <c r="K318" i="62"/>
  <c r="M317" i="62"/>
  <c r="L317" i="62"/>
  <c r="K317" i="62"/>
  <c r="M316" i="62"/>
  <c r="L316" i="62"/>
  <c r="K316" i="62"/>
  <c r="M315" i="62"/>
  <c r="K315" i="62"/>
  <c r="J315" i="62"/>
  <c r="M313" i="62"/>
  <c r="K313" i="62"/>
  <c r="J313" i="62"/>
  <c r="M311" i="62"/>
  <c r="K311" i="62"/>
  <c r="J311" i="62"/>
  <c r="M310" i="62"/>
  <c r="K310" i="62"/>
  <c r="C149" i="120" s="1"/>
  <c r="J310" i="62"/>
  <c r="M309" i="62"/>
  <c r="K309" i="62"/>
  <c r="C147" i="120" s="1"/>
  <c r="J309" i="62"/>
  <c r="M308" i="62"/>
  <c r="K308" i="62"/>
  <c r="C145" i="120" s="1"/>
  <c r="J308" i="62"/>
  <c r="K306" i="62"/>
  <c r="J306" i="62"/>
  <c r="L303" i="62"/>
  <c r="L302" i="62"/>
  <c r="L300" i="62"/>
  <c r="K300" i="62"/>
  <c r="L299" i="62"/>
  <c r="K299" i="62"/>
  <c r="L298" i="62"/>
  <c r="K298" i="62"/>
  <c r="L296" i="62"/>
  <c r="L295" i="62"/>
  <c r="L294" i="62"/>
  <c r="K294" i="62"/>
  <c r="K293" i="62"/>
  <c r="L292" i="62"/>
  <c r="L291" i="62"/>
  <c r="L289" i="62"/>
  <c r="K289" i="62"/>
  <c r="L288" i="62"/>
  <c r="L287" i="62"/>
  <c r="K287" i="62"/>
  <c r="L286" i="62"/>
  <c r="K286" i="62"/>
  <c r="L285" i="62"/>
  <c r="K285" i="62"/>
  <c r="K284" i="62"/>
  <c r="L282" i="62"/>
  <c r="K282" i="62"/>
  <c r="L281" i="62"/>
  <c r="L280" i="62"/>
  <c r="L279" i="62"/>
  <c r="K279" i="62"/>
  <c r="K277" i="62"/>
  <c r="L276" i="62"/>
  <c r="L275" i="62"/>
  <c r="L274" i="62"/>
  <c r="K274" i="62"/>
  <c r="M269" i="62"/>
  <c r="M268" i="62"/>
  <c r="M267" i="62"/>
  <c r="M266" i="62"/>
  <c r="K266" i="62"/>
  <c r="M265" i="62"/>
  <c r="M260" i="62"/>
  <c r="K260" i="62"/>
  <c r="M259" i="62"/>
  <c r="K259" i="62"/>
  <c r="K303" i="62" s="1"/>
  <c r="M258" i="62"/>
  <c r="K258" i="62"/>
  <c r="K302" i="62" s="1"/>
  <c r="M257" i="62"/>
  <c r="K257" i="62"/>
  <c r="M256" i="62"/>
  <c r="M255" i="62"/>
  <c r="K255" i="62"/>
  <c r="K253" i="62"/>
  <c r="M252" i="62"/>
  <c r="K252" i="62"/>
  <c r="M250" i="62"/>
  <c r="M249" i="62"/>
  <c r="M248" i="62"/>
  <c r="M247" i="62"/>
  <c r="M241" i="62"/>
  <c r="K241" i="62"/>
  <c r="M239" i="62"/>
  <c r="M238" i="62"/>
  <c r="M237" i="62"/>
  <c r="M236" i="62"/>
  <c r="K236" i="62"/>
  <c r="M234" i="62"/>
  <c r="M233" i="62"/>
  <c r="M232" i="62"/>
  <c r="M231" i="62"/>
  <c r="K231" i="62"/>
  <c r="M229" i="62"/>
  <c r="M228" i="62"/>
  <c r="M227" i="62"/>
  <c r="M226" i="62"/>
  <c r="K226" i="62"/>
  <c r="M224" i="62"/>
  <c r="M223" i="62"/>
  <c r="M222" i="62"/>
  <c r="M221" i="62"/>
  <c r="K221" i="62"/>
  <c r="M219" i="62"/>
  <c r="J219" i="62"/>
  <c r="M218" i="62"/>
  <c r="J218" i="62"/>
  <c r="M217" i="62"/>
  <c r="M216" i="62"/>
  <c r="M215" i="62"/>
  <c r="M214" i="62"/>
  <c r="M213" i="62"/>
  <c r="K213" i="62"/>
  <c r="M212" i="62"/>
  <c r="M211" i="62"/>
  <c r="M210" i="62"/>
  <c r="K210" i="62"/>
  <c r="M208" i="62"/>
  <c r="J208" i="62"/>
  <c r="M207" i="62"/>
  <c r="J207" i="62"/>
  <c r="M206" i="62"/>
  <c r="M205" i="62"/>
  <c r="M204" i="62"/>
  <c r="M203" i="62"/>
  <c r="M202" i="62"/>
  <c r="K202" i="62"/>
  <c r="M200" i="62"/>
  <c r="M199" i="62"/>
  <c r="K199" i="62"/>
  <c r="J197" i="62"/>
  <c r="J196" i="62"/>
  <c r="M194" i="62"/>
  <c r="M193" i="62"/>
  <c r="M192" i="62"/>
  <c r="M191" i="62"/>
  <c r="K191" i="62"/>
  <c r="M190" i="62"/>
  <c r="M188" i="62"/>
  <c r="K188" i="62"/>
  <c r="M183" i="62"/>
  <c r="K178" i="62"/>
  <c r="K177" i="62"/>
  <c r="K175" i="62"/>
  <c r="K174" i="62"/>
  <c r="M173" i="62"/>
  <c r="K173" i="62"/>
  <c r="K171" i="62"/>
  <c r="K296" i="62" s="1"/>
  <c r="K170" i="62"/>
  <c r="K295" i="62" s="1"/>
  <c r="K168" i="62"/>
  <c r="K167" i="62"/>
  <c r="K292" i="62" s="1"/>
  <c r="M166" i="62"/>
  <c r="K166" i="62"/>
  <c r="K291" i="62" s="1"/>
  <c r="K164" i="62"/>
  <c r="K163" i="62"/>
  <c r="K288" i="62" s="1"/>
  <c r="K161" i="62"/>
  <c r="K160" i="62"/>
  <c r="M159" i="62"/>
  <c r="K159" i="62"/>
  <c r="K156" i="62"/>
  <c r="K155" i="62"/>
  <c r="K154" i="62"/>
  <c r="M153" i="62"/>
  <c r="K150" i="62"/>
  <c r="M149" i="62"/>
  <c r="K149" i="62"/>
  <c r="M148" i="62"/>
  <c r="K148" i="62"/>
  <c r="K142" i="62"/>
  <c r="K141" i="62"/>
  <c r="K139" i="62"/>
  <c r="K137" i="62"/>
  <c r="K136" i="62"/>
  <c r="K135" i="62"/>
  <c r="K134" i="62"/>
  <c r="K132" i="62"/>
  <c r="K131" i="62"/>
  <c r="K129" i="62"/>
  <c r="M127" i="62"/>
  <c r="M122" i="62"/>
  <c r="M121" i="62"/>
  <c r="K121" i="62"/>
  <c r="M120" i="62"/>
  <c r="K120" i="62"/>
  <c r="M119" i="62"/>
  <c r="M118" i="62"/>
  <c r="M117" i="62"/>
  <c r="K117" i="62"/>
  <c r="C86" i="118" s="1"/>
  <c r="M116" i="62"/>
  <c r="M111" i="62"/>
  <c r="M110" i="62"/>
  <c r="M109" i="62"/>
  <c r="M108" i="62"/>
  <c r="M107" i="62"/>
  <c r="K107" i="62"/>
  <c r="M106" i="62"/>
  <c r="K106" i="62"/>
  <c r="M105" i="62"/>
  <c r="K105" i="62"/>
  <c r="K104" i="62"/>
  <c r="M98" i="62"/>
  <c r="M97" i="62"/>
  <c r="M96" i="62"/>
  <c r="M95" i="62"/>
  <c r="M94" i="62"/>
  <c r="K94" i="62"/>
  <c r="M93" i="62"/>
  <c r="K93" i="62"/>
  <c r="C313" i="118" s="1"/>
  <c r="M92" i="62"/>
  <c r="M91" i="62"/>
  <c r="K90" i="62"/>
  <c r="M85" i="62"/>
  <c r="M84" i="62"/>
  <c r="K84" i="62"/>
  <c r="M83" i="62"/>
  <c r="K83" i="62"/>
  <c r="M82" i="62"/>
  <c r="K82" i="62"/>
  <c r="C191" i="120" s="1"/>
  <c r="M81" i="62"/>
  <c r="K81" i="62"/>
  <c r="C189" i="120" s="1"/>
  <c r="M80" i="62"/>
  <c r="K80" i="62"/>
  <c r="C187" i="120" s="1"/>
  <c r="M79" i="62"/>
  <c r="M78" i="62"/>
  <c r="K78" i="62"/>
  <c r="C75" i="75" s="1"/>
  <c r="M77" i="62"/>
  <c r="M68" i="62"/>
  <c r="M67" i="62"/>
  <c r="M66" i="62"/>
  <c r="M65" i="62"/>
  <c r="K65" i="62"/>
  <c r="K63" i="62"/>
  <c r="M61" i="62"/>
  <c r="M60" i="62"/>
  <c r="K59" i="62"/>
  <c r="K58" i="62"/>
  <c r="K57" i="62"/>
  <c r="M56" i="62"/>
  <c r="M48" i="62"/>
  <c r="K48" i="62"/>
  <c r="M47" i="62"/>
  <c r="K47" i="62"/>
  <c r="C415" i="108" s="1"/>
  <c r="M45" i="62"/>
  <c r="K45" i="62"/>
  <c r="C170" i="85" s="1"/>
  <c r="M44" i="62"/>
  <c r="K44" i="62"/>
  <c r="C374" i="109" s="1"/>
  <c r="M43" i="62"/>
  <c r="M40" i="62"/>
  <c r="K39" i="62"/>
  <c r="K38" i="62"/>
  <c r="L37" i="62"/>
  <c r="K37" i="62"/>
  <c r="M32" i="62"/>
  <c r="M30" i="62"/>
  <c r="L25" i="62"/>
  <c r="L24" i="62"/>
  <c r="E21" i="62"/>
  <c r="C19" i="62"/>
  <c r="M18" i="62"/>
  <c r="M14" i="62"/>
  <c r="M10" i="62"/>
  <c r="K72" i="54"/>
  <c r="G72" i="54"/>
  <c r="J66" i="54"/>
  <c r="I66" i="54"/>
  <c r="J65" i="54"/>
  <c r="I65" i="54"/>
  <c r="J76" i="54" s="1"/>
  <c r="J64" i="54"/>
  <c r="I64" i="54"/>
  <c r="I63" i="54"/>
  <c r="J63" i="54" s="1"/>
  <c r="X59" i="54"/>
  <c r="W59" i="54"/>
  <c r="T59" i="54"/>
  <c r="Q59" i="54"/>
  <c r="N59" i="54"/>
  <c r="J59" i="54"/>
  <c r="G59" i="54"/>
  <c r="E59" i="54"/>
  <c r="X58" i="54"/>
  <c r="W58" i="54"/>
  <c r="T58" i="54"/>
  <c r="Q58" i="54"/>
  <c r="N58" i="54"/>
  <c r="J58" i="54"/>
  <c r="G58" i="54"/>
  <c r="E58" i="54"/>
  <c r="X57" i="54"/>
  <c r="W57" i="54"/>
  <c r="T57" i="54"/>
  <c r="Q57" i="54"/>
  <c r="N57" i="54"/>
  <c r="J57" i="54"/>
  <c r="G57" i="54"/>
  <c r="E57" i="54"/>
  <c r="X56" i="54"/>
  <c r="W56" i="54"/>
  <c r="T56" i="54"/>
  <c r="Q56" i="54"/>
  <c r="N56" i="54"/>
  <c r="J56" i="54"/>
  <c r="G56" i="54"/>
  <c r="E56" i="54"/>
  <c r="X55" i="54"/>
  <c r="W55" i="54"/>
  <c r="T55" i="54"/>
  <c r="Q55" i="54"/>
  <c r="N55" i="54"/>
  <c r="J55" i="54"/>
  <c r="G55" i="54"/>
  <c r="E55" i="54"/>
  <c r="X54" i="54"/>
  <c r="W54" i="54"/>
  <c r="T54" i="54"/>
  <c r="Q54" i="54"/>
  <c r="N54" i="54"/>
  <c r="J54" i="54"/>
  <c r="G54" i="54"/>
  <c r="E54" i="54"/>
  <c r="X53" i="54"/>
  <c r="W53" i="54"/>
  <c r="T53" i="54"/>
  <c r="Q53" i="54"/>
  <c r="N53" i="54"/>
  <c r="J53" i="54"/>
  <c r="G53" i="54"/>
  <c r="E53" i="54"/>
  <c r="X52" i="54"/>
  <c r="W52" i="54"/>
  <c r="T52" i="54"/>
  <c r="Q52" i="54"/>
  <c r="N52" i="54"/>
  <c r="J52" i="54"/>
  <c r="G52" i="54"/>
  <c r="E52" i="54"/>
  <c r="X51" i="54"/>
  <c r="W51" i="54"/>
  <c r="T51" i="54"/>
  <c r="Q51" i="54"/>
  <c r="N51" i="54"/>
  <c r="J51" i="54"/>
  <c r="G51" i="54"/>
  <c r="E51" i="54"/>
  <c r="X50" i="54"/>
  <c r="W50" i="54"/>
  <c r="T50" i="54"/>
  <c r="Q50" i="54"/>
  <c r="N50" i="54"/>
  <c r="J50" i="54"/>
  <c r="G50" i="54"/>
  <c r="E50" i="54"/>
  <c r="X49" i="54"/>
  <c r="W49" i="54"/>
  <c r="T49" i="54"/>
  <c r="Q49" i="54"/>
  <c r="N49" i="54"/>
  <c r="J49" i="54"/>
  <c r="G49" i="54"/>
  <c r="E49" i="54"/>
  <c r="X48" i="54"/>
  <c r="W48" i="54"/>
  <c r="T48" i="54"/>
  <c r="Q48" i="54"/>
  <c r="N48" i="54"/>
  <c r="J48" i="54"/>
  <c r="G48" i="54"/>
  <c r="E48" i="54"/>
  <c r="X47" i="54"/>
  <c r="W47" i="54"/>
  <c r="T47" i="54"/>
  <c r="Q47" i="54"/>
  <c r="N47" i="54"/>
  <c r="J47" i="54"/>
  <c r="G47" i="54"/>
  <c r="E47" i="54"/>
  <c r="X46" i="54"/>
  <c r="W46" i="54"/>
  <c r="T46" i="54"/>
  <c r="Q46" i="54"/>
  <c r="N46" i="54"/>
  <c r="J46" i="54"/>
  <c r="G46" i="54"/>
  <c r="E46" i="54"/>
  <c r="X45" i="54"/>
  <c r="W45" i="54"/>
  <c r="T45" i="54"/>
  <c r="Q45" i="54"/>
  <c r="N45" i="54"/>
  <c r="J45" i="54"/>
  <c r="G45" i="54"/>
  <c r="E45" i="54"/>
  <c r="X44" i="54"/>
  <c r="W44" i="54"/>
  <c r="T44" i="54"/>
  <c r="Q44" i="54"/>
  <c r="N44" i="54"/>
  <c r="J44" i="54"/>
  <c r="G44" i="54"/>
  <c r="E44" i="54"/>
  <c r="X43" i="54"/>
  <c r="W43" i="54"/>
  <c r="T43" i="54"/>
  <c r="Q43" i="54"/>
  <c r="N43" i="54"/>
  <c r="J43" i="54"/>
  <c r="G43" i="54"/>
  <c r="E43" i="54"/>
  <c r="X42" i="54"/>
  <c r="W42" i="54"/>
  <c r="T42" i="54"/>
  <c r="Q42" i="54"/>
  <c r="N42" i="54"/>
  <c r="J42" i="54"/>
  <c r="G42" i="54"/>
  <c r="E42" i="54"/>
  <c r="X41" i="54"/>
  <c r="W41" i="54"/>
  <c r="T41" i="54"/>
  <c r="Q41" i="54"/>
  <c r="N41" i="54"/>
  <c r="J41" i="54"/>
  <c r="G41" i="54"/>
  <c r="E41" i="54"/>
  <c r="X40" i="54"/>
  <c r="W40" i="54"/>
  <c r="T40" i="54"/>
  <c r="Q40" i="54"/>
  <c r="N40" i="54"/>
  <c r="J40" i="54"/>
  <c r="G40" i="54"/>
  <c r="E40" i="54"/>
  <c r="X39" i="54"/>
  <c r="W39" i="54"/>
  <c r="T39" i="54"/>
  <c r="Q39" i="54"/>
  <c r="N39" i="54"/>
  <c r="J39" i="54"/>
  <c r="G39" i="54"/>
  <c r="E39" i="54"/>
  <c r="X38" i="54"/>
  <c r="W38" i="54"/>
  <c r="T38" i="54"/>
  <c r="Q38" i="54"/>
  <c r="N38" i="54"/>
  <c r="J38" i="54"/>
  <c r="G38" i="54"/>
  <c r="E38" i="54"/>
  <c r="X37" i="54"/>
  <c r="W37" i="54"/>
  <c r="T37" i="54"/>
  <c r="Q37" i="54"/>
  <c r="N37" i="54"/>
  <c r="J37" i="54"/>
  <c r="G37" i="54"/>
  <c r="E37" i="54"/>
  <c r="X36" i="54"/>
  <c r="W36" i="54"/>
  <c r="T36" i="54"/>
  <c r="Q36" i="54"/>
  <c r="N36" i="54"/>
  <c r="J36" i="54"/>
  <c r="G36" i="54"/>
  <c r="E36" i="54"/>
  <c r="X32" i="54"/>
  <c r="V32" i="54"/>
  <c r="R32" i="54"/>
  <c r="P32" i="54"/>
  <c r="M32" i="54"/>
  <c r="J32" i="54"/>
  <c r="G32" i="54"/>
  <c r="E32" i="54"/>
  <c r="M26" i="54"/>
  <c r="K26" i="54"/>
  <c r="J26" i="54"/>
  <c r="L26" i="54" s="1"/>
  <c r="M25" i="54"/>
  <c r="L25" i="54"/>
  <c r="K25" i="54"/>
  <c r="J25" i="54"/>
  <c r="M24" i="54"/>
  <c r="L24" i="54"/>
  <c r="K24" i="54"/>
  <c r="J24" i="54"/>
  <c r="M23" i="54"/>
  <c r="L23" i="54"/>
  <c r="K23" i="54"/>
  <c r="J23" i="54"/>
  <c r="M22" i="54"/>
  <c r="L22" i="54"/>
  <c r="K22" i="54"/>
  <c r="J22" i="54"/>
  <c r="M21" i="54"/>
  <c r="L21" i="54"/>
  <c r="K21" i="54"/>
  <c r="J21" i="54"/>
  <c r="M20" i="54"/>
  <c r="L20" i="54"/>
  <c r="K20" i="54"/>
  <c r="J20" i="54"/>
  <c r="M19" i="54"/>
  <c r="L19" i="54"/>
  <c r="K19" i="54"/>
  <c r="J19" i="54"/>
  <c r="M18" i="54"/>
  <c r="L18" i="54"/>
  <c r="K18" i="54"/>
  <c r="J18" i="54"/>
  <c r="M17" i="54"/>
  <c r="L17" i="54"/>
  <c r="K17" i="54"/>
  <c r="J17" i="54"/>
  <c r="M16" i="54"/>
  <c r="L16" i="54"/>
  <c r="K16" i="54"/>
  <c r="J16" i="54"/>
  <c r="M15" i="54"/>
  <c r="L15" i="54"/>
  <c r="K15" i="54"/>
  <c r="J15" i="54"/>
  <c r="M14" i="54"/>
  <c r="L14" i="54"/>
  <c r="K14" i="54"/>
  <c r="J14" i="54"/>
  <c r="M13" i="54"/>
  <c r="L13" i="54"/>
  <c r="K13" i="54"/>
  <c r="J13" i="54"/>
  <c r="L12" i="54"/>
  <c r="K12" i="54"/>
  <c r="J12" i="54"/>
  <c r="M12" i="54" s="1"/>
  <c r="M11" i="54"/>
  <c r="L11" i="54"/>
  <c r="K11" i="54"/>
  <c r="J11" i="54"/>
  <c r="M10" i="54"/>
  <c r="L10" i="54"/>
  <c r="K10" i="54"/>
  <c r="M8" i="54"/>
  <c r="L8" i="54"/>
  <c r="K8" i="54"/>
  <c r="L19" i="106"/>
  <c r="L18" i="106"/>
  <c r="L17" i="106"/>
  <c r="L16" i="106"/>
  <c r="M19" i="106" s="1"/>
  <c r="K16" i="106"/>
  <c r="J11" i="106"/>
  <c r="C11" i="63" a="1"/>
  <c r="G76" i="54" l="1"/>
  <c r="H76" i="54"/>
  <c r="M17" i="106"/>
  <c r="C542" i="109"/>
  <c r="C11" i="63"/>
  <c r="M3" i="106" s="1"/>
  <c r="C208" i="85"/>
  <c r="C164" i="86"/>
  <c r="C227" i="119"/>
  <c r="C531" i="75"/>
  <c r="C250" i="119"/>
  <c r="C239" i="119"/>
  <c r="C221" i="119"/>
  <c r="E10" i="65"/>
  <c r="C25" i="87"/>
  <c r="M201" i="62"/>
  <c r="C40" i="95"/>
  <c r="C68" i="108"/>
  <c r="C340" i="108"/>
  <c r="C331" i="108"/>
  <c r="B354" i="108"/>
  <c r="B355" i="108"/>
  <c r="B345" i="108"/>
  <c r="B352" i="108"/>
  <c r="B350" i="108"/>
  <c r="B360" i="108"/>
  <c r="B349" i="108"/>
  <c r="B359" i="108"/>
  <c r="B348" i="108"/>
  <c r="B358" i="108"/>
  <c r="B347" i="108"/>
  <c r="C464" i="75"/>
  <c r="C410" i="75"/>
  <c r="C461" i="75"/>
  <c r="C413" i="75"/>
  <c r="C107" i="118"/>
  <c r="C235" i="118"/>
  <c r="C246" i="118"/>
  <c r="C38" i="116"/>
  <c r="C125" i="116"/>
  <c r="C518" i="109"/>
  <c r="C543" i="109"/>
  <c r="C347" i="109"/>
  <c r="C459" i="109"/>
  <c r="C436" i="109"/>
  <c r="C418" i="109"/>
  <c r="C387" i="109"/>
  <c r="J74" i="54"/>
  <c r="H74" i="54"/>
  <c r="C482" i="108"/>
  <c r="C474" i="108"/>
  <c r="C154" i="120" a="1"/>
  <c r="C154" i="120" s="1"/>
  <c r="C162" i="120" a="1"/>
  <c r="C162" i="120" s="1"/>
  <c r="C135" i="120" a="1"/>
  <c r="C135" i="120" s="1"/>
  <c r="C196" i="120" a="1"/>
  <c r="C196" i="120" s="1"/>
  <c r="C123" i="120" a="1"/>
  <c r="C123" i="120" s="1"/>
  <c r="C203" i="120" a="1"/>
  <c r="C203" i="120" s="1"/>
  <c r="C141" i="120" a="1"/>
  <c r="C141" i="120" s="1"/>
  <c r="C183" i="120" a="1"/>
  <c r="C183" i="120" s="1"/>
  <c r="C129" i="120" a="1"/>
  <c r="C129" i="120" s="1"/>
  <c r="C177" i="120" a="1"/>
  <c r="C177" i="120" s="1"/>
  <c r="C132" i="116"/>
  <c r="C45" i="116"/>
  <c r="G74" i="54"/>
  <c r="C19" i="119"/>
  <c r="C112" i="116"/>
  <c r="C53" i="113"/>
  <c r="C130" i="113"/>
  <c r="C11" i="113"/>
  <c r="C377" i="120"/>
  <c r="C407" i="109"/>
  <c r="C429" i="108"/>
  <c r="C108" i="108"/>
  <c r="C390" i="109"/>
  <c r="C134" i="108"/>
  <c r="C446" i="108"/>
  <c r="C412" i="108"/>
  <c r="C151" i="113"/>
  <c r="C47" i="113"/>
  <c r="B346" i="108"/>
  <c r="I74" i="54"/>
  <c r="C378" i="108"/>
  <c r="C509" i="108"/>
  <c r="C490" i="108"/>
  <c r="C380" i="108"/>
  <c r="C54" i="113"/>
  <c r="C12" i="113"/>
  <c r="C107" i="108"/>
  <c r="K281" i="62"/>
  <c r="C133" i="108"/>
  <c r="C236" i="75"/>
  <c r="C160" i="75"/>
  <c r="C265" i="120"/>
  <c r="K280" i="62"/>
  <c r="C447" i="108"/>
  <c r="B351" i="108"/>
  <c r="C430" i="108"/>
  <c r="C292" i="65"/>
  <c r="C287" i="65"/>
  <c r="C277" i="65"/>
  <c r="C272" i="65"/>
  <c r="C282" i="65"/>
  <c r="B315" i="109"/>
  <c r="B305" i="109"/>
  <c r="B311" i="109"/>
  <c r="B309" i="109"/>
  <c r="B314" i="109"/>
  <c r="B312" i="109"/>
  <c r="B310" i="109"/>
  <c r="B308" i="109"/>
  <c r="B307" i="109"/>
  <c r="B306" i="109"/>
  <c r="B318" i="109"/>
  <c r="B304" i="109"/>
  <c r="C118" i="85"/>
  <c r="C18" i="119"/>
  <c r="C374" i="120"/>
  <c r="C237" i="120"/>
  <c r="C336" i="65"/>
  <c r="C324" i="118"/>
  <c r="M16" i="106"/>
  <c r="C42" i="113"/>
  <c r="C146" i="113"/>
  <c r="C92" i="118"/>
  <c r="C281" i="115"/>
  <c r="C336" i="115" s="1"/>
  <c r="B46" i="115"/>
  <c r="D127" i="115"/>
  <c r="D334" i="115"/>
  <c r="E130" i="115"/>
  <c r="J341" i="62"/>
  <c r="J331" i="62"/>
  <c r="J339" i="62"/>
  <c r="J330" i="62"/>
  <c r="J337" i="62"/>
  <c r="J336" i="62"/>
  <c r="J345" i="62"/>
  <c r="J335" i="62"/>
  <c r="J344" i="62"/>
  <c r="J334" i="62"/>
  <c r="B356" i="108"/>
  <c r="C111" i="120"/>
  <c r="C527" i="108"/>
  <c r="C504" i="108"/>
  <c r="C521" i="108"/>
  <c r="C497" i="108"/>
  <c r="C480" i="108"/>
  <c r="C478" i="108"/>
  <c r="C502" i="108" a="1"/>
  <c r="C502" i="108" s="1"/>
  <c r="C476" i="108"/>
  <c r="C485" i="108"/>
  <c r="C500" i="108"/>
  <c r="E404" i="115"/>
  <c r="E403" i="115"/>
  <c r="U39" i="87"/>
  <c r="U54" i="87"/>
  <c r="B317" i="109"/>
  <c r="C121" i="116"/>
  <c r="C425" i="109"/>
  <c r="C516" i="109"/>
  <c r="C127" i="116"/>
  <c r="C40" i="116"/>
  <c r="C373" i="109"/>
  <c r="C393" i="109"/>
  <c r="C58" i="85"/>
  <c r="C47" i="86"/>
  <c r="C125" i="86"/>
  <c r="C396" i="109"/>
  <c r="C379" i="109"/>
  <c r="C362" i="109"/>
  <c r="C435" i="108"/>
  <c r="C339" i="108"/>
  <c r="C401" i="108"/>
  <c r="C25" i="113"/>
  <c r="C141" i="108"/>
  <c r="C385" i="75"/>
  <c r="C439" i="75"/>
  <c r="C436" i="75"/>
  <c r="C388" i="75"/>
  <c r="C164" i="118"/>
  <c r="C566" i="108"/>
  <c r="C554" i="108"/>
  <c r="C548" i="108"/>
  <c r="C574" i="108"/>
  <c r="C524" i="108"/>
  <c r="C533" i="108"/>
  <c r="C542" i="108"/>
  <c r="C82" i="118"/>
  <c r="C115" i="86"/>
  <c r="C142" i="86"/>
  <c r="J78" i="54"/>
  <c r="G78" i="54"/>
  <c r="H78" i="54"/>
  <c r="C134" i="86"/>
  <c r="C126" i="86"/>
  <c r="C97" i="86"/>
  <c r="C107" i="85"/>
  <c r="C139" i="85"/>
  <c r="C12" i="119"/>
  <c r="C10" i="119"/>
  <c r="C369" i="120"/>
  <c r="C397" i="109"/>
  <c r="C380" i="109"/>
  <c r="C363" i="109"/>
  <c r="C366" i="120"/>
  <c r="C436" i="108"/>
  <c r="F167" i="87"/>
  <c r="C361" i="108"/>
  <c r="C402" i="108"/>
  <c r="C419" i="108"/>
  <c r="J332" i="62"/>
  <c r="C26" i="113"/>
  <c r="C146" i="108"/>
  <c r="C143" i="113"/>
  <c r="C39" i="113"/>
  <c r="C562" i="108"/>
  <c r="C218" i="63"/>
  <c r="C293" i="109"/>
  <c r="C336" i="108"/>
  <c r="B357" i="108"/>
  <c r="C418" i="108"/>
  <c r="C471" i="108"/>
  <c r="C513" i="108"/>
  <c r="C536" i="108"/>
  <c r="C440" i="75"/>
  <c r="C389" i="75"/>
  <c r="E15" i="109"/>
  <c r="AA107" i="63"/>
  <c r="AA104" i="63"/>
  <c r="E13" i="109"/>
  <c r="D17" i="65"/>
  <c r="E12" i="109"/>
  <c r="D16" i="65"/>
  <c r="E292" i="65" s="1"/>
  <c r="E11" i="109"/>
  <c r="E14" i="109"/>
  <c r="D18" i="65"/>
  <c r="C17" i="116"/>
  <c r="C117" i="109"/>
  <c r="I78" i="54"/>
  <c r="C115" i="85"/>
  <c r="C105" i="86"/>
  <c r="K275" i="62"/>
  <c r="J333" i="62"/>
  <c r="C126" i="108"/>
  <c r="C139" i="113"/>
  <c r="C462" i="108"/>
  <c r="C456" i="108"/>
  <c r="C142" i="118"/>
  <c r="C152" i="118"/>
  <c r="C336" i="118"/>
  <c r="J338" i="62"/>
  <c r="C56" i="112"/>
  <c r="H61" i="112"/>
  <c r="C52" i="112"/>
  <c r="F44" i="112"/>
  <c r="F61" i="112"/>
  <c r="C50" i="112"/>
  <c r="G43" i="112"/>
  <c r="G61" i="112"/>
  <c r="C36" i="112"/>
  <c r="H44" i="112"/>
  <c r="G42" i="112"/>
  <c r="E25" i="116"/>
  <c r="D61" i="112"/>
  <c r="C61" i="112"/>
  <c r="H43" i="112"/>
  <c r="C54" i="112"/>
  <c r="E43" i="112"/>
  <c r="G36" i="112"/>
  <c r="E26" i="113"/>
  <c r="C53" i="112"/>
  <c r="H42" i="112"/>
  <c r="H40" i="112"/>
  <c r="F36" i="112"/>
  <c r="E26" i="116"/>
  <c r="E42" i="112"/>
  <c r="D36" i="112"/>
  <c r="E327" i="117"/>
  <c r="E544" i="120"/>
  <c r="E61" i="112"/>
  <c r="D42" i="112"/>
  <c r="C55" i="112"/>
  <c r="C42" i="112"/>
  <c r="E25" i="113"/>
  <c r="C51" i="112"/>
  <c r="E44" i="112"/>
  <c r="E420" i="117"/>
  <c r="E552" i="120"/>
  <c r="E606" i="117"/>
  <c r="E513" i="117"/>
  <c r="E48" i="117"/>
  <c r="E560" i="120"/>
  <c r="E520" i="120"/>
  <c r="E234" i="117"/>
  <c r="E528" i="120"/>
  <c r="G44" i="112"/>
  <c r="F43" i="112"/>
  <c r="E36" i="112"/>
  <c r="E141" i="117"/>
  <c r="E324" i="109"/>
  <c r="E359" i="65"/>
  <c r="E113" i="65"/>
  <c r="E536" i="120"/>
  <c r="F42" i="112"/>
  <c r="E62" i="115"/>
  <c r="E217" i="109"/>
  <c r="E105" i="65"/>
  <c r="H36" i="112"/>
  <c r="E512" i="120"/>
  <c r="E306" i="108"/>
  <c r="M292" i="62"/>
  <c r="E78" i="115"/>
  <c r="E258" i="109"/>
  <c r="E225" i="109"/>
  <c r="E272" i="108"/>
  <c r="E70" i="115"/>
  <c r="C541" i="108"/>
  <c r="C575" i="108"/>
  <c r="C553" i="108"/>
  <c r="C535" i="108"/>
  <c r="C525" i="108"/>
  <c r="C556" i="108"/>
  <c r="E264" i="108"/>
  <c r="C98" i="113"/>
  <c r="C373" i="108"/>
  <c r="C330" i="108"/>
  <c r="C486" i="108"/>
  <c r="C537" i="108"/>
  <c r="C105" i="118"/>
  <c r="D222" i="65"/>
  <c r="D213" i="65"/>
  <c r="D228" i="65"/>
  <c r="D218" i="65"/>
  <c r="D226" i="65"/>
  <c r="D216" i="65"/>
  <c r="D225" i="65"/>
  <c r="D223" i="65"/>
  <c r="D220" i="65"/>
  <c r="D219" i="65"/>
  <c r="D217" i="65"/>
  <c r="D215" i="65"/>
  <c r="C171" i="120"/>
  <c r="C165" i="120"/>
  <c r="J340" i="62"/>
  <c r="C100" i="108"/>
  <c r="C321" i="108"/>
  <c r="C426" i="108"/>
  <c r="C572" i="108" a="1"/>
  <c r="C572" i="108" s="1"/>
  <c r="C29" i="116"/>
  <c r="C100" i="116"/>
  <c r="C341" i="109"/>
  <c r="J342" i="62"/>
  <c r="C487" i="108"/>
  <c r="C529" i="108"/>
  <c r="C538" i="108"/>
  <c r="D221" i="65"/>
  <c r="C298" i="109"/>
  <c r="D156" i="115"/>
  <c r="D146" i="115"/>
  <c r="D152" i="115"/>
  <c r="D142" i="115"/>
  <c r="D150" i="115"/>
  <c r="D141" i="115"/>
  <c r="D153" i="115"/>
  <c r="D151" i="115"/>
  <c r="D149" i="115"/>
  <c r="D148" i="115"/>
  <c r="D147" i="115"/>
  <c r="D145" i="115"/>
  <c r="D144" i="115"/>
  <c r="D143" i="115"/>
  <c r="D154" i="115"/>
  <c r="C85" i="115"/>
  <c r="C326" i="115"/>
  <c r="AD28" i="87"/>
  <c r="E142" i="112"/>
  <c r="I61" i="87"/>
  <c r="I331" i="87" s="1"/>
  <c r="H135" i="112"/>
  <c r="D13" i="116"/>
  <c r="D54" i="116"/>
  <c r="H19" i="112"/>
  <c r="D28" i="113"/>
  <c r="G11" i="112"/>
  <c r="D11" i="113"/>
  <c r="D112" i="116"/>
  <c r="D53" i="113"/>
  <c r="D130" i="113"/>
  <c r="D407" i="109"/>
  <c r="D390" i="109"/>
  <c r="D373" i="109"/>
  <c r="D377" i="120"/>
  <c r="G136" i="112"/>
  <c r="D168" i="85"/>
  <c r="D282" i="120"/>
  <c r="AD42" i="63"/>
  <c r="D328" i="75" a="1"/>
  <c r="D328" i="75" s="1"/>
  <c r="D251" i="75" a="1"/>
  <c r="D251" i="75" s="1"/>
  <c r="D347" i="75" a="1"/>
  <c r="D347" i="75" s="1"/>
  <c r="D268" i="75" a="1"/>
  <c r="D268" i="75" s="1"/>
  <c r="C136" i="112"/>
  <c r="D190" i="85"/>
  <c r="D189" i="85"/>
  <c r="D165" i="85"/>
  <c r="D164" i="85"/>
  <c r="D192" i="85"/>
  <c r="I379" i="87"/>
  <c r="C161" i="112" s="1"/>
  <c r="D234" i="120"/>
  <c r="C138" i="112"/>
  <c r="I381" i="87"/>
  <c r="C163" i="112" s="1"/>
  <c r="C141" i="112"/>
  <c r="I384" i="87"/>
  <c r="C166" i="112" s="1" a="1"/>
  <c r="C166" i="112" s="1"/>
  <c r="D125" i="116"/>
  <c r="D38" i="116"/>
  <c r="D543" i="109"/>
  <c r="D518" i="109"/>
  <c r="E45" i="112"/>
  <c r="E20" i="112"/>
  <c r="D136" i="113"/>
  <c r="F315" i="87"/>
  <c r="F48" i="87"/>
  <c r="I76" i="54"/>
  <c r="K133" i="62"/>
  <c r="K143" i="62"/>
  <c r="L284" i="62"/>
  <c r="AA102" i="63"/>
  <c r="AA101" i="63"/>
  <c r="C427" i="115"/>
  <c r="AA100" i="63"/>
  <c r="AA103" i="63"/>
  <c r="C174" i="108"/>
  <c r="C181" i="108"/>
  <c r="C285" i="108"/>
  <c r="C322" i="108"/>
  <c r="C438" i="108"/>
  <c r="C168" i="85"/>
  <c r="C282" i="120"/>
  <c r="C342" i="65"/>
  <c r="C132" i="65"/>
  <c r="C52" i="116"/>
  <c r="C239" i="120"/>
  <c r="H160" i="112"/>
  <c r="F160" i="112"/>
  <c r="E160" i="112"/>
  <c r="C160" i="112"/>
  <c r="G160" i="112"/>
  <c r="D160" i="112"/>
  <c r="C468" i="109"/>
  <c r="C128" i="116"/>
  <c r="C41" i="116"/>
  <c r="C133" i="116"/>
  <c r="C46" i="116"/>
  <c r="C240" i="109"/>
  <c r="C382" i="109"/>
  <c r="C409" i="109"/>
  <c r="C89" i="115"/>
  <c r="C375" i="115"/>
  <c r="E17" i="112"/>
  <c r="D17" i="113"/>
  <c r="F45" i="87"/>
  <c r="F17" i="112" s="1" a="1"/>
  <c r="F17" i="112" s="1"/>
  <c r="F312" i="87"/>
  <c r="E144" i="112"/>
  <c r="D118" i="116"/>
  <c r="I63" i="87"/>
  <c r="I48" i="87"/>
  <c r="X54" i="87"/>
  <c r="F60" i="87"/>
  <c r="F326" i="87" s="1"/>
  <c r="D18" i="113"/>
  <c r="H17" i="112"/>
  <c r="H142" i="112"/>
  <c r="D23" i="116"/>
  <c r="D527" i="109"/>
  <c r="G18" i="112"/>
  <c r="D21" i="113"/>
  <c r="G143" i="112"/>
  <c r="D26" i="116"/>
  <c r="D89" i="109"/>
  <c r="G140" i="112"/>
  <c r="D334" i="120"/>
  <c r="D347" i="120"/>
  <c r="D337" i="120"/>
  <c r="D350" i="120"/>
  <c r="D353" i="120"/>
  <c r="D331" i="120"/>
  <c r="D344" i="120"/>
  <c r="D284" i="120"/>
  <c r="D340" i="120"/>
  <c r="I349" i="87"/>
  <c r="G165" i="112" s="1"/>
  <c r="D31" i="113"/>
  <c r="C26" i="112"/>
  <c r="D119" i="113"/>
  <c r="C151" i="112"/>
  <c r="D31" i="116"/>
  <c r="C176" i="112"/>
  <c r="D102" i="116"/>
  <c r="D548" i="109"/>
  <c r="D542" i="109"/>
  <c r="C18" i="112"/>
  <c r="F379" i="87"/>
  <c r="I347" i="87"/>
  <c r="G168" i="112" s="1"/>
  <c r="C57" i="85"/>
  <c r="C124" i="86"/>
  <c r="C138" i="85"/>
  <c r="C45" i="85"/>
  <c r="C94" i="86"/>
  <c r="C104" i="85"/>
  <c r="C133" i="86"/>
  <c r="C50" i="85"/>
  <c r="C46" i="86"/>
  <c r="C360" i="120"/>
  <c r="C148" i="75"/>
  <c r="C70" i="85"/>
  <c r="C97" i="120"/>
  <c r="C151" i="75"/>
  <c r="C452" i="108"/>
  <c r="C365" i="120"/>
  <c r="C40" i="113"/>
  <c r="C144" i="113"/>
  <c r="C338" i="108"/>
  <c r="C468" i="108"/>
  <c r="C462" i="75"/>
  <c r="C411" i="75"/>
  <c r="C106" i="118"/>
  <c r="C437" i="75"/>
  <c r="C386" i="75"/>
  <c r="C139" i="118"/>
  <c r="C173" i="85"/>
  <c r="C161" i="85"/>
  <c r="C197" i="85"/>
  <c r="C63" i="85"/>
  <c r="C183" i="85"/>
  <c r="C123" i="85"/>
  <c r="C241" i="119"/>
  <c r="C182" i="119"/>
  <c r="C154" i="85"/>
  <c r="C129" i="85"/>
  <c r="C402" i="120"/>
  <c r="C392" i="120"/>
  <c r="C223" i="120"/>
  <c r="C170" i="119"/>
  <c r="C257" i="120"/>
  <c r="C413" i="120"/>
  <c r="C61" i="119"/>
  <c r="C264" i="120"/>
  <c r="C289" i="120"/>
  <c r="C395" i="120"/>
  <c r="C163" i="85"/>
  <c r="C228" i="120"/>
  <c r="C412" i="120"/>
  <c r="C275" i="120"/>
  <c r="C254" i="120"/>
  <c r="C126" i="85"/>
  <c r="C490" i="109"/>
  <c r="C337" i="109"/>
  <c r="C494" i="109"/>
  <c r="C465" i="109"/>
  <c r="D367" i="65"/>
  <c r="C127" i="85"/>
  <c r="C71" i="85"/>
  <c r="C51" i="85"/>
  <c r="C117" i="85"/>
  <c r="C124" i="85"/>
  <c r="C171" i="85"/>
  <c r="C241" i="120"/>
  <c r="C9" i="119"/>
  <c r="C627" i="117"/>
  <c r="C614" i="117"/>
  <c r="C532" i="117"/>
  <c r="C519" i="117"/>
  <c r="C438" i="117"/>
  <c r="C343" i="117"/>
  <c r="C249" i="117"/>
  <c r="C161" i="117"/>
  <c r="C149" i="117"/>
  <c r="C61" i="117"/>
  <c r="C240" i="120"/>
  <c r="C626" i="117"/>
  <c r="C613" i="117"/>
  <c r="C531" i="117"/>
  <c r="C436" i="117"/>
  <c r="C339" i="117"/>
  <c r="C248" i="117"/>
  <c r="C160" i="117"/>
  <c r="C148" i="117"/>
  <c r="C60" i="117"/>
  <c r="C379" i="120"/>
  <c r="C625" i="117"/>
  <c r="C612" i="117"/>
  <c r="C530" i="117"/>
  <c r="C435" i="117"/>
  <c r="C338" i="117"/>
  <c r="C336" i="117"/>
  <c r="C55" i="117"/>
  <c r="C8" i="63"/>
  <c r="C361" i="115"/>
  <c r="C331" i="115"/>
  <c r="C321" i="115"/>
  <c r="C92" i="115"/>
  <c r="C247" i="109"/>
  <c r="C237" i="109"/>
  <c r="C127" i="65"/>
  <c r="C335" i="117"/>
  <c r="C54" i="117"/>
  <c r="C529" i="117"/>
  <c r="C334" i="117"/>
  <c r="C260" i="120"/>
  <c r="C238" i="120"/>
  <c r="C526" i="117"/>
  <c r="C255" i="117"/>
  <c r="C279" i="120"/>
  <c r="C525" i="117"/>
  <c r="C247" i="117"/>
  <c r="C159" i="117"/>
  <c r="C68" i="117"/>
  <c r="C378" i="120"/>
  <c r="C327" i="115"/>
  <c r="C317" i="115"/>
  <c r="C98" i="115"/>
  <c r="C88" i="115"/>
  <c r="C243" i="109"/>
  <c r="C233" i="109"/>
  <c r="C346" i="120" s="1"/>
  <c r="P46" i="123"/>
  <c r="C133" i="65"/>
  <c r="C123" i="65"/>
  <c r="C43" i="65"/>
  <c r="C624" i="117"/>
  <c r="C523" i="117"/>
  <c r="C246" i="117"/>
  <c r="C158" i="117"/>
  <c r="C67" i="117"/>
  <c r="C623" i="117"/>
  <c r="C432" i="117"/>
  <c r="C245" i="117"/>
  <c r="C155" i="117"/>
  <c r="C66" i="117"/>
  <c r="C325" i="115"/>
  <c r="C96" i="115"/>
  <c r="C86" i="115"/>
  <c r="C241" i="109"/>
  <c r="P49" i="123"/>
  <c r="P29" i="123"/>
  <c r="C131" i="65"/>
  <c r="C121" i="65"/>
  <c r="C41" i="65"/>
  <c r="C234" i="118"/>
  <c r="C619" i="117"/>
  <c r="C431" i="117"/>
  <c r="C348" i="117"/>
  <c r="C244" i="117"/>
  <c r="C154" i="117"/>
  <c r="C58" i="117"/>
  <c r="C618" i="117"/>
  <c r="C430" i="117"/>
  <c r="C347" i="117"/>
  <c r="C242" i="117"/>
  <c r="C153" i="117"/>
  <c r="C57" i="117"/>
  <c r="C429" i="117"/>
  <c r="C337" i="117"/>
  <c r="C147" i="117"/>
  <c r="C56" i="117"/>
  <c r="C121" i="109"/>
  <c r="C22" i="116"/>
  <c r="C124" i="109"/>
  <c r="C242" i="109"/>
  <c r="C435" i="109"/>
  <c r="C441" i="109"/>
  <c r="C453" i="109"/>
  <c r="C547" i="109"/>
  <c r="C90" i="115"/>
  <c r="C330" i="115"/>
  <c r="C649" i="117"/>
  <c r="C594" i="117"/>
  <c r="C184" i="117"/>
  <c r="C129" i="117"/>
  <c r="C516" i="120"/>
  <c r="C463" i="117"/>
  <c r="C370" i="117"/>
  <c r="C222" i="117"/>
  <c r="C556" i="117"/>
  <c r="C501" i="117"/>
  <c r="C102" i="117"/>
  <c r="C548" i="120"/>
  <c r="C508" i="120"/>
  <c r="C323" i="117"/>
  <c r="C44" i="117"/>
  <c r="C381" i="117"/>
  <c r="C556" i="120"/>
  <c r="C416" i="117"/>
  <c r="C230" i="117"/>
  <c r="AH9" i="87"/>
  <c r="O263" i="87" s="1"/>
  <c r="C602" i="117"/>
  <c r="C567" i="117"/>
  <c r="C195" i="117"/>
  <c r="C408" i="117"/>
  <c r="C288" i="117"/>
  <c r="C137" i="117"/>
  <c r="C9" i="117"/>
  <c r="C315" i="117"/>
  <c r="C277" i="117"/>
  <c r="C91" i="117"/>
  <c r="C36" i="117"/>
  <c r="C532" i="120"/>
  <c r="C509" i="117"/>
  <c r="C474" i="117"/>
  <c r="C540" i="120"/>
  <c r="C524" i="120"/>
  <c r="AA54" i="87"/>
  <c r="G162" i="112"/>
  <c r="D70" i="116"/>
  <c r="C432" i="108"/>
  <c r="C168" i="86"/>
  <c r="C212" i="85"/>
  <c r="C35" i="86"/>
  <c r="C127" i="86" s="1"/>
  <c r="C40" i="120"/>
  <c r="C152" i="75"/>
  <c r="C509" i="75"/>
  <c r="C520" i="75"/>
  <c r="C14" i="119"/>
  <c r="C366" i="109"/>
  <c r="C439" i="108"/>
  <c r="C206" i="120"/>
  <c r="C211" i="120"/>
  <c r="E33" i="108"/>
  <c r="E75" i="108"/>
  <c r="C41" i="113"/>
  <c r="C145" i="113"/>
  <c r="C118" i="113"/>
  <c r="C30" i="113"/>
  <c r="C381" i="108"/>
  <c r="D439" i="108"/>
  <c r="C463" i="75"/>
  <c r="C412" i="75"/>
  <c r="C438" i="75"/>
  <c r="C387" i="75"/>
  <c r="C10" i="116"/>
  <c r="K262" i="87"/>
  <c r="M254" i="87"/>
  <c r="C12" i="116"/>
  <c r="C11" i="116"/>
  <c r="O264" i="87"/>
  <c r="M255" i="87"/>
  <c r="K263" i="87"/>
  <c r="M260" i="87"/>
  <c r="M258" i="87"/>
  <c r="K260" i="87"/>
  <c r="O262" i="87"/>
  <c r="M257" i="87"/>
  <c r="C348" i="65"/>
  <c r="C76" i="109" s="1"/>
  <c r="O261" i="87"/>
  <c r="M259" i="87"/>
  <c r="K265" i="87"/>
  <c r="K261" i="87"/>
  <c r="K259" i="87" a="1"/>
  <c r="K259" i="87" s="1"/>
  <c r="M256" i="87"/>
  <c r="C386" i="65"/>
  <c r="C388" i="65"/>
  <c r="C394" i="65"/>
  <c r="C384" i="65"/>
  <c r="C120" i="65"/>
  <c r="C135" i="65"/>
  <c r="C290" i="120"/>
  <c r="C357" i="117"/>
  <c r="C264" i="117"/>
  <c r="C78" i="119"/>
  <c r="C97" i="119" s="1"/>
  <c r="C636" i="117"/>
  <c r="C450" i="117"/>
  <c r="C232" i="120"/>
  <c r="C229" i="120"/>
  <c r="C276" i="120"/>
  <c r="C319" i="109"/>
  <c r="C543" i="117"/>
  <c r="C171" i="117"/>
  <c r="C385" i="65"/>
  <c r="C389" i="65"/>
  <c r="P20" i="123"/>
  <c r="P30" i="123"/>
  <c r="C34" i="116"/>
  <c r="C128" i="109"/>
  <c r="C50" i="109"/>
  <c r="C77" i="109"/>
  <c r="C109" i="109"/>
  <c r="D121" i="109"/>
  <c r="C244" i="109"/>
  <c r="C359" i="115"/>
  <c r="C330" i="109"/>
  <c r="C285" i="109"/>
  <c r="C296" i="109"/>
  <c r="D347" i="109"/>
  <c r="C375" i="109"/>
  <c r="C383" i="109"/>
  <c r="C410" i="109"/>
  <c r="C443" i="109"/>
  <c r="C460" i="109"/>
  <c r="C529" i="109"/>
  <c r="C535" i="109"/>
  <c r="C541" i="109"/>
  <c r="C548" i="109"/>
  <c r="C91" i="115"/>
  <c r="C318" i="115"/>
  <c r="C332" i="115"/>
  <c r="B398" i="115"/>
  <c r="B388" i="115"/>
  <c r="B394" i="115"/>
  <c r="B402" i="115"/>
  <c r="B392" i="115"/>
  <c r="B401" i="115"/>
  <c r="E14" i="112"/>
  <c r="F56" i="87"/>
  <c r="F141" i="112"/>
  <c r="I315" i="87"/>
  <c r="I46" i="87"/>
  <c r="I49" i="87"/>
  <c r="F140" i="112" s="1"/>
  <c r="I57" i="87"/>
  <c r="C13" i="112"/>
  <c r="F374" i="87"/>
  <c r="C38" i="112" s="1"/>
  <c r="D41" i="113"/>
  <c r="D145" i="113"/>
  <c r="D42" i="116"/>
  <c r="D129" i="116"/>
  <c r="E210" i="112"/>
  <c r="I268" i="87"/>
  <c r="D37" i="112"/>
  <c r="AE8" i="63"/>
  <c r="E58" i="108"/>
  <c r="C106" i="108"/>
  <c r="D134" i="108"/>
  <c r="D177" i="108"/>
  <c r="C288" i="108"/>
  <c r="C371" i="108"/>
  <c r="C390" i="108"/>
  <c r="C469" i="108"/>
  <c r="C568" i="108"/>
  <c r="C104" i="118"/>
  <c r="C122" i="65"/>
  <c r="B382" i="65"/>
  <c r="K75" i="123"/>
  <c r="C51" i="109"/>
  <c r="C69" i="109"/>
  <c r="C245" i="109"/>
  <c r="C352" i="120" s="1"/>
  <c r="C64" i="85"/>
  <c r="C185" i="85"/>
  <c r="C143" i="119"/>
  <c r="C175" i="119" s="1"/>
  <c r="D383" i="109"/>
  <c r="C433" i="109"/>
  <c r="C507" i="109"/>
  <c r="C93" i="115"/>
  <c r="C319" i="115"/>
  <c r="B389" i="115"/>
  <c r="D27" i="113"/>
  <c r="E19" i="112"/>
  <c r="F314" i="87"/>
  <c r="F47" i="87"/>
  <c r="F19" i="112" s="1"/>
  <c r="I42" i="87"/>
  <c r="F139" i="112" s="1"/>
  <c r="O32" i="87"/>
  <c r="G139" i="112"/>
  <c r="D366" i="65"/>
  <c r="F53" i="87"/>
  <c r="C376" i="109"/>
  <c r="D135" i="112"/>
  <c r="D10" i="116"/>
  <c r="D51" i="116"/>
  <c r="D12" i="112"/>
  <c r="AD8" i="63"/>
  <c r="E12" i="112"/>
  <c r="D54" i="113"/>
  <c r="D12" i="113"/>
  <c r="D113" i="116"/>
  <c r="D131" i="113"/>
  <c r="AD17" i="63"/>
  <c r="D382" i="120"/>
  <c r="F54" i="87"/>
  <c r="D104" i="86" s="1"/>
  <c r="C187" i="112"/>
  <c r="D336" i="120"/>
  <c r="C192" i="112"/>
  <c r="I225" i="87"/>
  <c r="D192" i="112" s="1"/>
  <c r="I230" i="87"/>
  <c r="D197" i="112" s="1"/>
  <c r="C197" i="112"/>
  <c r="M18" i="106"/>
  <c r="C106" i="86"/>
  <c r="C116" i="85"/>
  <c r="C169" i="85"/>
  <c r="C137" i="119"/>
  <c r="C112" i="75"/>
  <c r="C380" i="120"/>
  <c r="C22" i="119"/>
  <c r="C244" i="118"/>
  <c r="C90" i="118"/>
  <c r="C242" i="120"/>
  <c r="K70" i="62"/>
  <c r="C98" i="86"/>
  <c r="C108" i="85"/>
  <c r="C13" i="119"/>
  <c r="C370" i="120"/>
  <c r="C404" i="108"/>
  <c r="K128" i="62"/>
  <c r="K138" i="62"/>
  <c r="C167" i="85"/>
  <c r="C104" i="86"/>
  <c r="C114" i="85"/>
  <c r="C131" i="113"/>
  <c r="C382" i="120"/>
  <c r="C113" i="116"/>
  <c r="C130" i="108"/>
  <c r="C185" i="108"/>
  <c r="C280" i="108"/>
  <c r="C290" i="108"/>
  <c r="C334" i="108"/>
  <c r="C405" i="108"/>
  <c r="C448" i="108"/>
  <c r="C29" i="65"/>
  <c r="C125" i="65"/>
  <c r="C175" i="65"/>
  <c r="D162" i="120"/>
  <c r="D135" i="120"/>
  <c r="D196" i="120"/>
  <c r="D123" i="120"/>
  <c r="D141" i="120"/>
  <c r="D111" i="120"/>
  <c r="D183" i="120"/>
  <c r="D129" i="120"/>
  <c r="D177" i="120"/>
  <c r="D154" i="120"/>
  <c r="D203" i="120"/>
  <c r="C234" i="109"/>
  <c r="C349" i="120" s="1"/>
  <c r="C277" i="109"/>
  <c r="C340" i="109"/>
  <c r="C404" i="109"/>
  <c r="C424" i="109"/>
  <c r="E223" i="115"/>
  <c r="D130" i="115"/>
  <c r="C95" i="115"/>
  <c r="E220" i="115"/>
  <c r="C322" i="115"/>
  <c r="AD29" i="63"/>
  <c r="D136" i="112"/>
  <c r="D137" i="112"/>
  <c r="D351" i="65"/>
  <c r="D17" i="112"/>
  <c r="D15" i="113"/>
  <c r="D535" i="108"/>
  <c r="D20" i="113"/>
  <c r="D18" i="112"/>
  <c r="D556" i="108"/>
  <c r="D25" i="113"/>
  <c r="D19" i="112"/>
  <c r="D45" i="112"/>
  <c r="D134" i="113"/>
  <c r="D20" i="112"/>
  <c r="E135" i="112"/>
  <c r="D12" i="116"/>
  <c r="I38" i="87"/>
  <c r="F135" i="112" s="1"/>
  <c r="E136" i="112"/>
  <c r="D53" i="116"/>
  <c r="D244" i="120"/>
  <c r="AD37" i="63"/>
  <c r="D281" i="120"/>
  <c r="I25" i="87"/>
  <c r="U26" i="87"/>
  <c r="R31" i="87"/>
  <c r="U32" i="87"/>
  <c r="F63" i="87"/>
  <c r="I317" i="87"/>
  <c r="F168" i="112" s="1"/>
  <c r="C156" i="119"/>
  <c r="C193" i="119"/>
  <c r="C371" i="115"/>
  <c r="C415" i="115" s="1"/>
  <c r="C382" i="115"/>
  <c r="D135" i="86"/>
  <c r="D128" i="86"/>
  <c r="D96" i="86" a="1"/>
  <c r="D96" i="86" s="1"/>
  <c r="F38" i="87"/>
  <c r="F11" i="112" s="1" a="1"/>
  <c r="F11" i="112" s="1"/>
  <c r="H12" i="112"/>
  <c r="AD25" i="63"/>
  <c r="D179" i="85"/>
  <c r="H137" i="112"/>
  <c r="H138" i="112"/>
  <c r="D361" i="65"/>
  <c r="B122" i="116"/>
  <c r="F37" i="63"/>
  <c r="D436" i="109" s="1"/>
  <c r="AA94" i="63"/>
  <c r="AA95" i="63"/>
  <c r="K130" i="62"/>
  <c r="K140" i="62"/>
  <c r="C129" i="113"/>
  <c r="C52" i="113"/>
  <c r="C111" i="116"/>
  <c r="C10" i="113"/>
  <c r="C109" i="85"/>
  <c r="C99" i="86"/>
  <c r="C371" i="120"/>
  <c r="K276" i="62"/>
  <c r="L293" i="62"/>
  <c r="C46" i="113"/>
  <c r="C150" i="113"/>
  <c r="C163" i="108"/>
  <c r="C282" i="108"/>
  <c r="C292" i="108"/>
  <c r="C329" i="108"/>
  <c r="C385" i="108"/>
  <c r="C120" i="113" s="1"/>
  <c r="C398" i="108"/>
  <c r="D422" i="108"/>
  <c r="C449" i="108"/>
  <c r="C559" i="108"/>
  <c r="C81" i="118"/>
  <c r="C141" i="118"/>
  <c r="C150" i="118"/>
  <c r="C42" i="65"/>
  <c r="C128" i="65"/>
  <c r="C177" i="65"/>
  <c r="C250" i="65"/>
  <c r="C383" i="65"/>
  <c r="C387" i="65"/>
  <c r="C125" i="109"/>
  <c r="C236" i="109"/>
  <c r="C291" i="109"/>
  <c r="C370" i="109"/>
  <c r="C519" i="109"/>
  <c r="C84" i="115"/>
  <c r="C99" i="115"/>
  <c r="E222" i="115"/>
  <c r="C324" i="115"/>
  <c r="B395" i="115"/>
  <c r="C423" i="115"/>
  <c r="C346" i="109"/>
  <c r="C102" i="116" s="1"/>
  <c r="T78" i="123"/>
  <c r="B75" i="123"/>
  <c r="C351" i="109"/>
  <c r="C105" i="116" s="1"/>
  <c r="H78" i="123"/>
  <c r="T75" i="123"/>
  <c r="B78" i="123"/>
  <c r="N75" i="123"/>
  <c r="F138" i="112"/>
  <c r="I26" i="87"/>
  <c r="AA32" i="87"/>
  <c r="I54" i="87"/>
  <c r="I332" i="87"/>
  <c r="D90" i="109"/>
  <c r="K264" i="87"/>
  <c r="D123" i="113"/>
  <c r="C30" i="112"/>
  <c r="D35" i="113"/>
  <c r="C155" i="112"/>
  <c r="D106" i="116"/>
  <c r="C180" i="112"/>
  <c r="D35" i="116"/>
  <c r="D70" i="113"/>
  <c r="D38" i="112"/>
  <c r="E37" i="112"/>
  <c r="F321" i="87"/>
  <c r="AE17" i="63"/>
  <c r="G163" i="112"/>
  <c r="D77" i="116"/>
  <c r="D78" i="116"/>
  <c r="H163" i="112"/>
  <c r="E120" i="112"/>
  <c r="D108" i="113"/>
  <c r="C93" i="112"/>
  <c r="B43" i="113"/>
  <c r="D142" i="75"/>
  <c r="D149" i="75"/>
  <c r="D129" i="86"/>
  <c r="D136" i="86"/>
  <c r="D146" i="85"/>
  <c r="D88" i="85"/>
  <c r="L173" i="63"/>
  <c r="L175" i="63"/>
  <c r="D320" i="108" s="1"/>
  <c r="D198" i="85"/>
  <c r="D184" i="85"/>
  <c r="D201" i="119"/>
  <c r="D169" i="119"/>
  <c r="D58" i="119"/>
  <c r="D211" i="119"/>
  <c r="D96" i="119"/>
  <c r="D69" i="119"/>
  <c r="D142" i="119"/>
  <c r="D50" i="119"/>
  <c r="D61" i="119"/>
  <c r="D162" i="119"/>
  <c r="D161" i="119"/>
  <c r="D113" i="119"/>
  <c r="D109" i="119"/>
  <c r="D105" i="119"/>
  <c r="D97" i="120"/>
  <c r="C107" i="119"/>
  <c r="C350" i="120"/>
  <c r="C334" i="120"/>
  <c r="C347" i="120"/>
  <c r="C337" i="120"/>
  <c r="C103" i="119"/>
  <c r="C318" i="120"/>
  <c r="C340" i="120"/>
  <c r="D52" i="75"/>
  <c r="D140" i="75"/>
  <c r="D168" i="75"/>
  <c r="C111" i="119"/>
  <c r="E118" i="112"/>
  <c r="H161" i="112"/>
  <c r="D22" i="116"/>
  <c r="E141" i="112"/>
  <c r="D17" i="116"/>
  <c r="F55" i="87"/>
  <c r="I60" i="87"/>
  <c r="I330" i="87" s="1"/>
  <c r="D132" i="113"/>
  <c r="D55" i="113"/>
  <c r="D13" i="113"/>
  <c r="H11" i="112"/>
  <c r="D115" i="85"/>
  <c r="G12" i="112"/>
  <c r="D105" i="86"/>
  <c r="G137" i="112"/>
  <c r="D178" i="85"/>
  <c r="D34" i="113"/>
  <c r="C29" i="112"/>
  <c r="D122" i="113"/>
  <c r="C154" i="112"/>
  <c r="D105" i="116"/>
  <c r="C179" i="112"/>
  <c r="D34" i="116"/>
  <c r="D45" i="113"/>
  <c r="D149" i="113"/>
  <c r="D162" i="112"/>
  <c r="D69" i="116"/>
  <c r="D72" i="113"/>
  <c r="E38" i="112"/>
  <c r="G38" i="112"/>
  <c r="D71" i="113"/>
  <c r="H38" i="112"/>
  <c r="D73" i="113"/>
  <c r="I364" i="87"/>
  <c r="H165" i="112" s="1"/>
  <c r="D109" i="113"/>
  <c r="E121" i="112"/>
  <c r="D114" i="113"/>
  <c r="E126" i="112"/>
  <c r="C206" i="112"/>
  <c r="D126" i="85"/>
  <c r="C209" i="112"/>
  <c r="B37" i="116"/>
  <c r="D488" i="75"/>
  <c r="D517" i="75"/>
  <c r="D518" i="75"/>
  <c r="C176" i="119"/>
  <c r="C376" i="75"/>
  <c r="C237" i="75"/>
  <c r="C174" i="119"/>
  <c r="C194" i="119"/>
  <c r="C172" i="119"/>
  <c r="C324" i="75"/>
  <c r="C241" i="75"/>
  <c r="C217" i="75"/>
  <c r="D60" i="75"/>
  <c r="D46" i="75"/>
  <c r="D92" i="75"/>
  <c r="D225" i="75"/>
  <c r="D226" i="75"/>
  <c r="D132" i="75"/>
  <c r="D516" i="75"/>
  <c r="D486" i="75"/>
  <c r="D159" i="75"/>
  <c r="D148" i="75"/>
  <c r="D235" i="75"/>
  <c r="D216" i="75"/>
  <c r="D504" i="75"/>
  <c r="D273" i="75"/>
  <c r="D147" i="75"/>
  <c r="D125" i="75"/>
  <c r="D313" i="75"/>
  <c r="D288" i="75"/>
  <c r="D298" i="75"/>
  <c r="D530" i="75"/>
  <c r="D154" i="75"/>
  <c r="D102" i="85"/>
  <c r="D76" i="85"/>
  <c r="D134" i="85"/>
  <c r="D110" i="85"/>
  <c r="D154" i="119"/>
  <c r="D52" i="119"/>
  <c r="D59" i="119" a="1"/>
  <c r="D59" i="119" s="1"/>
  <c r="C398" i="120"/>
  <c r="C375" i="120"/>
  <c r="C391" i="120"/>
  <c r="C224" i="120"/>
  <c r="D254" i="120"/>
  <c r="D365" i="120"/>
  <c r="D405" i="120"/>
  <c r="D234" i="75"/>
  <c r="D262" i="75"/>
  <c r="D351" i="75"/>
  <c r="D67" i="113"/>
  <c r="D110" i="113"/>
  <c r="C28" i="112"/>
  <c r="D33" i="113"/>
  <c r="D121" i="113"/>
  <c r="C178" i="112"/>
  <c r="C153" i="112"/>
  <c r="D104" i="116"/>
  <c r="D33" i="116"/>
  <c r="C189" i="112"/>
  <c r="I222" i="87"/>
  <c r="D189" i="112" s="1"/>
  <c r="C199" i="112"/>
  <c r="I232" i="87"/>
  <c r="D199" i="112" s="1"/>
  <c r="D42" i="113"/>
  <c r="D146" i="113"/>
  <c r="D91" i="116"/>
  <c r="G164" i="112"/>
  <c r="AD21" i="63"/>
  <c r="E98" i="112"/>
  <c r="D206" i="120"/>
  <c r="B139" i="113"/>
  <c r="B138" i="113"/>
  <c r="O90" i="63"/>
  <c r="D208" i="85"/>
  <c r="D164" i="86"/>
  <c r="C97" i="112"/>
  <c r="D119" i="86" a="1"/>
  <c r="D119" i="86" s="1"/>
  <c r="D144" i="86"/>
  <c r="D59" i="85"/>
  <c r="D105" i="85"/>
  <c r="D242" i="120"/>
  <c r="D119" i="75"/>
  <c r="D141" i="75"/>
  <c r="D246" i="75"/>
  <c r="C184" i="119"/>
  <c r="C240" i="119"/>
  <c r="C144" i="119"/>
  <c r="C173" i="119" s="1"/>
  <c r="C81" i="120"/>
  <c r="C228" i="119"/>
  <c r="C118" i="109"/>
  <c r="D348" i="109"/>
  <c r="D517" i="109"/>
  <c r="D547" i="109"/>
  <c r="D141" i="112"/>
  <c r="D15" i="116"/>
  <c r="D20" i="116"/>
  <c r="D142" i="112"/>
  <c r="D25" i="116"/>
  <c r="D143" i="112"/>
  <c r="L54" i="87"/>
  <c r="H18" i="112"/>
  <c r="D23" i="113"/>
  <c r="D52" i="116"/>
  <c r="D11" i="116"/>
  <c r="G135" i="112"/>
  <c r="D26" i="113"/>
  <c r="G19" i="112"/>
  <c r="D117" i="116"/>
  <c r="G144" i="112"/>
  <c r="I348" i="87"/>
  <c r="G169" i="112" s="1"/>
  <c r="C27" i="112"/>
  <c r="D32" i="113"/>
  <c r="D120" i="113"/>
  <c r="C152" i="112"/>
  <c r="C177" i="112"/>
  <c r="D32" i="116"/>
  <c r="D103" i="116"/>
  <c r="F225" i="87"/>
  <c r="D73" i="112" s="1"/>
  <c r="I226" i="87"/>
  <c r="D193" i="112" s="1"/>
  <c r="C66" i="112"/>
  <c r="B176" i="75" a="1"/>
  <c r="D144" i="113"/>
  <c r="D40" i="113"/>
  <c r="D128" i="116"/>
  <c r="D41" i="116"/>
  <c r="D46" i="113"/>
  <c r="D150" i="113"/>
  <c r="D39" i="112"/>
  <c r="D77" i="113"/>
  <c r="G39" i="112"/>
  <c r="D78" i="113"/>
  <c r="E113" i="112"/>
  <c r="D101" i="113"/>
  <c r="E127" i="112"/>
  <c r="D115" i="113"/>
  <c r="F463" i="87"/>
  <c r="D126" i="112" s="1"/>
  <c r="AE21" i="63"/>
  <c r="C40" i="63"/>
  <c r="D88" i="112" s="1"/>
  <c r="C42" i="63"/>
  <c r="D90" i="112" s="1"/>
  <c r="C316" i="120"/>
  <c r="C86" i="116"/>
  <c r="C325" i="120"/>
  <c r="C314" i="120"/>
  <c r="C324" i="120"/>
  <c r="C313" i="120"/>
  <c r="C323" i="120"/>
  <c r="C312" i="120"/>
  <c r="C322" i="120"/>
  <c r="C311" i="120"/>
  <c r="D306" i="75"/>
  <c r="D281" i="75"/>
  <c r="C140" i="112"/>
  <c r="C165" i="112"/>
  <c r="D291" i="120"/>
  <c r="D278" i="120"/>
  <c r="D267" i="120"/>
  <c r="D361" i="120"/>
  <c r="D368" i="120"/>
  <c r="D98" i="86"/>
  <c r="D108" i="85"/>
  <c r="D114" i="86"/>
  <c r="D87" i="86" a="1"/>
  <c r="D87" i="86" s="1"/>
  <c r="D149" i="86"/>
  <c r="D141" i="86"/>
  <c r="D92" i="86"/>
  <c r="D52" i="85"/>
  <c r="D124" i="85"/>
  <c r="C17" i="120"/>
  <c r="D191" i="120"/>
  <c r="D275" i="120"/>
  <c r="C321" i="120"/>
  <c r="C344" i="120"/>
  <c r="C367" i="120"/>
  <c r="C71" i="116"/>
  <c r="D132" i="116"/>
  <c r="D45" i="116"/>
  <c r="D163" i="112"/>
  <c r="D76" i="116"/>
  <c r="D80" i="113"/>
  <c r="E39" i="112"/>
  <c r="F330" i="87"/>
  <c r="D92" i="113"/>
  <c r="G40" i="112"/>
  <c r="C205" i="112"/>
  <c r="D205" i="112"/>
  <c r="D348" i="75"/>
  <c r="D265" i="75"/>
  <c r="D327" i="75" a="1"/>
  <c r="D327" i="75" s="1"/>
  <c r="D250" i="75" a="1"/>
  <c r="D250" i="75" s="1"/>
  <c r="D267" i="75" a="1"/>
  <c r="D267" i="75" s="1"/>
  <c r="D346" i="75" a="1"/>
  <c r="D346" i="75" s="1"/>
  <c r="D275" i="75"/>
  <c r="D330" i="75"/>
  <c r="D357" i="75"/>
  <c r="D335" i="75"/>
  <c r="D301" i="75"/>
  <c r="D317" i="75"/>
  <c r="D408" i="75"/>
  <c r="D459" i="75"/>
  <c r="D434" i="75"/>
  <c r="D228" i="120"/>
  <c r="D330" i="120"/>
  <c r="C201" i="65"/>
  <c r="C136" i="109"/>
  <c r="D291" i="109"/>
  <c r="D415" i="109"/>
  <c r="D423" i="109"/>
  <c r="D523" i="109"/>
  <c r="C137" i="112"/>
  <c r="D175" i="85"/>
  <c r="D191" i="85"/>
  <c r="D174" i="85"/>
  <c r="I224" i="87"/>
  <c r="D191" i="112" s="1"/>
  <c r="F232" i="87"/>
  <c r="D80" i="112" s="1"/>
  <c r="D37" i="116"/>
  <c r="E209" i="112"/>
  <c r="D124" i="116"/>
  <c r="F268" i="87"/>
  <c r="D151" i="113"/>
  <c r="D47" i="113"/>
  <c r="D40" i="112"/>
  <c r="D91" i="113"/>
  <c r="E162" i="112"/>
  <c r="D71" i="116"/>
  <c r="I385" i="87"/>
  <c r="C167" i="112" s="1" a="1"/>
  <c r="C167" i="112" s="1"/>
  <c r="E115" i="112"/>
  <c r="D103" i="113"/>
  <c r="E128" i="112"/>
  <c r="D116" i="113"/>
  <c r="F459" i="87"/>
  <c r="D122" i="112" s="1"/>
  <c r="I464" i="87"/>
  <c r="D221" i="112" s="1"/>
  <c r="C115" i="112"/>
  <c r="F452" i="87"/>
  <c r="D115" i="112" s="1"/>
  <c r="D343" i="120"/>
  <c r="I458" i="87"/>
  <c r="D215" i="112" s="1"/>
  <c r="C215" i="112"/>
  <c r="C220" i="112"/>
  <c r="I463" i="87"/>
  <c r="D220" i="112" s="1"/>
  <c r="D539" i="117"/>
  <c r="D74" i="117"/>
  <c r="D632" i="117"/>
  <c r="D260" i="117"/>
  <c r="D353" i="117"/>
  <c r="C15" i="119"/>
  <c r="B140" i="113"/>
  <c r="C46" i="63"/>
  <c r="D471" i="108" s="1"/>
  <c r="D12" i="85"/>
  <c r="C176" i="85" s="1"/>
  <c r="C99" i="119"/>
  <c r="C302" i="120"/>
  <c r="C308" i="120"/>
  <c r="C297" i="120"/>
  <c r="C307" i="120"/>
  <c r="C296" i="120"/>
  <c r="C90" i="119" s="1"/>
  <c r="C306" i="120"/>
  <c r="C295" i="120"/>
  <c r="C87" i="119" s="1"/>
  <c r="C305" i="120"/>
  <c r="C294" i="120"/>
  <c r="C84" i="119" s="1"/>
  <c r="R85" i="63"/>
  <c r="D97" i="112" s="1"/>
  <c r="R87" i="63"/>
  <c r="D95" i="112" s="1"/>
  <c r="D375" i="120"/>
  <c r="D398" i="120"/>
  <c r="D391" i="120"/>
  <c r="C244" i="120"/>
  <c r="D276" i="120"/>
  <c r="C304" i="120"/>
  <c r="C331" i="120"/>
  <c r="D62" i="75"/>
  <c r="D215" i="75"/>
  <c r="D248" i="75" a="1"/>
  <c r="D248" i="75" s="1"/>
  <c r="D79" i="113"/>
  <c r="D116" i="116"/>
  <c r="G141" i="112"/>
  <c r="D16" i="116"/>
  <c r="C174" i="112"/>
  <c r="C149" i="112"/>
  <c r="D100" i="116"/>
  <c r="D29" i="116"/>
  <c r="I368" i="87"/>
  <c r="D109" i="85"/>
  <c r="D99" i="86"/>
  <c r="C12" i="112"/>
  <c r="C11" i="112"/>
  <c r="D371" i="120"/>
  <c r="C186" i="112"/>
  <c r="D333" i="120"/>
  <c r="D209" i="112"/>
  <c r="B124" i="116"/>
  <c r="D90" i="116"/>
  <c r="D164" i="112"/>
  <c r="E40" i="112"/>
  <c r="D94" i="113"/>
  <c r="F310" i="87"/>
  <c r="F40" i="112" s="1"/>
  <c r="G161" i="112"/>
  <c r="AE42" i="63"/>
  <c r="I345" i="87"/>
  <c r="G166" i="112" s="1"/>
  <c r="F378" i="87"/>
  <c r="C43" i="112" s="1"/>
  <c r="F465" i="87"/>
  <c r="D128" i="112" s="1"/>
  <c r="F30" i="63"/>
  <c r="D204" i="112" s="1"/>
  <c r="F32" i="63"/>
  <c r="D206" i="112" s="1"/>
  <c r="D84" i="75"/>
  <c r="D432" i="75"/>
  <c r="D457" i="75"/>
  <c r="D406" i="75"/>
  <c r="D453" i="75"/>
  <c r="D278" i="75"/>
  <c r="D428" i="75"/>
  <c r="D377" i="75"/>
  <c r="D106" i="85"/>
  <c r="D133" i="85"/>
  <c r="D140" i="85"/>
  <c r="D112" i="85"/>
  <c r="D122" i="85"/>
  <c r="D88" i="119" a="1"/>
  <c r="D88" i="119" s="1"/>
  <c r="D91" i="119" a="1"/>
  <c r="D91" i="119" s="1"/>
  <c r="D147" i="120"/>
  <c r="D229" i="120"/>
  <c r="C353" i="120"/>
  <c r="D370" i="120"/>
  <c r="D446" i="117"/>
  <c r="C502" i="75"/>
  <c r="C525" i="75"/>
  <c r="C90" i="75"/>
  <c r="C397" i="75"/>
  <c r="C372" i="75"/>
  <c r="C45" i="75"/>
  <c r="C448" i="75"/>
  <c r="C496" i="75"/>
  <c r="C28" i="75"/>
  <c r="D151" i="75"/>
  <c r="D133" i="116"/>
  <c r="D46" i="85" a="1"/>
  <c r="D46" i="85" s="1"/>
  <c r="F222" i="87"/>
  <c r="D70" i="112" s="1"/>
  <c r="I231" i="87"/>
  <c r="D198" i="112" s="1"/>
  <c r="D143" i="113"/>
  <c r="D39" i="113"/>
  <c r="E93" i="112"/>
  <c r="D147" i="113"/>
  <c r="E117" i="112"/>
  <c r="D105" i="113"/>
  <c r="D112" i="113"/>
  <c r="E124" i="112"/>
  <c r="F460" i="87"/>
  <c r="D123" i="112" s="1"/>
  <c r="C216" i="112"/>
  <c r="D346" i="120"/>
  <c r="C38" i="63"/>
  <c r="D86" i="112" s="1"/>
  <c r="B121" i="116"/>
  <c r="B120" i="116"/>
  <c r="B42" i="116"/>
  <c r="C210" i="112"/>
  <c r="I266" i="87"/>
  <c r="C89" i="112"/>
  <c r="C41" i="63"/>
  <c r="D89" i="112" s="1"/>
  <c r="C41" i="112"/>
  <c r="C16" i="112"/>
  <c r="D170" i="75"/>
  <c r="D139" i="85"/>
  <c r="D134" i="86"/>
  <c r="D97" i="86"/>
  <c r="D126" i="86"/>
  <c r="D366" i="120"/>
  <c r="D107" i="85"/>
  <c r="D369" i="120"/>
  <c r="D305" i="75"/>
  <c r="D280" i="75"/>
  <c r="C94" i="112"/>
  <c r="R86" i="63"/>
  <c r="D94" i="112" s="1"/>
  <c r="D345" i="75" a="1"/>
  <c r="D345" i="75" s="1"/>
  <c r="D266" i="75" a="1"/>
  <c r="D266" i="75" s="1"/>
  <c r="D249" i="75" a="1"/>
  <c r="D249" i="75" s="1"/>
  <c r="O117" i="63"/>
  <c r="D300" i="75"/>
  <c r="D356" i="75"/>
  <c r="D15" i="119"/>
  <c r="D29" i="119"/>
  <c r="D64" i="119"/>
  <c r="D155" i="119"/>
  <c r="D60" i="119"/>
  <c r="C58" i="120"/>
  <c r="C85" i="120"/>
  <c r="D279" i="120"/>
  <c r="B310" i="120" a="1"/>
  <c r="C310" i="120"/>
  <c r="C23" i="75"/>
  <c r="D316" i="75"/>
  <c r="D77" i="119"/>
  <c r="D44" i="113"/>
  <c r="D142" i="86"/>
  <c r="E204" i="112"/>
  <c r="D115" i="86"/>
  <c r="D60" i="113"/>
  <c r="D59" i="113"/>
  <c r="D123" i="85"/>
  <c r="D197" i="85"/>
  <c r="D63" i="85"/>
  <c r="D183" i="85"/>
  <c r="D173" i="85"/>
  <c r="D154" i="85"/>
  <c r="D161" i="85"/>
  <c r="D129" i="85"/>
  <c r="D163" i="85"/>
  <c r="C204" i="112"/>
  <c r="D413" i="120"/>
  <c r="D392" i="120"/>
  <c r="D223" i="120"/>
  <c r="D257" i="120"/>
  <c r="D289" i="120"/>
  <c r="D264" i="120"/>
  <c r="D412" i="120"/>
  <c r="AD47" i="63"/>
  <c r="D94" i="86"/>
  <c r="D104" i="85"/>
  <c r="D46" i="86"/>
  <c r="D45" i="85"/>
  <c r="D57" i="85"/>
  <c r="D133" i="86"/>
  <c r="D50" i="85"/>
  <c r="D138" i="85"/>
  <c r="D360" i="120"/>
  <c r="D124" i="86"/>
  <c r="C87" i="112"/>
  <c r="C91" i="112"/>
  <c r="C43" i="63"/>
  <c r="D91" i="112" s="1"/>
  <c r="D54" i="75"/>
  <c r="O118" i="63"/>
  <c r="D318" i="75"/>
  <c r="D336" i="75"/>
  <c r="D487" i="75"/>
  <c r="D477" i="75"/>
  <c r="D277" i="120"/>
  <c r="D230" i="120"/>
  <c r="D202" i="119"/>
  <c r="D212" i="119"/>
  <c r="D175" i="119"/>
  <c r="D173" i="119"/>
  <c r="D111" i="119"/>
  <c r="D107" i="119"/>
  <c r="D103" i="119"/>
  <c r="C277" i="120"/>
  <c r="C248" i="120"/>
  <c r="C230" i="120"/>
  <c r="C59" i="120"/>
  <c r="C354" i="120"/>
  <c r="C338" i="120" a="1"/>
  <c r="C338" i="120" s="1"/>
  <c r="C351" i="120" a="1"/>
  <c r="C351" i="120" s="1"/>
  <c r="C341" i="120" a="1"/>
  <c r="C341" i="120" s="1"/>
  <c r="D211" i="120"/>
  <c r="D232" i="120"/>
  <c r="D238" i="120"/>
  <c r="C253" i="120"/>
  <c r="D260" i="120"/>
  <c r="C280" i="120"/>
  <c r="C315" i="120"/>
  <c r="C332" i="120" a="1"/>
  <c r="C332" i="120" s="1"/>
  <c r="D402" i="120"/>
  <c r="D302" i="75"/>
  <c r="D358" i="75"/>
  <c r="C105" i="119"/>
  <c r="C109" i="119"/>
  <c r="D151" i="119"/>
  <c r="B101" i="113" a="1"/>
  <c r="D43" i="116"/>
  <c r="G20" i="112"/>
  <c r="C326" i="65"/>
  <c r="D285" i="109"/>
  <c r="D419" i="109"/>
  <c r="D425" i="109"/>
  <c r="D520" i="109"/>
  <c r="D525" i="109"/>
  <c r="D530" i="109"/>
  <c r="D545" i="109"/>
  <c r="C356" i="115"/>
  <c r="D111" i="116"/>
  <c r="D11" i="112"/>
  <c r="D52" i="113"/>
  <c r="D10" i="113"/>
  <c r="E18" i="112"/>
  <c r="F313" i="87"/>
  <c r="D22" i="113"/>
  <c r="E143" i="112"/>
  <c r="D27" i="116"/>
  <c r="D124" i="113"/>
  <c r="D36" i="113"/>
  <c r="C31" i="112"/>
  <c r="I115" i="87"/>
  <c r="I221" i="87"/>
  <c r="D188" i="112" s="1"/>
  <c r="C69" i="112"/>
  <c r="F221" i="87"/>
  <c r="D69" i="112" s="1"/>
  <c r="C79" i="112"/>
  <c r="F231" i="87"/>
  <c r="D79" i="112" s="1"/>
  <c r="I256" i="87"/>
  <c r="D127" i="116"/>
  <c r="D40" i="116"/>
  <c r="D161" i="112"/>
  <c r="AE29" i="63"/>
  <c r="E164" i="112"/>
  <c r="D93" i="116"/>
  <c r="H37" i="112"/>
  <c r="AE25" i="63"/>
  <c r="D72" i="116"/>
  <c r="H162" i="112"/>
  <c r="I380" i="87"/>
  <c r="C162" i="112" s="1"/>
  <c r="E119" i="112"/>
  <c r="D107" i="113"/>
  <c r="E125" i="112"/>
  <c r="D113" i="113"/>
  <c r="F461" i="87"/>
  <c r="D124" i="112" s="1"/>
  <c r="D169" i="85"/>
  <c r="D116" i="85"/>
  <c r="D106" i="86"/>
  <c r="D380" i="120"/>
  <c r="D114" i="116"/>
  <c r="D67" i="116"/>
  <c r="D211" i="85"/>
  <c r="D113" i="85"/>
  <c r="F10" i="120"/>
  <c r="C243" i="120" s="1"/>
  <c r="C60" i="120"/>
  <c r="C114" i="120" s="1"/>
  <c r="D253" i="120"/>
  <c r="D280" i="120"/>
  <c r="B293" i="120" a="1"/>
  <c r="C293" i="120"/>
  <c r="C81" i="119" s="1"/>
  <c r="C317" i="120"/>
  <c r="D339" i="120"/>
  <c r="C348" i="120" a="1"/>
  <c r="C348" i="120" s="1"/>
  <c r="C386" i="120"/>
  <c r="D167" i="117"/>
  <c r="D227" i="75"/>
  <c r="C252" i="75"/>
  <c r="D303" i="75"/>
  <c r="D152" i="119"/>
  <c r="C86" i="112"/>
  <c r="D71" i="85"/>
  <c r="D127" i="85"/>
  <c r="D112" i="119"/>
  <c r="D104" i="119"/>
  <c r="D108" i="119"/>
  <c r="D142" i="120"/>
  <c r="D204" i="120"/>
  <c r="D256" i="120"/>
  <c r="C190" i="75"/>
  <c r="C201" i="75"/>
  <c r="C407" i="75"/>
  <c r="D102" i="113"/>
  <c r="E114" i="112"/>
  <c r="D117" i="85"/>
  <c r="D51" i="85"/>
  <c r="C25" i="116"/>
  <c r="C84" i="109" s="1"/>
  <c r="C72" i="119"/>
  <c r="D185" i="85"/>
  <c r="D64" i="85"/>
  <c r="D456" i="75"/>
  <c r="D380" i="75"/>
  <c r="D143" i="86"/>
  <c r="D118" i="86"/>
  <c r="D11" i="85"/>
  <c r="C166" i="85" s="1"/>
  <c r="F9" i="86"/>
  <c r="F9" i="85"/>
  <c r="C66" i="116"/>
  <c r="C64" i="116"/>
  <c r="C469" i="75"/>
  <c r="C442" i="75"/>
  <c r="C418" i="75"/>
  <c r="C467" i="75"/>
  <c r="C433" i="75"/>
  <c r="D150" i="85"/>
  <c r="D92" i="85"/>
  <c r="F5" i="120"/>
  <c r="D178" i="120"/>
  <c r="D187" i="120"/>
  <c r="D240" i="120"/>
  <c r="D374" i="120"/>
  <c r="C62" i="117"/>
  <c r="C150" i="117"/>
  <c r="C162" i="117"/>
  <c r="C176" i="117"/>
  <c r="C251" i="117"/>
  <c r="C266" i="117"/>
  <c r="C344" i="117"/>
  <c r="C439" i="117"/>
  <c r="C454" i="117"/>
  <c r="C499" i="117"/>
  <c r="C538" i="117" s="1"/>
  <c r="C520" i="117"/>
  <c r="C533" i="117"/>
  <c r="C551" i="117"/>
  <c r="C615" i="117"/>
  <c r="C644" i="117"/>
  <c r="C109" i="75"/>
  <c r="C176" i="75"/>
  <c r="C191" i="75"/>
  <c r="C240" i="75"/>
  <c r="C391" i="75"/>
  <c r="D38" i="113"/>
  <c r="F10" i="86"/>
  <c r="D168" i="86"/>
  <c r="D212" i="85"/>
  <c r="D509" i="75"/>
  <c r="R48" i="63"/>
  <c r="D98" i="112" s="1"/>
  <c r="C208" i="75"/>
  <c r="C198" i="75"/>
  <c r="C184" i="75"/>
  <c r="C206" i="75"/>
  <c r="C195" i="75"/>
  <c r="C189" i="75"/>
  <c r="C178" i="75"/>
  <c r="C205" i="75"/>
  <c r="C194" i="75"/>
  <c r="C188" i="75"/>
  <c r="C177" i="75"/>
  <c r="D47" i="86"/>
  <c r="D58" i="85"/>
  <c r="C69" i="75"/>
  <c r="C84" i="75"/>
  <c r="F136" i="63"/>
  <c r="D275" i="109" s="1"/>
  <c r="D167" i="86"/>
  <c r="D103" i="86" a="1"/>
  <c r="D103" i="86" s="1"/>
  <c r="C108" i="119"/>
  <c r="C112" i="119"/>
  <c r="F6" i="120"/>
  <c r="C278" i="120"/>
  <c r="C64" i="117"/>
  <c r="C78" i="117"/>
  <c r="C151" i="117"/>
  <c r="C179" i="117"/>
  <c r="C240" i="117"/>
  <c r="C252" i="117"/>
  <c r="C267" i="117"/>
  <c r="C345" i="117"/>
  <c r="C359" i="117"/>
  <c r="C426" i="117"/>
  <c r="C440" i="117"/>
  <c r="C455" i="117"/>
  <c r="C521" i="117"/>
  <c r="C616" i="117"/>
  <c r="D32" i="75" a="1"/>
  <c r="D32" i="75" s="1"/>
  <c r="C110" i="75"/>
  <c r="C162" i="75"/>
  <c r="C170" i="75" s="1"/>
  <c r="C179" i="75"/>
  <c r="C203" i="75"/>
  <c r="C392" i="75"/>
  <c r="C443" i="75"/>
  <c r="D142" i="113"/>
  <c r="D39" i="116"/>
  <c r="D95" i="86"/>
  <c r="D125" i="86"/>
  <c r="D118" i="113"/>
  <c r="D30" i="113"/>
  <c r="C25" i="112"/>
  <c r="C175" i="112"/>
  <c r="D101" i="116"/>
  <c r="C150" i="112"/>
  <c r="D44" i="116"/>
  <c r="D131" i="116"/>
  <c r="E116" i="112"/>
  <c r="D104" i="113"/>
  <c r="D104" i="95"/>
  <c r="D86" i="95"/>
  <c r="D112" i="95"/>
  <c r="D108" i="95"/>
  <c r="F11" i="34"/>
  <c r="C29" i="86"/>
  <c r="C15" i="95"/>
  <c r="D11" i="34"/>
  <c r="F9" i="34"/>
  <c r="D10" i="86"/>
  <c r="C39" i="85"/>
  <c r="C200" i="85" s="1"/>
  <c r="C38" i="85"/>
  <c r="C19" i="85"/>
  <c r="C46" i="95"/>
  <c r="D9" i="86"/>
  <c r="C18" i="85"/>
  <c r="D9" i="85"/>
  <c r="C34" i="86"/>
  <c r="C109" i="86" s="1" a="1"/>
  <c r="C109" i="86" s="1"/>
  <c r="C11" i="119"/>
  <c r="C44" i="119" s="1"/>
  <c r="C17" i="86"/>
  <c r="C205" i="119"/>
  <c r="C118" i="119"/>
  <c r="C70" i="119"/>
  <c r="C42" i="119"/>
  <c r="C515" i="75"/>
  <c r="C169" i="75"/>
  <c r="C104" i="75"/>
  <c r="C621" i="117"/>
  <c r="C546" i="117"/>
  <c r="C534" i="117"/>
  <c r="C524" i="117"/>
  <c r="C437" i="117"/>
  <c r="C427" i="117"/>
  <c r="C362" i="117"/>
  <c r="C340" i="117"/>
  <c r="C253" i="117"/>
  <c r="C243" i="117"/>
  <c r="C156" i="117"/>
  <c r="C81" i="117"/>
  <c r="C69" i="117"/>
  <c r="C59" i="117"/>
  <c r="C17" i="85"/>
  <c r="C203" i="119"/>
  <c r="C129" i="119"/>
  <c r="C622" i="117"/>
  <c r="C528" i="117"/>
  <c r="C434" i="117"/>
  <c r="C342" i="117"/>
  <c r="C250" i="117"/>
  <c r="C220" i="117"/>
  <c r="C259" i="117" s="1"/>
  <c r="C157" i="117"/>
  <c r="C63" i="117"/>
  <c r="C111" i="75"/>
  <c r="C101" i="75"/>
  <c r="C105" i="75" s="1"/>
  <c r="C620" i="117"/>
  <c r="C527" i="117"/>
  <c r="C433" i="117"/>
  <c r="C341" i="117"/>
  <c r="C92" i="112"/>
  <c r="B38" i="113"/>
  <c r="AA65" i="63"/>
  <c r="D425" i="75"/>
  <c r="D323" i="75"/>
  <c r="D374" i="75"/>
  <c r="D399" i="75"/>
  <c r="D220" i="75"/>
  <c r="D400" i="75"/>
  <c r="D451" i="75"/>
  <c r="D426" i="75"/>
  <c r="D28" i="75"/>
  <c r="D502" i="75"/>
  <c r="D397" i="75"/>
  <c r="D54" i="86"/>
  <c r="D74" i="86"/>
  <c r="D447" i="117"/>
  <c r="D261" i="117"/>
  <c r="D168" i="117"/>
  <c r="D124" i="120"/>
  <c r="D241" i="120"/>
  <c r="C65" i="117"/>
  <c r="C152" i="117"/>
  <c r="C241" i="117"/>
  <c r="C254" i="117"/>
  <c r="C268" i="117"/>
  <c r="C333" i="117"/>
  <c r="C346" i="117"/>
  <c r="C360" i="117"/>
  <c r="C406" i="117"/>
  <c r="C445" i="117" s="1"/>
  <c r="C428" i="117"/>
  <c r="C441" i="117"/>
  <c r="C458" i="117"/>
  <c r="C522" i="117"/>
  <c r="C617" i="117"/>
  <c r="C99" i="75"/>
  <c r="C113" i="75"/>
  <c r="C126" i="75" s="1"/>
  <c r="C180" i="75"/>
  <c r="B193" i="75" a="1"/>
  <c r="C204" i="75"/>
  <c r="D342" i="75"/>
  <c r="D379" i="75"/>
  <c r="D209" i="85"/>
  <c r="C129" i="116" l="1"/>
  <c r="C42" i="116"/>
  <c r="D277" i="75"/>
  <c r="D293" i="75"/>
  <c r="D353" i="75"/>
  <c r="D332" i="75"/>
  <c r="C52" i="75"/>
  <c r="C77" i="75"/>
  <c r="C60" i="75"/>
  <c r="C46" i="75"/>
  <c r="C92" i="75"/>
  <c r="C44" i="95"/>
  <c r="C81" i="95"/>
  <c r="C39" i="95"/>
  <c r="D193" i="85"/>
  <c r="C193" i="85"/>
  <c r="C35" i="95"/>
  <c r="C90" i="95"/>
  <c r="C45" i="95"/>
  <c r="C58" i="95"/>
  <c r="C20" i="95"/>
  <c r="C51" i="95"/>
  <c r="C96" i="95"/>
  <c r="C94" i="95"/>
  <c r="C76" i="95"/>
  <c r="C21" i="95"/>
  <c r="AA61" i="63"/>
  <c r="C19" i="95" s="1"/>
  <c r="U14" i="63"/>
  <c r="U12" i="63"/>
  <c r="U11" i="63"/>
  <c r="D45" i="95" s="1"/>
  <c r="U9" i="63"/>
  <c r="U17" i="63"/>
  <c r="U33" i="63"/>
  <c r="U13" i="63"/>
  <c r="D96" i="95" s="1"/>
  <c r="U10" i="63"/>
  <c r="U8" i="63"/>
  <c r="U16" i="63"/>
  <c r="U21" i="63"/>
  <c r="C187" i="85"/>
  <c r="C233" i="120"/>
  <c r="C47" i="109"/>
  <c r="C73" i="109"/>
  <c r="D289" i="75"/>
  <c r="D299" i="75"/>
  <c r="D263" i="75"/>
  <c r="D274" i="75"/>
  <c r="D314" i="75"/>
  <c r="D247" i="75"/>
  <c r="AA99" i="63"/>
  <c r="J72" i="54"/>
  <c r="I72" i="54"/>
  <c r="H72" i="54"/>
  <c r="C447" i="109"/>
  <c r="C504" i="109"/>
  <c r="C479" i="109"/>
  <c r="C451" i="109"/>
  <c r="C474" i="109"/>
  <c r="C458" i="109"/>
  <c r="C483" i="109"/>
  <c r="F169" i="112"/>
  <c r="F144" i="112"/>
  <c r="E97" i="109"/>
  <c r="E185" i="65"/>
  <c r="C142" i="113"/>
  <c r="C38" i="113"/>
  <c r="C59" i="119"/>
  <c r="C52" i="119"/>
  <c r="C129" i="86"/>
  <c r="C136" i="86"/>
  <c r="B204" i="75"/>
  <c r="B194" i="75"/>
  <c r="B200" i="75"/>
  <c r="B199" i="75"/>
  <c r="B207" i="75"/>
  <c r="B206" i="75"/>
  <c r="B193" i="75"/>
  <c r="B205" i="75"/>
  <c r="B203" i="75"/>
  <c r="B202" i="75"/>
  <c r="B201" i="75"/>
  <c r="B208" i="75"/>
  <c r="B198" i="75"/>
  <c r="B197" i="75"/>
  <c r="B196" i="75"/>
  <c r="B195" i="75"/>
  <c r="B322" i="120"/>
  <c r="B312" i="120"/>
  <c r="B319" i="120"/>
  <c r="B318" i="120"/>
  <c r="B317" i="120"/>
  <c r="B316" i="120"/>
  <c r="B313" i="120"/>
  <c r="B311" i="120"/>
  <c r="B325" i="120"/>
  <c r="B310" i="120"/>
  <c r="B324" i="120"/>
  <c r="B323" i="120"/>
  <c r="B321" i="120"/>
  <c r="B320" i="120"/>
  <c r="B315" i="120"/>
  <c r="B314" i="120"/>
  <c r="C425" i="75"/>
  <c r="C238" i="75"/>
  <c r="C323" i="75"/>
  <c r="C220" i="75"/>
  <c r="C341" i="75"/>
  <c r="C239" i="75"/>
  <c r="C103" i="120"/>
  <c r="C374" i="75"/>
  <c r="AA97" i="63"/>
  <c r="AA98" i="63"/>
  <c r="I71" i="54"/>
  <c r="G71" i="54"/>
  <c r="J71" i="54"/>
  <c r="H71" i="54"/>
  <c r="I316" i="87"/>
  <c r="F142" i="112"/>
  <c r="C39" i="116"/>
  <c r="C126" i="116"/>
  <c r="C524" i="109"/>
  <c r="C352" i="109"/>
  <c r="C549" i="109"/>
  <c r="C263" i="75"/>
  <c r="C163" i="120"/>
  <c r="C136" i="120"/>
  <c r="C197" i="120"/>
  <c r="C124" i="120"/>
  <c r="C178" i="120"/>
  <c r="C112" i="120"/>
  <c r="C184" i="120"/>
  <c r="C130" i="120"/>
  <c r="C155" i="120"/>
  <c r="C204" i="120"/>
  <c r="C142" i="120"/>
  <c r="C406" i="75"/>
  <c r="C381" i="75"/>
  <c r="C30" i="75"/>
  <c r="C457" i="75"/>
  <c r="C15" i="75"/>
  <c r="C432" i="75"/>
  <c r="B110" i="113"/>
  <c r="B106" i="113"/>
  <c r="B115" i="113"/>
  <c r="B104" i="113"/>
  <c r="B107" i="113"/>
  <c r="B116" i="113"/>
  <c r="B102" i="113"/>
  <c r="B101" i="113"/>
  <c r="B114" i="113"/>
  <c r="B113" i="113"/>
  <c r="B112" i="113"/>
  <c r="B111" i="113"/>
  <c r="B109" i="113"/>
  <c r="B108" i="113"/>
  <c r="B105" i="113"/>
  <c r="B103" i="113"/>
  <c r="D292" i="75"/>
  <c r="D352" i="75"/>
  <c r="D276" i="75"/>
  <c r="D331" i="75"/>
  <c r="D210" i="112"/>
  <c r="B129" i="116"/>
  <c r="D538" i="109"/>
  <c r="D528" i="109"/>
  <c r="D532" i="109"/>
  <c r="D534" i="109"/>
  <c r="B190" i="75"/>
  <c r="B180" i="75"/>
  <c r="B183" i="75"/>
  <c r="B182" i="75"/>
  <c r="B181" i="75"/>
  <c r="B179" i="75"/>
  <c r="B178" i="75"/>
  <c r="B191" i="75"/>
  <c r="B177" i="75"/>
  <c r="B189" i="75"/>
  <c r="B188" i="75"/>
  <c r="B176" i="75"/>
  <c r="B187" i="75"/>
  <c r="B186" i="75"/>
  <c r="B185" i="75"/>
  <c r="B184" i="75"/>
  <c r="C234" i="119"/>
  <c r="C245" i="119"/>
  <c r="C289" i="75"/>
  <c r="C122" i="85"/>
  <c r="C106" i="85"/>
  <c r="C140" i="85"/>
  <c r="C133" i="85"/>
  <c r="C65" i="85"/>
  <c r="C188" i="85"/>
  <c r="C149" i="86"/>
  <c r="C92" i="86"/>
  <c r="C87" i="86" a="1"/>
  <c r="C87" i="86" s="1"/>
  <c r="C141" i="86"/>
  <c r="C114" i="86"/>
  <c r="B308" i="120"/>
  <c r="B298" i="120"/>
  <c r="B302" i="120"/>
  <c r="B301" i="120"/>
  <c r="B300" i="120"/>
  <c r="B299" i="120"/>
  <c r="B307" i="120"/>
  <c r="B293" i="120"/>
  <c r="B306" i="120"/>
  <c r="B305" i="120"/>
  <c r="B304" i="120"/>
  <c r="B303" i="120"/>
  <c r="B297" i="120"/>
  <c r="B296" i="120"/>
  <c r="B295" i="120"/>
  <c r="B294" i="120"/>
  <c r="C415" i="120"/>
  <c r="C418" i="120"/>
  <c r="C342" i="75"/>
  <c r="C426" i="75"/>
  <c r="C375" i="75"/>
  <c r="E137" i="112"/>
  <c r="D353" i="65"/>
  <c r="C299" i="75"/>
  <c r="C149" i="113"/>
  <c r="C45" i="113"/>
  <c r="C391" i="108"/>
  <c r="C569" i="108"/>
  <c r="C555" i="108"/>
  <c r="C298" i="75"/>
  <c r="C147" i="75"/>
  <c r="C119" i="75"/>
  <c r="C288" i="75"/>
  <c r="C154" i="75"/>
  <c r="C246" i="75"/>
  <c r="C313" i="75"/>
  <c r="C504" i="75"/>
  <c r="C125" i="75"/>
  <c r="C530" i="75"/>
  <c r="C273" i="75"/>
  <c r="C227" i="75"/>
  <c r="C262" i="75"/>
  <c r="C96" i="119"/>
  <c r="C69" i="119"/>
  <c r="C162" i="119"/>
  <c r="C152" i="119"/>
  <c r="C77" i="119"/>
  <c r="C161" i="119"/>
  <c r="C211" i="119"/>
  <c r="C142" i="119"/>
  <c r="C50" i="119"/>
  <c r="C169" i="119"/>
  <c r="C151" i="119"/>
  <c r="C201" i="119"/>
  <c r="C58" i="119"/>
  <c r="C135" i="86"/>
  <c r="C96" i="86" a="1"/>
  <c r="C96" i="86" s="1"/>
  <c r="C128" i="86"/>
  <c r="D406" i="109"/>
  <c r="D389" i="109"/>
  <c r="D372" i="109"/>
  <c r="D445" i="108"/>
  <c r="D411" i="108"/>
  <c r="D428" i="108"/>
  <c r="C37" i="116"/>
  <c r="C124" i="116"/>
  <c r="C80" i="119"/>
  <c r="C330" i="120"/>
  <c r="C98" i="119"/>
  <c r="C213" i="65" a="1"/>
  <c r="C141" i="115" a="1"/>
  <c r="C44" i="116"/>
  <c r="C131" i="116"/>
  <c r="C353" i="109"/>
  <c r="C550" i="109"/>
  <c r="C536" i="109"/>
  <c r="C534" i="109"/>
  <c r="C89" i="119"/>
  <c r="C110" i="119"/>
  <c r="C339" i="120"/>
  <c r="C247" i="75"/>
  <c r="C148" i="113"/>
  <c r="C44" i="113"/>
  <c r="C549" i="108"/>
  <c r="C387" i="108"/>
  <c r="C563" i="108"/>
  <c r="F45" i="112"/>
  <c r="F20" i="112" a="1"/>
  <c r="F20" i="112" s="1"/>
  <c r="E295" i="65"/>
  <c r="E293" i="65"/>
  <c r="E294" i="65"/>
  <c r="C232" i="119"/>
  <c r="C231" i="119"/>
  <c r="C171" i="119"/>
  <c r="C71" i="119"/>
  <c r="C68" i="95"/>
  <c r="C52" i="95"/>
  <c r="C67" i="95"/>
  <c r="C66" i="95"/>
  <c r="C303" i="75"/>
  <c r="C428" i="75"/>
  <c r="C377" i="75"/>
  <c r="C278" i="75"/>
  <c r="C396" i="120"/>
  <c r="C405" i="120"/>
  <c r="C32" i="113"/>
  <c r="C561" i="108"/>
  <c r="C567" i="108"/>
  <c r="C178" i="108"/>
  <c r="O265" i="87"/>
  <c r="O260" i="87"/>
  <c r="C102" i="119"/>
  <c r="C83" i="119"/>
  <c r="C333" i="120"/>
  <c r="C229" i="119"/>
  <c r="C57" i="119"/>
  <c r="C181" i="119"/>
  <c r="C64" i="119"/>
  <c r="C35" i="119"/>
  <c r="C29" i="119"/>
  <c r="C225" i="75"/>
  <c r="C226" i="75"/>
  <c r="C132" i="75"/>
  <c r="C516" i="75"/>
  <c r="C486" i="75"/>
  <c r="C159" i="75"/>
  <c r="C476" i="75"/>
  <c r="C168" i="75"/>
  <c r="C140" i="75"/>
  <c r="C216" i="75"/>
  <c r="C215" i="75"/>
  <c r="C234" i="75"/>
  <c r="C105" i="85"/>
  <c r="C59" i="85"/>
  <c r="C186" i="85"/>
  <c r="C66" i="85"/>
  <c r="C211" i="85"/>
  <c r="C113" i="85"/>
  <c r="O259" i="87"/>
  <c r="C235" i="75"/>
  <c r="C314" i="75"/>
  <c r="C547" i="108"/>
  <c r="C191" i="85"/>
  <c r="C175" i="85"/>
  <c r="C174" i="85"/>
  <c r="C95" i="86"/>
  <c r="C48" i="86" a="1"/>
  <c r="C48" i="86" s="1"/>
  <c r="C112" i="113"/>
  <c r="C101" i="113"/>
  <c r="C111" i="113"/>
  <c r="C116" i="113"/>
  <c r="C103" i="113"/>
  <c r="C108" i="113"/>
  <c r="C110" i="113"/>
  <c r="C109" i="113"/>
  <c r="C107" i="113"/>
  <c r="C80" i="113"/>
  <c r="C72" i="113"/>
  <c r="C104" i="113"/>
  <c r="C105" i="113"/>
  <c r="C102" i="113"/>
  <c r="C115" i="113"/>
  <c r="C79" i="116"/>
  <c r="C114" i="113"/>
  <c r="C113" i="113"/>
  <c r="C87" i="113"/>
  <c r="D87" i="113" s="1"/>
  <c r="C106" i="113"/>
  <c r="C256" i="108"/>
  <c r="C71" i="113" s="1"/>
  <c r="C241" i="108"/>
  <c r="C231" i="108"/>
  <c r="C265" i="108"/>
  <c r="C239" i="108"/>
  <c r="C227" i="108"/>
  <c r="C274" i="108"/>
  <c r="C89" i="113" s="1"/>
  <c r="C264" i="108"/>
  <c r="C78" i="113" s="1"/>
  <c r="C237" i="108"/>
  <c r="C370" i="108"/>
  <c r="C96" i="113" s="1"/>
  <c r="C273" i="108"/>
  <c r="C88" i="113" s="1"/>
  <c r="C262" i="108"/>
  <c r="C236" i="108"/>
  <c r="C369" i="108"/>
  <c r="C95" i="113" s="1"/>
  <c r="C245" i="108"/>
  <c r="C235" i="108"/>
  <c r="C272" i="108"/>
  <c r="C85" i="113" s="1"/>
  <c r="C244" i="108"/>
  <c r="C234" i="108"/>
  <c r="C266" i="108"/>
  <c r="C243" i="108"/>
  <c r="C242" i="108"/>
  <c r="C240" i="108"/>
  <c r="C233" i="108"/>
  <c r="C258" i="108"/>
  <c r="C74" i="113" s="1"/>
  <c r="C238" i="108"/>
  <c r="C257" i="108"/>
  <c r="C75" i="113" s="1"/>
  <c r="C254" i="108"/>
  <c r="C232" i="108"/>
  <c r="C367" i="108"/>
  <c r="C94" i="113" s="1"/>
  <c r="C230" i="108"/>
  <c r="C270" i="108"/>
  <c r="C366" i="108"/>
  <c r="C92" i="113" s="1"/>
  <c r="C226" i="108"/>
  <c r="C243" i="119"/>
  <c r="C242" i="119"/>
  <c r="C184" i="85"/>
  <c r="C198" i="85"/>
  <c r="C167" i="86"/>
  <c r="C103" i="86" a="1"/>
  <c r="C103" i="86" s="1"/>
  <c r="E138" i="112"/>
  <c r="D360" i="65"/>
  <c r="C430" i="115"/>
  <c r="C426" i="115"/>
  <c r="C608" i="117"/>
  <c r="C580" i="117"/>
  <c r="C568" i="117"/>
  <c r="C511" i="117"/>
  <c r="C493" i="117"/>
  <c r="C483" i="117"/>
  <c r="C467" i="117"/>
  <c r="C412" i="117"/>
  <c r="C396" i="117"/>
  <c r="C386" i="117"/>
  <c r="C299" i="117"/>
  <c r="C283" i="117"/>
  <c r="C228" i="117"/>
  <c r="C212" i="117"/>
  <c r="C202" i="117"/>
  <c r="C143" i="117"/>
  <c r="C115" i="117"/>
  <c r="C103" i="117"/>
  <c r="C46" i="117"/>
  <c r="C28" i="117"/>
  <c r="C18" i="117"/>
  <c r="C553" i="120"/>
  <c r="C536" i="120"/>
  <c r="C526" i="120"/>
  <c r="C654" i="117"/>
  <c r="C607" i="117"/>
  <c r="C577" i="117"/>
  <c r="C560" i="117"/>
  <c r="C514" i="117"/>
  <c r="C484" i="117"/>
  <c r="C465" i="117"/>
  <c r="C401" i="117"/>
  <c r="C390" i="117"/>
  <c r="C372" i="117"/>
  <c r="C328" i="117"/>
  <c r="C298" i="117"/>
  <c r="C281" i="117"/>
  <c r="C236" i="117"/>
  <c r="C206" i="117"/>
  <c r="C189" i="117"/>
  <c r="C142" i="117"/>
  <c r="C112" i="117"/>
  <c r="C95" i="117"/>
  <c r="C49" i="117"/>
  <c r="C19" i="117"/>
  <c r="C653" i="117"/>
  <c r="C587" i="117"/>
  <c r="C576" i="117"/>
  <c r="C558" i="117"/>
  <c r="C494" i="117"/>
  <c r="C482" i="117"/>
  <c r="C420" i="117"/>
  <c r="C400" i="117"/>
  <c r="C389" i="117"/>
  <c r="C327" i="117"/>
  <c r="C308" i="117"/>
  <c r="C297" i="117"/>
  <c r="C279" i="117"/>
  <c r="C655" i="117"/>
  <c r="C599" i="117"/>
  <c r="C581" i="117"/>
  <c r="C561" i="117"/>
  <c r="C503" i="117"/>
  <c r="C486" i="117"/>
  <c r="C388" i="117"/>
  <c r="C295" i="117"/>
  <c r="C205" i="117"/>
  <c r="C186" i="117"/>
  <c r="C135" i="117"/>
  <c r="C118" i="117"/>
  <c r="C104" i="117"/>
  <c r="C50" i="117"/>
  <c r="C17" i="117"/>
  <c r="C561" i="120"/>
  <c r="C550" i="120"/>
  <c r="C530" i="120"/>
  <c r="C521" i="120"/>
  <c r="C512" i="120"/>
  <c r="C651" i="117"/>
  <c r="C598" i="117"/>
  <c r="C579" i="117"/>
  <c r="C485" i="117"/>
  <c r="C387" i="117"/>
  <c r="C329" i="117"/>
  <c r="C307" i="117"/>
  <c r="C294" i="117"/>
  <c r="C204" i="117"/>
  <c r="C134" i="117"/>
  <c r="C117" i="117"/>
  <c r="C29" i="117"/>
  <c r="C16" i="117"/>
  <c r="C510" i="120"/>
  <c r="C596" i="117"/>
  <c r="C578" i="117"/>
  <c r="C481" i="117"/>
  <c r="C422" i="117"/>
  <c r="C399" i="117"/>
  <c r="C383" i="117"/>
  <c r="C325" i="117"/>
  <c r="C306" i="117"/>
  <c r="C293" i="117"/>
  <c r="C235" i="117"/>
  <c r="C215" i="117"/>
  <c r="C203" i="117"/>
  <c r="C133" i="117"/>
  <c r="C116" i="117"/>
  <c r="C97" i="117"/>
  <c r="C48" i="117"/>
  <c r="C27" i="117"/>
  <c r="C15" i="117"/>
  <c r="C560" i="120"/>
  <c r="C538" i="120"/>
  <c r="C529" i="120"/>
  <c r="C520" i="120"/>
  <c r="C575" i="117"/>
  <c r="C480" i="117"/>
  <c r="C421" i="117"/>
  <c r="C398" i="117"/>
  <c r="C382" i="117"/>
  <c r="C305" i="117"/>
  <c r="C290" i="117"/>
  <c r="C214" i="117"/>
  <c r="C201" i="117"/>
  <c r="C131" i="117"/>
  <c r="C114" i="117"/>
  <c r="C96" i="117"/>
  <c r="C26" i="117"/>
  <c r="C14" i="117"/>
  <c r="C558" i="120"/>
  <c r="C518" i="120"/>
  <c r="C574" i="117"/>
  <c r="C515" i="117"/>
  <c r="C492" i="117"/>
  <c r="C479" i="117"/>
  <c r="C418" i="117"/>
  <c r="C397" i="117"/>
  <c r="C321" i="117"/>
  <c r="C304" i="117"/>
  <c r="C289" i="117"/>
  <c r="C234" i="117"/>
  <c r="C213" i="117"/>
  <c r="C200" i="117"/>
  <c r="C113" i="117"/>
  <c r="C93" i="117"/>
  <c r="C42" i="117"/>
  <c r="C25" i="117"/>
  <c r="C11" i="117"/>
  <c r="C546" i="120"/>
  <c r="C537" i="120"/>
  <c r="C528" i="120"/>
  <c r="C586" i="117"/>
  <c r="C573" i="117"/>
  <c r="C513" i="117"/>
  <c r="C491" i="117"/>
  <c r="C476" i="117"/>
  <c r="C395" i="117"/>
  <c r="C376" i="117"/>
  <c r="C320" i="117"/>
  <c r="C604" i="117"/>
  <c r="C569" i="117"/>
  <c r="C414" i="117"/>
  <c r="C374" i="117"/>
  <c r="C301" i="117"/>
  <c r="C197" i="117"/>
  <c r="C111" i="117"/>
  <c r="C22" i="117"/>
  <c r="C554" i="120"/>
  <c r="B28" i="123"/>
  <c r="B24" i="123"/>
  <c r="B20" i="123"/>
  <c r="C490" i="117"/>
  <c r="C413" i="117"/>
  <c r="C300" i="117"/>
  <c r="C227" i="117"/>
  <c r="C196" i="117"/>
  <c r="C141" i="117"/>
  <c r="C110" i="117"/>
  <c r="C21" i="117"/>
  <c r="C600" i="117"/>
  <c r="C562" i="117"/>
  <c r="C489" i="117"/>
  <c r="C410" i="117"/>
  <c r="C296" i="117"/>
  <c r="C226" i="117"/>
  <c r="C139" i="117"/>
  <c r="C109" i="117"/>
  <c r="C41" i="117"/>
  <c r="C20" i="117"/>
  <c r="C552" i="120"/>
  <c r="C522" i="120"/>
  <c r="C488" i="117"/>
  <c r="C319" i="117"/>
  <c r="C224" i="117"/>
  <c r="C190" i="117"/>
  <c r="C108" i="117"/>
  <c r="C40" i="117"/>
  <c r="C10" i="117"/>
  <c r="C487" i="117"/>
  <c r="C317" i="117"/>
  <c r="C282" i="117"/>
  <c r="C188" i="117"/>
  <c r="C107" i="117"/>
  <c r="C38" i="117"/>
  <c r="C534" i="120"/>
  <c r="B43" i="123"/>
  <c r="B30" i="123"/>
  <c r="B26" i="123"/>
  <c r="C585" i="117"/>
  <c r="C475" i="117"/>
  <c r="C394" i="117"/>
  <c r="C211" i="117"/>
  <c r="C584" i="117"/>
  <c r="C393" i="117"/>
  <c r="C210" i="117"/>
  <c r="C122" i="117"/>
  <c r="C562" i="120"/>
  <c r="C545" i="120"/>
  <c r="C514" i="120"/>
  <c r="B33" i="123"/>
  <c r="B22" i="123"/>
  <c r="C583" i="117"/>
  <c r="C507" i="117"/>
  <c r="C469" i="117"/>
  <c r="C392" i="117"/>
  <c r="C209" i="117"/>
  <c r="C121" i="117"/>
  <c r="C544" i="120"/>
  <c r="C582" i="117"/>
  <c r="C506" i="117"/>
  <c r="C468" i="117"/>
  <c r="C391" i="117"/>
  <c r="C303" i="117"/>
  <c r="C208" i="117"/>
  <c r="C120" i="117"/>
  <c r="C24" i="117"/>
  <c r="C542" i="120"/>
  <c r="C513" i="120"/>
  <c r="C606" i="117"/>
  <c r="C572" i="117"/>
  <c r="C505" i="117"/>
  <c r="C375" i="117"/>
  <c r="C302" i="117"/>
  <c r="C232" i="117"/>
  <c r="C207" i="117"/>
  <c r="C119" i="117"/>
  <c r="C23" i="117"/>
  <c r="B32" i="123"/>
  <c r="B27" i="123"/>
  <c r="B23" i="123"/>
  <c r="B45" i="123"/>
  <c r="B36" i="123"/>
  <c r="B31" i="123"/>
  <c r="B21" i="123"/>
  <c r="B40" i="123"/>
  <c r="B44" i="123"/>
  <c r="B39" i="123"/>
  <c r="B35" i="123"/>
  <c r="B25" i="123"/>
  <c r="B47" i="123"/>
  <c r="B29" i="123"/>
  <c r="B38" i="123"/>
  <c r="B42" i="123"/>
  <c r="B46" i="123"/>
  <c r="B41" i="123"/>
  <c r="B37" i="123"/>
  <c r="B34" i="123"/>
  <c r="C274" i="75"/>
  <c r="C189" i="85"/>
  <c r="C165" i="85"/>
  <c r="C164" i="85"/>
  <c r="C192" i="85"/>
  <c r="C190" i="85"/>
  <c r="C234" i="120"/>
  <c r="C452" i="75"/>
  <c r="C427" i="75"/>
  <c r="C401" i="75"/>
  <c r="C86" i="119"/>
  <c r="C106" i="119"/>
  <c r="C336" i="120"/>
  <c r="C130" i="116"/>
  <c r="C43" i="116"/>
  <c r="C544" i="109"/>
  <c r="C530" i="109"/>
  <c r="C348" i="109"/>
  <c r="C528" i="109"/>
  <c r="C522" i="109"/>
  <c r="C75" i="109"/>
  <c r="C49" i="109"/>
  <c r="C43" i="113"/>
  <c r="C147" i="113"/>
  <c r="C80" i="116" l="1"/>
  <c r="C81" i="113"/>
  <c r="C153" i="115"/>
  <c r="C143" i="115"/>
  <c r="C149" i="115"/>
  <c r="C147" i="115"/>
  <c r="C155" i="115"/>
  <c r="C154" i="115"/>
  <c r="C141" i="115"/>
  <c r="C152" i="115"/>
  <c r="C151" i="115"/>
  <c r="C150" i="115"/>
  <c r="C148" i="115"/>
  <c r="C146" i="115"/>
  <c r="C145" i="115"/>
  <c r="C156" i="115"/>
  <c r="C142" i="115"/>
  <c r="C144" i="115"/>
  <c r="C219" i="65"/>
  <c r="C225" i="65"/>
  <c r="C215" i="65"/>
  <c r="C223" i="65"/>
  <c r="C228" i="65"/>
  <c r="C214" i="65"/>
  <c r="C226" i="65"/>
  <c r="C222" i="65"/>
  <c r="C221" i="65"/>
  <c r="C220" i="65"/>
  <c r="C218" i="65"/>
  <c r="C227" i="65"/>
  <c r="C224" i="65"/>
  <c r="C217" i="65"/>
  <c r="C216" i="65"/>
  <c r="C213" i="65"/>
  <c r="F167" i="112"/>
  <c r="F166" i="112"/>
  <c r="H79" i="54"/>
  <c r="M27" i="54"/>
  <c r="L27" i="54"/>
  <c r="K27" i="54"/>
  <c r="I79" i="54"/>
  <c r="G79" i="54"/>
  <c r="J27" i="54" s="1"/>
  <c r="J28" i="54" s="1"/>
  <c r="J79" i="54"/>
  <c r="C81" i="116"/>
  <c r="C82" i="113"/>
  <c r="D39" i="95"/>
  <c r="D76" i="95"/>
  <c r="D51" i="95"/>
  <c r="D94" i="95"/>
  <c r="D81" i="95"/>
  <c r="D58" i="95"/>
  <c r="D90" i="95"/>
  <c r="D44" i="95"/>
  <c r="D35" i="95"/>
  <c r="K28" i="54" l="1"/>
  <c r="R8" i="54" a="1"/>
  <c r="R8" i="54" s="1"/>
  <c r="L28" i="54"/>
  <c r="R16" i="54"/>
  <c r="R15" i="54"/>
  <c r="M28" i="54"/>
  <c r="R17" i="54" l="1"/>
  <c r="R10" i="54"/>
  <c r="R9" i="54"/>
  <c r="R20" i="54" l="1"/>
  <c r="R21" i="54" s="1"/>
  <c r="R18" i="54"/>
  <c r="R19" i="54" s="1"/>
</calcChain>
</file>

<file path=xl/sharedStrings.xml><?xml version="1.0" encoding="utf-8"?>
<sst xmlns="http://schemas.openxmlformats.org/spreadsheetml/2006/main" count="13724" uniqueCount="4030">
  <si>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</si>
  <si>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</si>
  <si>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</si>
  <si>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</si>
  <si>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</si>
  <si>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</si>
  <si>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vSAN Stretched Cluster</t>
  </si>
  <si>
    <t>NSX Federation for Management Domain</t>
  </si>
  <si>
    <t>Management Domain: Post-Deployment Options</t>
  </si>
  <si>
    <t>Select Option</t>
  </si>
  <si>
    <t>Feature</t>
  </si>
  <si>
    <t>Final Result</t>
  </si>
  <si>
    <t>Information</t>
  </si>
  <si>
    <t>Exclude</t>
  </si>
  <si>
    <t>NSX Network Connectivity for MGMT Workload Domain</t>
  </si>
  <si>
    <t>Configure SFTP Backups for SDDC Manager and NSX {VCF Operations}</t>
  </si>
  <si>
    <t>Configure SFTP Settings</t>
  </si>
  <si>
    <t>Configuration</t>
  </si>
  <si>
    <t>Sample</t>
  </si>
  <si>
    <t>Your Value</t>
  </si>
  <si>
    <t>Notes</t>
  </si>
  <si>
    <t xml:space="preserve">Host FQDN or IP </t>
  </si>
  <si>
    <t>20.10.5.10</t>
  </si>
  <si>
    <t>SFTP server for NSX Backups</t>
  </si>
  <si>
    <t>Port</t>
  </si>
  <si>
    <t>Transfer Protocol</t>
  </si>
  <si>
    <t>SFTP</t>
  </si>
  <si>
    <t>Username</t>
  </si>
  <si>
    <t>svc-vcf-bck</t>
  </si>
  <si>
    <t>Password</t>
  </si>
  <si>
    <t>VMw@re1!</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</si>
  <si>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</si>
  <si>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</si>
  <si>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</si>
  <si>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</si>
  <si>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</si>
  <si>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</si>
  <si>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</si>
  <si>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</si>
  <si>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</si>
  <si>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</si>
  <si>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</si>
  <si>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</si>
  <si>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</si>
  <si>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</si>
  <si>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</si>
  <si>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</si>
  <si>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</si>
  <si>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</si>
  <si>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</si>
  <si>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</si>
  <si>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</si>
  <si>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</si>
  <si>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Certificate Authority</t>
  </si>
  <si>
    <t>Microsoft</t>
  </si>
  <si>
    <t>Installing Microsoft CA-Signed Certificates using VCF Operations</t>
  </si>
  <si>
    <t>Algorithm</t>
  </si>
  <si>
    <t>RSA</t>
  </si>
  <si>
    <t>Organization</t>
  </si>
  <si>
    <t>Rainpole</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</si>
  <si>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</si>
  <si>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</si>
  <si>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</si>
  <si>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</si>
  <si>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</si>
  <si>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</si>
  <si>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</si>
  <si>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</si>
  <si>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</si>
  <si>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</si>
  <si>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</si>
  <si>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</si>
  <si>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</si>
  <si>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</si>
  <si>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</si>
  <si>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</si>
  <si>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</si>
  <si>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</si>
  <si>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</si>
  <si>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</si>
  <si>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NSX Routing for Management  Domain {vCenter}</t>
  </si>
  <si>
    <t>Create an NSX Edge Cluster</t>
  </si>
  <si>
    <t>Gateway Type</t>
  </si>
  <si>
    <t>Centralized Connectivity</t>
  </si>
  <si>
    <t>External Network Connectivity</t>
  </si>
  <si>
    <t>VLAN ID</t>
  </si>
  <si>
    <t>Gateway CIDR IPv4</t>
  </si>
  <si>
    <t>10.11.98.1/24</t>
  </si>
  <si>
    <t>Edge Cluster</t>
  </si>
  <si>
    <t>Edge Cluster Name</t>
  </si>
  <si>
    <t>Tunnel Endpoint MTU</t>
  </si>
  <si>
    <t xml:space="preserve">Is configured as part of the Global Fabric setting </t>
  </si>
  <si>
    <t>Edge Form Factor</t>
  </si>
  <si>
    <t>Medium</t>
  </si>
  <si>
    <t>Edge Node 1</t>
  </si>
  <si>
    <t>Edge Node 1: Edge Node Name (FQDN)</t>
  </si>
  <si>
    <t>vSphere Cluster</t>
  </si>
  <si>
    <t>Values are set based on vSphere Cluster configuration in the Deploy Management Domain Tab. Click to Redirect</t>
  </si>
  <si>
    <t>Resource Pool</t>
  </si>
  <si>
    <t xml:space="preserve">Resource Pool is optional and must be precreated in vCenter Prior to Starting this workflow </t>
  </si>
  <si>
    <t>Host Group Affinity</t>
  </si>
  <si>
    <t>No</t>
  </si>
  <si>
    <t>Host Group</t>
  </si>
  <si>
    <t>Datastore</t>
  </si>
  <si>
    <t>Values are set based on Datastore configuration in the Deploy Management Domain Tab. Click to Redirect</t>
  </si>
  <si>
    <t>IP Allocation</t>
  </si>
  <si>
    <t>Static</t>
  </si>
  <si>
    <t>Port Group</t>
  </si>
  <si>
    <t>Values are set based on VM Management Network configuration in the Deploy Management Domain Tab. Click to Redirect</t>
  </si>
  <si>
    <t>Edge Node 1: Management IP (CIDR)</t>
  </si>
  <si>
    <t>Edge Node 1: Management Gateway</t>
  </si>
  <si>
    <t>Use the host overlay network configuration from the selected vSphere Cluster</t>
  </si>
  <si>
    <t xml:space="preserve">Unselected </t>
  </si>
  <si>
    <t>Edge Node 1 Uplink Mapping</t>
  </si>
  <si>
    <t>fp-eth0</t>
  </si>
  <si>
    <t>Active PNIC</t>
  </si>
  <si>
    <t>Standby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</si>
  <si>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</si>
  <si>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</si>
  <si>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</si>
  <si>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</si>
  <si>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</si>
  <si>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</si>
  <si>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</si>
  <si>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</si>
  <si>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</si>
  <si>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</si>
  <si>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</si>
  <si>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</si>
  <si>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</si>
  <si>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</si>
  <si>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</si>
  <si>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</si>
  <si>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</si>
  <si>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</si>
  <si>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</si>
  <si>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</si>
  <si>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</si>
  <si>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</si>
  <si>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</si>
  <si>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</si>
  <si>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VMw@re1!VMw@re1!</t>
  </si>
  <si>
    <t>Edge Admin Password</t>
  </si>
  <si>
    <t>Workload Domain Connectivity</t>
  </si>
  <si>
    <t>Skip Gateway and Routing configurations for now</t>
  </si>
  <si>
    <t>Unselected</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</si>
  <si>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</si>
  <si>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</si>
  <si>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</si>
  <si>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</si>
  <si>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</si>
  <si>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</si>
  <si>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</si>
  <si>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</si>
  <si>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</si>
  <si>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</si>
  <si>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</si>
  <si>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</si>
  <si>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</si>
  <si>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Selected</t>
  </si>
  <si>
    <t>MTU</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</si>
  <si>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</si>
  <si>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</si>
  <si>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</si>
  <si>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</si>
  <si>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</si>
  <si>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</si>
  <si>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</si>
  <si>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</si>
  <si>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</si>
  <si>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</si>
  <si>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</si>
  <si>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</si>
  <si>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</si>
  <si>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</si>
  <si>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</si>
  <si>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192.168.21.0/24</t>
  </si>
  <si>
    <t>Provide External IPs to setup external connectivity</t>
  </si>
  <si>
    <t>Private - Transit Gateway IP Blocks</t>
  </si>
  <si>
    <t>172.23.0.0/16</t>
  </si>
  <si>
    <t>Provide Private IPs for VPC configuration</t>
  </si>
  <si>
    <t xml:space="preserve">Additonal Network Information </t>
  </si>
  <si>
    <t>Deploy Edges Using API</t>
  </si>
  <si>
    <t>Include</t>
  </si>
  <si>
    <t>Uplink 1 Network</t>
  </si>
  <si>
    <t>Distributed PortGroup Name</t>
  </si>
  <si>
    <t>System generated PortGroup names are used unless NSX Edges are deployed using API</t>
  </si>
  <si>
    <t>Gateway</t>
  </si>
  <si>
    <t>CIDR Notation</t>
  </si>
  <si>
    <t>Uplink 2 Network</t>
  </si>
  <si>
    <t xml:space="preserve">System generated PortGroup names are used unless NSX Edges are deployed using API </t>
  </si>
  <si>
    <t>Edge Overlay Network</t>
  </si>
  <si>
    <t>AVI Load Balancer  {SDDC}</t>
  </si>
  <si>
    <t>Deploy Advanced Load Balancer</t>
  </si>
  <si>
    <t>Select Version</t>
  </si>
  <si>
    <t>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</si>
  <si>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</si>
  <si>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</si>
  <si>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</si>
  <si>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</si>
  <si>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</si>
  <si>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</si>
  <si>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</si>
  <si>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</si>
  <si>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</si>
  <si>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</si>
  <si>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</si>
  <si>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</si>
  <si>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</si>
  <si>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Cluster FQDN</t>
  </si>
  <si>
    <t>Cluster Name</t>
  </si>
  <si>
    <t xml:space="preserve">vSAN Stretched Cluster </t>
  </si>
  <si>
    <t>Initial Host Configuration</t>
  </si>
  <si>
    <t>ESX Management Network</t>
  </si>
  <si>
    <t>ESX</t>
  </si>
  <si>
    <t>Host 1</t>
  </si>
  <si>
    <t>Management IP (ESX Host 1)</t>
  </si>
  <si>
    <t>Host 2</t>
  </si>
  <si>
    <t>Management IP (ESX Host 2)</t>
  </si>
  <si>
    <t>Host 3</t>
  </si>
  <si>
    <t>Management IP (ESX Host 3)</t>
  </si>
  <si>
    <t>Host 4</t>
  </si>
  <si>
    <t>Management IP (ESX Host 4)</t>
  </si>
  <si>
    <t>Host 5</t>
  </si>
  <si>
    <t>Management IP (ESX Host 5)</t>
  </si>
  <si>
    <t>Host 6</t>
  </si>
  <si>
    <t>Management IP (ESX Host 6)</t>
  </si>
  <si>
    <t>Host 7</t>
  </si>
  <si>
    <t>Management IP (ESX Host 7)</t>
  </si>
  <si>
    <t>Host 8</t>
  </si>
  <si>
    <t>Management IP (ESX Host 8)</t>
  </si>
  <si>
    <t>Host 9</t>
  </si>
  <si>
    <t>Management IP (ESX Host 9)</t>
  </si>
  <si>
    <t>Host 10</t>
  </si>
  <si>
    <t>Management IP (ESX Host 10)</t>
  </si>
  <si>
    <t>Host 11</t>
  </si>
  <si>
    <t>Management IP (ESX Host 11)</t>
  </si>
  <si>
    <t>Host 12</t>
  </si>
  <si>
    <t>Management IP (ESX Host 12)</t>
  </si>
  <si>
    <t>Host 13</t>
  </si>
  <si>
    <t>Management IP (ESX Host 13)</t>
  </si>
  <si>
    <t>Host 14</t>
  </si>
  <si>
    <t>Management IP (ESX Host 14)</t>
  </si>
  <si>
    <t>Host 15</t>
  </si>
  <si>
    <t>Management IP (ESX Host 15)</t>
  </si>
  <si>
    <t>Host 16</t>
  </si>
  <si>
    <t>Management IP (ESX Host 16)</t>
  </si>
  <si>
    <t>Create Network Pool {vCenter}</t>
  </si>
  <si>
    <t xml:space="preserve">VCF Network Pool  Type </t>
  </si>
  <si>
    <t>Create a new VCF Network Pool</t>
  </si>
  <si>
    <t>Network Pool Name</t>
  </si>
  <si>
    <t>vMotion Network</t>
  </si>
  <si>
    <t>Network</t>
  </si>
  <si>
    <t>Subnet Mask</t>
  </si>
  <si>
    <t>Default Gateway</t>
  </si>
  <si>
    <t>IP Range Start:</t>
  </si>
  <si>
    <t>IP Range End:</t>
  </si>
  <si>
    <t>vSAN Network</t>
  </si>
  <si>
    <t>NFS Network</t>
  </si>
  <si>
    <t>Commission Hosts {vCenter}</t>
  </si>
  <si>
    <t xml:space="preserve">Commission Hosts </t>
  </si>
  <si>
    <t>Name</t>
  </si>
  <si>
    <t>Reference Value</t>
  </si>
  <si>
    <t>Description</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</si>
  <si>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</si>
  <si>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</si>
  <si>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</si>
  <si>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</si>
  <si>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</si>
  <si>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</si>
  <si>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</si>
  <si>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</si>
  <si>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</si>
  <si>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</si>
  <si>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</si>
  <si>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</si>
  <si>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</si>
  <si>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</si>
  <si>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</si>
  <si>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</si>
  <si>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</si>
  <si>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</si>
  <si>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Root password</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</si>
  <si>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</si>
  <si>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</si>
  <si>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</si>
  <si>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</si>
  <si>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</si>
  <si>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</si>
  <si>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</si>
  <si>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</si>
  <si>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</si>
  <si>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</si>
  <si>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</si>
  <si>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</si>
  <si>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</si>
  <si>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</si>
  <si>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</si>
  <si>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</si>
  <si>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</si>
  <si>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</si>
  <si>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</si>
  <si>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</si>
  <si>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a vSAN cluster using the SDDC Manager API</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</si>
  <si>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</si>
  <si>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</si>
  <si>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</si>
  <si>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</si>
  <si>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</si>
  <si>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</si>
  <si>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</si>
  <si>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</si>
  <si>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</si>
  <si>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</si>
  <si>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</si>
  <si>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</si>
  <si>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</si>
  <si>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</si>
  <si>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</si>
  <si>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</si>
  <si>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</si>
  <si>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</si>
  <si>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</si>
  <si>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</si>
  <si>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</si>
  <si>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</si>
  <si>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</si>
  <si>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</si>
  <si>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</si>
  <si>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</si>
  <si>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</si>
  <si>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</si>
  <si>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</si>
  <si>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</si>
  <si>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</si>
  <si>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</si>
  <si>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</si>
  <si>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</si>
  <si>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</si>
  <si>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</si>
  <si>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</si>
  <si>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</si>
  <si>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</si>
  <si>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</si>
  <si>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</si>
  <si>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</si>
  <si>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</si>
  <si>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</si>
  <si>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</si>
  <si>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</si>
  <si>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</si>
  <si>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</si>
  <si>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</si>
  <si>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</si>
  <si>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NSX Configuration for Availability Zone 2</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</si>
  <si>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</si>
  <si>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</si>
  <si>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</si>
  <si>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</si>
  <si>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</si>
  <si>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</si>
  <si>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</si>
  <si>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</si>
  <si>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</si>
  <si>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</si>
  <si>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</si>
  <si>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</si>
  <si>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</si>
  <si>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</si>
  <si>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</si>
  <si>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</si>
  <si>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</si>
  <si>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</si>
  <si>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</si>
  <si>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</si>
  <si>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</si>
  <si>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</si>
  <si>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</si>
  <si>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</si>
  <si>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</si>
  <si>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</si>
  <si>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</si>
  <si>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</si>
  <si>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</si>
  <si>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</si>
  <si>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</si>
  <si>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</si>
  <si>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</si>
  <si>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</si>
  <si>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</si>
  <si>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</si>
  <si>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</si>
  <si>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</si>
  <si>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</si>
  <si>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</si>
  <si>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</si>
  <si>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</si>
  <si>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</si>
  <si>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</si>
  <si>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</si>
  <si>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</si>
  <si>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</si>
  <si>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</si>
  <si>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</si>
  <si>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</si>
  <si>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</si>
  <si>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</si>
  <si>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</si>
  <si>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</si>
  <si>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</si>
  <si>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</si>
  <si>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</si>
  <si>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</si>
  <si>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</si>
  <si>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</si>
  <si>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</si>
  <si>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</si>
  <si>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</si>
  <si>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</si>
  <si>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</si>
  <si>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</si>
  <si>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</si>
  <si>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</si>
  <si>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</si>
  <si>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</si>
  <si>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</si>
  <si>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</si>
  <si>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</si>
  <si>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</si>
  <si>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</si>
  <si>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</si>
  <si>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</si>
  <si>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</si>
  <si>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</si>
  <si>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</si>
  <si>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</si>
  <si>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</si>
  <si>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</si>
  <si>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</si>
  <si>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</si>
  <si>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</si>
  <si>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</si>
  <si>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</si>
  <si>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</si>
  <si>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</si>
  <si>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</si>
  <si>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</si>
  <si>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</si>
  <si>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</si>
  <si>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</si>
  <si>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</si>
  <si>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</si>
  <si>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</si>
  <si>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</si>
  <si>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</si>
  <si>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</si>
  <si>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</si>
  <si>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</si>
  <si>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</si>
  <si>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</si>
  <si>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CIDR</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</si>
  <si>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</si>
  <si>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</si>
  <si>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</si>
  <si>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</si>
  <si>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</si>
  <si>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</si>
  <si>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</si>
  <si>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</si>
  <si>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</si>
  <si>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</si>
  <si>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</si>
  <si>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</si>
  <si>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</si>
  <si>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</si>
  <si>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</si>
  <si>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</si>
  <si>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</si>
  <si>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</si>
  <si>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</si>
  <si>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</si>
  <si>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</si>
  <si>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</si>
  <si>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</si>
  <si>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</si>
  <si>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</si>
  <si>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</si>
  <si>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</si>
  <si>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</si>
  <si>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</si>
  <si>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</si>
  <si>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</si>
  <si>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</si>
  <si>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</si>
  <si>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</si>
  <si>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</si>
  <si>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</si>
  <si>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</si>
  <si>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</si>
  <si>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</si>
  <si>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</si>
  <si>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</si>
  <si>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</si>
  <si>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</si>
  <si>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</si>
  <si>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</si>
  <si>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</si>
  <si>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</si>
  <si>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</si>
  <si>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</si>
  <si>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</si>
  <si>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</si>
  <si>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</si>
  <si>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</si>
  <si>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</si>
  <si>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</si>
  <si>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</si>
  <si>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</si>
  <si>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</si>
  <si>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</si>
  <si>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</si>
  <si>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</si>
  <si>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</si>
  <si>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</si>
  <si>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</si>
  <si>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</si>
  <si>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</si>
  <si>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</si>
  <si>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</si>
  <si>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</si>
  <si>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Shared Management Network</t>
  </si>
  <si>
    <t>Networking Model for Component Deployment</t>
  </si>
  <si>
    <t xml:space="preserve">Deploy VCF Operations and Automation </t>
  </si>
  <si>
    <t>Deploy VCF Authentication</t>
  </si>
  <si>
    <t>Deploy VCF Operations for Logs</t>
  </si>
  <si>
    <t>Deploy VCF Operations for Networks</t>
  </si>
  <si>
    <t>Deploy VCF Operations and Automation  {SDDC Manager}</t>
  </si>
  <si>
    <t xml:space="preserve">Deployment Type </t>
  </si>
  <si>
    <t>Standard</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</si>
  <si>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</si>
  <si>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</si>
  <si>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</si>
  <si>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</si>
  <si>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</si>
  <si>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</si>
  <si>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</si>
  <si>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</si>
  <si>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</si>
  <si>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</si>
  <si>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</si>
  <si>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</si>
  <si>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VCF OPS Deployment</t>
  </si>
  <si>
    <t>Operations Load Balancer FQDN</t>
  </si>
  <si>
    <t>Operations primary FQDN</t>
  </si>
  <si>
    <t>Operations replica FQDN</t>
  </si>
  <si>
    <t>Operations data node FQDN</t>
  </si>
  <si>
    <t>Operations Load Balancer IP</t>
  </si>
  <si>
    <t>Optional: For a high availability deployment, you can connect an external load balancer.</t>
  </si>
  <si>
    <t>Operation primary IP</t>
  </si>
  <si>
    <t>Operations replica IP</t>
  </si>
  <si>
    <t>Operations data node IP</t>
  </si>
  <si>
    <t>applianceSize</t>
  </si>
  <si>
    <t>Root Password</t>
  </si>
  <si>
    <t>VCF OPS Collector</t>
  </si>
  <si>
    <t>9.0.0.0</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</si>
  <si>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</si>
  <si>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</si>
  <si>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</si>
  <si>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</si>
  <si>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</si>
  <si>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</si>
  <si>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</si>
  <si>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</si>
  <si>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</si>
  <si>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198.18.0.0/15</t>
  </si>
  <si>
    <t>The CIDR used for pods running the internal Kubernetes cluster</t>
  </si>
  <si>
    <t>Deploy VCF Automation  {VMware Cloud Foundation Operations}</t>
  </si>
  <si>
    <t>Deployment</t>
  </si>
  <si>
    <t>Installation Type</t>
  </si>
  <si>
    <t>New Install</t>
  </si>
  <si>
    <t xml:space="preserve">Use this section if  VCF Automation was skipped during the intial deployment. </t>
  </si>
  <si>
    <t>Small</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</si>
  <si>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</si>
  <si>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</si>
  <si>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</si>
  <si>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</si>
  <si>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</si>
  <si>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</si>
  <si>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</si>
  <si>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</si>
  <si>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</si>
  <si>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</si>
  <si>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</si>
  <si>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</si>
  <si>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</si>
  <si>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</si>
  <si>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Create a comma seperated list of IPs for the IP Address field</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</si>
  <si>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</si>
  <si>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</si>
  <si>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</si>
  <si>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</si>
  <si>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</si>
  <si>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</si>
  <si>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</si>
  <si>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</si>
  <si>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</si>
  <si>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Name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</si>
  <si>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</si>
  <si>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</si>
  <si>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</si>
  <si>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</si>
  <si>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</si>
  <si>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</si>
  <si>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</si>
  <si>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</si>
  <si>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</si>
  <si>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</si>
  <si>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</si>
  <si>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</si>
  <si>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</si>
  <si>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</si>
  <si>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</si>
  <si>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</si>
  <si>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</si>
  <si>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</si>
  <si>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</si>
  <si>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</si>
  <si>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</si>
  <si>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</si>
  <si>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Internal Cluster CIDR</t>
  </si>
  <si>
    <t>192.18.0.0/15</t>
  </si>
  <si>
    <t>Additional VIPs</t>
  </si>
  <si>
    <t>N/A</t>
  </si>
  <si>
    <t>Cluster Node IP Pool #1</t>
  </si>
  <si>
    <t>Cluster Node IP Pool #2</t>
  </si>
  <si>
    <t>Cluster Node IP Pool #3</t>
  </si>
  <si>
    <t>Cluster Node IP Pool #4</t>
  </si>
  <si>
    <t xml:space="preserve">Configure Vmware Cloud Foundation Authentication </t>
  </si>
  <si>
    <t>Deploy Identity Broker  {VMware Cloud Foundation Operations}</t>
  </si>
  <si>
    <t>VIDB FQDN</t>
  </si>
  <si>
    <t>VIDB VIP IP Address</t>
  </si>
  <si>
    <t>ntp0.sfo.rainpole.io,ntp1.sfo.rainpole.io</t>
  </si>
  <si>
    <t>VMware System User Password Alias</t>
  </si>
  <si>
    <t>VCF VIDB Admin Password</t>
  </si>
  <si>
    <t>VCF Identtity Broker virtual machines will be deployed with NodePrefix-&lt;generated id&gt; E.G. flt-idb-&lt;generated id&gt;</t>
  </si>
  <si>
    <t>100.64.0.0/15</t>
  </si>
  <si>
    <t>Choose the Identity Provider</t>
  </si>
  <si>
    <t>Select A VCF Instance</t>
  </si>
  <si>
    <t>Deployment Mode</t>
  </si>
  <si>
    <t>Identity Broker Appliance</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</si>
  <si>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</si>
  <si>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</si>
  <si>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</si>
  <si>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</si>
  <si>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</si>
  <si>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</si>
  <si>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</si>
  <si>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</si>
  <si>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</si>
  <si>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</si>
  <si>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</si>
  <si>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</si>
  <si>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</si>
  <si>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</si>
  <si>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</si>
  <si>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</si>
  <si>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</si>
  <si>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</si>
  <si>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</si>
  <si>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</si>
  <si>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</si>
  <si>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</si>
  <si>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</si>
  <si>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</si>
  <si>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</si>
  <si>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Configure User and Group Provisioning  {VCF OPS}</t>
  </si>
  <si>
    <t>Atrribute Mappings</t>
  </si>
  <si>
    <t>userName</t>
  </si>
  <si>
    <t>firstName</t>
  </si>
  <si>
    <t>givenName</t>
  </si>
  <si>
    <t>lastName</t>
  </si>
  <si>
    <t>sn</t>
  </si>
  <si>
    <t>distinguisehedName</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</si>
  <si>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</si>
  <si>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</si>
  <si>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</si>
  <si>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</si>
  <si>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</si>
  <si>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</si>
  <si>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</si>
  <si>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</si>
  <si>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</si>
  <si>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</si>
  <si>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</si>
  <si>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Deploy VCF Operations for Logs {VCF OPS}</t>
  </si>
  <si>
    <t>Passphrase</t>
  </si>
  <si>
    <t>FQDN - Cluster VIP</t>
  </si>
  <si>
    <t>FQDN - Master</t>
  </si>
  <si>
    <t>FQDN - Worker 1</t>
  </si>
  <si>
    <t>FQDN - Worker 2</t>
  </si>
  <si>
    <t>IP - Cluster Virtual IP</t>
  </si>
  <si>
    <t>IP - Master</t>
  </si>
  <si>
    <t>IP - Worker 1</t>
  </si>
  <si>
    <t>IP - Worker 2</t>
  </si>
  <si>
    <t>Select Disk Mode</t>
  </si>
  <si>
    <t>Thin</t>
  </si>
  <si>
    <t>Admin Password Alias</t>
  </si>
  <si>
    <t>Admin Password Description</t>
  </si>
  <si>
    <t>VCF Operations for Logs Admin Password</t>
  </si>
  <si>
    <t>Admin Username</t>
  </si>
  <si>
    <t>VCF Operations for Logs root Password</t>
  </si>
  <si>
    <t>Select all applicable vCenters to discover components</t>
  </si>
  <si>
    <t xml:space="preserve">Node Size </t>
  </si>
  <si>
    <t>FIPS Compliance Mode</t>
  </si>
  <si>
    <t xml:space="preserve">Certificate </t>
  </si>
  <si>
    <t>Once the component is set to be FIPS Mode Compliant, post-deployment this action cannot be reverted.</t>
  </si>
  <si>
    <t>Anti-Affinity / Affinity Rule</t>
  </si>
  <si>
    <t>Configure Cluster Vip</t>
  </si>
  <si>
    <t>Upgrade VM Compatibility</t>
  </si>
  <si>
    <t>Always Use English</t>
  </si>
  <si>
    <t>Enabling this configuration causes Operations for Logs to ignore the browser language and display English for all users.</t>
  </si>
  <si>
    <t>Admin Email</t>
  </si>
  <si>
    <t>Component Password</t>
  </si>
  <si>
    <t>Cluster Virtual IP</t>
  </si>
  <si>
    <t>vrli-master</t>
  </si>
  <si>
    <t>VM Name</t>
  </si>
  <si>
    <t>flt-logs01a</t>
  </si>
  <si>
    <t>vrli-worker-1</t>
  </si>
  <si>
    <t>flt-logs01b</t>
  </si>
  <si>
    <t>vrli-worker-2</t>
  </si>
  <si>
    <t>flt-logs01c</t>
  </si>
  <si>
    <t>Deploy VCF Operations for Networks {VCF OPS}</t>
  </si>
  <si>
    <t>Cluster</t>
  </si>
  <si>
    <t>FQDN - Platform Node #1</t>
  </si>
  <si>
    <t>FQDN - Platform Node #2</t>
  </si>
  <si>
    <t>FQDN - Platform Node #3</t>
  </si>
  <si>
    <t>FQDN - Collector</t>
  </si>
  <si>
    <t>IP - Platform Node #1</t>
  </si>
  <si>
    <t>IP - Platform Node #2</t>
  </si>
  <si>
    <t>IP - Platform Node #3</t>
  </si>
  <si>
    <t>IP - Collector</t>
  </si>
  <si>
    <t>Must be available  in vCenter prior to running workflow</t>
  </si>
  <si>
    <t>VCF Operations for Networks Admin Password</t>
  </si>
  <si>
    <t>Integrate with Identity Manager</t>
  </si>
  <si>
    <t>Operations for Networks Platform Password</t>
  </si>
  <si>
    <t>Support Password</t>
  </si>
  <si>
    <t>Console Password</t>
  </si>
  <si>
    <t xml:space="preserve">Select all applicable vCenters to discover components. </t>
  </si>
  <si>
    <t>operations-network platform node</t>
  </si>
  <si>
    <t>flt-net01a</t>
  </si>
  <si>
    <t>Node Size</t>
  </si>
  <si>
    <t>Large</t>
  </si>
  <si>
    <t>flt-net01b</t>
  </si>
  <si>
    <t>flt-net01c</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</si>
  <si>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</si>
  <si>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</si>
  <si>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</si>
  <si>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</si>
  <si>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Virtual Infrastructure (VI) Workload Domain: Deployment</t>
  </si>
  <si>
    <t>Number of Compute Hosts per rack for initial cluster</t>
  </si>
  <si>
    <t>Number of additional racks available for Layer 3 Multi-Rack Deployments</t>
  </si>
  <si>
    <t>Separate VLAN for Management VMs and ESX Management VMK Interfaces</t>
  </si>
  <si>
    <t>vSAN-ESA</t>
  </si>
  <si>
    <t>Principal Storage Model</t>
  </si>
  <si>
    <t xml:space="preserve">Create or Re-use an exising VCF Network Pool </t>
  </si>
  <si>
    <t>Deploy Workload Domain using ESX Hosts with External Certificates</t>
  </si>
  <si>
    <t>Enable Single Management Zone vSphere Supervisor with NSX VPC Networking</t>
  </si>
  <si>
    <t>Import VI Workload Domain</t>
  </si>
  <si>
    <t>Enter the general configuration details for this deployment</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</si>
  <si>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</si>
  <si>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</si>
  <si>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</si>
  <si>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</si>
  <si>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</si>
  <si>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</si>
  <si>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</si>
  <si>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</si>
  <si>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</si>
  <si>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NSX Manager</t>
  </si>
  <si>
    <t>Provide details about the networking to use with this workload domain.</t>
  </si>
  <si>
    <t>NSX Manager Instance Options</t>
  </si>
  <si>
    <t>Create new NSX Manager Instance</t>
  </si>
  <si>
    <t>Deployment Size</t>
  </si>
  <si>
    <t>NSX Management Cluster</t>
  </si>
  <si>
    <t>Appliance Size</t>
  </si>
  <si>
    <t>Appliance 1 FQDN</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</si>
  <si>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</si>
  <si>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</si>
  <si>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</si>
  <si>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</si>
  <si>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</si>
  <si>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</si>
  <si>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</si>
  <si>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Enable Edge cluster sync and import NSX Edge node VMs</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</si>
  <si>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</si>
  <si>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</si>
  <si>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</si>
  <si>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</si>
  <si>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</si>
  <si>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</si>
  <si>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</si>
  <si>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 xml:space="preserve">Deploy VI Workload Domain </t>
  </si>
  <si>
    <t>Initial Host Configuring</t>
  </si>
  <si>
    <t>Management IP (ESXHost 3)</t>
  </si>
  <si>
    <t>Create Network Pool</t>
  </si>
  <si>
    <t xml:space="preserve">vSAN Network - vSAN Storage Cluster </t>
  </si>
  <si>
    <t>Commission Hosts</t>
  </si>
  <si>
    <t>Deploy a VI Workload Domain</t>
  </si>
  <si>
    <t>General Information</t>
  </si>
  <si>
    <t>Enable vSphere Supervisor</t>
  </si>
  <si>
    <t>Value is set based on choice in the Virtual Infrastructure (VI) Workload Domain: Deployment Options</t>
  </si>
  <si>
    <t>SSO Domain Name</t>
  </si>
  <si>
    <t>Auto-generate my passwords for newly installed appliances</t>
  </si>
  <si>
    <t>SSO Administration Password</t>
  </si>
  <si>
    <t>vCenter</t>
  </si>
  <si>
    <t>vCenter FQDN</t>
  </si>
  <si>
    <t>vCenter Root Password</t>
  </si>
  <si>
    <t>Enter the details for the first cluster that will be created as default in this new workload domain</t>
  </si>
  <si>
    <t>vSphere Zone Name</t>
  </si>
  <si>
    <t>sfo-w01-zn01</t>
  </si>
  <si>
    <t>Image</t>
  </si>
  <si>
    <t>Select an image and assign it to the selected clusters. You can import images from the Image Management catalog.</t>
  </si>
  <si>
    <t>High-Availability</t>
  </si>
  <si>
    <t>IP Address 1</t>
  </si>
  <si>
    <t>IP Address must be in the same subnet as the VM Management Network for the Management Workload Domain</t>
  </si>
  <si>
    <t>IP Address 2</t>
  </si>
  <si>
    <t>IP Address 3</t>
  </si>
  <si>
    <t>Cluster IP</t>
  </si>
  <si>
    <t>Audit Password</t>
  </si>
  <si>
    <t>Configure Network Connectivity and VPC External IP Blocks</t>
  </si>
  <si>
    <t>Gateway CIDR IPv4 Address</t>
  </si>
  <si>
    <t>External IP Block</t>
  </si>
  <si>
    <t>172.24.0.0/16</t>
  </si>
  <si>
    <t>Private - Transit Gateway IP Block</t>
  </si>
  <si>
    <t>Storage</t>
  </si>
  <si>
    <t>Storage Selection</t>
  </si>
  <si>
    <t>Enable vSAN ESA</t>
  </si>
  <si>
    <t>Select the cluster type and review the storage configuration.</t>
  </si>
  <si>
    <t xml:space="preserve">vSAN Storage Type </t>
  </si>
  <si>
    <t xml:space="preserve">vSAN HCI </t>
  </si>
  <si>
    <t xml:space="preserve">Workflow will auto generate the Datastore name. Datastore can be changed to the desired value post deployment. </t>
  </si>
  <si>
    <t>vSAN Storage Client Network</t>
  </si>
  <si>
    <t>1</t>
  </si>
  <si>
    <t>vSAN: Deduplication and Compression</t>
  </si>
  <si>
    <t>VMFS on FC: Datastore Name</t>
  </si>
  <si>
    <t>NFS: Datastore Name</t>
  </si>
  <si>
    <t>NFS: Share Path</t>
  </si>
  <si>
    <t>NFS: Address of NFS Server</t>
  </si>
  <si>
    <t xml:space="preserve">Host Selection </t>
  </si>
  <si>
    <t>Distributed Switch</t>
  </si>
  <si>
    <t>Provide the VDS configuration to be applied to the hosts in the cluster.</t>
  </si>
  <si>
    <t>Selected Profile</t>
  </si>
  <si>
    <t>Default</t>
  </si>
  <si>
    <t xml:space="preserve">Copy From Preconfigured Profile </t>
  </si>
  <si>
    <r>
      <t xml:space="preserve">If MTU, Static Pools for Host TEP or custom configuration is required then use </t>
    </r>
    <r>
      <rPr>
        <b/>
        <sz val="12"/>
        <color theme="1"/>
        <rFont val="Arial"/>
        <family val="2"/>
      </rPr>
      <t>Copy from Preconfigured Profile</t>
    </r>
    <r>
      <rPr>
        <sz val="12"/>
        <color theme="1"/>
        <rFont val="Arial"/>
        <family val="2"/>
      </rPr>
      <t xml:space="preserve"> option</t>
    </r>
  </si>
  <si>
    <t>Distributed Switch Configuration</t>
  </si>
  <si>
    <t>Primary Distributed Switch Name</t>
  </si>
  <si>
    <t>Primary vSphere Distributed Switch</t>
  </si>
  <si>
    <t>Type</t>
  </si>
  <si>
    <t>VDS Uplinks</t>
  </si>
  <si>
    <t>LAG Name</t>
  </si>
  <si>
    <t>LACP Mode</t>
  </si>
  <si>
    <t>Active</t>
  </si>
  <si>
    <t>LAG Load Balancing</t>
  </si>
  <si>
    <t>Source and destination IP and TCP/UDP port and vLAN</t>
  </si>
  <si>
    <t>LACP Time Out</t>
  </si>
  <si>
    <t>Slow</t>
  </si>
  <si>
    <t>Number of Uplinks</t>
  </si>
  <si>
    <t>Physical Network Adapters Used</t>
  </si>
  <si>
    <t>vmnic0,vmnic1</t>
  </si>
  <si>
    <t>Supported Traffic Type</t>
  </si>
  <si>
    <t>Management,vMotion,vSan,Overlay</t>
  </si>
  <si>
    <t>Secondary Distributed Switch Name</t>
  </si>
  <si>
    <t>Secondary vSphere Distributed Switch</t>
  </si>
  <si>
    <t>vmnic2,vmnic3</t>
  </si>
  <si>
    <t>Tertiary Distributed Switch Name</t>
  </si>
  <si>
    <t>Tertiary vSphere Distributed Switch</t>
  </si>
  <si>
    <t>Fast</t>
  </si>
  <si>
    <t>vmnic4,vmnic5</t>
  </si>
  <si>
    <t>NSX-Overlay</t>
  </si>
  <si>
    <t>Network Traffic: Management</t>
  </si>
  <si>
    <t>Portgroup will be created on Primary Distributed Switch</t>
  </si>
  <si>
    <t>Load Balancing</t>
  </si>
  <si>
    <t>Route Based on Physical NIC Load</t>
  </si>
  <si>
    <t>uplink1</t>
  </si>
  <si>
    <t>uplink2</t>
  </si>
  <si>
    <t>Network Traffic: VM Management</t>
  </si>
  <si>
    <t>Should be created manually on Primary Distributed Switch post Deployment. Used for NSX Edge MGMT Interface.</t>
  </si>
  <si>
    <t>Network Traffic: vMotion</t>
  </si>
  <si>
    <t>Network Traffic: vSAN Storage Client</t>
  </si>
  <si>
    <t>Network Traffic: NSX</t>
  </si>
  <si>
    <t>Apply default operation mode configured in NSX Manager</t>
  </si>
  <si>
    <t>Transport Zone Type: NSX-Overlay</t>
  </si>
  <si>
    <t>Transport Zone Type: NSX-VLAN</t>
  </si>
  <si>
    <t>Transport Zones</t>
  </si>
  <si>
    <t>Transport Zone Name</t>
  </si>
  <si>
    <t>IP Assignment (TEP)</t>
  </si>
  <si>
    <t>Static IP Pool</t>
  </si>
  <si>
    <t>Pool name</t>
  </si>
  <si>
    <t>ESX Host Overlay TEP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</si>
  <si>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</si>
  <si>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</si>
  <si>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</si>
  <si>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</si>
  <si>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</si>
  <si>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</si>
  <si>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</si>
  <si>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</si>
  <si>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</si>
  <si>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</si>
  <si>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</si>
  <si>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vSphere Supervisor</t>
  </si>
  <si>
    <t xml:space="preserve"> vSphere Supervisor requires centralized edge gateway deployment</t>
  </si>
  <si>
    <t>Supervisor Name</t>
  </si>
  <si>
    <t>Note: Only Single Zone vSphere Supervisor with NSX VPC Networking can be deployed during WLD Creation.Use vSphere Client or vCenter API for other topologies</t>
  </si>
  <si>
    <t>Service CIDR</t>
  </si>
  <si>
    <t>10.96.0.0/24</t>
  </si>
  <si>
    <t>Use ESXi Management VMK settings</t>
  </si>
  <si>
    <t>Control Plane IP Range</t>
  </si>
  <si>
    <t>Virtual Private Cloud Network</t>
  </si>
  <si>
    <t>NSX Project</t>
  </si>
  <si>
    <t>Default project</t>
  </si>
  <si>
    <t>VPC Connectivity Profile</t>
  </si>
  <si>
    <t>Default profile</t>
  </si>
  <si>
    <t>Private (Transit Gateway) CIDR</t>
  </si>
  <si>
    <t>172.25.0.0/16</t>
  </si>
  <si>
    <t>Correlates to Private - Transit Gateway IP Blocks in the NSX Network Connectivity for VI WLD workflow</t>
  </si>
  <si>
    <t>Private CIDR</t>
  </si>
  <si>
    <t>172.26.0.0/16</t>
  </si>
  <si>
    <t xml:space="preserve">Workload DNS </t>
  </si>
  <si>
    <t xml:space="preserve">Workload NTP </t>
  </si>
  <si>
    <t>VCF Workload Domain Reference Sheet</t>
  </si>
  <si>
    <t>VM Management Network</t>
  </si>
  <si>
    <t xml:space="preserve">VM Management Network can be used for NSX Edge Node Management Interface </t>
  </si>
  <si>
    <t>10.13.12.101</t>
  </si>
  <si>
    <t>10.13.12.116</t>
  </si>
  <si>
    <t>10.13.13.101</t>
  </si>
  <si>
    <t>10.13.13.116</t>
  </si>
  <si>
    <t>Host Overlay Network</t>
  </si>
  <si>
    <t>Hostnames</t>
  </si>
  <si>
    <t>Reference IP Address</t>
  </si>
  <si>
    <t>Your IP Address</t>
  </si>
  <si>
    <t>NSX-T</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</si>
  <si>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</si>
  <si>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</si>
  <si>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</si>
  <si>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</si>
  <si>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</si>
  <si>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</si>
  <si>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</si>
  <si>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</si>
  <si>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</si>
  <si>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</si>
  <si>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</si>
  <si>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</si>
  <si>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</si>
  <si>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</si>
  <si>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</si>
  <si>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</si>
  <si>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Added Stuff</t>
  </si>
  <si>
    <t>pnp_version_history</t>
  </si>
  <si>
    <t>Fleet Deployment CIDR</t>
  </si>
  <si>
    <t>Fleet Deployment Network</t>
  </si>
  <si>
    <t>small</t>
  </si>
  <si>
    <t>Fleet Deployment Gateway IP</t>
  </si>
  <si>
    <t>Use VM management network</t>
  </si>
  <si>
    <t>Fleet Deployment Mask</t>
  </si>
  <si>
    <t xml:space="preserve">sample </t>
  </si>
  <si>
    <t>input</t>
  </si>
  <si>
    <t>name</t>
  </si>
  <si>
    <t>Fleet Deployment MTU</t>
  </si>
  <si>
    <t xml:space="preserve">VCF Automation VCF Installer </t>
  </si>
  <si>
    <t>Fleet Deployment VLANID</t>
  </si>
  <si>
    <t>Moved Stuff</t>
  </si>
  <si>
    <t xml:space="preserve">Deploy VCF Automation  {SDDC Manager} </t>
  </si>
  <si>
    <t>Child DNS Zone</t>
  </si>
  <si>
    <t>vSAN Witness DNS Zone</t>
  </si>
  <si>
    <t>DNS Server 1 (Cross-Instance Components)</t>
  </si>
  <si>
    <t>DNS Server 2 (Cross-Instance Components)</t>
  </si>
  <si>
    <t>Domain Controller</t>
  </si>
  <si>
    <t>SMTP Server</t>
  </si>
  <si>
    <t>smtp.rainpole.io</t>
  </si>
  <si>
    <t xml:space="preserve">NSX Edge Clusters </t>
  </si>
  <si>
    <t>SMTP Server Port</t>
  </si>
  <si>
    <t>NTP Server 1 (Cross-Instance Components)</t>
  </si>
  <si>
    <t>NTP Server 2 (Cross-Instance Components)</t>
  </si>
  <si>
    <t>Fleet Components Ips</t>
  </si>
  <si>
    <t xml:space="preserve">License </t>
  </si>
  <si>
    <t>Services Runtime</t>
  </si>
  <si>
    <t xml:space="preserve">instance components </t>
  </si>
  <si>
    <t xml:space="preserve">fleet component </t>
  </si>
  <si>
    <t>auto services runtime</t>
  </si>
  <si>
    <t xml:space="preserve">not required for 9.0 </t>
  </si>
  <si>
    <t>Fleet Components FQDNs</t>
  </si>
  <si>
    <t>flt-vcfa-sr01.rainpole.io</t>
  </si>
  <si>
    <t>Deploy VCF Automation Node Range</t>
  </si>
  <si>
    <t>IPv4 address Range from</t>
  </si>
  <si>
    <t>IPv4 address Range To</t>
  </si>
  <si>
    <t>Deploy VCF MS Node Range</t>
  </si>
  <si>
    <t xml:space="preserve">Virtual Network Appliance </t>
  </si>
  <si>
    <t>MGMT Exisitng NSX-GM</t>
  </si>
  <si>
    <t xml:space="preserve">Cross instance Tier 0 </t>
  </si>
  <si>
    <t>Rack2</t>
  </si>
  <si>
    <t>Input</t>
  </si>
  <si>
    <t>Rack3</t>
  </si>
  <si>
    <t>Rack4</t>
  </si>
  <si>
    <t>Rack5</t>
  </si>
  <si>
    <t>Rack6</t>
  </si>
  <si>
    <t>Rack7</t>
  </si>
  <si>
    <t>Rack8</t>
  </si>
  <si>
    <t>VLAN Uplink1</t>
  </si>
  <si>
    <t>VLAN Uplink2</t>
  </si>
  <si>
    <t>VLAN Edge Overlay</t>
  </si>
  <si>
    <t>Network Uplink1</t>
  </si>
  <si>
    <t>Network Uplink2</t>
  </si>
  <si>
    <t>Network Edge Overlay</t>
  </si>
  <si>
    <t>Gateway Uplink1</t>
  </si>
  <si>
    <t>Gateway Uplink2</t>
  </si>
  <si>
    <t>Gateway Edge Overlay</t>
  </si>
  <si>
    <t>Mask Uplink1</t>
  </si>
  <si>
    <t>Mask Uplink2</t>
  </si>
  <si>
    <t>Mask Edge Overlay</t>
  </si>
  <si>
    <t>MTU Uplink1</t>
  </si>
  <si>
    <t>MTU Uplink2</t>
  </si>
  <si>
    <t>MTU Edge Overlay</t>
  </si>
  <si>
    <t>NSX Edge Nodes Autonomous System ID</t>
  </si>
  <si>
    <t xml:space="preserve">        VMware Cloud Foundation VI Workload Domain Post-Deployment </t>
  </si>
  <si>
    <t xml:space="preserve"> </t>
  </si>
  <si>
    <t>NSX Network Connectivity for the Workload Domain</t>
  </si>
  <si>
    <t>NSX Federation for Workload Domain</t>
  </si>
  <si>
    <t>Virtual Infrastructure (VI) Workload Domain: Post-Deployment Options</t>
  </si>
  <si>
    <t>NSX Network Connectivity for VI Workload Domain</t>
  </si>
  <si>
    <t>NSX Federation for VI Workload Domain</t>
  </si>
  <si>
    <t>Installing Microsoft CA-Signed Certificates using SDDC Manager</t>
  </si>
  <si>
    <t>NSX Network Connectivity for the Workload Domain {vCenter}</t>
  </si>
  <si>
    <t>Create an NSX-T Edge Cluster</t>
  </si>
  <si>
    <t>Configured as part of Global Fabric Setting</t>
  </si>
  <si>
    <t>Values are set based on vSphere Cluster configuration in the Deploy Workload Domain Tab. Click to Redirect</t>
  </si>
  <si>
    <t xml:space="preserve">Host Group is optional and must be precreated in vCenter Prior to Starting this workflow </t>
  </si>
  <si>
    <t>Data Store</t>
  </si>
  <si>
    <t>Values are set based on Datastore configuration in the Deploy Workload Domain Tab. Click to Redirect</t>
  </si>
  <si>
    <t>Must be precreated in vCenter, Values are set based on VM Management Network configuration in the Deploy Workload Domain Tab. Click to Redirect</t>
  </si>
  <si>
    <t>Values are set based on VM Management Network configuration in the Deploy Workload Domain Tab. Click to Redirect</t>
  </si>
  <si>
    <t>Edge Node Uplink Mapping</t>
  </si>
  <si>
    <t>vmnic0</t>
  </si>
  <si>
    <t>vmnic1</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</si>
  <si>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</si>
  <si>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</si>
  <si>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</si>
  <si>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</si>
  <si>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</si>
  <si>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</si>
  <si>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</si>
  <si>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</si>
  <si>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</si>
  <si>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</si>
  <si>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</si>
  <si>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</si>
  <si>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</si>
  <si>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</si>
  <si>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</si>
  <si>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</si>
  <si>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</si>
  <si>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</si>
  <si>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vSAN Stretched Cluster {API}</t>
  </si>
  <si>
    <t>WLD Domain VLAN and IP Subnet Requirements (vSAN Witness Zone)</t>
  </si>
  <si>
    <t>Deploy and Configure vSAN Witness Host  {vCenter}</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</si>
  <si>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</si>
  <si>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</si>
  <si>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</si>
  <si>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</si>
  <si>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</si>
  <si>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</si>
  <si>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</si>
  <si>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</si>
  <si>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</si>
  <si>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</si>
  <si>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</si>
  <si>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</si>
  <si>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</si>
  <si>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</si>
  <si>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</si>
  <si>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</si>
  <si>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</si>
  <si>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</si>
  <si>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</si>
  <si>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</si>
  <si>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</si>
  <si>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</si>
  <si>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</si>
  <si>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</si>
  <si>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</si>
  <si>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</si>
  <si>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</si>
  <si>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</si>
  <si>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</si>
  <si>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</si>
  <si>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</si>
  <si>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</si>
  <si>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</si>
  <si>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</si>
  <si>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</si>
  <si>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</si>
  <si>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</si>
  <si>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</si>
  <si>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</si>
  <si>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</si>
  <si>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</si>
  <si>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</si>
  <si>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</si>
  <si>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</si>
  <si>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</si>
  <si>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</si>
  <si>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</si>
  <si>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</si>
  <si>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</si>
  <si>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</si>
  <si>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</si>
  <si>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</si>
  <si>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</si>
  <si>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</si>
  <si>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</si>
  <si>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</si>
  <si>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</si>
  <si>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</si>
  <si>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</si>
  <si>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</si>
  <si>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</si>
  <si>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</si>
  <si>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</si>
  <si>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</si>
  <si>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</si>
  <si>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</si>
  <si>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</si>
  <si>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</si>
  <si>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</si>
  <si>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</si>
  <si>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</si>
  <si>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</si>
  <si>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</si>
  <si>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</si>
  <si>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</si>
  <si>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</si>
  <si>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</si>
  <si>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</si>
  <si>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</si>
  <si>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</si>
  <si>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</si>
  <si>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</si>
  <si>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</si>
  <si>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</si>
  <si>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</si>
  <si>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</si>
  <si>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</si>
  <si>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</si>
  <si>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</si>
  <si>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</si>
  <si>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</si>
  <si>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</si>
  <si>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</si>
  <si>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</si>
  <si>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</si>
  <si>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</si>
  <si>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</si>
  <si>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</si>
  <si>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</si>
  <si>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</si>
  <si>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</si>
  <si>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</si>
  <si>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</si>
  <si>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</si>
  <si>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</si>
  <si>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Preconfigured Profiles</t>
  </si>
  <si>
    <t>Portgroup should be created manually on Primary Distributed Switch post Deployment. Used for NSX Edge MGMT Interface.</t>
  </si>
  <si>
    <t>Transport Zone Type: NSX- Overlay</t>
  </si>
  <si>
    <t>Re-use an existing Pool</t>
  </si>
  <si>
    <t xml:space="preserve">Description </t>
  </si>
  <si>
    <t>NSX Transport Node Profile Settings</t>
  </si>
  <si>
    <t>Active uplink1</t>
  </si>
  <si>
    <t>Active uplink2</t>
  </si>
  <si>
    <t>Stretched Cluster</t>
  </si>
  <si>
    <t>Commission Hosts  {vCenter}</t>
  </si>
  <si>
    <t>vSAN Compute Site Network Toplogy</t>
  </si>
  <si>
    <t>Symmetric</t>
  </si>
  <si>
    <t>vSAN Compute Cluster Fault Domain Mapping</t>
  </si>
  <si>
    <t>Primary</t>
  </si>
  <si>
    <t>New</t>
  </si>
  <si>
    <t>Old</t>
  </si>
  <si>
    <t>input_vvs_dr_ntp1_server</t>
  </si>
  <si>
    <t>input_vvs_dr_ntp1_ip</t>
  </si>
  <si>
    <t>cluster_vsan_type_chosen</t>
  </si>
  <si>
    <t>input_cluster_vsan_type</t>
  </si>
  <si>
    <t>flt_vidb_chosen</t>
  </si>
  <si>
    <t>input_flt_vidb_deployment_mode</t>
  </si>
  <si>
    <t>mgmt_vns_chosen</t>
  </si>
  <si>
    <t>input_mgmt_ec_gateway_type</t>
  </si>
  <si>
    <t>wld_cl01_vsan_client_network_chosen</t>
  </si>
  <si>
    <t>input_wld_cl01_vsan_client_network_chosen</t>
  </si>
  <si>
    <t>vvs_dr_flt_logs_nodea_hostname</t>
  </si>
  <si>
    <t>input_xreg_logs_nodea_hostname</t>
  </si>
  <si>
    <t>vvs_dr_flt_logs_nodeb_hostname</t>
  </si>
  <si>
    <t>input_xreg_logs_nodeb_hostname</t>
  </si>
  <si>
    <t>vvs_dr_flt_logs_nodec_hostname</t>
  </si>
  <si>
    <t>input_xreg_logs_nodec_hostname</t>
  </si>
  <si>
    <t>vvs_dr_flt_net_nodea_hostname</t>
  </si>
  <si>
    <t>input_xreg_net_nodea_hostname</t>
  </si>
  <si>
    <t>vvs_dr_flt_net_nodeb_hostname</t>
  </si>
  <si>
    <t>input_xreg_net_nodeb_hostname</t>
  </si>
  <si>
    <t>input_xreg_net_nodec_hostname</t>
  </si>
  <si>
    <t>vvs_dr_flt_fleet_manager_hostname</t>
  </si>
  <si>
    <t>input_xreg_vrops_flt_hostname</t>
  </si>
  <si>
    <t>wld_multirack_calc</t>
  </si>
  <si>
    <t>wld_multirack_chosen</t>
  </si>
  <si>
    <t>cluster_vsan_type</t>
  </si>
  <si>
    <t>wld_cl01_vsan_client_network</t>
  </si>
  <si>
    <t>sample_mgmt_nsxt_gm_vip_ip</t>
  </si>
  <si>
    <t>sample_mgmt_nsxt_gm_ip</t>
  </si>
  <si>
    <t>input_mgmt_nsxt_gm_vip_ip</t>
  </si>
  <si>
    <t>input_mgmt_nsxt_gm_ip</t>
  </si>
  <si>
    <t>mgmt_nsxt_gm_vip_ip</t>
  </si>
  <si>
    <t>mgmt_nsxt_gm_ip</t>
  </si>
  <si>
    <t>sample_mgmt_nsxt_vip_ip</t>
  </si>
  <si>
    <t>sample_mgmt_nsxt_ip</t>
  </si>
  <si>
    <t>input_mgmt_nsxt_vip_ip</t>
  </si>
  <si>
    <t>input_mgmt_nsxt_ip</t>
  </si>
  <si>
    <t>mgmt_nsxt_vip_ip</t>
  </si>
  <si>
    <t>mgmt_nsxt_ip</t>
  </si>
  <si>
    <t>sample_wld_nsxt_gm_vip_ip</t>
  </si>
  <si>
    <t>sample_wld_nsxt_gm_ip</t>
  </si>
  <si>
    <t>input_wld_nsxt_gm_vip_ip</t>
  </si>
  <si>
    <t>input_wld_nsxt_gm_ip</t>
  </si>
  <si>
    <t>wld_nsxt_gm_vip_ip</t>
  </si>
  <si>
    <t>wld_nsxt_gm_ip</t>
  </si>
  <si>
    <t>sample_wld_nsxt_vip_ip</t>
  </si>
  <si>
    <t>sample_wld_nsxt_ip</t>
  </si>
  <si>
    <t>input_wld_nsxt_vip_ip</t>
  </si>
  <si>
    <t>input_wld_nsxt_ip</t>
  </si>
  <si>
    <t>wld_nsxt_vip_ip</t>
  </si>
  <si>
    <t>wld_nsxt_ip</t>
  </si>
  <si>
    <t>sample_flt_vidb_vip_fqdn</t>
  </si>
  <si>
    <t>sample_flt_vidb_fqdn</t>
  </si>
  <si>
    <t>input_flt_vidb_vip_fqdn</t>
  </si>
  <si>
    <t>input_flt_vidb_fqdn</t>
  </si>
  <si>
    <t>flt_vidb_vip_fqdn</t>
  </si>
  <si>
    <t>flt_vidb_fqdn</t>
  </si>
  <si>
    <t>mgmt_nsxt_appliance_size_chosen</t>
  </si>
  <si>
    <t>sizing_m01_nsxt_model_chosen</t>
  </si>
  <si>
    <t>wld_nsxt_appliance_size_chosen</t>
  </si>
  <si>
    <t xml:space="preserve">sizing_wld_nsxt_model_chosen </t>
  </si>
  <si>
    <t>mgmt_vcenter_appliance_size_chosen</t>
  </si>
  <si>
    <t xml:space="preserve">sizing_m01_vcenter_appliance_size_chosen </t>
  </si>
  <si>
    <t>mgmt_vcenter_appliance_storage_size_chosen</t>
  </si>
  <si>
    <t>sizing_m01_vcenter_storage_size_chosen</t>
  </si>
  <si>
    <t>mgmt_vcfops_appliance_size_chosen</t>
  </si>
  <si>
    <t>xreg_vrops_appliance_size_chosen</t>
  </si>
  <si>
    <t xml:space="preserve">       VMware Cloud Foundation Network Value Reference Tables</t>
  </si>
  <si>
    <t>Transposed and Calculated Values. All values are named cells for reference in other areas of the Workbook</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</si>
  <si>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</si>
  <si>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</si>
  <si>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</si>
  <si>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</si>
  <si>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</si>
  <si>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</si>
  <si>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</si>
  <si>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</si>
  <si>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</si>
  <si>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</si>
  <si>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Modifiers</t>
  </si>
  <si>
    <t>Value</t>
  </si>
  <si>
    <t>AZ1 Actual Value</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</si>
  <si>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</si>
  <si>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</si>
  <si>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</si>
  <si>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</si>
  <si>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</si>
  <si>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</si>
  <si>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</si>
  <si>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</si>
  <si>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</si>
  <si>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Protocol</t>
  </si>
  <si>
    <t>Secondary Storage Network (NFS)</t>
  </si>
  <si>
    <t>Internet Proxy Chosen</t>
  </si>
  <si>
    <t>Proxy Address</t>
  </si>
  <si>
    <t>NSX Edge Uplink 1</t>
  </si>
  <si>
    <t xml:space="preserve">Proxy Port </t>
  </si>
  <si>
    <t>NSX Edge Uplink 2</t>
  </si>
  <si>
    <t>Proxy Authentication</t>
  </si>
  <si>
    <t>NSX Edge Overlay</t>
  </si>
  <si>
    <t>Start ASN</t>
  </si>
  <si>
    <t>NSX RTEP Overlay</t>
  </si>
  <si>
    <t>Instance 1</t>
  </si>
  <si>
    <t>vSphere Replication</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</si>
  <si>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</si>
  <si>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</si>
  <si>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</si>
  <si>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</si>
  <si>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</si>
  <si>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</si>
  <si>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</si>
  <si>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</si>
  <si>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</si>
  <si>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</si>
  <si>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</si>
  <si>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</si>
  <si>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</si>
  <si>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</si>
  <si>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Deployment Type</t>
  </si>
  <si>
    <t>Instance Name</t>
  </si>
  <si>
    <t xml:space="preserve">Deployment Model </t>
  </si>
  <si>
    <t>Password Creation Auto-generate passwords</t>
  </si>
  <si>
    <t>FLT-MGR use Use same password as VCF Operations</t>
  </si>
  <si>
    <t>Ops-Collector Use same password as VCF Operations</t>
  </si>
  <si>
    <t>Deployment Parameters</t>
  </si>
  <si>
    <t>DNS</t>
  </si>
  <si>
    <t>Zone name</t>
  </si>
  <si>
    <t>Server #1</t>
  </si>
  <si>
    <t>Server #2</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</si>
  <si>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</si>
  <si>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</si>
  <si>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</si>
  <si>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</si>
  <si>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</si>
  <si>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</si>
  <si>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</si>
  <si>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</si>
  <si>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</si>
  <si>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NTP</t>
  </si>
  <si>
    <t>Server #3</t>
  </si>
  <si>
    <t>Enable Customer Experience Improvement Program (CEIP)</t>
  </si>
  <si>
    <t>Appliance Storage Size</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</si>
  <si>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</si>
  <si>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</si>
  <si>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</si>
  <si>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</si>
  <si>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</si>
  <si>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</si>
  <si>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</si>
  <si>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</si>
  <si>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</si>
  <si>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</si>
  <si>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</si>
  <si>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Appliance 2 FQDN</t>
  </si>
  <si>
    <t>Appliance 3 FQDN</t>
  </si>
  <si>
    <t>Principal Storage Network (vSAN-ESA)</t>
  </si>
  <si>
    <t>VCF Operations</t>
  </si>
  <si>
    <t>Operations Collector appliance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</si>
  <si>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</si>
  <si>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</si>
  <si>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</si>
  <si>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</si>
  <si>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</si>
  <si>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</si>
  <si>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</si>
  <si>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</si>
  <si>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</si>
  <si>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</si>
  <si>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</si>
  <si>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</si>
  <si>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</si>
  <si>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</si>
  <si>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</si>
  <si>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</si>
  <si>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</si>
  <si>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</si>
  <si>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</si>
  <si>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</si>
  <si>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</si>
  <si>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</si>
  <si>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</si>
  <si>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</si>
  <si>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</si>
  <si>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</si>
  <si>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</si>
  <si>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</si>
  <si>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</si>
  <si>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</si>
  <si>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</si>
  <si>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</si>
  <si>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</si>
  <si>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</si>
  <si>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</si>
  <si>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</si>
  <si>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</si>
  <si>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</si>
  <si>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</si>
  <si>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</si>
  <si>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</si>
  <si>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</si>
  <si>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</si>
  <si>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</si>
  <si>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</si>
  <si>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</si>
  <si>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</si>
  <si>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</si>
  <si>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</si>
  <si>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</si>
  <si>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</si>
  <si>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</si>
  <si>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</si>
  <si>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</si>
  <si>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</si>
  <si>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</si>
  <si>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</si>
  <si>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</si>
  <si>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</si>
  <si>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</si>
  <si>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</si>
  <si>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</si>
  <si>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</si>
  <si>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</si>
  <si>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</si>
  <si>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</si>
  <si>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</si>
  <si>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</si>
  <si>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</si>
  <si>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</si>
  <si>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</si>
  <si>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</si>
  <si>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</si>
  <si>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</si>
  <si>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</si>
  <si>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</si>
  <si>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</si>
  <si>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</si>
  <si>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</si>
  <si>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</si>
  <si>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</si>
  <si>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</si>
  <si>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</si>
  <si>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</si>
  <si>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</si>
  <si>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</si>
  <si>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</si>
  <si>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</si>
  <si>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</si>
  <si>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</si>
  <si>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</si>
  <si>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</si>
  <si>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</si>
  <si>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</si>
  <si>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</si>
  <si>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Host Overlay Network Pool Name</t>
  </si>
  <si>
    <t>Overlay Network Pool Name</t>
  </si>
  <si>
    <t>NSX-Overlay Transport Zone</t>
  </si>
  <si>
    <t>NSX Overlay Transport Zone</t>
  </si>
  <si>
    <t>Overlay Uplink Profile Name</t>
  </si>
  <si>
    <t>Edge Overlay Network Pool Name</t>
  </si>
  <si>
    <t>RTEP Network  Pool Name</t>
  </si>
  <si>
    <t>vSAN Fault Domain</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</si>
  <si>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</si>
  <si>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</si>
  <si>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</si>
  <si>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</si>
  <si>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</si>
  <si>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</si>
  <si>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</si>
  <si>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</si>
  <si>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</si>
  <si>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</si>
  <si>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</si>
  <si>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</si>
  <si>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</si>
  <si>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</si>
  <si>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</si>
  <si>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</si>
  <si>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</si>
  <si>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</si>
  <si>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</si>
  <si>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</si>
  <si>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</si>
  <si>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</si>
  <si>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</si>
  <si>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</si>
  <si>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</si>
  <si>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</si>
  <si>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</si>
  <si>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</si>
  <si>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</si>
  <si>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</si>
  <si>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</si>
  <si>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</si>
  <si>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</si>
  <si>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</si>
  <si>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</si>
  <si>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</si>
  <si>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</si>
  <si>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</si>
  <si>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</si>
  <si>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</si>
  <si>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</si>
  <si>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</si>
  <si>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</si>
  <si>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</si>
  <si>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</si>
  <si>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</si>
  <si>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</si>
  <si>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</si>
  <si>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</si>
  <si>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</si>
  <si>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</si>
  <si>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</si>
  <si>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</si>
  <si>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</si>
  <si>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</si>
  <si>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</si>
  <si>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</si>
  <si>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</si>
  <si>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</si>
  <si>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</si>
  <si>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</si>
  <si>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</si>
  <si>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</si>
  <si>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</si>
  <si>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</si>
  <si>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</si>
  <si>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</si>
  <si>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</si>
  <si>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</si>
  <si>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</si>
  <si>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</si>
  <si>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</si>
  <si>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</si>
  <si>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</si>
  <si>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</si>
  <si>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</si>
  <si>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</si>
  <si>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</si>
  <si>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</si>
  <si>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</si>
  <si>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</si>
  <si>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</si>
  <si>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</si>
  <si>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</si>
  <si>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</si>
  <si>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</si>
  <si>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</si>
  <si>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</si>
  <si>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</si>
  <si>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</si>
  <si>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</si>
  <si>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</si>
  <si>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</si>
  <si>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</si>
  <si>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</si>
  <si>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</si>
  <si>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</si>
  <si>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</si>
  <si>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</si>
  <si>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</si>
  <si>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</si>
  <si>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</si>
  <si>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</si>
  <si>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</si>
  <si>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</si>
  <si>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</si>
  <si>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</si>
  <si>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</si>
  <si>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</si>
  <si>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</si>
  <si>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</si>
  <si>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</si>
  <si>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</si>
  <si>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</si>
  <si>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MGMT CIDR</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</si>
  <si>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</si>
  <si>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</si>
  <si>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</si>
  <si>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</si>
  <si>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</si>
  <si>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</si>
  <si>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</si>
  <si>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</si>
  <si>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</si>
  <si>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AZ2 Actual Value</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</si>
  <si>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</si>
  <si>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</si>
  <si>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</si>
  <si>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</si>
  <si>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</si>
  <si>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</si>
  <si>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</si>
  <si>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</si>
  <si>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</si>
  <si>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</si>
  <si>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</si>
  <si>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</si>
  <si>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</si>
  <si>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</si>
  <si>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</si>
  <si>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</si>
  <si>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</si>
  <si>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WLD Rack 1 AZ1 vMotion Network</t>
  </si>
  <si>
    <t>WLD Rack 1 Principal Storage Network</t>
  </si>
  <si>
    <t>WLD Rack 1 Uplink 01 Network</t>
  </si>
  <si>
    <t>WLD Rack 1 Uplink 02 Network</t>
  </si>
  <si>
    <t>WLD Rack 1 VRMS Network</t>
  </si>
  <si>
    <t>Rack 1 Subnet Masks (Calculated)  (Secondary AZ)</t>
  </si>
  <si>
    <t>MGMT Rack 1  IP Addresses (Secondary AZ)</t>
  </si>
  <si>
    <t>Rack 1 IP Addresses (Secondary AZ)</t>
  </si>
  <si>
    <t>MGMT Rack 1 Hostnames (Secondary AZ)</t>
  </si>
  <si>
    <t>Rack 1 Hostnames (Secondary AZ)</t>
  </si>
  <si>
    <t>MGMT Rack 1 FQDNs (Secondary AZ)</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</si>
  <si>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</si>
  <si>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</si>
  <si>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</si>
  <si>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</si>
  <si>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</si>
  <si>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</si>
  <si>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</si>
  <si>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Virtual Network Segment Names</t>
  </si>
  <si>
    <t>SDDC and Virtual Infrastructure References</t>
  </si>
  <si>
    <t>Management Domain VLANs</t>
  </si>
  <si>
    <t xml:space="preserve">VCF Installer location </t>
  </si>
  <si>
    <t>Workload Domain Number</t>
  </si>
  <si>
    <t>Sample VCF Installer FQDM</t>
  </si>
  <si>
    <t>Hosts Per Rack</t>
  </si>
  <si>
    <t>Select a Workload Domain Type</t>
  </si>
  <si>
    <t>VI Workload Domain</t>
  </si>
  <si>
    <t>CA Administrator</t>
  </si>
  <si>
    <t>Cloud Foundation Management Domain Name</t>
  </si>
  <si>
    <t xml:space="preserve">Fleet Manager </t>
  </si>
  <si>
    <t>Local Instance Segment</t>
  </si>
  <si>
    <t>Cross Instance Datacenter Name</t>
  </si>
  <si>
    <t>VM Network (Initial ESXi Install)</t>
  </si>
  <si>
    <t xml:space="preserve">Sample Domain Name </t>
  </si>
  <si>
    <t>rainpole.io</t>
  </si>
  <si>
    <t>Hosts Per Multi Rack WLD</t>
  </si>
  <si>
    <t>Cluster Domain Name</t>
  </si>
  <si>
    <t>SMTP Sender</t>
  </si>
  <si>
    <t>Certificate Authority Model</t>
  </si>
  <si>
    <t>vCenter Server - FQDN</t>
  </si>
  <si>
    <t>Cross Instance Segment</t>
  </si>
  <si>
    <t>Cross Instance Datacenter Location</t>
  </si>
  <si>
    <t>Local Instance Segment (VLAN Backed)</t>
  </si>
  <si>
    <t>Sample Child Domain</t>
  </si>
  <si>
    <t>Microsoft CA Username</t>
  </si>
  <si>
    <t xml:space="preserve">Fleet Manager Hostname														</t>
  </si>
  <si>
    <t>vCenter Server - Datacenter</t>
  </si>
  <si>
    <t>Cross Instance Environment Password Alias</t>
  </si>
  <si>
    <t>Cross Instance Segment (VLAN Backed)</t>
  </si>
  <si>
    <t>PNP Version Number</t>
  </si>
  <si>
    <t>Virtual Infrastructure Passwords</t>
  </si>
  <si>
    <t>vCenter Server - Cluster</t>
  </si>
  <si>
    <t>Management Domain Virtual Network Segment CIDRs</t>
  </si>
  <si>
    <t>Cross Instance Environment Password</t>
  </si>
  <si>
    <t>Management Domain IP Addresses (Primary AZ)</t>
  </si>
  <si>
    <t>Workload Domain IP Addresses (Primary AZ)</t>
  </si>
  <si>
    <t>Storage Size</t>
  </si>
  <si>
    <t>vCenter Server - vSphere Distributed Switch</t>
  </si>
  <si>
    <t>Cross Instance Environment Name</t>
  </si>
  <si>
    <t>Management Domain Portgroup Names</t>
  </si>
  <si>
    <t xml:space="preserve">ESXi: root </t>
  </si>
  <si>
    <t>CEIP</t>
  </si>
  <si>
    <t>vCenter Server - vSAN Storage</t>
  </si>
  <si>
    <t>Local Instance Overlay-Backed Segment</t>
  </si>
  <si>
    <t>VMware Aria Suite Lifecycle VM Folder</t>
  </si>
  <si>
    <t>Private Cloud Installer</t>
  </si>
  <si>
    <t>vCenter Server</t>
  </si>
  <si>
    <t>vCenter: administrator@vsphere.local</t>
  </si>
  <si>
    <t>NSX Virtual Appliance Size</t>
  </si>
  <si>
    <t xml:space="preserve">Fleet Manager FQDN													</t>
  </si>
  <si>
    <t>NSX Manager - VIP FQDN</t>
  </si>
  <si>
    <t>Cross Instance Overlay-Backed Segment</t>
  </si>
  <si>
    <t>Local Instance Datacenter Name</t>
  </si>
  <si>
    <t>SDDC Manager</t>
  </si>
  <si>
    <t>NSX Local Manager Virtual Server</t>
  </si>
  <si>
    <t>vCenter: root</t>
  </si>
  <si>
    <t>NSX Edge Cluster Name</t>
  </si>
  <si>
    <t>NSX Manager - Connected Gateway (Tier 1)</t>
  </si>
  <si>
    <t>Clustered Workspace ONE Access Cert Name</t>
  </si>
  <si>
    <t>Management Domain Network CIDRs</t>
  </si>
  <si>
    <t>NSX Local Manager Node A</t>
  </si>
  <si>
    <t>vMotion</t>
  </si>
  <si>
    <t>NSX: root (lm)</t>
  </si>
  <si>
    <t>NSX Edge Node Applicance Size</t>
  </si>
  <si>
    <t>NSX Manager - Connected Gateway (Tier 0)</t>
  </si>
  <si>
    <t>Management Domain Virtual Network Segment Gateways</t>
  </si>
  <si>
    <t>Clustered Workspace ONE Access VM Folder</t>
  </si>
  <si>
    <t>NSX Local Manager Node B</t>
  </si>
  <si>
    <t>NSX: admin (lm)</t>
  </si>
  <si>
    <t>NSX Tier-0 Gateway Name</t>
  </si>
  <si>
    <t>NSX Manager - Overlay Transport Zone</t>
  </si>
  <si>
    <t>Global Environment Administrator: Password alias</t>
  </si>
  <si>
    <t>NSX Local Manager Node C</t>
  </si>
  <si>
    <t>NSX: audit (lm)</t>
  </si>
  <si>
    <t>NSX Tier-1 Gateway Name</t>
  </si>
  <si>
    <t>Developer Ready Infrastructure Network Pools (Primary AZ)</t>
  </si>
  <si>
    <t>NSX Kubernetes Management Segment Name</t>
  </si>
  <si>
    <t>Global Environment Administrator: Password</t>
  </si>
  <si>
    <t>NSX Global Manager Virtual Server</t>
  </si>
  <si>
    <t>NSX: root (en)</t>
  </si>
  <si>
    <t>NSX GM VMCA-Signed Certificate Thumprint</t>
  </si>
  <si>
    <t>NSX Kubernetes IP Prefix List Name</t>
  </si>
  <si>
    <t>Global Environment Administrator: User name</t>
  </si>
  <si>
    <t>Management Domain Network Gateways</t>
  </si>
  <si>
    <t>NSX Global Manager Node A</t>
  </si>
  <si>
    <t>NSX: admin (en)</t>
  </si>
  <si>
    <t>NSX GM Cluster ID</t>
  </si>
  <si>
    <t>NSX Kubernetes IP Route Map Name</t>
  </si>
  <si>
    <t>Local Administrator: Password alias</t>
  </si>
  <si>
    <t>NSX Global Manager Node B</t>
  </si>
  <si>
    <t>NSX: root (gm)</t>
  </si>
  <si>
    <t>NSX Global Manager Anti-Affinity Rule Name</t>
  </si>
  <si>
    <t>Management Domain Virtual Network Segment MTUs</t>
  </si>
  <si>
    <t>Local Administrator: Password</t>
  </si>
  <si>
    <t>NSX Global Manager Node C</t>
  </si>
  <si>
    <t>NSX: admin (gm)</t>
  </si>
  <si>
    <t>NSX Global Manager Certificate ID</t>
  </si>
  <si>
    <t>Load Balancer - GE</t>
  </si>
  <si>
    <t>Local Administrator: User name</t>
  </si>
  <si>
    <t>AVI Load Balancer Virtual Server</t>
  </si>
  <si>
    <t>NSX: audit (gm)</t>
  </si>
  <si>
    <t>NSX Federation Global Manager Name</t>
  </si>
  <si>
    <t>Load Balancer - LE</t>
  </si>
  <si>
    <t>Local Configuration Administrator: Password alias</t>
  </si>
  <si>
    <t>Management Domain Network MTU</t>
  </si>
  <si>
    <t>AVI Load Balance Node 1 IP Address</t>
  </si>
  <si>
    <t>NSX Federation Location Name</t>
  </si>
  <si>
    <t>vCenter Kubernetes Category Name</t>
  </si>
  <si>
    <t>Local Configuration Administrator: Password</t>
  </si>
  <si>
    <t>AVI Load Balance Node 2 IP Address</t>
  </si>
  <si>
    <t>SHA-256 NSX Local Manager Virtual Server</t>
  </si>
  <si>
    <t>vCenter Kubernetes Tag Name</t>
  </si>
  <si>
    <t>Local Configuration Administrator: User name</t>
  </si>
  <si>
    <t>AVI Load Balance Node 3 IP Address</t>
  </si>
  <si>
    <t>SHA-256 NSX Global Manager Virtual Server</t>
  </si>
  <si>
    <t>vCenter Kubernetes Storage Policy Name</t>
  </si>
  <si>
    <t>Workload Domain Virtual Network Segment Names</t>
  </si>
  <si>
    <t>Appliance Root User: Password alias</t>
  </si>
  <si>
    <t>SDDC Manager: root</t>
  </si>
  <si>
    <t>Cross Instance NSX T1 Gateway Name</t>
  </si>
  <si>
    <t>Developer Ready Infrastructure IPs</t>
  </si>
  <si>
    <t>vCenter Kubernetes Content Library Name</t>
  </si>
  <si>
    <t>Appliance Root User: Password</t>
  </si>
  <si>
    <t>Workload Domain VLANs</t>
  </si>
  <si>
    <t>Workload Domain Hostnames (Primary AZ)</t>
  </si>
  <si>
    <t>SDDC Manager: vcf</t>
  </si>
  <si>
    <t xml:space="preserve">Existing Active Global Manager </t>
  </si>
  <si>
    <t>Harbor Envoy Ingress IP</t>
  </si>
  <si>
    <t>Kubernetes - Size Hint</t>
  </si>
  <si>
    <t>Kubernetes Management Segment</t>
  </si>
  <si>
    <t>Appliance Root User: User name</t>
  </si>
  <si>
    <t xml:space="preserve">VMSP - Primary </t>
  </si>
  <si>
    <t>SDDC Manager: admin@local</t>
  </si>
  <si>
    <t>Existing Cross Instance T0</t>
  </si>
  <si>
    <t>Kubernetes - Network Mode</t>
  </si>
  <si>
    <t>StaticRange</t>
  </si>
  <si>
    <t>Configadmin Email Address</t>
  </si>
  <si>
    <t>VMSP - Node A</t>
  </si>
  <si>
    <t>My VMware</t>
  </si>
  <si>
    <t>AVI Load Balancer Cluster Name</t>
  </si>
  <si>
    <t>Developer Ready Infrastructure Hostnames</t>
  </si>
  <si>
    <t>Kubernetes - Network Address Range</t>
  </si>
  <si>
    <t>Management Domain VLANs (Witness Zone)</t>
  </si>
  <si>
    <t>Content Library - vRSLCM Upgrades and Deployments</t>
  </si>
  <si>
    <t>Operations</t>
  </si>
  <si>
    <t>VMSP - Node B</t>
  </si>
  <si>
    <t>AVI Load Balancer Cluster Version</t>
  </si>
  <si>
    <t>Harbor Hostname</t>
  </si>
  <si>
    <t>Kubernetes Management Segment Start IP</t>
  </si>
  <si>
    <t>Customer Connect Username</t>
  </si>
  <si>
    <t>Workload Domain Portgroup Names</t>
  </si>
  <si>
    <t>VMSP - Node C</t>
  </si>
  <si>
    <t>AVI LB (root)</t>
  </si>
  <si>
    <t>Kubernetes Management Segment Gateway</t>
  </si>
  <si>
    <t>Customer Connect Password</t>
  </si>
  <si>
    <t>VMSP - Node D</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</si>
  <si>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</si>
  <si>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</si>
  <si>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</si>
  <si>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</si>
  <si>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</si>
  <si>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</si>
  <si>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</si>
  <si>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</si>
  <si>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</si>
  <si>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</si>
  <si>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</si>
  <si>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</si>
  <si>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</si>
  <si>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</si>
  <si>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Kubernetes Management Segment Gateway CIDR</t>
  </si>
  <si>
    <t>Workload Domain Network CIDRs</t>
  </si>
  <si>
    <t>VM Folder NSX Edge Nodes VM Folder</t>
  </si>
  <si>
    <t xml:space="preserve">Private Cloud Automation IPs													</t>
  </si>
  <si>
    <t>Kubernetes API Endpoint FQDN</t>
  </si>
  <si>
    <t>Management Domain AZ1 Management Network</t>
  </si>
  <si>
    <t>Proxy User</t>
  </si>
  <si>
    <t>Kubernetes - Server Address</t>
  </si>
  <si>
    <t>Management Domain WAZ Management Network</t>
  </si>
  <si>
    <t>Proxy Password</t>
  </si>
  <si>
    <t>Aria Automation Virtual Server</t>
  </si>
  <si>
    <t>Initial VM Class</t>
  </si>
  <si>
    <t>Management Domain Network CIDRs (Witness Zone)</t>
  </si>
  <si>
    <t>Management Uplink 01 Network</t>
  </si>
  <si>
    <t>VCOP Collector Administrator Password</t>
  </si>
  <si>
    <t>Aria Automation Node A</t>
  </si>
  <si>
    <t>Management Uplink 02 Network</t>
  </si>
  <si>
    <t>WLD Root Password</t>
  </si>
  <si>
    <t>Aria Automation Node B</t>
  </si>
  <si>
    <t>Local Instance Segment Overlay-Backed Segment</t>
  </si>
  <si>
    <t>Workload Domain Network Gateways</t>
  </si>
  <si>
    <t>Workload Domain FQDNs (Primary AZ)</t>
  </si>
  <si>
    <t>Aria Automation Node C</t>
  </si>
  <si>
    <t>Cross-Region Overlay-Backed Segment</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</si>
  <si>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</si>
  <si>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</si>
  <si>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</si>
  <si>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</si>
  <si>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</si>
  <si>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</si>
  <si>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</si>
  <si>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</si>
  <si>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</si>
  <si>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Workload Domain AZ1 vMotion Network</t>
  </si>
  <si>
    <t>NTP Server 2 (Local Instance Components)</t>
  </si>
  <si>
    <t>GPU VM Class</t>
  </si>
  <si>
    <t>Workload Domain AZ1 Principal Storage Network</t>
  </si>
  <si>
    <t>Workload Domain Network MTU</t>
  </si>
  <si>
    <t>NTP Server 3 (Local Instance Components)</t>
  </si>
  <si>
    <t xml:space="preserve">Private Cloud Automation Hostnames													</t>
  </si>
  <si>
    <t>GPU Operator Namespace</t>
  </si>
  <si>
    <t>Management Domain Network MTU (Witness Zone)</t>
  </si>
  <si>
    <t>Workload Uplink 01 Network</t>
  </si>
  <si>
    <t>NTP Server 1 (Xregion Components)</t>
  </si>
  <si>
    <t>GPU Network Operator Namespace</t>
  </si>
  <si>
    <t>Workload Uplink 02 Network</t>
  </si>
  <si>
    <t>NTP Server 2 (Xregion Components)</t>
  </si>
  <si>
    <t>SFTP Server Backup Username</t>
  </si>
  <si>
    <t>VIDB</t>
  </si>
  <si>
    <t>NTP Server 1 (Witness Components)</t>
  </si>
  <si>
    <t>Management VRMS Network</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</si>
  <si>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</si>
  <si>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</si>
  <si>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</si>
  <si>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</si>
  <si>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</si>
  <si>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</si>
  <si>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</si>
  <si>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MGMT AZ2 vMotion Mask</t>
  </si>
  <si>
    <t>NSX Edge Node 1</t>
  </si>
  <si>
    <t>Host ESX</t>
  </si>
  <si>
    <t>DNS Server 2 (Local Instance Components)</t>
  </si>
  <si>
    <t>SSO Default Admin</t>
  </si>
  <si>
    <t>administrator@vsphere.local</t>
  </si>
  <si>
    <t>Existing: Recovery Site SDDC Manager FQDN</t>
  </si>
  <si>
    <t>MGMT AZ2 vSan Mask</t>
  </si>
  <si>
    <t>NSX Edge Node 2</t>
  </si>
  <si>
    <t>DNS Server 1 (X-Region Components)</t>
  </si>
  <si>
    <t>Primary AZ VM Group Name</t>
  </si>
  <si>
    <t>Existing: Recovery Site SDDC Manager User</t>
  </si>
  <si>
    <t>MGMT AZ2 NFS Mask</t>
  </si>
  <si>
    <t>DNS Server 2 (X-Region Components)</t>
  </si>
  <si>
    <t>Proxy Type</t>
  </si>
  <si>
    <t xml:space="preserve">Intelligent Logging &amp; Analytics IP Addresses													</t>
  </si>
  <si>
    <t>Existing: Recovery Site SDDC Manager Password</t>
  </si>
  <si>
    <t>Workload Domain Portgroup Names (Witness Zone)</t>
  </si>
  <si>
    <t>MGMT AZ2 Host Overlay Mask</t>
  </si>
  <si>
    <t>DNS Server 1 (Witness Components)</t>
  </si>
  <si>
    <t>VRMS Appliance Size</t>
  </si>
  <si>
    <t xml:space="preserve">Workload Domain FQDNs (Witness AZ)	</t>
  </si>
  <si>
    <t>DNS Server 2 (Witness Components)</t>
  </si>
  <si>
    <t>Proy Port</t>
  </si>
  <si>
    <t>Aria Operatons for Logs Virtual Server</t>
  </si>
  <si>
    <t>SRM Appliance Size</t>
  </si>
  <si>
    <t>Domain Controller for vSphere AD Integration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</si>
  <si>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</si>
  <si>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</si>
  <si>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</si>
  <si>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</si>
  <si>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</si>
  <si>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</si>
  <si>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</si>
  <si>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</si>
  <si>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</si>
  <si>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</si>
  <si>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</si>
  <si>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</si>
  <si>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SFTP Server</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</si>
  <si>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</si>
  <si>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</si>
  <si>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</si>
  <si>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</si>
  <si>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</si>
  <si>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</si>
  <si>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</si>
  <si>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</si>
  <si>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</si>
  <si>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</si>
  <si>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</si>
  <si>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</si>
  <si>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</si>
  <si>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</si>
  <si>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</si>
  <si>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</si>
  <si>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</si>
  <si>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</si>
  <si>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</si>
  <si>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</si>
  <si>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</si>
  <si>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</si>
  <si>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</si>
  <si>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</si>
  <si>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Mananagment Stretched VLAN Prefix</t>
  </si>
  <si>
    <t>Result</t>
  </si>
  <si>
    <t>Child</t>
  </si>
  <si>
    <t>VRMS: Initial Admin Password</t>
  </si>
  <si>
    <t>Management Stretched CIDR Prefix</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</si>
  <si>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</si>
  <si>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</si>
  <si>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</si>
  <si>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</si>
  <si>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</si>
  <si>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</si>
  <si>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</si>
  <si>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</si>
  <si>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</si>
  <si>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</si>
  <si>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</si>
  <si>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</si>
  <si>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</si>
  <si>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</si>
  <si>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</si>
  <si>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</si>
  <si>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</si>
  <si>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</si>
  <si>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</si>
  <si>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</si>
  <si>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</si>
  <si>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</si>
  <si>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</si>
  <si>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</si>
  <si>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</si>
  <si>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</si>
  <si>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</si>
  <si>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</si>
  <si>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</si>
  <si>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</si>
  <si>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</si>
  <si>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</si>
  <si>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</si>
  <si>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</si>
  <si>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</si>
  <si>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</si>
  <si>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</si>
  <si>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Datacenter Name</t>
  </si>
  <si>
    <t>Lag Name</t>
  </si>
  <si>
    <t>SRM: Initial Database Password</t>
  </si>
  <si>
    <t>Workload AZ2 VLAN Prefix</t>
  </si>
  <si>
    <t>Management Cluster Name</t>
  </si>
  <si>
    <t xml:space="preserve">VCF Operations Load Balancer </t>
  </si>
  <si>
    <t>SRM: Site Name</t>
  </si>
  <si>
    <t>Workload AZ2 CIDR Prefix</t>
  </si>
  <si>
    <t>EVC Setting</t>
  </si>
  <si>
    <t>Secondary vSphere Distributed Switch: Name</t>
  </si>
  <si>
    <t>VCF Operations primary</t>
  </si>
  <si>
    <t>SRM: Administrator Email Address</t>
  </si>
  <si>
    <t>Workload Stretched VLAN Prefix</t>
  </si>
  <si>
    <t>Resource Pool SDDC Management</t>
  </si>
  <si>
    <t>Secondary vSphere Distributed Switch: Uplinks Used</t>
  </si>
  <si>
    <t>RTEP NSX IP Pool Name</t>
  </si>
  <si>
    <t>VCF Operations replica</t>
  </si>
  <si>
    <t>SRM: P12 Cert Password</t>
  </si>
  <si>
    <t>Workload Stretched CIDR Prefix</t>
  </si>
  <si>
    <t>Resource Pool SDDC Edge</t>
  </si>
  <si>
    <t>Secondary vSphere Distributed Switch: Number of Uplinks</t>
  </si>
  <si>
    <t>Active Directory Group OUs</t>
  </si>
  <si>
    <t>VCF Operations data node</t>
  </si>
  <si>
    <t xml:space="preserve">SRM: Appliance Size </t>
  </si>
  <si>
    <t>Workload Witness AZ VLAN Prefix</t>
  </si>
  <si>
    <t>Resource Pool User Edge</t>
  </si>
  <si>
    <t xml:space="preserve">Secondary vSphere Distributed Switch: MTU </t>
  </si>
  <si>
    <t>Operations Collector Appliance</t>
  </si>
  <si>
    <t>Recovery Point Objective</t>
  </si>
  <si>
    <t>Workload Witness AZ CIDR Prefix</t>
  </si>
  <si>
    <t>Resource Pool User VM</t>
  </si>
  <si>
    <t>Secondary vSphere Distributed Switch: LBT</t>
  </si>
  <si>
    <t>SHA-256  NSX Local Manager Virtual Server</t>
  </si>
  <si>
    <t>Instances per Day</t>
  </si>
  <si>
    <t>Workload TOR ASN Prefix</t>
  </si>
  <si>
    <t>Primary Availability Zone Virtual Machine Group</t>
  </si>
  <si>
    <t>Secondary vSphere Distributed Switch: Traffic Type</t>
  </si>
  <si>
    <t>SHA-256  NSX Global Manager Virtual Server</t>
  </si>
  <si>
    <t xml:space="preserve">Intelligent Operations Management Hostnames													</t>
  </si>
  <si>
    <t>Days</t>
  </si>
  <si>
    <t>Kubernetes CIDR Prefix</t>
  </si>
  <si>
    <t>MGMT SSO Domain</t>
  </si>
  <si>
    <r>
      <t xml:space="preserve">Protection Group Name </t>
    </r>
    <r>
      <rPr>
        <i/>
        <sz val="12"/>
        <color theme="1"/>
        <rFont val="Arial"/>
        <family val="2"/>
      </rPr>
      <t>(vRSLCM &amp; Clustered WSA)</t>
    </r>
  </si>
  <si>
    <t>Other Region Management AZ1 CIDR Prefx</t>
  </si>
  <si>
    <t>MGMT SSO Domain Username</t>
  </si>
  <si>
    <t>Active Directory User OUs</t>
  </si>
  <si>
    <r>
      <t xml:space="preserve">Recovery Plan Name </t>
    </r>
    <r>
      <rPr>
        <i/>
        <sz val="12"/>
        <color theme="1"/>
        <rFont val="Arial"/>
        <family val="2"/>
      </rPr>
      <t>(vRSLCM &amp; Clustered WSA)</t>
    </r>
  </si>
  <si>
    <t>Portable Component Prefix</t>
  </si>
  <si>
    <t>flt</t>
  </si>
  <si>
    <t>VCF Instance Name</t>
  </si>
  <si>
    <t>Tertiary vSphere Distributed Switch: Name</t>
  </si>
  <si>
    <t>Protection Group Name (VMware Aria Operations)</t>
  </si>
  <si>
    <t>Other Instance Management Stretched CIDR Prefix</t>
  </si>
  <si>
    <t xml:space="preserve">Tertiary vSphere Distributed Switch: MTU </t>
  </si>
  <si>
    <t>Aria Operatons replica</t>
  </si>
  <si>
    <t>Recovery Plan Name (VMware Aria Operations)</t>
  </si>
  <si>
    <t>Other Workload Stretched CIDR Prefix</t>
  </si>
  <si>
    <t>MGMT Domain Switch Configuration Primary Cluster  VDS</t>
  </si>
  <si>
    <t>Tertiary vSphere Distributed Switch: Uplinks Used</t>
  </si>
  <si>
    <t>Aria Operatons data node</t>
  </si>
  <si>
    <t>Protection Group Name (VMware Aria Automation)</t>
  </si>
  <si>
    <t xml:space="preserve">Prefix FLT </t>
  </si>
  <si>
    <t>Tertiary vSphere Distributed Switch: Number of Uplinks</t>
  </si>
  <si>
    <t>Supervisor Namespace</t>
  </si>
  <si>
    <t>Recovery Plan Name (VMware Aria Automation)</t>
  </si>
  <si>
    <t>vSphere Distributed Switch Profile</t>
  </si>
  <si>
    <t>Tertiary vSphere Distributed Switch: LBT</t>
  </si>
  <si>
    <t xml:space="preserve">vVol Storage Protocol Type </t>
  </si>
  <si>
    <t>Active Directory Bind DNs</t>
  </si>
  <si>
    <t>Management Portgroup Name</t>
  </si>
  <si>
    <t>Existing: Recovery Site vCenter FQDN</t>
  </si>
  <si>
    <t>Tertiary vSphere Distributed Switch: Traffic Type</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</si>
  <si>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</si>
  <si>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</si>
  <si>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</si>
  <si>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</si>
  <si>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</si>
  <si>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</si>
  <si>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 xml:space="preserve">Cluster Name </t>
  </si>
  <si>
    <t>Existing: Recovery Site SDDC Manager Domain</t>
  </si>
  <si>
    <t xml:space="preserve">Primary vSphere Distributed Switch: Uplink #2 </t>
  </si>
  <si>
    <t xml:space="preserve">Workload Domain Storage Configuration Primary Cluster </t>
  </si>
  <si>
    <t>vLCM Image</t>
  </si>
  <si>
    <t>DNS 1</t>
  </si>
  <si>
    <t>Existing: Recovery Site NSX Location Name</t>
  </si>
  <si>
    <t>spr_mo_result</t>
  </si>
  <si>
    <t>Active Directory Parent Users</t>
  </si>
  <si>
    <t>DNS 2</t>
  </si>
  <si>
    <t>Existing: Recovery Site NSX Edge Cluster Name</t>
  </si>
  <si>
    <t>spr_wo_result</t>
  </si>
  <si>
    <t>vSAN: Datastore Name</t>
  </si>
  <si>
    <t>DNS Parent Zone</t>
  </si>
  <si>
    <t>Existing: Recovery Site vSphere Cluster Name</t>
  </si>
  <si>
    <t>spr_mw_result</t>
  </si>
  <si>
    <t>vSAN: Failures to Tolerate (FTT)</t>
  </si>
  <si>
    <t>svc-vrops-vsphere</t>
  </si>
  <si>
    <t>fleet manager fqdn</t>
  </si>
  <si>
    <t>Existing: Recovery Site Target Datastore</t>
  </si>
  <si>
    <t>protected_mgmt_result</t>
  </si>
  <si>
    <t>svc-vrops-vsan</t>
  </si>
  <si>
    <t>ops node fqdn</t>
  </si>
  <si>
    <t>Existing: Target vSphere Replication Network CIDR</t>
  </si>
  <si>
    <t>recovery_mgmt_result</t>
  </si>
  <si>
    <t>Storage Policy</t>
  </si>
  <si>
    <t>svc-vrops-nsx</t>
  </si>
  <si>
    <t>&lt;vcf_operations_replica_node_fqdn&gt;</t>
  </si>
  <si>
    <t>Site Protection &amp; DR IP Addreses (Management Domain)</t>
  </si>
  <si>
    <t>Existing: SSO Membership</t>
  </si>
  <si>
    <t>protected_wld_result</t>
  </si>
  <si>
    <t>Secondary vSphere Distributed Switch: Uplinks #1</t>
  </si>
  <si>
    <t>svc-vrops-vra</t>
  </si>
  <si>
    <t>&lt;vcf_operations_data_node_fqdn&gt;</t>
  </si>
  <si>
    <t>first_domain_mgmt_only_viable</t>
  </si>
  <si>
    <t>Secondary vSphere Distributed Switch: Uplinks #2</t>
  </si>
  <si>
    <t>svc-vrli-wsa</t>
  </si>
  <si>
    <t>&lt;vcf_operations_logs_primary_node_fqdn&gt;</t>
  </si>
  <si>
    <t>vSphere Replication Management IP</t>
  </si>
  <si>
    <t>Site Protection &amp; Disaster Recovery References (VI Workload Domain)</t>
  </si>
  <si>
    <t>first_domain_mgmt_vi_viable</t>
  </si>
  <si>
    <t>svc-vrli-vrops</t>
  </si>
  <si>
    <t>&lt;vcf_operations_logs_worker_node1_fqdn&gt;</t>
  </si>
  <si>
    <t>vSphere Replication Replication IP</t>
  </si>
  <si>
    <t>non_first_domain_mgmt_only_viable</t>
  </si>
  <si>
    <t>svc-vra-vsphere</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</si>
  <si>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</si>
  <si>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</si>
  <si>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</si>
  <si>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Workload Domain Hostnames (Witness AZ)</t>
  </si>
  <si>
    <t>svc-vra-nsx</t>
  </si>
  <si>
    <t>&lt;vcf_operations_network_platform_node1_fqdn&gt;</t>
  </si>
  <si>
    <t>Recovery T1 Service Interface IP</t>
  </si>
  <si>
    <t>vi_only_viable</t>
  </si>
  <si>
    <t xml:space="preserve">Switch Configuration </t>
  </si>
  <si>
    <t>svc-vra-vcf</t>
  </si>
  <si>
    <t>&lt;vcf_operations_network_platform_node2_fqdn&gt;</t>
  </si>
  <si>
    <t>vcf_vi_wld_domain_count</t>
  </si>
  <si>
    <t>svc-vro-vsphere</t>
  </si>
  <si>
    <t>&lt;vcf_operations_network_platform_node3_fqdn&gt;</t>
  </si>
  <si>
    <t>Site Protection &amp; DR IP Addreses (Workload Domain)</t>
  </si>
  <si>
    <t>vcf_vi_isolated_domain_count</t>
  </si>
  <si>
    <t>Tertiary vSphere Distributed Switch: Uplinks #1</t>
  </si>
  <si>
    <t>svc-vra-vrops</t>
  </si>
  <si>
    <t xml:space="preserve">Automation FQDN </t>
  </si>
  <si>
    <t>mgmt_consolidated_result</t>
  </si>
  <si>
    <t>Tertiary vSphere Distributed Switch: Uplinks #2</t>
  </si>
  <si>
    <t xml:space="preserve">Workload Domain VI Inputs (Secondary Availability Zone)								</t>
  </si>
  <si>
    <t>Active Directory Passwords</t>
  </si>
  <si>
    <t xml:space="preserve">Cluster </t>
  </si>
  <si>
    <t>DLR FQDN</t>
  </si>
  <si>
    <t>ESXi Node 1 SDDC ID</t>
  </si>
  <si>
    <t>svc-vsphere-ad</t>
  </si>
  <si>
    <t>SSO Domain</t>
  </si>
  <si>
    <t>ESXi Node 2 SDDC ID</t>
  </si>
  <si>
    <t>svc-wsa-ad (child)</t>
  </si>
  <si>
    <t>Fleet Manager hostname</t>
  </si>
  <si>
    <t>Site Protection &amp; DR Hostnames (Management Domain)</t>
  </si>
  <si>
    <t>NSX Operational Mode</t>
  </si>
  <si>
    <t>ESXi Node 3 SDDC ID</t>
  </si>
  <si>
    <t>ops node hostname</t>
  </si>
  <si>
    <t xml:space="preserve">NSX Operation Mode Chosen </t>
  </si>
  <si>
    <t>ESXi Node 4 SDDC ID</t>
  </si>
  <si>
    <t>&lt;vcf_operations_replica_node_ hostname</t>
  </si>
  <si>
    <t>WLD Cluster SDDC ID</t>
  </si>
  <si>
    <t>&lt;vcf_operations_data_node_ hostname</t>
  </si>
  <si>
    <t>Site Recovery Manager</t>
  </si>
  <si>
    <t xml:space="preserve">MGMT Domain Storage Configuration Primary Cluster </t>
  </si>
  <si>
    <t>&lt;vcf_operations_logs_primary_node_ hostname</t>
  </si>
  <si>
    <t>&lt;vcf_operations_logs_worker_node1_hostname</t>
  </si>
  <si>
    <t>Site Protection &amp; DR Hostnames (Workload Domain)</t>
  </si>
  <si>
    <t xml:space="preserve">Principal Storage </t>
  </si>
  <si>
    <t xml:space="preserve">Workload Domain VI Inputs (Witness Availability Zone)								</t>
  </si>
  <si>
    <t>&lt;vcf_operations_logs_worker_node2_ hostname</t>
  </si>
  <si>
    <t>&lt;vcf_operations_network_platform_node1_ hostname</t>
  </si>
  <si>
    <t>vSAN Datastore FTT</t>
  </si>
  <si>
    <t>&lt;vcf_operations_network_platform_node2_ hostname</t>
  </si>
  <si>
    <t>&lt;vcf_operations_network_platform_node3 hostname</t>
  </si>
  <si>
    <t xml:space="preserve">vSAN Datastore </t>
  </si>
  <si>
    <t>Site Protection &amp; DR FQDNs (Management Domain)</t>
  </si>
  <si>
    <t>Witness DNS</t>
  </si>
  <si>
    <t xml:space="preserve">Network Resource Pool </t>
  </si>
  <si>
    <t>NFS Server Bound To NIC</t>
  </si>
  <si>
    <t>Active Directory Child Users</t>
  </si>
  <si>
    <t>Log Resource Pool</t>
  </si>
  <si>
    <t xml:space="preserve">Witness NTP </t>
  </si>
  <si>
    <t xml:space="preserve">Recovery Port Group </t>
  </si>
  <si>
    <t>Cloud-Based Ransomware Recovery References</t>
  </si>
  <si>
    <t>Management</t>
  </si>
  <si>
    <t>Recobvery Network Gateway</t>
  </si>
  <si>
    <t>svc-wsa-ad</t>
  </si>
  <si>
    <t>Recobvery Network Mask</t>
  </si>
  <si>
    <t>Site Protection &amp; DR FQDNs (Workload Domain)</t>
  </si>
  <si>
    <r>
      <t xml:space="preserve">vSphere Custom Role name </t>
    </r>
    <r>
      <rPr>
        <i/>
        <sz val="12"/>
        <color theme="1"/>
        <rFont val="Arial"/>
        <family val="2"/>
      </rPr>
      <t>(VMware Cloud Disaster Recovery to vSphere)</t>
    </r>
  </si>
  <si>
    <t>MGMT Edge Connectivity Type</t>
  </si>
  <si>
    <t>Workload Domain IP Addresses (Witness AZ)</t>
  </si>
  <si>
    <t xml:space="preserve">Site Pair </t>
  </si>
  <si>
    <t>Service Account Name</t>
  </si>
  <si>
    <t>Edge Form Factor Size</t>
  </si>
  <si>
    <t>Active Directory Groups</t>
  </si>
  <si>
    <t>vr username</t>
  </si>
  <si>
    <t>Service Account Password</t>
  </si>
  <si>
    <t>Edge Cluster MTU</t>
  </si>
  <si>
    <t>vr password</t>
  </si>
  <si>
    <r>
      <t xml:space="preserve">VM Folder </t>
    </r>
    <r>
      <rPr>
        <sz val="12"/>
        <color theme="1"/>
        <rFont val="Arial"/>
        <family val="2"/>
      </rPr>
      <t>(DRaaS Connectors)</t>
    </r>
  </si>
  <si>
    <t>MGMT Edge Cluster Resource Pool</t>
  </si>
  <si>
    <t>VM Management</t>
  </si>
  <si>
    <t>Recovery SDDC Name</t>
  </si>
  <si>
    <t>MGMT Host Group Affinity Host</t>
  </si>
  <si>
    <t>WLD Witness IP</t>
  </si>
  <si>
    <t xml:space="preserve">Intelligent Network Visibility IP Addresses													</t>
  </si>
  <si>
    <t>AWS Region</t>
  </si>
  <si>
    <t>MGMT Host Group Affinity Host name</t>
  </si>
  <si>
    <t>gg-wsa-admins (parent)</t>
  </si>
  <si>
    <t>Host Type</t>
  </si>
  <si>
    <t>WLD Witness MGMT CIDR</t>
  </si>
  <si>
    <t>gg-wsa-directory-admins (parent)</t>
  </si>
  <si>
    <t>VMware Aria Operations for Networks - Node A</t>
  </si>
  <si>
    <t>Number of Hosts</t>
  </si>
  <si>
    <t xml:space="preserve">MGMT Edges Share host overaly </t>
  </si>
  <si>
    <t>WLD Witness MGMT Gatweway</t>
  </si>
  <si>
    <t>gg-wsa-read-only (parent)</t>
  </si>
  <si>
    <t>Proxy for Networks - Node A</t>
  </si>
  <si>
    <t>VPC</t>
  </si>
  <si>
    <t>MGMT DPG Seperation</t>
  </si>
  <si>
    <t>WLD Witness MGMT Mask</t>
  </si>
  <si>
    <t>gg-vrslcm-admins</t>
  </si>
  <si>
    <t>Subnet</t>
  </si>
  <si>
    <t xml:space="preserve">Gatway Routing Type </t>
  </si>
  <si>
    <t>WLD Witness MGMT Network</t>
  </si>
  <si>
    <t>gg-vrslcm-content-admins</t>
  </si>
  <si>
    <t xml:space="preserve">Intelligent Network Visibility Hostnames													</t>
  </si>
  <si>
    <t>Management Subnet</t>
  </si>
  <si>
    <t>IP Allocation MGMT</t>
  </si>
  <si>
    <t>VCF Automation Prefix</t>
  </si>
  <si>
    <t>gg-vrslcm-content-developers</t>
  </si>
  <si>
    <r>
      <t>Firewall Rule Name</t>
    </r>
    <r>
      <rPr>
        <i/>
        <sz val="12"/>
        <color theme="1"/>
        <rFont val="Arial"/>
        <family val="2"/>
      </rPr>
      <t xml:space="preserve"> (vCenter Server Inbound)</t>
    </r>
  </si>
  <si>
    <t>IP Allocation (TEP) Edge #1</t>
  </si>
  <si>
    <t xml:space="preserve">VROPS Collecter IP </t>
  </si>
  <si>
    <t>gg-vrops-admins</t>
  </si>
  <si>
    <t>On-Premises Site Name (VMware Cloud Disaster Recovery)</t>
  </si>
  <si>
    <t>IP Allocation (TEP) Edge #2</t>
  </si>
  <si>
    <t>vROPS Appliance Size</t>
  </si>
  <si>
    <t>gg-vrops-content-admins</t>
  </si>
  <si>
    <t>Timezone (VMware Cloud Disaster Recovery)</t>
  </si>
  <si>
    <t xml:space="preserve">Auto-generate Edge passwords </t>
  </si>
  <si>
    <t>gg-vrops-read-only</t>
  </si>
  <si>
    <r>
      <t xml:space="preserve">Hostname </t>
    </r>
    <r>
      <rPr>
        <i/>
        <sz val="12"/>
        <color theme="1"/>
        <rFont val="Arial"/>
        <family val="2"/>
      </rPr>
      <t>(DRaaS Connector)</t>
    </r>
  </si>
  <si>
    <t>Skip Tier-0 Configuration</t>
  </si>
  <si>
    <t xml:space="preserve">VI WLD SSO Domian </t>
  </si>
  <si>
    <t>gg-vrli-admins</t>
  </si>
  <si>
    <r>
      <t xml:space="preserve">IP Address </t>
    </r>
    <r>
      <rPr>
        <i/>
        <sz val="12"/>
        <color theme="1"/>
        <rFont val="Arial"/>
        <family val="2"/>
      </rPr>
      <t>(DRaaS Connector)</t>
    </r>
  </si>
  <si>
    <t>Create Password for Edge Cluster</t>
  </si>
  <si>
    <t>gg-vrli-users</t>
  </si>
  <si>
    <r>
      <t xml:space="preserve">Hostname </t>
    </r>
    <r>
      <rPr>
        <i/>
        <sz val="12"/>
        <color theme="1"/>
        <rFont val="Arial"/>
        <family val="2"/>
      </rPr>
      <t>(DRaaS Connector #2)</t>
    </r>
  </si>
  <si>
    <t>Isolated VI Workload Domain SSO Domain</t>
  </si>
  <si>
    <t>gg-vrli-viewers</t>
  </si>
  <si>
    <r>
      <t xml:space="preserve">IP Address </t>
    </r>
    <r>
      <rPr>
        <i/>
        <sz val="12"/>
        <color theme="1"/>
        <rFont val="Arial"/>
        <family val="2"/>
      </rPr>
      <t>(DRaaS Connector #2)</t>
    </r>
  </si>
  <si>
    <t xml:space="preserve">VCF Authetication </t>
  </si>
  <si>
    <t>Isolated VI Workload Domain SSO Password</t>
  </si>
  <si>
    <t>gg-vra-org-owners</t>
  </si>
  <si>
    <t>DRaaS OVA Download Link</t>
  </si>
  <si>
    <t>Isolated VI Workload Administrator</t>
  </si>
  <si>
    <t>vSAN Storage Client</t>
  </si>
  <si>
    <t>gg-vra-cloud-assembly-admins</t>
  </si>
  <si>
    <t>Orchestrator FQDN</t>
  </si>
  <si>
    <t>VCF Auth Version</t>
  </si>
  <si>
    <t>WLD Cluster 1 image Name</t>
  </si>
  <si>
    <t>gg-vra-cloud-assembly-users</t>
  </si>
  <si>
    <t>Passcode</t>
  </si>
  <si>
    <t xml:space="preserve">VCF Auth Deployment Type </t>
  </si>
  <si>
    <t>WLD Edge Connectivity Type - IAAS</t>
  </si>
  <si>
    <t>gg-vra-cloud-assembly-viewers</t>
  </si>
  <si>
    <t>Label</t>
  </si>
  <si>
    <t>VCF Auth Alias</t>
  </si>
  <si>
    <t>gg-vra-orchestrator-viewers</t>
  </si>
  <si>
    <r>
      <t xml:space="preserve">Anti-Affinity Rule </t>
    </r>
    <r>
      <rPr>
        <i/>
        <sz val="12"/>
        <color theme="1"/>
        <rFont val="Arial"/>
        <family val="2"/>
      </rPr>
      <t>(VMware Cloud Disaster Recovery)</t>
    </r>
  </si>
  <si>
    <t>VCF Auth Common Name (CN)</t>
  </si>
  <si>
    <t>NSX Admin Password</t>
  </si>
  <si>
    <t>gg-vra-project-admins-sample</t>
  </si>
  <si>
    <t>Email alert recipients</t>
  </si>
  <si>
    <t>VCF Auth Organisation</t>
  </si>
  <si>
    <t xml:space="preserve">NSX Deployment Type </t>
  </si>
  <si>
    <t>NSX</t>
  </si>
  <si>
    <t>gg-vra-project-users-sample</t>
  </si>
  <si>
    <t>Sender email address</t>
  </si>
  <si>
    <t>VCF Auth Organisation OU</t>
  </si>
  <si>
    <t>WLD Edge Connectivity Type</t>
  </si>
  <si>
    <t>gg-vcf-admins</t>
  </si>
  <si>
    <t>Aria Operations for Logs - URL</t>
  </si>
  <si>
    <t>VCF Auth Country Code (C)</t>
  </si>
  <si>
    <t>WLD Edge Cluster Resource Pool</t>
  </si>
  <si>
    <t>gg-vcf-operators</t>
  </si>
  <si>
    <t>Aria Operations for Logs - Key</t>
  </si>
  <si>
    <t>VCF Auth Locality (L)</t>
  </si>
  <si>
    <t>WLD Host Group Affinity Host</t>
  </si>
  <si>
    <t>gg-vcf-viewers</t>
  </si>
  <si>
    <t>VCF Auth State (ST)</t>
  </si>
  <si>
    <t>WLD Host Group Affinity Host name en01</t>
  </si>
  <si>
    <t>gg-vc-admins</t>
  </si>
  <si>
    <t>Cross Cloud Mobility References</t>
  </si>
  <si>
    <t>VCF Auth Key Length</t>
  </si>
  <si>
    <t>WLD Host Group Affinity Host name en02</t>
  </si>
  <si>
    <t>gg-vc-read-only</t>
  </si>
  <si>
    <t>VCF Auth Select Folder</t>
  </si>
  <si>
    <t xml:space="preserve">WLD Edges Share host Overlay </t>
  </si>
  <si>
    <t>gg-sso-admins</t>
  </si>
  <si>
    <r>
      <t xml:space="preserve">vSphere Custom Role Role name </t>
    </r>
    <r>
      <rPr>
        <i/>
        <sz val="12"/>
        <color theme="1"/>
        <rFont val="Arial"/>
        <family val="2"/>
      </rPr>
      <t>(VMware HCX to vSphere)</t>
    </r>
  </si>
  <si>
    <t xml:space="preserve">WLD Gatway Routing Type </t>
  </si>
  <si>
    <t>gg-nsx-enterprise-admins</t>
  </si>
  <si>
    <r>
      <t xml:space="preserve">vSphere Service Account </t>
    </r>
    <r>
      <rPr>
        <i/>
        <sz val="12"/>
        <color theme="1"/>
        <rFont val="Arial"/>
        <family val="2"/>
      </rPr>
      <t>(VMware HCX to vSphere)</t>
    </r>
  </si>
  <si>
    <t>WLD NSX Operational Mode</t>
  </si>
  <si>
    <t>gg-nsx-network-admins</t>
  </si>
  <si>
    <r>
      <t xml:space="preserve">vSphere Service Account Password </t>
    </r>
    <r>
      <rPr>
        <i/>
        <sz val="12"/>
        <color theme="1"/>
        <rFont val="Arial"/>
        <family val="2"/>
      </rPr>
      <t>(VMware HCX to vSphere)</t>
    </r>
  </si>
  <si>
    <t>VCF Auth Select Resource Pool</t>
  </si>
  <si>
    <t>gg-nsx-auditors</t>
  </si>
  <si>
    <r>
      <t xml:space="preserve">VM Folder </t>
    </r>
    <r>
      <rPr>
        <sz val="12"/>
        <color theme="1"/>
        <rFont val="Arial"/>
        <family val="2"/>
      </rPr>
      <t>(HCX Connector)</t>
    </r>
  </si>
  <si>
    <t xml:space="preserve">Enhanced Datapath </t>
  </si>
  <si>
    <r>
      <t xml:space="preserve">VM Folder </t>
    </r>
    <r>
      <rPr>
        <i/>
        <sz val="12"/>
        <color theme="1"/>
        <rFont val="Arial"/>
        <family val="2"/>
      </rPr>
      <t>(HCX Appliances)</t>
    </r>
  </si>
  <si>
    <t>WLD Password Creation</t>
  </si>
  <si>
    <t>VM Group Names</t>
  </si>
  <si>
    <r>
      <t xml:space="preserve">Resource Pool </t>
    </r>
    <r>
      <rPr>
        <i/>
        <sz val="12"/>
        <color theme="1"/>
        <rFont val="Arial"/>
        <family val="2"/>
      </rPr>
      <t>(HCX Appliances)</t>
    </r>
  </si>
  <si>
    <t>WLD Edge #1 Overlay Ip Allocation</t>
  </si>
  <si>
    <t>VMware HCX to NSX Username</t>
  </si>
  <si>
    <t>WLD Edge #1 MGMT IP Allocation</t>
  </si>
  <si>
    <t>Clustered WSA Instances</t>
  </si>
  <si>
    <t>VMware HCX to NSX Password</t>
  </si>
  <si>
    <t xml:space="preserve">Auth mode </t>
  </si>
  <si>
    <t>WLD Edge #2 Overlay Ip Allocation</t>
  </si>
  <si>
    <t>AWS SDDC Name</t>
  </si>
  <si>
    <t>VCF Auth Identity Provider</t>
  </si>
  <si>
    <t>WLD Edge #2 MGMT IP Allocation</t>
  </si>
  <si>
    <t xml:space="preserve">Management </t>
  </si>
  <si>
    <t>VCF Auth Directory Name</t>
  </si>
  <si>
    <t>IAAS Service Chosen</t>
  </si>
  <si>
    <t>Witness vCenter FQDN</t>
  </si>
  <si>
    <t>VCF Auth Server Location</t>
  </si>
  <si>
    <t xml:space="preserve">Create new Static Pool </t>
  </si>
  <si>
    <t>Witness vCenter</t>
  </si>
  <si>
    <t xml:space="preserve">VCF Auth Global Catalogue </t>
  </si>
  <si>
    <t xml:space="preserve">Default NSX Operation Chosen </t>
  </si>
  <si>
    <t>Witness vCenter hostname</t>
  </si>
  <si>
    <t xml:space="preserve">VCF Auth Encrypted Connection </t>
  </si>
  <si>
    <t xml:space="preserve">vSAN Type </t>
  </si>
  <si>
    <t xml:space="preserve">MGMT Witness MTU </t>
  </si>
  <si>
    <t xml:space="preserve">VCF Auth Encryption Cert </t>
  </si>
  <si>
    <t xml:space="preserve">Copy vDS Profile </t>
  </si>
  <si>
    <t xml:space="preserve">MGMT Witness vLAN </t>
  </si>
  <si>
    <t>VCF Auth Primary Domain Controller</t>
  </si>
  <si>
    <t xml:space="preserve">MGMT Witness Port Group </t>
  </si>
  <si>
    <t>VCF Auth Primary Domain Controller Port</t>
  </si>
  <si>
    <t>Active  uplink1</t>
  </si>
  <si>
    <t xml:space="preserve">MGMT Witness Network </t>
  </si>
  <si>
    <r>
      <t xml:space="preserve">Firewall Rule Name </t>
    </r>
    <r>
      <rPr>
        <i/>
        <sz val="12"/>
        <color theme="1"/>
        <rFont val="Arial"/>
        <family val="2"/>
      </rPr>
      <t>(HCX Inbound)</t>
    </r>
  </si>
  <si>
    <t>VCF Auth Secondary Domain Controller</t>
  </si>
  <si>
    <r>
      <t>User Defined Group</t>
    </r>
    <r>
      <rPr>
        <i/>
        <sz val="12"/>
        <color theme="1"/>
        <rFont val="Arial"/>
        <family val="2"/>
      </rPr>
      <t xml:space="preserve"> (Firewall Access)</t>
    </r>
  </si>
  <si>
    <t xml:space="preserve">VCF Auth Secondary Domain Controller Port </t>
  </si>
  <si>
    <t>Witness Mask</t>
  </si>
  <si>
    <r>
      <t xml:space="preserve">IP Address(es) </t>
    </r>
    <r>
      <rPr>
        <i/>
        <sz val="12"/>
        <color theme="1"/>
        <rFont val="Arial"/>
        <family val="2"/>
      </rPr>
      <t>(Firewall Access)</t>
    </r>
  </si>
  <si>
    <t xml:space="preserve">VCF Auth Directory Search </t>
  </si>
  <si>
    <t>WLD NSX Admin Password</t>
  </si>
  <si>
    <t>Brownfield WLD Import</t>
  </si>
  <si>
    <t xml:space="preserve">Witness IP </t>
  </si>
  <si>
    <t>HCX License key</t>
  </si>
  <si>
    <t>VCF Auth Base DN</t>
  </si>
  <si>
    <t>WLD NSX Root Password</t>
  </si>
  <si>
    <t>Witness CIDR</t>
  </si>
  <si>
    <t>Datacenter Location</t>
  </si>
  <si>
    <t xml:space="preserve">VCF Auth Bind Username </t>
  </si>
  <si>
    <t>Workload Domain Edge Cluster MTU</t>
  </si>
  <si>
    <t>Witness Gateway</t>
  </si>
  <si>
    <r>
      <rPr>
        <b/>
        <sz val="12"/>
        <color theme="1"/>
        <rFont val="Arial"/>
        <family val="2"/>
      </rPr>
      <t>Hostname</t>
    </r>
    <r>
      <rPr>
        <i/>
        <sz val="12"/>
        <color theme="1"/>
        <rFont val="Arial"/>
        <family val="2"/>
      </rPr>
      <t xml:space="preserve"> (HCX Connector)</t>
    </r>
  </si>
  <si>
    <t>VCF Auth Bind Password</t>
  </si>
  <si>
    <t>SFTP Sever</t>
  </si>
  <si>
    <r>
      <t xml:space="preserve">CLI Admin Password </t>
    </r>
    <r>
      <rPr>
        <i/>
        <sz val="12"/>
        <color theme="1"/>
        <rFont val="Arial"/>
        <family val="2"/>
      </rPr>
      <t>(HCX Connector)</t>
    </r>
  </si>
  <si>
    <t>VCF Auth Username</t>
  </si>
  <si>
    <r>
      <t xml:space="preserve">Root Password </t>
    </r>
    <r>
      <rPr>
        <i/>
        <sz val="12"/>
        <color theme="1"/>
        <rFont val="Arial"/>
        <family val="2"/>
      </rPr>
      <t>(HCX Connector)</t>
    </r>
  </si>
  <si>
    <t>VCF Auth First Name</t>
  </si>
  <si>
    <t xml:space="preserve">VCF operations for Logs </t>
  </si>
  <si>
    <r>
      <t xml:space="preserve">IP Address </t>
    </r>
    <r>
      <rPr>
        <i/>
        <sz val="12"/>
        <color theme="1"/>
        <rFont val="Arial"/>
        <family val="2"/>
      </rPr>
      <t>(HCX Connector)</t>
    </r>
  </si>
  <si>
    <t>VCF Auth Last Name</t>
  </si>
  <si>
    <t>Remote HCX URL</t>
  </si>
  <si>
    <t>VCF Auth Distinguised Name</t>
  </si>
  <si>
    <r>
      <t xml:space="preserve">Username </t>
    </r>
    <r>
      <rPr>
        <i/>
        <sz val="12"/>
        <color theme="1"/>
        <rFont val="Arial"/>
        <family val="2"/>
      </rPr>
      <t>(VMC on AWS Administrator)</t>
    </r>
  </si>
  <si>
    <t>VCF Auth Employee ID</t>
  </si>
  <si>
    <r>
      <t xml:space="preserve">Password </t>
    </r>
    <r>
      <rPr>
        <i/>
        <sz val="12"/>
        <color theme="1"/>
        <rFont val="Arial"/>
        <family val="2"/>
      </rPr>
      <t>(VMC on AWS Administrator)</t>
    </r>
  </si>
  <si>
    <t>VCF Auth Email</t>
  </si>
  <si>
    <t>HCX Network Profiles - Management IP Range</t>
  </si>
  <si>
    <t>VCF Auth Principal name</t>
  </si>
  <si>
    <t>HCX Network Profiles - vMotion IP Range</t>
  </si>
  <si>
    <t>VCF Auth Group base DN</t>
  </si>
  <si>
    <t>HCX Compute Profile</t>
  </si>
  <si>
    <t>VCF Auth User base dn</t>
  </si>
  <si>
    <t>HCX Service Mesh</t>
  </si>
  <si>
    <t>MGMT Domain Hostnames (Witness AZ)</t>
  </si>
  <si>
    <t>Randsomware Recovery</t>
  </si>
  <si>
    <t>MGMT vCenter</t>
  </si>
  <si>
    <t>Server Domain / FQDN - Master</t>
  </si>
  <si>
    <t>Protected vCenter</t>
  </si>
  <si>
    <t>Server Domain / FQDN - Worker 1</t>
  </si>
  <si>
    <t>VLR Hostname</t>
  </si>
  <si>
    <t>Server Domain / FQDN - Worker 2</t>
  </si>
  <si>
    <t>VLR FQDN</t>
  </si>
  <si>
    <t xml:space="preserve">Management Domain VI Inputs (Secondary Availability Zone)								</t>
  </si>
  <si>
    <t>Storage Cluster</t>
  </si>
  <si>
    <t xml:space="preserve">Storage Cluster VDS </t>
  </si>
  <si>
    <t xml:space="preserve">Cluster Strecthed Cluster  							</t>
  </si>
  <si>
    <t>Node Port Group</t>
  </si>
  <si>
    <t>Node Gateway</t>
  </si>
  <si>
    <t>Node Subnet</t>
  </si>
  <si>
    <t xml:space="preserve">Management Domain VI Inputs (Witness Availability Zone)								</t>
  </si>
  <si>
    <t>Recovery Workload AZ1 CIDR Prefix</t>
  </si>
  <si>
    <t>Recovery Site VRMS Gateway</t>
  </si>
  <si>
    <t>Recovery Site VRMS Cidr</t>
  </si>
  <si>
    <t xml:space="preserve">Proteected Site VRMS Mask </t>
  </si>
  <si>
    <t xml:space="preserve">VSLR Username </t>
  </si>
  <si>
    <t>Management Domain IP Addresses (Witness AZ)</t>
  </si>
  <si>
    <t>vSAN Witness IP</t>
  </si>
  <si>
    <t>Node A Hostname</t>
  </si>
  <si>
    <t>Node B Hostname</t>
  </si>
  <si>
    <t>Node C Hostname</t>
  </si>
  <si>
    <t>Management Domain Accounts and Passwords</t>
  </si>
  <si>
    <t>VIP IP</t>
  </si>
  <si>
    <t>Node A IP</t>
  </si>
  <si>
    <t>ESX Root Account</t>
  </si>
  <si>
    <t>Node B IP</t>
  </si>
  <si>
    <t>ESX Root Password</t>
  </si>
  <si>
    <t>vMotion VLAN ID</t>
  </si>
  <si>
    <t>Node C IP</t>
  </si>
  <si>
    <t>Disk Mode</t>
  </si>
  <si>
    <t>VCF Automation Root Password</t>
  </si>
  <si>
    <t>AZ Network - vMotion</t>
  </si>
  <si>
    <t>VCF Operations Admin Password</t>
  </si>
  <si>
    <t xml:space="preserve">VCF Networks for Network </t>
  </si>
  <si>
    <t>VCF OPS Root Password</t>
  </si>
  <si>
    <t>Fleet Manager Admin Password</t>
  </si>
  <si>
    <t>Fleet Manager Root Password</t>
  </si>
  <si>
    <t>WLD administrator@vsphere.local Password</t>
  </si>
  <si>
    <t xml:space="preserve">vSAN Network </t>
  </si>
  <si>
    <t>MGMT NSX Admin Password</t>
  </si>
  <si>
    <t>vSAN VLAN ID</t>
  </si>
  <si>
    <t>Private Key</t>
  </si>
  <si>
    <t>MGMT NSX Root Password</t>
  </si>
  <si>
    <t xml:space="preserve">Certificate Chain </t>
  </si>
  <si>
    <t>MGMT VIDB VIPS</t>
  </si>
  <si>
    <t xml:space="preserve">AZ Network - Princpal Storage </t>
  </si>
  <si>
    <t>MGMT VIDB Node Prefix</t>
  </si>
  <si>
    <t>MGMT VIDB Password</t>
  </si>
  <si>
    <t>MGMT VIDB Password Alias</t>
  </si>
  <si>
    <t>MGMT VIDB Password Description</t>
  </si>
  <si>
    <t>MGMT VIDB Root Password</t>
  </si>
  <si>
    <t>MGMT VIDB VMware System User Password Alias</t>
  </si>
  <si>
    <t>vSAN Client Network</t>
  </si>
  <si>
    <t>MGMT VIDB VMware System User Password Password</t>
  </si>
  <si>
    <t>NFS VLAN ID</t>
  </si>
  <si>
    <t>MGMT VIDB VMware System User Password Description</t>
  </si>
  <si>
    <t>Network -  Secondary Storage</t>
  </si>
  <si>
    <t>MGMT Edge Node 1 Uplink Mapping fp-eth0 uplink0</t>
  </si>
  <si>
    <t>FQDN - Proxy</t>
  </si>
  <si>
    <t>MGMT Edge Node 1 Uplink Mapping fp-eth0 uplink1</t>
  </si>
  <si>
    <t>MGMT Edge Node 1 Uplink Mapping fp-eth1 uplink0</t>
  </si>
  <si>
    <t>MGMT Edge Node 1 Uplink Mapping fp-eth1 uplink1</t>
  </si>
  <si>
    <t>MGMT Edge Node 2 Uplink Mapping fp-eth0 uplink0</t>
  </si>
  <si>
    <t>IP - Proxy</t>
  </si>
  <si>
    <t>MGMT Edge Node 2 Uplink Mapping fp-eth0 uplink1</t>
  </si>
  <si>
    <t>HOSTNAME - Platform Node #1</t>
  </si>
  <si>
    <t>MGMT Edge Node 2 Uplink Mapping fp-eth1 uplink0</t>
  </si>
  <si>
    <t>HOSTNAME - Platform Node #2</t>
  </si>
  <si>
    <t>MGMT Edge Node 2 Uplink Mapping fp-eth1 uplink1</t>
  </si>
  <si>
    <t>HOSTNAME - Platform Node #3</t>
  </si>
  <si>
    <t>HOSTNAME - Proxy</t>
  </si>
  <si>
    <t>WLD Edge Node 1 Uplink Mapping fp-eth0 uplink0</t>
  </si>
  <si>
    <t>WLD Edge Node 1 Uplink Mapping fp-eth0 uplink1</t>
  </si>
  <si>
    <t>WLD Edge Node 1 Uplink Mapping fp-eth1 uplink0</t>
  </si>
  <si>
    <t>WLD Edge Node 1 Uplink Mapping fp-eth1 uplink1</t>
  </si>
  <si>
    <t>WLD Edge Node 2 Uplink Mapping fp-eth0 uplink0</t>
  </si>
  <si>
    <t>WLD Edge Node 2 Uplink Mapping fp-eth0 uplink1</t>
  </si>
  <si>
    <t>WLD Edge Node 2 Uplink Mapping fp-eth1 uplink0</t>
  </si>
  <si>
    <t>WLD Edge Node 2 Uplink Mapping fp-eth1 uplink1</t>
  </si>
  <si>
    <t>vSAN Witness Zone - MGMT VLAN ID</t>
  </si>
  <si>
    <t>vSAN Witness Zone - MGMT Gateway</t>
  </si>
  <si>
    <t>vSAN Witness Zone - MGMT CIDR Notation</t>
  </si>
  <si>
    <t>vSAN Witness Zone - MGMT MTU</t>
  </si>
  <si>
    <t xml:space="preserve">OPS for Networks Proxy Port Group </t>
  </si>
  <si>
    <t>OPS for Networks Node A Size</t>
  </si>
  <si>
    <t>OPS for Networks Node B Size</t>
  </si>
  <si>
    <t>OPS for Networks Node C Size</t>
  </si>
  <si>
    <t>OPS for Networks Proxy Size</t>
  </si>
  <si>
    <t>secondaryAzOverlayVlanId</t>
  </si>
  <si>
    <t>Configure VCF Operations and Automation  {SDDC Manager}</t>
  </si>
  <si>
    <t>Host  1 FQDN - AZ2</t>
  </si>
  <si>
    <t>Host 2 FQDN - AZ2</t>
  </si>
  <si>
    <t>Host 3 FQDN - AZ2</t>
  </si>
  <si>
    <t>Host 4 FQDN  - AZ2</t>
  </si>
  <si>
    <t>Host 5 FQDN - AZ2</t>
  </si>
  <si>
    <t>Host 6 FQDN - AZ2</t>
  </si>
  <si>
    <t>FQDN - LB</t>
  </si>
  <si>
    <t>Host 7 FQDN - AZ2</t>
  </si>
  <si>
    <t>VCF OPS FQDN - Master</t>
  </si>
  <si>
    <t>Host 8 FQDN - AZ2</t>
  </si>
  <si>
    <t>FQDN - Replica</t>
  </si>
  <si>
    <t>Host 9 FQDN - AZ2</t>
  </si>
  <si>
    <t>FQDN - Data</t>
  </si>
  <si>
    <t>Host 10 FQDN - AZ2</t>
  </si>
  <si>
    <t>IP Address - LB</t>
  </si>
  <si>
    <t>Host 11 FQDN - AZ2</t>
  </si>
  <si>
    <t>IP Address - Master</t>
  </si>
  <si>
    <t>Host 12 FQDN - AZ2</t>
  </si>
  <si>
    <t>IP Address - Replica</t>
  </si>
  <si>
    <t>Host 13 FQDN - AZ2</t>
  </si>
  <si>
    <t>IP Address - Data</t>
  </si>
  <si>
    <t>Host 14 FQDN - AZ2</t>
  </si>
  <si>
    <t>Host 15 FQDN - AZ2</t>
  </si>
  <si>
    <t>Host 16 FQDN - AZ2</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</si>
  <si>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</si>
  <si>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</si>
  <si>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</si>
  <si>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</si>
  <si>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</si>
  <si>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</si>
  <si>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</si>
  <si>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</si>
  <si>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</si>
  <si>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</si>
  <si>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</si>
  <si>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</si>
  <si>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</si>
  <si>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</si>
  <si>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</si>
  <si>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</si>
  <si>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</si>
  <si>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Important: Using this Document</t>
  </si>
  <si>
    <t>Constant</t>
  </si>
  <si>
    <t xml:space="preserve">
1.
2.
3.
4.
5.
6.
7.
8.
9.
10.
11.
12.
13.
14.
15.
16.
17.
18.
</t>
  </si>
  <si>
    <t xml:space="preserve">
Use the Multi-Instance Integration Model option to define how this VCF instance will integrate with other VCF instances. Use First Domain when this is the very first VCF domain or where no integration with other VCF instances is required. Use Additional Domain when you intend to integrate the new VCF instance with management components deployed in another VCF instance but where you desire a distinct SSO domain. Reference values for the First Domain are based on location SFO, while the Additional Domain option is based on LAX. Site Protection and Disaster Recovery assumes the First Domain to be the Protected Site, with Additional Domain options assumed to be Recovery. Several processes effecting the recovery site are carried out using the protected site P&amp;P workbook to minimise input requirements.
Choosing VCF Solution Licensing: The applicable VCF components will deploy in evaluation mode. After deployment, you add the keys in the vSphere Client
Choose additional Management Domain: Deployment options. 
Choosing Consolidated Management Domain will exclude VI Workload Domain.
Choose Management Domain: Post-Deployment Options. Overlay-backed NSX Routing for the Management Domain assumes the use of BGP, while VLAN-Backed assumes Static Routes. Overlay-Backed is required for NSX Federation for the Management Domain, and NSX Routing for the Management Domain is required to enable VMware Aria Suite Lifecycle.
Choose VMware Aria Suite Lifecycle and VCF Aware Workspace ONE options as required. VMware Aria Suite Lifecycle is required for VMware Aria Suite based Validated Solutions.
Choose VI Workload Domain: Deployment options.
Choose VI Workload Domain: Multi Rack Deployment options. Choosing Dedicated Racks for vSphere Cluster hosting NSX Edges will dedicate two Racks to host vSphere Cluster hosting NSX Edges. Excluding Dedicated Racks for vSphere Cluster hosting NSX Edges will place two vSphere Cluster hosting NSX Edges in two separate racks that will also contain hosts for the multi rack compute cluster. 
Setting the number of Additional Racks will determine the total number of racks contributing to the VMware Cloud Foundation instance. Once the VI Workload Domain is enabled, the first rack is automatically counted by default.
Set the number of compute hosts that will be deployed and configured per rack in the Initial cluster. Standard vSAN scaling limits apply. 
Choose the Racks where the vSphere Clusters hosting the NSX Edges will be placed.
Choose the edge deployment model . Two node will deploy a two node edge cluster and place one edge node per cluster. Four node will deploy a four nodes edge cluster and place two edge nodes per cluster .
Choose VI Workload Domain: Post-Deployment options.
Choose desired Validated Solution: Deployment options, choosing Initial Deployment or Connect Instance where appropriate.
Adjust your chosen options until all dependencies and compatibility issues highlighted in red are resolved.
Populate the necessary inputs on the Input Tabs. Based on your chosen options, cells and rows where the input is not required will be greyed out.
Deploy Management and VI Workload Domains using Deployment Overview of VMware Cloud Foundation. 
Deploy Validated Solutions using their respective documentation. Each section in the documentation requiring user values will have a corresponding named table in the relevant Deployment Tab. Processes not needed due to your chosen options will be greyed out.
</t>
  </si>
  <si>
    <t>vCenter Appliance Size List</t>
  </si>
  <si>
    <t>Tiny</t>
  </si>
  <si>
    <t>Excluded</t>
  </si>
  <si>
    <t>Yes / No</t>
  </si>
  <si>
    <t xml:space="preserve">Instance </t>
  </si>
  <si>
    <t>First Instance</t>
  </si>
  <si>
    <t>Additional Instance</t>
  </si>
  <si>
    <t>Yes</t>
  </si>
  <si>
    <t>Deploy a new VCF fleet</t>
  </si>
  <si>
    <t>Deploy a VCF Instance in an existing VCF fleet</t>
  </si>
  <si>
    <t>VMware vSphere Foundation Deployment</t>
  </si>
  <si>
    <t>XLarge</t>
  </si>
  <si>
    <t>Create VI Workload Domain</t>
  </si>
  <si>
    <t>vCenter Storage Size List</t>
  </si>
  <si>
    <t>Create Cluster</t>
  </si>
  <si>
    <t>None</t>
  </si>
  <si>
    <t>Full Instance</t>
  </si>
  <si>
    <t>One Or More VVDs</t>
  </si>
  <si>
    <t>NSX-T Manager Size List</t>
  </si>
  <si>
    <t>Extra_Small</t>
  </si>
  <si>
    <t>None Chosen</t>
  </si>
  <si>
    <t>Workload Domain</t>
  </si>
  <si>
    <t>NSX-T Edge Size List</t>
  </si>
  <si>
    <t>XXLarge</t>
  </si>
  <si>
    <t>vCenter Size</t>
  </si>
  <si>
    <t>Supported Limits</t>
  </si>
  <si>
    <t>10 Hosts 100 VMs</t>
  </si>
  <si>
    <t>Lookup Tables</t>
  </si>
  <si>
    <t>100 Hosts 1000 VMs</t>
  </si>
  <si>
    <t>400 Hosts - 4000 VM</t>
  </si>
  <si>
    <t>CPU</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</si>
  <si>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</si>
  <si>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</si>
  <si>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</si>
  <si>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</si>
  <si>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</si>
  <si>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</si>
  <si>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</si>
  <si>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</si>
  <si>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</si>
  <si>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</si>
  <si>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</si>
  <si>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</si>
  <si>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</si>
  <si>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</si>
  <si>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</si>
  <si>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</si>
  <si>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</si>
  <si>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</si>
  <si>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Storage Traffic Separation</t>
  </si>
  <si>
    <t>TinyDefault</t>
  </si>
  <si>
    <t>NSX Traffic Separation</t>
  </si>
  <si>
    <t>Custom Switch Configuration</t>
  </si>
  <si>
    <t>TinyLarge</t>
  </si>
  <si>
    <t>Storage Traffic and NSX Traffic Separation</t>
  </si>
  <si>
    <t>TinyXLarge</t>
  </si>
  <si>
    <t>SmallDefault</t>
  </si>
  <si>
    <t>SmallLarge</t>
  </si>
  <si>
    <t>SmallXLarge</t>
  </si>
  <si>
    <t>MediumDefault</t>
  </si>
  <si>
    <t>MediumLarge</t>
  </si>
  <si>
    <t>vSAN Compute</t>
  </si>
  <si>
    <t>MediumXLarge</t>
  </si>
  <si>
    <t>LargeDefault</t>
  </si>
  <si>
    <t>LargeLarge</t>
  </si>
  <si>
    <t>LargeXLarge</t>
  </si>
  <si>
    <t>XLargeDefault</t>
  </si>
  <si>
    <t>XLargeLarge</t>
  </si>
  <si>
    <t>XLargeXLarge</t>
  </si>
  <si>
    <t>NSX-T Manager CPU</t>
  </si>
  <si>
    <t>NSX-T Manager RAM</t>
  </si>
  <si>
    <t>NSX-T Manager Disk</t>
  </si>
  <si>
    <t>NSX-T Edge CPU</t>
  </si>
  <si>
    <t>NSX-T Edge RAM</t>
  </si>
  <si>
    <t>NSX-T Edge Disk</t>
  </si>
  <si>
    <t>VCF Operations Fleet Manager</t>
  </si>
  <si>
    <t>vCLS Virtual Machines</t>
  </si>
  <si>
    <t>WSA CPU</t>
  </si>
  <si>
    <t>Extra Small</t>
  </si>
  <si>
    <t>Extra Large</t>
  </si>
  <si>
    <t>Extra Extra Large</t>
  </si>
  <si>
    <t>WSA RAM</t>
  </si>
  <si>
    <t>WSA Disk</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</si>
  <si>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</si>
  <si>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</si>
  <si>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</si>
  <si>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</si>
  <si>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</si>
  <si>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</si>
  <si>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</si>
  <si>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</si>
  <si>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</si>
  <si>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</si>
  <si>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</si>
  <si>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</si>
  <si>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</si>
  <si>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</si>
  <si>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</si>
  <si>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</si>
  <si>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</si>
  <si>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</si>
  <si>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</si>
  <si>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</si>
  <si>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</si>
  <si>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</si>
  <si>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</si>
  <si>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</si>
  <si>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</si>
  <si>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</si>
  <si>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</si>
  <si>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</si>
  <si>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</si>
  <si>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X-Large</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</si>
  <si>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</si>
  <si>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</si>
  <si>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</si>
  <si>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</si>
  <si>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</si>
  <si>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</si>
  <si>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</si>
  <si>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</si>
  <si>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</si>
  <si>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</si>
  <si>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</si>
  <si>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</si>
  <si>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</si>
  <si>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</si>
  <si>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</si>
  <si>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</si>
  <si>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</si>
  <si>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</si>
  <si>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</si>
  <si>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</si>
  <si>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</si>
  <si>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</si>
  <si>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</si>
  <si>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</si>
  <si>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</si>
  <si>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</si>
  <si>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</si>
  <si>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</si>
  <si>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</si>
  <si>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</si>
  <si>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</si>
  <si>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</si>
  <si>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</si>
  <si>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</si>
  <si>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</si>
  <si>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</si>
  <si>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</si>
  <si>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</si>
  <si>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</si>
  <si>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</si>
  <si>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</si>
  <si>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Dedicated - HA Cluster</t>
  </si>
  <si>
    <t>VI Workload Domain Type</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</si>
  <si>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</si>
  <si>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</si>
  <si>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</si>
  <si>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</si>
  <si>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</si>
  <si>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</si>
  <si>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</si>
  <si>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</si>
  <si>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</si>
  <si>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</si>
  <si>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</si>
  <si>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</si>
  <si>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</si>
  <si>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</si>
  <si>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</si>
  <si>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</si>
  <si>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</si>
  <si>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</si>
  <si>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</si>
  <si>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</si>
  <si>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</si>
  <si>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</si>
  <si>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</si>
  <si>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</si>
  <si>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</si>
  <si>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</si>
  <si>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</si>
  <si>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</si>
  <si>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</si>
  <si>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</si>
  <si>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</si>
  <si>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</si>
  <si>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</si>
  <si>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</si>
  <si>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</si>
  <si>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</si>
  <si>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</si>
  <si>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</si>
  <si>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</si>
  <si>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</si>
  <si>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</si>
  <si>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</si>
  <si>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</si>
  <si>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</si>
  <si>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</si>
  <si>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</si>
  <si>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</si>
  <si>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</si>
  <si>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</si>
  <si>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</si>
  <si>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</si>
  <si>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</si>
  <si>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</si>
  <si>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</si>
  <si>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</si>
  <si>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</si>
  <si>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</si>
  <si>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</si>
  <si>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</si>
  <si>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</si>
  <si>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</si>
  <si>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</si>
  <si>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</si>
  <si>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</si>
  <si>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</si>
  <si>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</si>
  <si>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</si>
  <si>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</si>
  <si>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</si>
  <si>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</si>
  <si>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Source MAC</t>
  </si>
  <si>
    <t>Destination MAC</t>
  </si>
  <si>
    <t>Source and destination MAC</t>
  </si>
  <si>
    <t>Destination IP and vLAN</t>
  </si>
  <si>
    <t>Source IP and vLAN</t>
  </si>
  <si>
    <t>Source and destination IP and vLAN</t>
  </si>
  <si>
    <t>Destination TCP/UDP port</t>
  </si>
  <si>
    <t>Source TCP/UDP port</t>
  </si>
  <si>
    <t>Source and destination TCP/UDP port</t>
  </si>
  <si>
    <t>Destination IP and TCP/UDP port</t>
  </si>
  <si>
    <t>Source IP and TCP/UDP port</t>
  </si>
  <si>
    <t>Source and destination IP and TCP/UDP port</t>
  </si>
  <si>
    <t>Destination IP and TCP/UDP port and vLAN</t>
  </si>
  <si>
    <t>Source IP and TCP/UDP port and vLAN</t>
  </si>
  <si>
    <t>Destination IP</t>
  </si>
  <si>
    <t>Source IP</t>
  </si>
  <si>
    <t>Source and destination IP</t>
  </si>
  <si>
    <t>vLAN</t>
  </si>
  <si>
    <t>vLAN source port ID</t>
  </si>
  <si>
    <t>Site Protection and Disaster Recovery</t>
  </si>
  <si>
    <t>Management Domain</t>
  </si>
  <si>
    <t>Group / Component</t>
  </si>
  <si>
    <t>Domain</t>
  </si>
  <si>
    <t>Reference Hostname</t>
  </si>
  <si>
    <t>Your Hostname</t>
  </si>
  <si>
    <t>n/a</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</si>
  <si>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</si>
  <si>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</si>
  <si>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</si>
  <si>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</si>
  <si>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</si>
  <si>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</si>
  <si>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</si>
  <si>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</si>
  <si>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</si>
  <si>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</si>
  <si>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</si>
  <si>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</si>
  <si>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</si>
  <si>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</si>
  <si>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</si>
  <si>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</si>
  <si>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</si>
  <si>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</si>
  <si>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</si>
  <si>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</si>
  <si>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</si>
  <si>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</si>
  <si>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</si>
  <si>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</si>
  <si>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Load Balancer</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</si>
  <si>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</si>
  <si>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</si>
  <si>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</si>
  <si>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</si>
  <si>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</si>
  <si>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</si>
  <si>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</si>
  <si>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</si>
  <si>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</si>
  <si>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</si>
  <si>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</si>
  <si>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</si>
  <si>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</si>
  <si>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</si>
  <si>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</si>
  <si>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</si>
  <si>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</si>
  <si>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</si>
  <si>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</si>
  <si>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</si>
  <si>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</si>
  <si>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</si>
  <si>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</si>
  <si>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</si>
  <si>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</si>
  <si>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</si>
  <si>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</si>
  <si>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</si>
  <si>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</si>
  <si>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</si>
  <si>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</si>
  <si>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</si>
  <si>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</si>
  <si>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</si>
  <si>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</si>
  <si>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</si>
  <si>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</si>
  <si>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</si>
  <si>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</si>
  <si>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</si>
  <si>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</si>
  <si>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</si>
  <si>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</si>
  <si>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</si>
  <si>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</si>
  <si>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</si>
  <si>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</si>
  <si>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</si>
  <si>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</si>
  <si>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</si>
  <si>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</si>
  <si>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</si>
  <si>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</si>
  <si>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</si>
  <si>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</si>
  <si>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</si>
  <si>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</si>
  <si>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</si>
  <si>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</si>
  <si>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</si>
  <si>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</si>
  <si>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</si>
  <si>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</si>
  <si>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</si>
  <si>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</si>
  <si>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</si>
  <si>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</si>
  <si>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</si>
  <si>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</si>
  <si>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</si>
  <si>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</si>
  <si>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</si>
  <si>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</si>
  <si>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</si>
  <si>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</si>
  <si>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</si>
  <si>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</si>
  <si>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</si>
  <si>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</si>
  <si>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</si>
  <si>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</si>
  <si>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</si>
  <si>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</si>
  <si>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</si>
  <si>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</si>
  <si>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</si>
  <si>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</si>
  <si>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</si>
  <si>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</si>
  <si>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</si>
  <si>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</si>
  <si>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</si>
  <si>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</si>
  <si>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</si>
  <si>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</si>
  <si>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</si>
  <si>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</si>
  <si>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</si>
  <si>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</si>
  <si>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</si>
  <si>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</si>
  <si>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</si>
  <si>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</si>
  <si>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</si>
  <si>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</si>
  <si>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</si>
  <si>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</si>
  <si>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</si>
  <si>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</si>
  <si>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</si>
  <si>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</si>
  <si>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</si>
  <si>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</si>
  <si>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</si>
  <si>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</si>
  <si>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</si>
  <si>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</si>
  <si>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</si>
  <si>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</si>
  <si>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</si>
  <si>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</si>
  <si>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</si>
  <si>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</si>
  <si>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</si>
  <si>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</si>
  <si>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</si>
  <si>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</si>
  <si>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</si>
  <si>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</si>
  <si>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</si>
  <si>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</si>
  <si>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</si>
  <si>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</si>
  <si>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</si>
  <si>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</si>
  <si>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</si>
  <si>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</si>
  <si>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</si>
  <si>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</si>
  <si>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</si>
  <si>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</si>
  <si>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</si>
  <si>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</si>
  <si>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</si>
  <si>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</si>
  <si>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</si>
  <si>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</si>
  <si>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</si>
  <si>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</si>
  <si>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</si>
  <si>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</si>
  <si>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</si>
  <si>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</si>
  <si>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</si>
  <si>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</si>
  <si>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</si>
  <si>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</si>
  <si>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</si>
  <si>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</si>
  <si>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</si>
  <si>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</si>
  <si>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</si>
  <si>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</si>
  <si>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</si>
  <si>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</si>
  <si>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</si>
  <si>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</si>
  <si>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</si>
  <si>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</si>
  <si>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</si>
  <si>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</si>
  <si>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</si>
  <si>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</si>
  <si>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</si>
  <si>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</si>
  <si>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</si>
  <si>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</si>
  <si>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</si>
  <si>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</si>
  <si>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</si>
  <si>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</si>
  <si>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</si>
  <si>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</si>
  <si>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</si>
  <si>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</si>
  <si>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</si>
  <si>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</si>
  <si>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</si>
  <si>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</si>
  <si>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</si>
  <si>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</si>
  <si>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</si>
  <si>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</si>
  <si>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</si>
  <si>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</si>
  <si>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</si>
  <si>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</si>
  <si>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</si>
  <si>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</si>
  <si>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</si>
  <si>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</si>
  <si>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</si>
  <si>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</si>
  <si>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</si>
  <si>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</si>
  <si>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</si>
  <si>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</si>
  <si>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</si>
  <si>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</si>
  <si>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</si>
  <si>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</si>
  <si>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</si>
  <si>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</si>
  <si>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</si>
  <si>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</si>
  <si>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</si>
  <si>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</si>
  <si>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</si>
  <si>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</si>
  <si>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</si>
  <si>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</si>
  <si>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</si>
  <si>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</si>
  <si>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</si>
  <si>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 xml:space="preserve">         Site Protection and Disaster Recovery Validated Solution</t>
  </si>
  <si>
    <t>This page contains all user required values used during the deployment of the Site Protection and Disaster Recovery Validated Solution. Each table and value maps directly to a process in the deployment guidance documentation.</t>
  </si>
  <si>
    <t>Solution Interoperability</t>
  </si>
  <si>
    <t>Reconfigure DNS and Domain Search on the VCF Operations Fleet Management Appliance for Site Protection and Disaster Recovery for VMware Cloud Foundation</t>
  </si>
  <si>
    <t>&lt;vcf_operations_fm_fqdn&gt;</t>
  </si>
  <si>
    <t>10-eth0-static.network</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</si>
  <si>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</si>
  <si>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</si>
  <si>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</si>
  <si>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</si>
  <si>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</si>
  <si>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</si>
  <si>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</si>
  <si>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</si>
  <si>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</si>
  <si>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</si>
  <si>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</si>
  <si>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</si>
  <si>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</si>
  <si>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</si>
  <si>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</si>
  <si>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</si>
  <si>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</si>
  <si>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</si>
  <si>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</si>
  <si>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</si>
  <si>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</si>
  <si>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</si>
  <si>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</si>
  <si>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</si>
  <si>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</si>
  <si>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</si>
  <si>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</si>
  <si>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</si>
  <si>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</si>
  <si>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</si>
  <si>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</si>
  <si>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</si>
  <si>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vsphere.local</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</si>
  <si>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</si>
  <si>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</si>
  <si>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</si>
  <si>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</si>
  <si>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</si>
  <si>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</si>
  <si>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</si>
  <si>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</si>
  <si>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</si>
  <si>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</si>
  <si>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</si>
  <si>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</si>
  <si>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</si>
  <si>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</si>
  <si>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</si>
  <si>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</si>
  <si>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</si>
  <si>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</si>
  <si>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</si>
  <si>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</si>
  <si>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</si>
  <si>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</si>
  <si>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</si>
  <si>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</si>
  <si>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</si>
  <si>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</si>
  <si>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</si>
  <si>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</si>
  <si>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</si>
  <si>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</si>
  <si>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</si>
  <si>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</si>
  <si>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</si>
  <si>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</si>
  <si>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</si>
  <si>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</si>
  <si>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</si>
  <si>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</si>
  <si>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</si>
  <si>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</si>
  <si>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</si>
  <si>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</si>
  <si>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</si>
  <si>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</si>
  <si>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</si>
  <si>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</si>
  <si>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</si>
  <si>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</si>
  <si>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</si>
  <si>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</si>
  <si>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</si>
  <si>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</si>
  <si>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</si>
  <si>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</si>
  <si>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</si>
  <si>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</si>
  <si>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</si>
  <si>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</si>
  <si>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</si>
  <si>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</si>
  <si>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</si>
  <si>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</si>
  <si>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</si>
  <si>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</si>
  <si>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</si>
  <si>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</si>
  <si>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</si>
  <si>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</si>
  <si>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</si>
  <si>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</si>
  <si>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</si>
  <si>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</si>
  <si>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</si>
  <si>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</si>
  <si>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</si>
  <si>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</si>
  <si>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</si>
  <si>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</si>
  <si>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</si>
  <si>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</si>
  <si>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</si>
  <si>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</si>
  <si>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</si>
  <si>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</si>
  <si>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</si>
  <si>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</si>
  <si>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</si>
  <si>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</si>
  <si>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</si>
  <si>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</si>
  <si>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</si>
  <si>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</si>
  <si>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</si>
  <si>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</si>
  <si>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</si>
  <si>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</si>
  <si>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</si>
  <si>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</si>
  <si>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</si>
  <si>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</si>
  <si>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</si>
  <si>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</si>
  <si>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</si>
  <si>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</si>
  <si>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</si>
  <si>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</si>
  <si>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</si>
  <si>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</si>
  <si>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</si>
  <si>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</si>
  <si>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</si>
  <si>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</si>
  <si>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</si>
  <si>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</si>
  <si>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</si>
  <si>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</si>
  <si>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</si>
  <si>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</si>
  <si>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</si>
  <si>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</si>
  <si>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</si>
  <si>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</si>
  <si>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</si>
  <si>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</si>
  <si>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</si>
  <si>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</si>
  <si>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</si>
  <si>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</si>
  <si>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</si>
  <si>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</si>
  <si>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</si>
  <si>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</si>
  <si>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</si>
  <si>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</si>
  <si>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</si>
  <si>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</si>
  <si>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</si>
  <si>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</si>
  <si>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</si>
  <si>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</si>
  <si>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</si>
  <si>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</si>
  <si>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</si>
  <si>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</si>
  <si>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</si>
  <si>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</si>
  <si>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</si>
  <si>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</si>
  <si>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</si>
  <si>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</si>
  <si>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</si>
  <si>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</si>
  <si>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 xml:space="preserve">         VMware Cloud Foundation Live Recovery for Ransomware Recovery </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</si>
  <si>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</si>
  <si>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</si>
  <si>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</si>
  <si>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</si>
  <si>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</si>
  <si>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</si>
  <si>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</si>
  <si>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</si>
  <si>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</si>
  <si>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</si>
  <si>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</si>
  <si>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</si>
  <si>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</si>
  <si>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</si>
  <si>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</si>
  <si>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</si>
  <si>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</si>
  <si>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</si>
  <si>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</si>
  <si>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</si>
  <si>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</si>
  <si>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</si>
  <si>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</si>
  <si>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</si>
  <si>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</si>
  <si>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</si>
  <si>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</si>
  <si>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</si>
  <si>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</si>
  <si>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</si>
  <si>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</si>
  <si>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</si>
  <si>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</si>
  <si>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</si>
  <si>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</si>
  <si>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</si>
  <si>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</si>
  <si>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</si>
  <si>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</si>
  <si>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</si>
  <si>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</si>
  <si>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</si>
  <si>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</si>
  <si>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</si>
  <si>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</si>
  <si>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</si>
  <si>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</si>
  <si>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</si>
  <si>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</si>
  <si>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</si>
  <si>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</si>
  <si>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</si>
  <si>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</si>
  <si>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</si>
  <si>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</si>
  <si>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</si>
  <si>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</si>
  <si>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</si>
  <si>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</si>
  <si>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</si>
  <si>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</si>
  <si>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</si>
  <si>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</si>
  <si>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</si>
  <si>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</si>
  <si>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</si>
  <si>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</si>
  <si>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</si>
  <si>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</si>
  <si>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</si>
  <si>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</si>
  <si>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</si>
  <si>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</si>
  <si>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</si>
  <si>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</si>
  <si>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</si>
  <si>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</si>
  <si>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</si>
  <si>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</si>
  <si>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</si>
  <si>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</si>
  <si>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</si>
  <si>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</si>
  <si>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</si>
  <si>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</si>
  <si>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</si>
  <si>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</si>
  <si>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</si>
  <si>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</si>
  <si>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</si>
  <si>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</si>
  <si>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</si>
  <si>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</si>
  <si>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</si>
  <si>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</si>
  <si>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</si>
  <si>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</si>
  <si>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</si>
  <si>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</si>
  <si>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</si>
  <si>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</si>
  <si>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</si>
  <si>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</si>
  <si>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</si>
  <si>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</si>
  <si>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</si>
  <si>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</si>
  <si>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</si>
  <si>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</si>
  <si>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</si>
  <si>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</si>
  <si>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</si>
  <si>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</si>
  <si>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</si>
  <si>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</si>
  <si>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</si>
  <si>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Network Connectivity for  Workload Domain Reference Sheet</t>
  </si>
  <si>
    <t>NSX Routing for Workload Domain</t>
  </si>
  <si>
    <t>Workload Domain BGP Requirements</t>
  </si>
  <si>
    <t>AVI Load Balancer</t>
  </si>
  <si>
    <t>Host Overlay</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</si>
  <si>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</si>
  <si>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</si>
  <si>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</si>
  <si>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</si>
  <si>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</si>
  <si>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</si>
  <si>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</si>
  <si>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</si>
  <si>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</si>
  <si>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</si>
  <si>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</si>
  <si>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</si>
  <si>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</si>
  <si>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</si>
  <si>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</si>
  <si>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</si>
  <si>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</si>
  <si>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</si>
  <si>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</si>
  <si>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</si>
  <si>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</si>
  <si>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</si>
  <si>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</si>
  <si>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</si>
  <si>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</si>
  <si>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</si>
  <si>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</si>
  <si>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</si>
  <si>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</si>
  <si>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</si>
  <si>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</si>
  <si>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</si>
  <si>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</si>
  <si>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</si>
  <si>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</si>
  <si>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</si>
  <si>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</si>
  <si>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</si>
  <si>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</si>
  <si>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</si>
  <si>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</si>
  <si>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</si>
  <si>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</si>
  <si>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</si>
  <si>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</si>
  <si>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</si>
  <si>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</si>
  <si>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</si>
  <si>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</si>
  <si>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v1.9.0.007</t>
  </si>
  <si>
    <t>Feb-3-2026</t>
  </si>
  <si>
    <t>- Adding Additonal NSX Manager Sizing form factors to allow for Proof of Concept sizing 
- Updated the VCF Operations Unfied Cloud Proxy Appliance Sizes
- Added Support for LACP / VDS LAG in the Configure Managment Workload Domain 
- Added Support for LACP / VDS LAG in the Deploy Workload Domain 
- Added Support for LACP / VDS LAG in the Deploy Cluster 
- Added Storage Choice in Management Domain Sizing Tab</t>
  </si>
  <si>
    <t>v1.9.0.006</t>
  </si>
  <si>
    <t>Oct-1-2025</t>
  </si>
  <si>
    <t xml:space="preserve">- Corrected Issue with appliance type for VIDB on Deploy Fleet Management Day-N Tab
- Added Additonal notes to the Configure Management Domain Tab
- Fixed Stretched Cluster link at the top of the worksheet on Configure Management Domain 
- Corrected name of NSX Edge Cluster on Configure Management Domain
- Corrected Issue with Edge Gateway Type dropdown not appearing 
- Correct issue with Data node 1 of VCF Operations output name </t>
  </si>
  <si>
    <t>v1.9.0.005</t>
  </si>
  <si>
    <t>Aug-20-2025</t>
  </si>
  <si>
    <t>- Corrected formulae for workload domain az2 fqdns</t>
  </si>
  <si>
    <t>v1.9.0.004</t>
  </si>
  <si>
    <t>- Fixed locked cells on 'Configure Management Domain' and 'Deploy Fleet Management Day-N' tabs</t>
  </si>
  <si>
    <t>v1.9.0.003</t>
  </si>
  <si>
    <t>Aug-04-2025</t>
  </si>
  <si>
    <t xml:space="preserve">- Adding Sizing optionality for Security Services Platform
- Fixed vMotion MTU value showing as CIDR address in the VCF MGMT Domain FQDN and IP Addresses Table
- Corrected conditional formatting when creating a new Workload Domain with a new VCF Network Pools
- Added Input for Storage Cluster name when adding a compute cluster </t>
  </si>
  <si>
    <t>v1.9.0.002</t>
  </si>
  <si>
    <t>June-31-2025</t>
  </si>
  <si>
    <t>- Corrected conditional formatting in the Sizing Section
- Corrected formula in Management Domain Sizing that was returning an error for some users
- Removed sizing optionality for VMware Live Recovery Appliance
- Resolved locked cells in the Deploy Workload Domain Tab
- Resolved Minor text edits throughout the document</t>
  </si>
  <si>
    <t>v1.9.0.001</t>
  </si>
  <si>
    <t>June-17-2025</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</si>
  <si>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</si>
  <si>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</si>
  <si>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</si>
  <si>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</si>
  <si>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</si>
  <si>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</si>
  <si>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</si>
  <si>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</si>
  <si>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</si>
  <si>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</si>
  <si>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</si>
  <si>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</si>
  <si>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</si>
  <si>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</si>
  <si>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</si>
  <si>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</si>
  <si>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</si>
  <si>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</si>
  <si>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</si>
  <si>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</si>
  <si>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</si>
  <si>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</si>
  <si>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</si>
  <si>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</si>
  <si>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t xml:space="preserve">Group </t>
    </r>
    <r>
      <rPr>
        <i/>
        <sz val="12"/>
        <color theme="1"/>
        <rFont val="Arial"/>
        <family val="2"/>
      </rPr>
      <t>(Edit Role)</t>
    </r>
  </si>
  <si>
    <r>
      <t>Group</t>
    </r>
    <r>
      <rPr>
        <i/>
        <sz val="12"/>
        <color theme="1"/>
        <rFont val="Arial"/>
        <family val="2"/>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</si>
  <si>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</si>
  <si>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</si>
  <si>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</si>
  <si>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</si>
  <si>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</si>
  <si>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</si>
  <si>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</si>
  <si>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</si>
  <si>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</si>
  <si>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</si>
  <si>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</si>
  <si>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</si>
  <si>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</si>
  <si>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</si>
  <si>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</si>
  <si>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</si>
  <si>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</si>
  <si>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</si>
  <si>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</si>
  <si>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</si>
  <si>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</si>
  <si>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</si>
  <si>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</si>
  <si>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</si>
  <si>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</si>
  <si>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</si>
  <si>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</si>
  <si>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</si>
  <si>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</si>
  <si>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</si>
  <si>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</si>
  <si>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</si>
  <si>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</si>
  <si>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</si>
  <si>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</si>
  <si>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t>VMware Live Cyber Recovery to vSphere Integration</t>
  </si>
  <si>
    <t>svc-vlcr-vsphere</t>
  </si>
  <si>
    <r>
      <t xml:space="preserve">VM Folder </t>
    </r>
    <r>
      <rPr>
        <i/>
        <sz val="12"/>
        <color theme="1"/>
        <rFont val="Arial"/>
        <family val="2"/>
      </rPr>
      <t>(DRaaS Connectors)</t>
    </r>
  </si>
  <si>
    <t>aws-recovery-sddc</t>
  </si>
  <si>
    <t>I4i (Local SSD)</t>
  </si>
  <si>
    <t>&lt;generated&gt;</t>
  </si>
  <si>
    <t>10.2.0.0/16</t>
  </si>
  <si>
    <r>
      <t xml:space="preserve">Firewall Rule Name </t>
    </r>
    <r>
      <rPr>
        <i/>
        <sz val="12"/>
        <color theme="1"/>
        <rFont val="Arial"/>
        <family val="2"/>
      </rPr>
      <t>(vCenter Server Inbound)</t>
    </r>
  </si>
  <si>
    <t>vCenter Inbound Rule</t>
  </si>
  <si>
    <r>
      <t xml:space="preserve">User Defined Group </t>
    </r>
    <r>
      <rPr>
        <i/>
        <sz val="12"/>
        <color theme="1"/>
        <rFont val="Arial"/>
        <family val="2"/>
      </rPr>
      <t>(Firewall Access)</t>
    </r>
  </si>
  <si>
    <t>External-Access</t>
  </si>
  <si>
    <t>69.34.34.11</t>
  </si>
  <si>
    <r>
      <t>Cloud File System</t>
    </r>
    <r>
      <rPr>
        <i/>
        <sz val="12"/>
        <color theme="1"/>
        <rFont val="Arial"/>
        <family val="2"/>
      </rPr>
      <t xml:space="preserve"> (VMware Cloud Disaster Recovery)</t>
    </r>
  </si>
  <si>
    <t>usw2-az2-cfs01</t>
  </si>
  <si>
    <r>
      <t xml:space="preserve">On-Premises Site Name </t>
    </r>
    <r>
      <rPr>
        <i/>
        <sz val="12"/>
        <color theme="1"/>
        <rFont val="Arial"/>
        <family val="2"/>
      </rPr>
      <t>(VMware Cloud Disaster Recovery)</t>
    </r>
  </si>
  <si>
    <r>
      <t xml:space="preserve">Timezone </t>
    </r>
    <r>
      <rPr>
        <i/>
        <sz val="12"/>
        <color theme="1"/>
        <rFont val="Arial"/>
        <family val="2"/>
      </rPr>
      <t>(VMware Cloud Disaster Recovery)</t>
    </r>
  </si>
  <si>
    <t>UTC</t>
  </si>
  <si>
    <t>https://vcdr-34-212-247-60.app.vcdr.vmware.com:443/vmware-cloud-connector.ova</t>
  </si>
  <si>
    <t>vcdr-34-212-247-60.app.vcdr.vmware.com</t>
  </si>
  <si>
    <t>cloudadmins@rainpole.io</t>
  </si>
  <si>
    <t>Create Virtual Machine and Template Folder for the VMware Live Cyber Recovery Connector Appliances for Cloud-Based Ransomware Recovery for VMware Cloud Foundation</t>
  </si>
  <si>
    <r>
      <t xml:space="preserve">Folder Name </t>
    </r>
    <r>
      <rPr>
        <i/>
        <sz val="12"/>
        <color rgb="FF000000"/>
        <rFont val="Arial"/>
        <family val="2"/>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</si>
  <si>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</si>
  <si>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</si>
  <si>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</si>
  <si>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</si>
  <si>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</si>
  <si>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t xml:space="preserve">Name </t>
    </r>
    <r>
      <rPr>
        <i/>
        <sz val="12"/>
        <color theme="1"/>
        <rFont val="Arial"/>
        <family val="2"/>
      </rPr>
      <t>(Rule Name)</t>
    </r>
  </si>
  <si>
    <r>
      <t xml:space="preserve">Sources </t>
    </r>
    <r>
      <rPr>
        <i/>
        <sz val="12"/>
        <color theme="1"/>
        <rFont val="Arial"/>
        <family val="2"/>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</si>
  <si>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</si>
  <si>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</si>
  <si>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</si>
  <si>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</si>
  <si>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</si>
  <si>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</si>
  <si>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</si>
  <si>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</si>
  <si>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</si>
  <si>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</si>
  <si>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</si>
  <si>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</si>
  <si>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</si>
  <si>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</si>
  <si>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</si>
  <si>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</si>
  <si>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</si>
  <si>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</si>
  <si>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</si>
  <si>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</si>
  <si>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</si>
  <si>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</si>
  <si>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</si>
  <si>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</si>
  <si>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</si>
  <si>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</si>
  <si>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</si>
  <si>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</si>
  <si>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t xml:space="preserve">Member </t>
    </r>
    <r>
      <rPr>
        <i/>
        <sz val="12"/>
        <color theme="1"/>
        <rFont val="Arial"/>
        <family val="2"/>
      </rPr>
      <t>(Cyber Recovery Connector Node 1)</t>
    </r>
  </si>
  <si>
    <r>
      <t xml:space="preserve">Member </t>
    </r>
    <r>
      <rPr>
        <i/>
        <sz val="12"/>
        <color theme="1"/>
        <rFont val="Arial"/>
        <family val="2"/>
      </rPr>
      <t>(Cyber Recovery Connector Node 2)</t>
    </r>
  </si>
  <si>
    <t>Add the Connector Appliances to the First Availability Zone VM Group for Cloud-Based Ransomware Recovery for VMware Cloud Foundation</t>
  </si>
  <si>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</si>
  <si>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</si>
  <si>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</si>
  <si>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</si>
  <si>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</si>
  <si>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</si>
  <si>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</si>
  <si>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</si>
  <si>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</si>
  <si>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</si>
  <si>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</si>
  <si>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</si>
  <si>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</si>
  <si>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</si>
  <si>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</si>
  <si>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</si>
  <si>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</si>
  <si>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</si>
  <si>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</si>
  <si>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t>VMware HCX to vSphere Integration</t>
  </si>
  <si>
    <r>
      <t>VM Folder (</t>
    </r>
    <r>
      <rPr>
        <i/>
        <sz val="12"/>
        <color theme="1"/>
        <rFont val="Arial"/>
        <family val="2"/>
      </rPr>
      <t>HCX Connector)</t>
    </r>
  </si>
  <si>
    <t>mobility-sddc</t>
  </si>
  <si>
    <t>I3 (Local SSD)</t>
  </si>
  <si>
    <t>HCX Inbound Rule</t>
  </si>
  <si>
    <t>San Francisco, United States of America</t>
  </si>
  <si>
    <t>https://hcx.sddc-44-231-98-23.vmwarevmc.com/</t>
  </si>
  <si>
    <t>cloudadmin@vmc.local</t>
  </si>
  <si>
    <t>TBvAZf-Aj*1ap6T</t>
  </si>
  <si>
    <t>Define Custom Roles in vSphere for Cross Cloud Mobility for VMware Cloud Foundation</t>
  </si>
  <si>
    <r>
      <t xml:space="preserve">Role name </t>
    </r>
    <r>
      <rPr>
        <i/>
        <sz val="12"/>
        <color theme="1"/>
        <rFont val="Arial"/>
        <family val="2"/>
      </rPr>
      <t>(VMware HCX to vSphere)</t>
    </r>
  </si>
  <si>
    <t>Configure Service Account Permissions for vSphere Integration for Cross Cloud Mobility for VMware Cloud Foundation</t>
  </si>
  <si>
    <r>
      <t xml:space="preserve">Domain </t>
    </r>
    <r>
      <rPr>
        <i/>
        <sz val="12"/>
        <color theme="1"/>
        <rFont val="Arial"/>
        <family val="2"/>
      </rPr>
      <t>(VMware HCX Service Account)</t>
    </r>
  </si>
  <si>
    <r>
      <t xml:space="preserve">User / Group </t>
    </r>
    <r>
      <rPr>
        <i/>
        <sz val="12"/>
        <color theme="1"/>
        <rFont val="Arial"/>
        <family val="2"/>
      </rPr>
      <t>(VMware HCX Service Account)</t>
    </r>
  </si>
  <si>
    <r>
      <t xml:space="preserve">Role </t>
    </r>
    <r>
      <rPr>
        <i/>
        <sz val="12"/>
        <color theme="1"/>
        <rFont val="Arial"/>
        <family val="2"/>
      </rPr>
      <t>(VMware HCX Service Account)</t>
    </r>
  </si>
  <si>
    <t>Create a Virtual Machine and Template Folder for the HCX Appliance for Cross Cloud Mobility for VMware Cloud Foundation</t>
  </si>
  <si>
    <r>
      <t xml:space="preserve">Folder Name </t>
    </r>
    <r>
      <rPr>
        <i/>
        <sz val="12"/>
        <color rgb="FF000000"/>
        <rFont val="Arial"/>
        <family val="2"/>
      </rPr>
      <t>(HCX Connector)</t>
    </r>
  </si>
  <si>
    <t>Create a Virtual Machine and Template Folder and a Resource Pool for the HCX Appliances for Cross Cloud Mobility for VMware Cloud Foundation</t>
  </si>
  <si>
    <t>&lt;vi_workload_domain_vcenter_server_fqdn&gt;</t>
  </si>
  <si>
    <r>
      <t xml:space="preserve">Folder Name </t>
    </r>
    <r>
      <rPr>
        <i/>
        <sz val="12"/>
        <color theme="1"/>
        <rFont val="Arial"/>
        <family val="2"/>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</si>
  <si>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</si>
  <si>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</si>
  <si>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</si>
  <si>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</si>
  <si>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</si>
  <si>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</si>
  <si>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</si>
  <si>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</si>
  <si>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</si>
  <si>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</si>
  <si>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</si>
  <si>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</si>
  <si>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</si>
  <si>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</si>
  <si>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</si>
  <si>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</si>
  <si>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</si>
  <si>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</si>
  <si>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</si>
  <si>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</si>
  <si>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</si>
  <si>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</si>
  <si>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</si>
  <si>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</si>
  <si>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</si>
  <si>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</si>
  <si>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</si>
  <si>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</si>
  <si>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</si>
  <si>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</si>
  <si>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</si>
  <si>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</si>
  <si>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</si>
  <si>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</si>
  <si>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</si>
  <si>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</si>
  <si>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</si>
  <si>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</si>
  <si>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</si>
  <si>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</si>
  <si>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</si>
  <si>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</si>
  <si>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</si>
  <si>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</si>
  <si>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</si>
  <si>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</si>
  <si>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</si>
  <si>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</si>
  <si>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</si>
  <si>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</si>
  <si>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</si>
  <si>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</si>
  <si>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</si>
  <si>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</si>
  <si>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</si>
  <si>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</si>
  <si>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</si>
  <si>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</si>
  <si>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</si>
  <si>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</si>
  <si>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</si>
  <si>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</si>
  <si>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</si>
  <si>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</si>
  <si>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</si>
  <si>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</si>
  <si>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</si>
  <si>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t xml:space="preserve">FQDN &amp; NetBIOS </t>
    </r>
    <r>
      <rPr>
        <sz val="12"/>
        <color theme="1"/>
        <rFont val="Arial"/>
        <family val="2"/>
      </rPr>
      <t>(Parent)</t>
    </r>
  </si>
  <si>
    <t>RAINPOLE</t>
  </si>
  <si>
    <r>
      <t xml:space="preserve">FQDN &amp; NetBIOS </t>
    </r>
    <r>
      <rPr>
        <sz val="12"/>
        <color theme="1"/>
        <rFont val="Arial"/>
        <family val="2"/>
      </rPr>
      <t>(Child)</t>
    </r>
  </si>
  <si>
    <r>
      <t xml:space="preserve">User and Group OUs </t>
    </r>
    <r>
      <rPr>
        <sz val="12"/>
        <color theme="1"/>
        <rFont val="Arial"/>
        <family val="2"/>
      </rPr>
      <t>(Parent)</t>
    </r>
  </si>
  <si>
    <t>ou=Security Groups,dc=rainpole,dc=io</t>
  </si>
  <si>
    <t>ou=Security Users,dc=rainpole,dc=io</t>
  </si>
  <si>
    <r>
      <t xml:space="preserve">User and Group OUs </t>
    </r>
    <r>
      <rPr>
        <sz val="12"/>
        <color theme="1"/>
        <rFont val="Arial"/>
        <family val="2"/>
      </rPr>
      <t>(Child)</t>
    </r>
  </si>
  <si>
    <t>Active Directory Users (Service Accounts for Application to External Service Communication)</t>
  </si>
  <si>
    <t>Reference Username</t>
  </si>
  <si>
    <t>Your Username</t>
  </si>
  <si>
    <t>Reference Password</t>
  </si>
  <si>
    <t>Your Password</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</si>
  <si>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</si>
  <si>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</si>
  <si>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</si>
  <si>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</si>
  <si>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</si>
  <si>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</si>
  <si>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</si>
  <si>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</si>
  <si>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</si>
  <si>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</si>
  <si>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</si>
  <si>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</si>
  <si>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</si>
  <si>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</si>
  <si>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</si>
  <si>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</si>
  <si>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</si>
  <si>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</si>
  <si>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</si>
  <si>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</si>
  <si>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</si>
  <si>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</si>
  <si>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</si>
  <si>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</si>
  <si>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</si>
  <si>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</si>
  <si>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</si>
  <si>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</si>
  <si>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</si>
  <si>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</si>
  <si>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</si>
  <si>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</si>
  <si>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</si>
  <si>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</si>
  <si>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</si>
  <si>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</si>
  <si>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</si>
  <si>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</si>
  <si>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</si>
  <si>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</si>
  <si>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</si>
  <si>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</si>
  <si>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</si>
  <si>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</si>
  <si>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</si>
  <si>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</si>
  <si>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</si>
  <si>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</si>
  <si>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</si>
  <si>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</si>
  <si>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</si>
  <si>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</si>
  <si>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</si>
  <si>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</si>
  <si>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</si>
  <si>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</si>
  <si>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</si>
  <si>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</si>
  <si>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</si>
  <si>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</si>
  <si>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</si>
  <si>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</si>
  <si>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</si>
  <si>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</si>
  <si>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</si>
  <si>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</si>
  <si>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</si>
  <si>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</si>
  <si>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</si>
  <si>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</si>
  <si>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</si>
  <si>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</si>
  <si>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</si>
  <si>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</si>
  <si>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</si>
  <si>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</si>
  <si>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</si>
  <si>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</si>
  <si>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</si>
  <si>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</si>
  <si>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</si>
  <si>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</si>
  <si>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</si>
  <si>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</si>
  <si>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VMware Cloud Foundation</t>
  </si>
  <si>
    <t xml:space="preserve">Deployment Specification </t>
  </si>
  <si>
    <t>Instance to perform operation on</t>
  </si>
  <si>
    <t>Operation to be performed</t>
  </si>
  <si>
    <t>Prerequisite Checklist</t>
  </si>
  <si>
    <t>The following pre-requisites need to be completed before proceeding with deployments</t>
  </si>
  <si>
    <t>Hardware (Management Domain)</t>
  </si>
  <si>
    <t>Server Component</t>
  </si>
  <si>
    <t>Minimum Requirements</t>
  </si>
  <si>
    <t>Server Type</t>
  </si>
  <si>
    <t>Two Supported Servers - Simple (Single-Node) Deployment
or
Four Supported Servers -  High Availability (Three-Node) Deployment</t>
  </si>
  <si>
    <t>Refer to the VMware Compatibility Guide at https://compatibilityguide.broadcom.com/ for supported configurations. Note that VMware Cloud Foundation supports three node vSAN clusters in Workload Domains. VMware recommends a minimum of four nodes for production.</t>
  </si>
  <si>
    <t>Supported Configurations</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</si>
  <si>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</si>
  <si>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</si>
  <si>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</si>
  <si>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</si>
  <si>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</si>
  <si>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</si>
  <si>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</si>
  <si>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</si>
  <si>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</si>
  <si>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</si>
  <si>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</si>
  <si>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</si>
  <si>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</si>
  <si>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</si>
  <si>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</si>
  <si>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</si>
  <si>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</si>
  <si>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</si>
  <si>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</si>
  <si>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</si>
  <si>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</si>
  <si>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</si>
  <si>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</si>
  <si>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</si>
  <si>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</si>
  <si>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</si>
  <si>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</si>
  <si>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</si>
  <si>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</si>
  <si>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</si>
  <si>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</si>
  <si>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</si>
  <si>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</si>
  <si>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</si>
  <si>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</si>
  <si>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</si>
  <si>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</si>
  <si>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</si>
  <si>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</si>
  <si>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</si>
  <si>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</si>
  <si>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VCF-SDDC-Manager-Appliance-9.0.x.0.xxxxxxxx</t>
  </si>
  <si>
    <t>Certificate generation utility for VMware Validated Solutions</t>
  </si>
  <si>
    <t>VMware Knowledge Base article 85527</t>
  </si>
  <si>
    <t>CertGenVVS</t>
  </si>
  <si>
    <t>Use this tool to generate Certificate Signing Request (CSR), OpenSSL CA-signed certificates, and Microsoft CA-signed certificates for all VMware products that are included in the VMware Validated Design.
In the context of VMware Validated Solutions, use the CertGenVVS tool to save time in creating signed certificates.</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</si>
  <si>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</si>
  <si>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</si>
  <si>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</si>
  <si>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</si>
  <si>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</si>
  <si>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</si>
  <si>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</si>
  <si>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</si>
  <si>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</si>
  <si>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 xml:space="preserve">A host machine in the data center that has access to the ESXi management and VM Management Network. </t>
  </si>
  <si>
    <t>Active Directory</t>
  </si>
  <si>
    <t>Active Directory Element</t>
  </si>
  <si>
    <t>Domain Instance</t>
  </si>
  <si>
    <t>Active Directory Forest Configuration</t>
  </si>
  <si>
    <t>Parent Active Directory</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</si>
  <si>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</si>
  <si>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</si>
  <si>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</si>
  <si>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</si>
  <si>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</si>
  <si>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</si>
  <si>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</si>
  <si>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</si>
  <si>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</si>
  <si>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</si>
  <si>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</si>
  <si>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</si>
  <si>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</si>
  <si>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</si>
  <si>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</si>
  <si>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</si>
  <si>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</si>
  <si>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</si>
  <si>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</si>
  <si>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</si>
  <si>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</si>
  <si>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Target</t>
  </si>
  <si>
    <t>NTP Sources</t>
  </si>
  <si>
    <t>An NTP source, for Rainpole,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for Rainpole, ntp.sfo.rainpole.io.</t>
  </si>
  <si>
    <t>NTP Configuration</t>
  </si>
  <si>
    <t>ESXi hosts
AD domain controllers
Virtual appliances of the management applications</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</si>
  <si>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</si>
  <si>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</si>
  <si>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</si>
  <si>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</si>
  <si>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</si>
  <si>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</si>
  <si>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An SFTP server must be used to provide backups for VMware NSX-T Data Center instances and SDDC Manager which is configured through SDDC Manager.</t>
  </si>
  <si>
    <t>Host Machine Access</t>
  </si>
  <si>
    <t>A virtual machine or physical server must be available to that is permitted to route to
 - ESXi Management networks
 - Internet for software downloads</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</si>
  <si>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</si>
  <si>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</si>
  <si>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</si>
  <si>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</si>
  <si>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Depot Type</t>
  </si>
  <si>
    <t>Online</t>
  </si>
  <si>
    <t>Offline Depot - Hostname</t>
  </si>
  <si>
    <t>my-offline-depot.rainpole.io</t>
  </si>
  <si>
    <t xml:space="preserve">Offline Depot - Port </t>
  </si>
  <si>
    <t>Download Token</t>
  </si>
  <si>
    <t>rqkOYDQRWJJbO7FIxdMgfgcKFOzPZRg4</t>
  </si>
  <si>
    <t>Enable Proxy Server</t>
  </si>
  <si>
    <t>VCF Fleet</t>
  </si>
  <si>
    <t>HTTPS</t>
  </si>
  <si>
    <t>internet-proxy.rainpole.io</t>
  </si>
  <si>
    <t>VCF Automation</t>
  </si>
  <si>
    <t>Authenticated</t>
  </si>
  <si>
    <t>my_proxy_username@rainpole.io</t>
  </si>
  <si>
    <t>Deploy</t>
  </si>
  <si>
    <t>Deployment Wizard</t>
  </si>
  <si>
    <t>Values are set based on selections made in VCF VVF Planning Tab</t>
  </si>
  <si>
    <t>Existing Components</t>
  </si>
  <si>
    <t>Select the existing components you want to reuse in this VCF fleet</t>
  </si>
  <si>
    <t>VMware vCenter</t>
  </si>
  <si>
    <t>Use an existing vCenter as the management domain vCenter.</t>
  </si>
  <si>
    <t>VMware NSX</t>
  </si>
  <si>
    <t>Minimum 3 Characters</t>
  </si>
  <si>
    <t>Management domain name</t>
  </si>
  <si>
    <t>Advanced: Custom networking for VCF Operations and VCF Automation</t>
  </si>
  <si>
    <t xml:space="preserve">Deployment model </t>
  </si>
  <si>
    <t>High Availability (Three-node)</t>
  </si>
  <si>
    <t>This selection applies to newly deployed appliances of VCF Operations, VCF Automation and NSX Manager.</t>
  </si>
  <si>
    <t>Domain name</t>
  </si>
  <si>
    <t>Auto-generate passwords for newly installed appliances</t>
  </si>
  <si>
    <t>Enter the configuration details for the VCF Operations appliances.</t>
  </si>
  <si>
    <t>Operations Appliance Size</t>
  </si>
  <si>
    <t>Administrator Password</t>
  </si>
  <si>
    <t>Load Balancer FQDN</t>
  </si>
  <si>
    <t>Fleet management appliance</t>
  </si>
  <si>
    <t>Appliance FQDN</t>
  </si>
  <si>
    <t>Use same password as VCF Operations</t>
  </si>
  <si>
    <t xml:space="preserve"> Minimum 15 Characters, 1 Uppercase, 1 Special</t>
  </si>
  <si>
    <t>Enter the configuration details for VCF Automation appliance</t>
  </si>
  <si>
    <t>I want to connect a VCF Automation instance later</t>
  </si>
  <si>
    <t>Node IP 1</t>
  </si>
  <si>
    <t>Node IP 2</t>
  </si>
  <si>
    <t>Node IP 3</t>
  </si>
  <si>
    <t>Node IP 4</t>
  </si>
  <si>
    <t>Node Name Prefix</t>
  </si>
  <si>
    <t>Enter the configuration details for the management domain vCenter.</t>
  </si>
  <si>
    <t>SSO Username</t>
  </si>
  <si>
    <t>Enter configuration details for the NSX Manager to be deployed.</t>
  </si>
  <si>
    <t>Select your desired storage type and fill out the corresponding fields</t>
  </si>
  <si>
    <t>vSAN Architecture</t>
  </si>
  <si>
    <t>Datastore Name</t>
  </si>
  <si>
    <t>Failures to Tolerate</t>
  </si>
  <si>
    <t>Enable vSAN Deduplication and Compression</t>
  </si>
  <si>
    <t>Path to NFS Share</t>
  </si>
  <si>
    <t>NFS Server IP Address</t>
  </si>
  <si>
    <t>NFS Datastore with datastore bound to vmknic</t>
  </si>
  <si>
    <t>Hosts</t>
  </si>
  <si>
    <t>Add Hosts</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</si>
  <si>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</si>
  <si>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</si>
  <si>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</si>
  <si>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</si>
  <si>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</si>
  <si>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</si>
  <si>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</si>
  <si>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</si>
  <si>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</si>
  <si>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</si>
  <si>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</si>
  <si>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</si>
  <si>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</si>
  <si>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</si>
  <si>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</si>
  <si>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</si>
  <si>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</si>
  <si>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Use same inputs from Management Network</t>
  </si>
  <si>
    <t>vMotion IP Address Range - Start</t>
  </si>
  <si>
    <t>vMotion IP Address Range - End</t>
  </si>
  <si>
    <t>vSAN IP Address Range - Start</t>
  </si>
  <si>
    <t>vSAN IP Address Range - End</t>
  </si>
  <si>
    <t>NFS IP Address Range - Start</t>
  </si>
  <si>
    <t>NFS IP Address Range - End</t>
  </si>
  <si>
    <t>Provide the vSphere Distributed Switch configuration to be applied to the hosts in the cluster.</t>
  </si>
  <si>
    <t>Primary Distributed Switch</t>
  </si>
  <si>
    <t>Distributed Switch Name</t>
  </si>
  <si>
    <t>vmnic2</t>
  </si>
  <si>
    <t>vmnic3</t>
  </si>
  <si>
    <t>vmnic4</t>
  </si>
  <si>
    <t>vmnic5</t>
  </si>
  <si>
    <t>Network Traffic: ESX Management Network</t>
  </si>
  <si>
    <t>Network Traffic: vSAN</t>
  </si>
  <si>
    <t>Network Traffic: NFS</t>
  </si>
  <si>
    <t xml:space="preserve">Leaving this as selected enables Enhanced Datapath Standard by default. </t>
  </si>
  <si>
    <t>Operational Mode</t>
  </si>
  <si>
    <t>Enhanced Datapath Standard</t>
  </si>
  <si>
    <t>Route Based on the Source of the Port ID</t>
  </si>
  <si>
    <t>IP Pool</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</si>
  <si>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</si>
  <si>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</si>
  <si>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</si>
  <si>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</si>
  <si>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</si>
  <si>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 xml:space="preserve">Use this additional table to capture IP addressed required for each appliance being deployed </t>
  </si>
  <si>
    <t xml:space="preserve">VCF Fleet Management </t>
  </si>
  <si>
    <t xml:space="preserve">VCF Operations </t>
  </si>
  <si>
    <t>vCenter | VCF installer | SDDC Manager</t>
  </si>
  <si>
    <t xml:space="preserve">Possible Advanced Settings  </t>
  </si>
  <si>
    <t>FIPS</t>
  </si>
  <si>
    <t xml:space="preserve">        VMware Cloud Foundation Management Domain Sizing Inputs</t>
  </si>
  <si>
    <t>Management Domain Assumptions</t>
  </si>
  <si>
    <t>Management Domain Virtual Machine Requirement Summary</t>
  </si>
  <si>
    <t>Host Requirement Summary</t>
  </si>
  <si>
    <t>Component</t>
  </si>
  <si>
    <t>Nodes</t>
  </si>
  <si>
    <t>vCPU</t>
  </si>
  <si>
    <t>RAM (GB)</t>
  </si>
  <si>
    <t>Disk (GB)</t>
  </si>
  <si>
    <t>Management Hosts</t>
  </si>
  <si>
    <r>
      <rPr>
        <b/>
        <sz val="12"/>
        <color theme="1"/>
        <rFont val="Arial"/>
        <family val="2"/>
      </rPr>
      <t>General Guidance</t>
    </r>
    <r>
      <rPr>
        <sz val="12"/>
        <color theme="1"/>
        <rFont val="Arial"/>
        <family val="2"/>
      </rPr>
      <t xml:space="preserve">
• Configure the Assumptions and Host parameters according to your preference. Set VCF Operations and Automation Deployment models and Sizes according to your requirements. Include Identity Broker if you plan to configure VCF Authentication using the Identity Broker appliance.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vSAN and Non-vSAN storage Space capacity requirements are both listed as VCF 9.0 Supports Non-vSAN Storage in the Management Domain
</t>
    </r>
    <r>
      <rPr>
        <b/>
        <sz val="12"/>
        <color theme="1"/>
        <rFont val="Arial"/>
        <family val="2"/>
      </rPr>
      <t>vSphere and NSX Sizing</t>
    </r>
    <r>
      <rPr>
        <sz val="12"/>
        <color theme="1"/>
        <rFont val="Arial"/>
        <family val="2"/>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This workbook allows for gathering inputs for the management domain and the first workload domain only (w01). To gather inputs for subsequent workload domains (w02 through w24), you should use separate copies of this file for each domain.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b/>
        <sz val="12"/>
        <color theme="1"/>
        <rFont val="Arial"/>
        <family val="2"/>
      </rPr>
      <t>VCF Operations and Automation Sizing</t>
    </r>
    <r>
      <rPr>
        <sz val="12"/>
        <color theme="1"/>
        <rFont val="Arial"/>
        <family val="2"/>
      </rPr>
      <t xml:space="preserve">
• If VCF Operations is already existing, then sizing input is not required for VCF Operations and VCF Automation
• Appliance Deployment Model sets the HA deployment model for VCF Operations and VCF Automation
</t>
    </r>
    <r>
      <rPr>
        <b/>
        <sz val="12"/>
        <color theme="1"/>
        <rFont val="Arial"/>
        <family val="2"/>
      </rPr>
      <t>Security Service Platform:
SSPI</t>
    </r>
    <r>
      <rPr>
        <sz val="12"/>
        <color theme="1"/>
        <rFont val="Arial"/>
        <family val="2"/>
      </rPr>
      <t xml:space="preserve"> = Security Services Platform Installer; </t>
    </r>
    <r>
      <rPr>
        <b/>
        <sz val="12"/>
        <color theme="1"/>
        <rFont val="Arial"/>
        <family val="2"/>
      </rPr>
      <t>SSP</t>
    </r>
    <r>
      <rPr>
        <sz val="12"/>
        <color theme="1"/>
        <rFont val="Arial"/>
        <family val="2"/>
      </rPr>
      <t xml:space="preserve"> = Security Services Platform 
</t>
    </r>
    <r>
      <rPr>
        <b/>
        <sz val="12"/>
        <color theme="1"/>
        <rFont val="Arial"/>
        <family val="2"/>
      </rPr>
      <t>Medium</t>
    </r>
    <r>
      <rPr>
        <sz val="12"/>
        <color theme="1"/>
        <rFont val="Arial"/>
        <family val="2"/>
      </rPr>
      <t xml:space="preserve">  = 1 SSPI + 3 SSP Controller Nodes + 5 SSP Worker Nodes; 
</t>
    </r>
    <r>
      <rPr>
        <b/>
        <sz val="12"/>
        <color theme="1"/>
        <rFont val="Arial"/>
        <family val="2"/>
      </rPr>
      <t>Large</t>
    </r>
    <r>
      <rPr>
        <sz val="12"/>
        <color theme="1"/>
        <rFont val="Arial"/>
        <family val="2"/>
      </rPr>
      <t xml:space="preserve"> = 1 SSPI + 3 SSP Controller Nodes + 8 SSP Worker Node; 
</t>
    </r>
    <r>
      <rPr>
        <b/>
        <sz val="12"/>
        <color theme="1"/>
        <rFont val="Arial"/>
        <family val="2"/>
      </rPr>
      <t>X-Large</t>
    </r>
    <r>
      <rPr>
        <sz val="12"/>
        <color theme="1"/>
        <rFont val="Arial"/>
        <family val="2"/>
      </rPr>
      <t xml:space="preserve"> = 1 SSPI + 3 SSP Controller Nodes + 10 SSP Worker Nodes</t>
    </r>
  </si>
  <si>
    <t>Host and Operations Reserve (%)</t>
  </si>
  <si>
    <t>Hosts count based on User Specification</t>
  </si>
  <si>
    <t>Storage Estimated Growth (%)</t>
  </si>
  <si>
    <t>Management Domain vSphere Cluster Services</t>
  </si>
  <si>
    <t>CPU usage Per Host (based on N-1 hosts)</t>
  </si>
  <si>
    <t>Management Domain vCenter Server</t>
  </si>
  <si>
    <t>RAM usage Per Host (based on N-1 hosts)</t>
  </si>
  <si>
    <t xml:space="preserve">Management Domain Host Parameters </t>
  </si>
  <si>
    <t>Management Domain NSX Managers (Local  Global)</t>
  </si>
  <si>
    <t>Attribute</t>
  </si>
  <si>
    <t>Management Domain NSX Edges</t>
  </si>
  <si>
    <t>vSAN Storage Requirements if used as Primary Storage</t>
  </si>
  <si>
    <t>CPU Cores</t>
  </si>
  <si>
    <t>Management Domain AVI Load Balancer</t>
  </si>
  <si>
    <t>vSAN Storage Type</t>
  </si>
  <si>
    <t>FC</t>
  </si>
  <si>
    <t>RAM Count (GB)</t>
  </si>
  <si>
    <t>Management Workload Security Services Platform</t>
  </si>
  <si>
    <t>GB</t>
  </si>
  <si>
    <t>CPU Oversubscription (X:1)</t>
  </si>
  <si>
    <t>Workload Domain vCenter Servers</t>
  </si>
  <si>
    <t>Virtual Machine Capacity Requirements</t>
  </si>
  <si>
    <t>Memory Oversubscription (X:1)</t>
  </si>
  <si>
    <t>Workload Domain NSX Managers (Local  Global)</t>
  </si>
  <si>
    <t>Swap File Requirements</t>
  </si>
  <si>
    <t>Workload Domain AVI Load Balancer</t>
  </si>
  <si>
    <t>Interim Total  (VM Capacity + Swap File)</t>
  </si>
  <si>
    <t xml:space="preserve">VCF Operations and Automation </t>
  </si>
  <si>
    <t>Workload Domain Security Services Platform</t>
  </si>
  <si>
    <t>Allow for Redundancy based on FTT1</t>
  </si>
  <si>
    <t>Conponent</t>
  </si>
  <si>
    <t>VMware Cloud Foundation Operations fleet management</t>
  </si>
  <si>
    <t>Allow for Host Rebuild and Operations Reserve</t>
  </si>
  <si>
    <t>Appliance Deployment Model</t>
  </si>
  <si>
    <t>Deploy HA</t>
  </si>
  <si>
    <t>VMware Cloud Foundation Operations</t>
  </si>
  <si>
    <t>Allow for Estimated Growth</t>
  </si>
  <si>
    <t>VMware Cloud Foundation Operations collector</t>
  </si>
  <si>
    <t>Storage per Host (based on N-1 hosts)</t>
  </si>
  <si>
    <t>VCF Operations collector</t>
  </si>
  <si>
    <t>VMware Cloud Foundation Automation</t>
  </si>
  <si>
    <t xml:space="preserve">VMware Cloud Foundation Operations for logs </t>
  </si>
  <si>
    <t>VCF Operations for logs</t>
  </si>
  <si>
    <t>VMware Cloud Foundation Operations for networks</t>
  </si>
  <si>
    <t>VCF Operations for networks</t>
  </si>
  <si>
    <t>VMware Cloud Foundation Operations for networks collector</t>
  </si>
  <si>
    <t>VCF Operations for networks collector</t>
  </si>
  <si>
    <t>Identity Broker</t>
  </si>
  <si>
    <t>Validated Solution Requirements</t>
  </si>
  <si>
    <t>Totals</t>
  </si>
  <si>
    <t>Select</t>
  </si>
  <si>
    <t>vCenter               CPUs : RAM</t>
  </si>
  <si>
    <t>vCenter         Disk</t>
  </si>
  <si>
    <t>NSX Model</t>
  </si>
  <si>
    <t>NSX LM                           CPU : RAM : Disk</t>
  </si>
  <si>
    <t>NSX Edge                     CPU : RAM : Disk</t>
  </si>
  <si>
    <t>NSX GM                   CPU : RAM : Disk</t>
  </si>
  <si>
    <t>Avi LB                 CPU : RAM : Disk</t>
  </si>
  <si>
    <t>Security Services Platform             CPU : RAM : Disk</t>
  </si>
  <si>
    <t>m01</t>
  </si>
  <si>
    <t>Included</t>
  </si>
  <si>
    <t>Mandatory - HA Cluster</t>
  </si>
  <si>
    <t>Workload Domains</t>
  </si>
  <si>
    <t>vCenter                CPUs : RAM</t>
  </si>
  <si>
    <t>vCenter          Disk</t>
  </si>
  <si>
    <t>NSX LM                 CPU : RAM : Disk</t>
  </si>
  <si>
    <t>Federation</t>
  </si>
  <si>
    <t>NSX GM                  CPU : RAM : Disk</t>
  </si>
  <si>
    <t>Site Protection DR                   CPU : RAM : Disk</t>
  </si>
  <si>
    <t>SSP                       CPU : RAM : Disk</t>
  </si>
  <si>
    <t>w01</t>
  </si>
  <si>
    <t>w02</t>
  </si>
  <si>
    <t>w03</t>
  </si>
  <si>
    <t>w04</t>
  </si>
  <si>
    <t>w05</t>
  </si>
  <si>
    <t>w06</t>
  </si>
  <si>
    <t>w07</t>
  </si>
  <si>
    <t>w08</t>
  </si>
  <si>
    <t>w09</t>
  </si>
  <si>
    <t>w10</t>
  </si>
  <si>
    <t>w11</t>
  </si>
  <si>
    <t>w12</t>
  </si>
  <si>
    <t>w13</t>
  </si>
  <si>
    <t>w14</t>
  </si>
  <si>
    <t>w15</t>
  </si>
  <si>
    <t>w16</t>
  </si>
  <si>
    <t>w17</t>
  </si>
  <si>
    <t>w18</t>
  </si>
  <si>
    <t>w19</t>
  </si>
  <si>
    <t>w20</t>
  </si>
  <si>
    <t>w21</t>
  </si>
  <si>
    <t>w22</t>
  </si>
  <si>
    <t>w23</t>
  </si>
  <si>
    <t>w24</t>
  </si>
  <si>
    <t>Validated Solutions: Deployment</t>
  </si>
  <si>
    <t>Site Protection and Disaster Recovery for VMware Cloud Foundation</t>
  </si>
  <si>
    <t>On Premise Ransomware Recovery for VMware Cloud Foundation</t>
  </si>
  <si>
    <t>Cloud-Based Ransomware Recovery for VMware Cloud Foundation</t>
  </si>
  <si>
    <t>Cross Cloud Mobility for VMware Cloud Foundation</t>
  </si>
  <si>
    <t>VMware Validated Solutions Sizing Details</t>
  </si>
  <si>
    <t xml:space="preserve">Memory </t>
  </si>
  <si>
    <t>Storage (GB)</t>
  </si>
  <si>
    <t>VMware Live Recovery Appliance Size MGMT Domain</t>
  </si>
  <si>
    <t>No sizing optionality for the appliance</t>
  </si>
  <si>
    <t>VMware Live Recovery Appliance Size VI Workload Domain</t>
  </si>
  <si>
    <t xml:space="preserve">On Premise Ransomware Recovery </t>
  </si>
  <si>
    <t>VMware Live Recovery Appliance Size</t>
  </si>
  <si>
    <t xml:space="preserve">Cloud-Based Ransomware Recovery </t>
  </si>
  <si>
    <t>VMware Live Cyber Recovery Connector Appliance Size</t>
  </si>
  <si>
    <t>Cross Cloud Mobility  for VMware Cloud Foundation</t>
  </si>
  <si>
    <t>HCX Connector Appliance Size</t>
  </si>
  <si>
    <t>9.0.2.0</t>
  </si>
  <si>
    <t>v1.9.0.008</t>
  </si>
  <si>
    <t>Feb-20-2026</t>
  </si>
  <si>
    <t>- Corrected Issue with appliance size for Site Protection and Disaster Recovery  
- Added Support for additonal sizing options for VCF Operations for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</si>
</sst>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sz val="11"/>
      <color theme="1"/>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b/>
      <sz val="20"/>
      <color theme="0"/>
      <name val="Arial"/>
      <family val="2"/>
    </font>
    <font>
      <b/>
      <sz val="26"/>
      <color rgb="FFFFFFFF"/>
      <name val="Arial"/>
      <family val="2"/>
    </font>
    <font>
      <b/>
      <u/>
      <sz val="14"/>
      <color theme="0"/>
      <name val="Arial"/>
      <family val="2"/>
    </font>
    <font>
      <b/>
      <u/>
      <sz val="14"/>
      <color theme="1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sz val="12"/>
      <color rgb="FF000000"/>
      <name val="Calibri"/>
      <family val="2"/>
      <scheme val="minor"/>
    </font>
    <font>
      <i/>
      <sz val="12"/>
      <color rgb="FF000000"/>
      <name val="Arial"/>
      <family val="2"/>
    </font>
    <font>
      <sz val="12"/>
      <color theme="1"/>
      <name val="Helvetica"/>
      <family val="2"/>
    </font>
  </fonts>
  <fills count="56">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595959"/>
        <bgColor rgb="FF000000"/>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theme="0" tint="-4.9989318521683403E-2"/>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0E223A"/>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
      <patternFill patternType="solid">
        <fgColor rgb="FFFFBD29"/>
        <bgColor rgb="FF000000"/>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2" borderId="0"/>
    <xf numFmtId="0" fontId="7" fillId="12" borderId="0"/>
    <xf numFmtId="0" fontId="6" fillId="0" borderId="0"/>
    <xf numFmtId="0" fontId="5" fillId="0" borderId="0">
      <alignment vertical="top"/>
      <protection locked="0"/>
    </xf>
    <xf numFmtId="0" fontId="3" fillId="0" borderId="0"/>
    <xf numFmtId="0" fontId="1" fillId="0" borderId="0"/>
    <xf numFmtId="0" fontId="1" fillId="0" borderId="0"/>
    <xf numFmtId="0" fontId="4" fillId="22" borderId="1">
      <alignment horizontal="left" vertical="center" wrapText="1" indent="1"/>
    </xf>
  </cellStyleXfs>
  <cellXfs count="683">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1" fillId="0" borderId="1" xfId="0" applyFont="1" applyBorder="1" applyAlignment="1">
      <alignment horizontal="left" vertical="center"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8" borderId="0" xfId="0" applyFont="1" applyFill="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5" borderId="1" xfId="2" applyFont="1" applyFill="1" applyBorder="1" applyAlignment="1">
      <alignment horizontal="left" vertical="center" wrapText="1" indent="1"/>
    </xf>
    <xf numFmtId="0" fontId="10" fillId="25" borderId="1" xfId="4" applyFont="1" applyFill="1" applyBorder="1" applyAlignment="1">
      <alignment horizontal="left" vertical="center" wrapText="1" indent="1"/>
    </xf>
    <xf numFmtId="0" fontId="10" fillId="25" borderId="1" xfId="2" applyFont="1" applyFill="1" applyBorder="1" applyAlignment="1">
      <alignment horizontal="left" vertical="center" wrapText="1"/>
    </xf>
    <xf numFmtId="0" fontId="10" fillId="25" borderId="1" xfId="4" applyFont="1" applyFill="1" applyBorder="1" applyAlignment="1">
      <alignment horizontal="left" vertical="center" wrapText="1"/>
    </xf>
    <xf numFmtId="0" fontId="13" fillId="0" borderId="0" xfId="0" applyFont="1" applyAlignment="1">
      <alignment horizontal="left" vertical="center" indent="1"/>
    </xf>
    <xf numFmtId="0" fontId="11" fillId="17"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8" borderId="0" xfId="0" applyFont="1" applyFill="1"/>
    <xf numFmtId="0" fontId="10" fillId="33" borderId="1" xfId="6" applyFont="1" applyFill="1" applyBorder="1" applyAlignment="1">
      <alignment horizontal="left" vertical="center"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8" borderId="0" xfId="0" applyFont="1" applyFill="1" applyAlignment="1">
      <alignment horizontal="left" vertical="center" wrapText="1" indent="1"/>
    </xf>
    <xf numFmtId="0" fontId="11" fillId="18" borderId="1" xfId="0" applyFont="1" applyFill="1" applyBorder="1" applyAlignment="1">
      <alignment horizontal="left" vertical="center" indent="1"/>
    </xf>
    <xf numFmtId="0" fontId="18" fillId="21"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8" borderId="0" xfId="0" applyFont="1" applyFill="1" applyAlignment="1">
      <alignment horizontal="left" vertical="center" indent="1"/>
    </xf>
    <xf numFmtId="0" fontId="9" fillId="0" borderId="0" xfId="0" applyFont="1" applyAlignment="1">
      <alignment horizontal="left" vertical="center" indent="1"/>
    </xf>
    <xf numFmtId="0" fontId="19" fillId="24" borderId="13" xfId="0" applyFont="1" applyFill="1" applyBorder="1" applyAlignment="1">
      <alignment horizontal="left" vertical="center" wrapText="1" indent="1"/>
    </xf>
    <xf numFmtId="0" fontId="19" fillId="24"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8" fillId="18" borderId="0" xfId="0" applyFont="1" applyFill="1" applyAlignment="1" applyProtection="1">
      <alignment horizontal="left" vertical="center" indent="1"/>
      <protection locked="0"/>
    </xf>
    <xf numFmtId="0" fontId="8" fillId="18" borderId="0" xfId="0" applyFont="1" applyFill="1" applyAlignment="1">
      <alignment horizontal="left" vertical="center" wrapText="1" indent="1"/>
    </xf>
    <xf numFmtId="0" fontId="10" fillId="18" borderId="0" xfId="5" applyFont="1" applyFill="1" applyAlignment="1">
      <alignment horizontal="left" vertical="center" indent="1"/>
    </xf>
    <xf numFmtId="0" fontId="10" fillId="18" borderId="0" xfId="0" applyFont="1" applyFill="1" applyAlignment="1">
      <alignment horizontal="left" vertical="center" indent="1"/>
    </xf>
    <xf numFmtId="0" fontId="11" fillId="39" borderId="1" xfId="1" applyFont="1" applyFill="1" applyBorder="1" applyAlignment="1">
      <alignment horizontal="left" vertical="center" wrapText="1" indent="1"/>
    </xf>
    <xf numFmtId="0" fontId="8" fillId="18" borderId="29" xfId="0" applyFont="1" applyFill="1" applyBorder="1" applyAlignment="1">
      <alignment horizontal="left" vertical="center" indent="1"/>
    </xf>
    <xf numFmtId="0" fontId="8" fillId="18" borderId="28" xfId="0" applyFont="1" applyFill="1" applyBorder="1" applyAlignment="1">
      <alignment horizontal="left" vertical="center" indent="1"/>
    </xf>
    <xf numFmtId="0" fontId="11" fillId="18" borderId="0" xfId="0" applyFont="1" applyFill="1"/>
    <xf numFmtId="0" fontId="8" fillId="18" borderId="31" xfId="0" applyFont="1" applyFill="1" applyBorder="1"/>
    <xf numFmtId="0" fontId="11" fillId="18" borderId="29" xfId="0" applyFont="1" applyFill="1" applyBorder="1"/>
    <xf numFmtId="0" fontId="8" fillId="18" borderId="29" xfId="0" applyFont="1" applyFill="1" applyBorder="1"/>
    <xf numFmtId="0" fontId="8" fillId="18" borderId="28" xfId="0" applyFont="1" applyFill="1" applyBorder="1"/>
    <xf numFmtId="0" fontId="11" fillId="18" borderId="28" xfId="0" applyFont="1" applyFill="1" applyBorder="1"/>
    <xf numFmtId="0" fontId="8" fillId="18" borderId="37" xfId="0" applyFont="1" applyFill="1" applyBorder="1" applyAlignment="1">
      <alignment horizontal="left" indent="2"/>
    </xf>
    <xf numFmtId="0" fontId="8" fillId="18" borderId="38" xfId="0" applyFont="1" applyFill="1" applyBorder="1" applyAlignment="1">
      <alignment horizontal="left" indent="2"/>
    </xf>
    <xf numFmtId="0" fontId="8" fillId="18" borderId="30" xfId="0" applyFont="1" applyFill="1" applyBorder="1" applyAlignment="1">
      <alignment horizontal="left" indent="2"/>
    </xf>
    <xf numFmtId="0" fontId="8" fillId="18" borderId="26" xfId="0" applyFont="1" applyFill="1" applyBorder="1"/>
    <xf numFmtId="0" fontId="8" fillId="0" borderId="8" xfId="0" applyFont="1" applyBorder="1"/>
    <xf numFmtId="0" fontId="8" fillId="18" borderId="19" xfId="0" applyFont="1" applyFill="1" applyBorder="1"/>
    <xf numFmtId="0" fontId="8" fillId="18" borderId="18" xfId="0" applyFont="1" applyFill="1" applyBorder="1"/>
    <xf numFmtId="0" fontId="8" fillId="18" borderId="20" xfId="0" applyFont="1" applyFill="1" applyBorder="1"/>
    <xf numFmtId="0" fontId="8" fillId="18" borderId="21" xfId="0" applyFont="1" applyFill="1" applyBorder="1"/>
    <xf numFmtId="0" fontId="8" fillId="18" borderId="22" xfId="0" applyFont="1" applyFill="1" applyBorder="1"/>
    <xf numFmtId="0" fontId="8" fillId="18" borderId="33" xfId="0" applyFont="1" applyFill="1" applyBorder="1"/>
    <xf numFmtId="0" fontId="8" fillId="18" borderId="35" xfId="0" applyFont="1" applyFill="1" applyBorder="1" applyAlignment="1">
      <alignment horizontal="left" indent="2"/>
    </xf>
    <xf numFmtId="0" fontId="8" fillId="18" borderId="36" xfId="0" applyFont="1" applyFill="1" applyBorder="1" applyAlignment="1">
      <alignment horizontal="left" indent="2"/>
    </xf>
    <xf numFmtId="0" fontId="8" fillId="18" borderId="34" xfId="0" applyFont="1" applyFill="1" applyBorder="1" applyAlignment="1">
      <alignment horizontal="left" indent="2"/>
    </xf>
    <xf numFmtId="0" fontId="22" fillId="0" borderId="1" xfId="9" applyFont="1" applyBorder="1" applyAlignment="1">
      <alignment horizontal="left" vertical="center" indent="1"/>
    </xf>
    <xf numFmtId="0" fontId="8" fillId="18" borderId="23" xfId="0" applyFont="1" applyFill="1" applyBorder="1"/>
    <xf numFmtId="0" fontId="8" fillId="18" borderId="24" xfId="0" applyFont="1" applyFill="1" applyBorder="1"/>
    <xf numFmtId="0" fontId="11" fillId="0" borderId="3" xfId="0" applyFont="1" applyBorder="1" applyAlignment="1">
      <alignment horizontal="left" vertical="center" indent="1"/>
    </xf>
    <xf numFmtId="0" fontId="8" fillId="18" borderId="25" xfId="0" applyFont="1" applyFill="1" applyBorder="1"/>
    <xf numFmtId="0" fontId="8" fillId="18" borderId="27" xfId="0" applyFont="1" applyFill="1" applyBorder="1"/>
    <xf numFmtId="0" fontId="8" fillId="18" borderId="32" xfId="0" applyFont="1" applyFill="1" applyBorder="1"/>
    <xf numFmtId="49" fontId="23" fillId="18"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41" borderId="1" xfId="0" applyFont="1" applyFill="1" applyBorder="1" applyAlignment="1" applyProtection="1">
      <alignment horizontal="left" vertical="center" indent="1"/>
      <protection locked="0"/>
    </xf>
    <xf numFmtId="0" fontId="8" fillId="0" borderId="9" xfId="0" applyFont="1" applyBorder="1"/>
    <xf numFmtId="0" fontId="9" fillId="42" borderId="1" xfId="0" applyFont="1" applyFill="1" applyBorder="1" applyAlignment="1">
      <alignment horizontal="left" vertical="center" indent="1"/>
    </xf>
    <xf numFmtId="0" fontId="9" fillId="40"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8" fillId="31" borderId="1" xfId="0" applyFont="1" applyFill="1" applyBorder="1" applyAlignment="1">
      <alignment horizontal="left" vertical="center" indent="1"/>
    </xf>
    <xf numFmtId="0" fontId="8" fillId="40" borderId="15" xfId="0" applyFont="1" applyFill="1" applyBorder="1" applyAlignment="1">
      <alignment horizontal="left" vertical="center" indent="1"/>
    </xf>
    <xf numFmtId="0" fontId="22" fillId="0" borderId="0" xfId="9" applyFont="1" applyAlignment="1" applyProtection="1">
      <alignment horizontal="left" vertical="center" indent="1"/>
      <protection locked="0"/>
    </xf>
    <xf numFmtId="0" fontId="22" fillId="0" borderId="1" xfId="9" applyFont="1" applyBorder="1" applyAlignment="1" applyProtection="1">
      <alignment horizontal="left" vertical="center" indent="1"/>
      <protection locked="0"/>
    </xf>
    <xf numFmtId="0" fontId="9" fillId="43" borderId="1" xfId="0" applyFont="1" applyFill="1" applyBorder="1" applyAlignment="1">
      <alignment horizontal="left" vertical="center" indent="1"/>
    </xf>
    <xf numFmtId="0" fontId="8" fillId="40" borderId="7"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31" borderId="46" xfId="0" applyFont="1" applyFill="1" applyBorder="1" applyAlignment="1">
      <alignment horizontal="left" vertical="center" indent="1"/>
    </xf>
    <xf numFmtId="0" fontId="8" fillId="0" borderId="47" xfId="0" applyFont="1" applyBorder="1" applyAlignment="1" applyProtection="1">
      <alignment horizontal="left" vertical="center" indent="1"/>
      <protection locked="0"/>
    </xf>
    <xf numFmtId="0" fontId="8" fillId="31"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6"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5" borderId="1" xfId="0" applyFont="1" applyFill="1" applyBorder="1" applyAlignment="1" applyProtection="1">
      <alignment horizontal="left" vertical="center" indent="1"/>
      <protection locked="0"/>
    </xf>
    <xf numFmtId="0" fontId="11" fillId="28" borderId="1" xfId="0" applyFont="1" applyFill="1" applyBorder="1" applyAlignment="1">
      <alignment horizontal="left" vertical="center" indent="1"/>
    </xf>
    <xf numFmtId="0" fontId="11" fillId="28" borderId="1" xfId="3" applyFont="1" applyFill="1" applyBorder="1" applyAlignment="1">
      <alignment horizontal="left" vertical="center" wrapText="1" indent="1"/>
    </xf>
    <xf numFmtId="0" fontId="8" fillId="31" borderId="0" xfId="0" applyFont="1" applyFill="1" applyAlignment="1">
      <alignment horizontal="left" vertical="center" indent="1"/>
    </xf>
    <xf numFmtId="0" fontId="8" fillId="18" borderId="1" xfId="0" applyFont="1" applyFill="1" applyBorder="1" applyAlignment="1">
      <alignment horizontal="left" vertical="center" indent="1"/>
    </xf>
    <xf numFmtId="0" fontId="8" fillId="18" borderId="1" xfId="0" applyFont="1" applyFill="1" applyBorder="1" applyAlignment="1">
      <alignment horizontal="left" vertical="center" wrapText="1" indent="1"/>
    </xf>
    <xf numFmtId="0" fontId="8" fillId="31"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8" borderId="1" xfId="0" applyFont="1" applyFill="1" applyBorder="1" applyAlignment="1">
      <alignment horizontal="left" vertical="center" wrapText="1" indent="1"/>
    </xf>
    <xf numFmtId="0" fontId="29" fillId="0" borderId="0" xfId="0" applyFont="1" applyAlignment="1">
      <alignment horizontal="left" vertical="center" indent="1"/>
    </xf>
    <xf numFmtId="0" fontId="20" fillId="29" borderId="5" xfId="5" applyFont="1" applyFill="1" applyBorder="1" applyAlignment="1">
      <alignment horizontal="left" vertical="center" indent="1"/>
    </xf>
    <xf numFmtId="0" fontId="8" fillId="27" borderId="8" xfId="0" applyFont="1" applyFill="1" applyBorder="1" applyAlignment="1" applyProtection="1">
      <alignment horizontal="left" vertical="center" indent="1"/>
      <protection locked="0"/>
    </xf>
    <xf numFmtId="0" fontId="20" fillId="29" borderId="12" xfId="5" applyFont="1" applyFill="1" applyBorder="1" applyAlignment="1">
      <alignment horizontal="left" vertical="center" indent="1"/>
    </xf>
    <xf numFmtId="0" fontId="13" fillId="48" borderId="1" xfId="0" applyFont="1" applyFill="1" applyBorder="1" applyAlignment="1" applyProtection="1">
      <alignment horizontal="left" vertical="center" wrapText="1" indent="1"/>
      <protection locked="0"/>
    </xf>
    <xf numFmtId="0" fontId="8" fillId="18"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7"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49" fontId="8" fillId="0" borderId="1" xfId="0" applyNumberFormat="1" applyFont="1" applyBorder="1" applyAlignment="1" applyProtection="1">
      <alignment horizontal="left" vertical="center" indent="1"/>
      <protection locked="0"/>
    </xf>
    <xf numFmtId="0" fontId="18" fillId="32" borderId="1" xfId="7" applyFont="1" applyFill="1" applyBorder="1" applyAlignment="1" applyProtection="1">
      <alignment horizontal="left" vertical="center" indent="1"/>
      <protection locked="0"/>
    </xf>
    <xf numFmtId="0" fontId="13" fillId="48" borderId="1" xfId="7" applyFont="1" applyFill="1" applyBorder="1" applyAlignment="1" applyProtection="1">
      <alignment horizontal="left" vertical="center" indent="1"/>
      <protection locked="0"/>
    </xf>
    <xf numFmtId="0" fontId="13" fillId="48" borderId="1" xfId="11" applyFont="1" applyFill="1" applyBorder="1" applyAlignment="1" applyProtection="1">
      <alignment horizontal="left" vertical="center" indent="1"/>
      <protection locked="0"/>
    </xf>
    <xf numFmtId="11" fontId="13" fillId="48"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30" fillId="0" borderId="0" xfId="9" applyFont="1"/>
    <xf numFmtId="0" fontId="9" fillId="0" borderId="0" xfId="0" applyFont="1"/>
    <xf numFmtId="0" fontId="14" fillId="18" borderId="5" xfId="0" applyFont="1" applyFill="1" applyBorder="1" applyAlignment="1">
      <alignment horizontal="left" vertical="center" indent="1"/>
    </xf>
    <xf numFmtId="0" fontId="34" fillId="37" borderId="41" xfId="9" applyFont="1" applyFill="1" applyBorder="1" applyAlignment="1" applyProtection="1">
      <alignment horizontal="left" vertical="center" indent="1"/>
      <protection locked="0"/>
    </xf>
    <xf numFmtId="0" fontId="34" fillId="18" borderId="0" xfId="9" applyFont="1" applyFill="1" applyAlignment="1" applyProtection="1">
      <alignment horizontal="left" vertical="center" indent="1"/>
      <protection locked="0"/>
    </xf>
    <xf numFmtId="0" fontId="34" fillId="18" borderId="44" xfId="9" applyFont="1" applyFill="1" applyBorder="1" applyAlignment="1" applyProtection="1">
      <alignment horizontal="left" vertical="center" indent="1"/>
      <protection locked="0"/>
    </xf>
    <xf numFmtId="0" fontId="35" fillId="24" borderId="1" xfId="0" applyFont="1" applyFill="1" applyBorder="1" applyAlignment="1" applyProtection="1">
      <alignment horizontal="left" vertical="center" indent="1"/>
      <protection locked="0"/>
    </xf>
    <xf numFmtId="0" fontId="8" fillId="40" borderId="1" xfId="0" applyFont="1" applyFill="1" applyBorder="1" applyAlignment="1">
      <alignment horizontal="left" vertical="center" wrapText="1" indent="1"/>
    </xf>
    <xf numFmtId="0" fontId="8" fillId="31"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1" fillId="39" borderId="1" xfId="3" applyFont="1" applyFill="1" applyBorder="1" applyAlignment="1">
      <alignment horizontal="left" vertical="center" wrapText="1" indent="1"/>
    </xf>
    <xf numFmtId="0" fontId="9" fillId="36" borderId="4" xfId="0" applyFont="1" applyFill="1" applyBorder="1" applyAlignment="1">
      <alignment horizontal="left" vertical="center" wrapText="1" indent="1"/>
    </xf>
    <xf numFmtId="0" fontId="9" fillId="20" borderId="4" xfId="0" applyFont="1" applyFill="1" applyBorder="1" applyAlignment="1">
      <alignment horizontal="left" vertical="center" wrapText="1" indent="1"/>
    </xf>
    <xf numFmtId="0" fontId="8" fillId="31" borderId="1" xfId="5" applyFont="1" applyFill="1" applyBorder="1" applyAlignment="1">
      <alignment horizontal="left" vertical="center" indent="1"/>
    </xf>
    <xf numFmtId="0" fontId="13" fillId="14" borderId="1" xfId="5" applyFont="1" applyFill="1" applyBorder="1" applyAlignment="1" applyProtection="1">
      <alignment horizontal="left" vertical="center" indent="1"/>
      <protection locked="0"/>
    </xf>
    <xf numFmtId="0" fontId="9" fillId="36" borderId="1" xfId="0" applyFont="1" applyFill="1" applyBorder="1" applyAlignment="1">
      <alignment horizontal="left" vertical="center" indent="1"/>
    </xf>
    <xf numFmtId="0" fontId="9" fillId="36" borderId="13" xfId="0" applyFont="1" applyFill="1" applyBorder="1" applyAlignment="1">
      <alignment horizontal="left" vertical="center" indent="1"/>
    </xf>
    <xf numFmtId="0" fontId="9" fillId="43" borderId="13" xfId="0" applyFont="1" applyFill="1" applyBorder="1" applyAlignment="1">
      <alignment horizontal="left" vertical="center" indent="1"/>
    </xf>
    <xf numFmtId="0" fontId="9" fillId="40" borderId="13" xfId="0" applyFont="1" applyFill="1" applyBorder="1" applyAlignment="1">
      <alignment horizontal="left" vertical="center" indent="1"/>
    </xf>
    <xf numFmtId="0" fontId="8" fillId="40" borderId="1" xfId="5" applyFont="1" applyFill="1" applyBorder="1" applyAlignment="1">
      <alignment horizontal="left" vertical="center" indent="1"/>
    </xf>
    <xf numFmtId="0" fontId="8" fillId="18" borderId="1" xfId="0" applyFont="1" applyFill="1" applyBorder="1" applyAlignment="1" applyProtection="1">
      <alignment horizontal="left" vertical="center" indent="1"/>
      <protection locked="0"/>
    </xf>
    <xf numFmtId="0" fontId="8" fillId="40" borderId="7" xfId="0" applyFont="1" applyFill="1" applyBorder="1" applyAlignment="1">
      <alignment horizontal="left" vertical="center" wrapText="1" indent="1"/>
    </xf>
    <xf numFmtId="0" fontId="8" fillId="40" borderId="0" xfId="0" applyFont="1" applyFill="1" applyAlignment="1">
      <alignment horizontal="left" vertical="center" indent="1"/>
    </xf>
    <xf numFmtId="0" fontId="37" fillId="0" borderId="1" xfId="0" applyFont="1" applyBorder="1" applyAlignment="1">
      <alignment horizontal="left" vertical="center" indent="1"/>
    </xf>
    <xf numFmtId="0" fontId="8" fillId="40" borderId="1" xfId="0" applyFont="1" applyFill="1" applyBorder="1" applyAlignment="1">
      <alignment horizontal="left" indent="1"/>
    </xf>
    <xf numFmtId="0" fontId="8" fillId="27" borderId="1" xfId="11" applyFont="1" applyFill="1" applyBorder="1" applyAlignment="1" applyProtection="1">
      <alignment horizontal="left" vertical="center" indent="1"/>
      <protection locked="0"/>
    </xf>
    <xf numFmtId="0" fontId="8" fillId="18"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3" borderId="1" xfId="0" applyFont="1" applyFill="1" applyBorder="1" applyAlignment="1" applyProtection="1">
      <alignment horizontal="left" vertical="center" indent="1"/>
      <protection locked="0"/>
    </xf>
    <xf numFmtId="0" fontId="9" fillId="36" borderId="1" xfId="0" applyFont="1" applyFill="1" applyBorder="1" applyAlignment="1">
      <alignment horizontal="left" vertical="center" wrapText="1" indent="1"/>
    </xf>
    <xf numFmtId="0" fontId="11" fillId="18"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19" fillId="24" borderId="2" xfId="0" applyFont="1" applyFill="1" applyBorder="1" applyAlignment="1">
      <alignment horizontal="left" vertical="center" indent="1"/>
    </xf>
    <xf numFmtId="0" fontId="19" fillId="24" borderId="3" xfId="0" applyFont="1" applyFill="1" applyBorder="1" applyAlignment="1">
      <alignment horizontal="left" vertical="center" indent="1"/>
    </xf>
    <xf numFmtId="0" fontId="19" fillId="24" borderId="4" xfId="0" applyFont="1" applyFill="1" applyBorder="1" applyAlignment="1">
      <alignment horizontal="left" vertical="center" indent="1"/>
    </xf>
    <xf numFmtId="0" fontId="15" fillId="35" borderId="13" xfId="0" applyFont="1" applyFill="1" applyBorder="1" applyAlignment="1">
      <alignment horizontal="left" vertical="center" wrapText="1" indent="1"/>
    </xf>
    <xf numFmtId="0" fontId="15" fillId="35" borderId="4" xfId="0" applyFont="1" applyFill="1" applyBorder="1" applyAlignment="1">
      <alignment horizontal="left" vertical="center" wrapText="1" indent="1"/>
    </xf>
    <xf numFmtId="0" fontId="9" fillId="43"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8" fillId="38" borderId="1" xfId="0" applyFont="1" applyFill="1" applyBorder="1" applyAlignment="1">
      <alignment horizontal="left" vertical="center" indent="1"/>
    </xf>
    <xf numFmtId="0" fontId="9" fillId="44" borderId="1" xfId="0" applyFont="1" applyFill="1" applyBorder="1" applyAlignment="1">
      <alignment horizontal="left" vertical="center" indent="1"/>
    </xf>
    <xf numFmtId="0" fontId="9" fillId="44" borderId="1" xfId="0" applyFont="1" applyFill="1" applyBorder="1" applyAlignment="1" applyProtection="1">
      <alignment horizontal="left" vertical="center" indent="1"/>
      <protection locked="0"/>
    </xf>
    <xf numFmtId="0" fontId="9" fillId="42"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4" fillId="37" borderId="45" xfId="9" applyFont="1" applyFill="1" applyBorder="1" applyAlignment="1" applyProtection="1">
      <alignment horizontal="left" vertical="center" indent="1"/>
      <protection locked="0"/>
    </xf>
    <xf numFmtId="0" fontId="34" fillId="18"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40"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31" borderId="13" xfId="0" applyFont="1" applyFill="1" applyBorder="1" applyAlignment="1">
      <alignment horizontal="left" vertical="center" wrapText="1" indent="1"/>
    </xf>
    <xf numFmtId="0" fontId="8" fillId="49" borderId="1" xfId="0" applyFont="1" applyFill="1" applyBorder="1" applyAlignment="1" applyProtection="1">
      <alignment horizontal="left" vertical="center" indent="1"/>
      <protection locked="0"/>
    </xf>
    <xf numFmtId="0" fontId="9" fillId="36" borderId="13" xfId="0" applyFont="1" applyFill="1" applyBorder="1" applyAlignment="1">
      <alignment horizontal="left" vertical="center" wrapText="1" indent="1"/>
    </xf>
    <xf numFmtId="0" fontId="8" fillId="49" borderId="1" xfId="0" applyFont="1" applyFill="1" applyBorder="1" applyAlignment="1">
      <alignment horizontal="left" vertical="center" indent="1"/>
    </xf>
    <xf numFmtId="0" fontId="40" fillId="0" borderId="1" xfId="0" applyFont="1" applyBorder="1"/>
    <xf numFmtId="0" fontId="8" fillId="18" borderId="15" xfId="0" applyFont="1" applyFill="1" applyBorder="1" applyAlignment="1">
      <alignment horizontal="left" vertical="center" indent="1"/>
    </xf>
    <xf numFmtId="0" fontId="8" fillId="18" borderId="39" xfId="0" applyFont="1" applyFill="1" applyBorder="1" applyAlignment="1">
      <alignment horizontal="left" vertical="center" indent="1"/>
    </xf>
    <xf numFmtId="0" fontId="8" fillId="40" borderId="1" xfId="1" applyFont="1" applyFill="1" applyBorder="1" applyAlignment="1">
      <alignment horizontal="left" vertical="center" wrapText="1" indent="1"/>
    </xf>
    <xf numFmtId="0" fontId="8" fillId="18" borderId="1" xfId="3" applyFont="1" applyFill="1" applyBorder="1" applyAlignment="1">
      <alignment horizontal="left" vertical="center" wrapText="1" indent="1"/>
    </xf>
    <xf numFmtId="0" fontId="20" fillId="33" borderId="1" xfId="6" applyFont="1" applyFill="1" applyBorder="1" applyAlignment="1">
      <alignment horizontal="left" vertical="center" indent="1"/>
    </xf>
    <xf numFmtId="0" fontId="10" fillId="25" borderId="1" xfId="3" applyFont="1" applyFill="1" applyBorder="1" applyAlignment="1">
      <alignment horizontal="left" vertical="center" wrapText="1"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8" fillId="0" borderId="17" xfId="11" applyFont="1" applyBorder="1" applyAlignment="1">
      <alignment horizontal="left" vertical="center" indent="1"/>
    </xf>
    <xf numFmtId="0" fontId="36" fillId="0" borderId="1" xfId="0" applyFont="1" applyBorder="1" applyAlignment="1">
      <alignment horizontal="left" vertical="center" indent="1"/>
    </xf>
    <xf numFmtId="0" fontId="37" fillId="0" borderId="1" xfId="0" applyFont="1" applyBorder="1" applyAlignment="1">
      <alignment horizontal="left" vertical="center" wrapText="1" indent="1"/>
    </xf>
    <xf numFmtId="0" fontId="37"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6" fillId="0" borderId="4" xfId="0" applyFont="1" applyBorder="1" applyAlignment="1">
      <alignment horizontal="left" vertical="center" indent="1"/>
    </xf>
    <xf numFmtId="0" fontId="42"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26" borderId="0" xfId="0" applyFont="1" applyFill="1" applyAlignment="1">
      <alignment horizontal="left" vertical="center" indent="1"/>
    </xf>
    <xf numFmtId="0" fontId="9" fillId="18" borderId="0" xfId="0" applyFont="1" applyFill="1" applyAlignment="1">
      <alignment horizontal="left" vertical="center" indent="1"/>
    </xf>
    <xf numFmtId="0" fontId="8" fillId="18" borderId="1" xfId="0" applyFont="1" applyFill="1" applyBorder="1"/>
    <xf numFmtId="0" fontId="37" fillId="0" borderId="0" xfId="0" applyFont="1" applyAlignment="1">
      <alignment horizontal="left" vertical="center" indent="1"/>
    </xf>
    <xf numFmtId="0" fontId="8" fillId="11" borderId="1" xfId="0" applyFont="1" applyFill="1" applyBorder="1" applyAlignment="1">
      <alignment horizontal="left" vertical="center" indent="1"/>
    </xf>
    <xf numFmtId="0" fontId="11" fillId="28" borderId="1" xfId="14" applyFont="1" applyFill="1">
      <alignment horizontal="left" vertical="center" wrapText="1" indent="1"/>
    </xf>
    <xf numFmtId="0" fontId="44" fillId="29"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1" fillId="16" borderId="1" xfId="0" applyFont="1" applyFill="1" applyBorder="1" applyAlignment="1">
      <alignment horizontal="left" vertical="center" indent="1"/>
    </xf>
    <xf numFmtId="49" fontId="8" fillId="18" borderId="0" xfId="0" applyNumberFormat="1" applyFont="1" applyFill="1" applyAlignment="1">
      <alignment horizontal="left" vertical="center" indent="1"/>
    </xf>
    <xf numFmtId="0" fontId="11" fillId="18" borderId="1" xfId="0" applyFont="1" applyFill="1" applyBorder="1" applyAlignment="1">
      <alignment horizontal="left" vertical="center" wrapText="1" indent="1"/>
    </xf>
    <xf numFmtId="0" fontId="12" fillId="18" borderId="1" xfId="0" applyFont="1" applyFill="1" applyBorder="1" applyAlignment="1">
      <alignment horizontal="left" vertical="center" wrapText="1" indent="1"/>
    </xf>
    <xf numFmtId="0" fontId="9" fillId="18" borderId="0" xfId="0" applyFont="1" applyFill="1" applyAlignment="1" applyProtection="1">
      <alignment horizontal="left" vertical="center" indent="1"/>
      <protection locked="0"/>
    </xf>
    <xf numFmtId="0" fontId="9" fillId="18" borderId="0" xfId="0" applyFont="1" applyFill="1"/>
    <xf numFmtId="0" fontId="47" fillId="29" borderId="1" xfId="9" applyFont="1" applyFill="1" applyBorder="1" applyAlignment="1">
      <alignment horizontal="left" vertical="center" indent="1"/>
    </xf>
    <xf numFmtId="0" fontId="48" fillId="29" borderId="0" xfId="9" applyFont="1" applyFill="1" applyAlignment="1">
      <alignment horizontal="left" vertical="center" indent="1"/>
    </xf>
    <xf numFmtId="0" fontId="38" fillId="38" borderId="0" xfId="0" applyFont="1" applyFill="1" applyAlignment="1">
      <alignment horizontal="left" vertical="center" wrapText="1" indent="1"/>
    </xf>
    <xf numFmtId="0" fontId="38" fillId="19" borderId="0" xfId="0" applyFont="1" applyFill="1" applyAlignment="1">
      <alignment horizontal="left" vertical="center" wrapText="1" indent="1"/>
    </xf>
    <xf numFmtId="49" fontId="9" fillId="18" borderId="0" xfId="0" applyNumberFormat="1" applyFont="1" applyFill="1" applyAlignment="1">
      <alignment horizontal="left" vertical="center" indent="1"/>
    </xf>
    <xf numFmtId="0" fontId="9" fillId="18" borderId="0" xfId="0" applyFont="1" applyFill="1" applyAlignment="1">
      <alignment horizontal="left" vertical="center" wrapText="1" indent="1"/>
    </xf>
    <xf numFmtId="0" fontId="25" fillId="18" borderId="0" xfId="11" applyFont="1" applyFill="1"/>
    <xf numFmtId="0" fontId="11" fillId="39" borderId="1" xfId="2" applyFont="1" applyFill="1" applyBorder="1" applyAlignment="1">
      <alignment horizontal="left" vertical="center" wrapText="1" indent="1"/>
    </xf>
    <xf numFmtId="0" fontId="11" fillId="39" borderId="1" xfId="4" applyFont="1" applyFill="1" applyBorder="1" applyAlignment="1">
      <alignment horizontal="left" vertical="center" wrapText="1" indent="1"/>
    </xf>
    <xf numFmtId="0" fontId="11" fillId="0" borderId="1" xfId="11" applyFont="1" applyBorder="1" applyAlignment="1">
      <alignment horizontal="left" vertical="center" indent="1"/>
    </xf>
    <xf numFmtId="0" fontId="8" fillId="40" borderId="1" xfId="11" applyFont="1" applyFill="1" applyBorder="1" applyAlignment="1">
      <alignment horizontal="left" vertical="center" indent="1"/>
    </xf>
    <xf numFmtId="0" fontId="25" fillId="0" borderId="1" xfId="11" applyFont="1" applyBorder="1"/>
    <xf numFmtId="0" fontId="15" fillId="0" borderId="1" xfId="11" applyFont="1" applyBorder="1" applyAlignment="1">
      <alignment horizontal="left" vertical="center" wrapText="1" indent="1"/>
    </xf>
    <xf numFmtId="0" fontId="15" fillId="0" borderId="1" xfId="11" applyFont="1" applyBorder="1" applyAlignment="1">
      <alignment horizontal="left" vertical="center" indent="1"/>
    </xf>
    <xf numFmtId="0" fontId="11" fillId="18" borderId="0" xfId="11" applyFont="1" applyFill="1" applyAlignment="1">
      <alignment horizontal="left" vertical="center" wrapText="1" indent="1"/>
    </xf>
    <xf numFmtId="0" fontId="8" fillId="18" borderId="0" xfId="11" applyFont="1" applyFill="1" applyAlignment="1">
      <alignment horizontal="left" vertical="center" indent="1"/>
    </xf>
    <xf numFmtId="0" fontId="11" fillId="0" borderId="7" xfId="11" applyFont="1" applyBorder="1" applyAlignment="1">
      <alignment horizontal="left" vertical="center" indent="1"/>
    </xf>
    <xf numFmtId="0" fontId="8" fillId="40" borderId="7" xfId="11" applyFont="1" applyFill="1" applyBorder="1" applyAlignment="1">
      <alignment horizontal="left" vertical="center" indent="1"/>
    </xf>
    <xf numFmtId="0" fontId="8" fillId="0" borderId="7" xfId="11" applyFont="1" applyBorder="1" applyAlignment="1">
      <alignment horizontal="left" vertical="center" indent="1"/>
    </xf>
    <xf numFmtId="0" fontId="47" fillId="29" borderId="0" xfId="9" applyFont="1" applyFill="1" applyAlignment="1">
      <alignment horizontal="left" vertical="center" indent="1"/>
    </xf>
    <xf numFmtId="0" fontId="20" fillId="38" borderId="0" xfId="0" applyFont="1" applyFill="1" applyAlignment="1">
      <alignment horizontal="left" vertical="center" wrapText="1" indent="1"/>
    </xf>
    <xf numFmtId="0" fontId="11" fillId="0" borderId="1" xfId="11" applyFont="1" applyBorder="1" applyAlignment="1">
      <alignment horizontal="left" vertical="center" wrapText="1" indent="1"/>
    </xf>
    <xf numFmtId="0" fontId="11" fillId="28" borderId="0" xfId="4" applyFont="1" applyFill="1" applyAlignment="1">
      <alignment horizontal="left" vertical="center" indent="1"/>
    </xf>
    <xf numFmtId="0" fontId="49" fillId="0" borderId="1" xfId="0" applyFont="1" applyBorder="1" applyAlignment="1" applyProtection="1">
      <alignment horizontal="left" vertical="center" indent="1"/>
      <protection locked="0"/>
    </xf>
    <xf numFmtId="0" fontId="8" fillId="27" borderId="1" xfId="0" applyFont="1" applyFill="1" applyBorder="1" applyAlignment="1" applyProtection="1">
      <alignment horizontal="left" vertical="center" indent="1"/>
      <protection locked="0"/>
    </xf>
    <xf numFmtId="0" fontId="29" fillId="0" borderId="0" xfId="0" applyFont="1" applyAlignment="1">
      <alignment horizontal="left" vertical="center" wrapText="1" indent="1"/>
    </xf>
    <xf numFmtId="0" fontId="11" fillId="28" borderId="1" xfId="3" applyFont="1" applyFill="1" applyBorder="1" applyAlignment="1" applyProtection="1">
      <alignment horizontal="left" vertical="center" wrapText="1" indent="1"/>
      <protection locked="0"/>
    </xf>
    <xf numFmtId="0" fontId="37" fillId="31" borderId="1" xfId="0" applyFont="1" applyFill="1" applyBorder="1" applyAlignment="1">
      <alignment horizontal="left" vertical="center" indent="1"/>
    </xf>
    <xf numFmtId="0" fontId="37" fillId="0" borderId="1" xfId="0" applyFont="1" applyBorder="1" applyAlignment="1" applyProtection="1">
      <alignment horizontal="left" vertical="center" indent="1"/>
      <protection locked="0"/>
    </xf>
    <xf numFmtId="49" fontId="10" fillId="25" borderId="1" xfId="1" applyNumberFormat="1" applyFont="1" applyFill="1" applyBorder="1" applyAlignment="1">
      <alignment horizontal="left" vertical="center" wrapText="1" indent="1"/>
    </xf>
    <xf numFmtId="0" fontId="51" fillId="42" borderId="1" xfId="0" applyFont="1" applyFill="1" applyBorder="1" applyAlignment="1">
      <alignment horizontal="left" vertical="center" indent="1"/>
    </xf>
    <xf numFmtId="0" fontId="52" fillId="20" borderId="5" xfId="0" applyFont="1" applyFill="1" applyBorder="1" applyAlignment="1">
      <alignment horizontal="left" vertical="center" indent="1"/>
    </xf>
    <xf numFmtId="0" fontId="19" fillId="20" borderId="0" xfId="0" applyFont="1" applyFill="1" applyAlignment="1">
      <alignment horizontal="left" vertical="center" indent="1"/>
    </xf>
    <xf numFmtId="0" fontId="9" fillId="20" borderId="0" xfId="0" applyFont="1" applyFill="1"/>
    <xf numFmtId="0" fontId="10" fillId="24" borderId="1" xfId="0" applyFont="1" applyFill="1" applyBorder="1" applyAlignment="1">
      <alignment horizontal="left" vertical="center" wrapText="1" indent="1"/>
    </xf>
    <xf numFmtId="0" fontId="50" fillId="18"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9" fillId="43" borderId="8" xfId="0" applyFont="1" applyFill="1" applyBorder="1" applyAlignment="1">
      <alignment horizontal="left" vertical="center" indent="1"/>
    </xf>
    <xf numFmtId="0" fontId="8" fillId="42" borderId="1" xfId="0" applyFont="1" applyFill="1" applyBorder="1" applyAlignment="1">
      <alignment horizontal="left" vertical="center" indent="1"/>
    </xf>
    <xf numFmtId="0" fontId="8" fillId="19" borderId="1" xfId="0" applyFont="1" applyFill="1" applyBorder="1" applyAlignment="1">
      <alignment horizontal="left" vertical="center" indent="1"/>
    </xf>
    <xf numFmtId="0" fontId="8" fillId="6" borderId="9" xfId="0" applyFont="1" applyFill="1" applyBorder="1" applyAlignment="1">
      <alignment horizontal="left" vertical="center" indent="1"/>
    </xf>
    <xf numFmtId="0" fontId="19" fillId="9" borderId="0" xfId="0" applyFont="1" applyFill="1" applyAlignment="1">
      <alignment horizontal="left" vertical="center" indent="1"/>
    </xf>
    <xf numFmtId="0" fontId="52" fillId="38" borderId="0" xfId="0" applyFont="1" applyFill="1" applyAlignment="1">
      <alignment horizontal="left" vertical="center" indent="1"/>
    </xf>
    <xf numFmtId="0" fontId="15" fillId="0" borderId="13" xfId="0" applyFont="1" applyBorder="1" applyAlignment="1">
      <alignment horizontal="left" vertical="center" wrapText="1" indent="1"/>
    </xf>
    <xf numFmtId="0" fontId="9" fillId="36" borderId="4" xfId="0" applyFont="1" applyFill="1" applyBorder="1" applyAlignment="1">
      <alignment horizontal="left" vertical="center" indent="1"/>
    </xf>
    <xf numFmtId="0" fontId="15" fillId="0" borderId="4" xfId="0" applyFont="1" applyBorder="1" applyAlignment="1">
      <alignment horizontal="left" vertical="center" indent="1"/>
    </xf>
    <xf numFmtId="0" fontId="27" fillId="19" borderId="7" xfId="0" applyFont="1" applyFill="1" applyBorder="1" applyAlignment="1" applyProtection="1">
      <alignment horizontal="left" vertical="center" indent="1"/>
      <protection locked="0"/>
    </xf>
    <xf numFmtId="0" fontId="27" fillId="19" borderId="1" xfId="0" applyFont="1" applyFill="1" applyBorder="1" applyAlignment="1" applyProtection="1">
      <alignment horizontal="left" vertical="center" indent="1"/>
      <protection locked="0"/>
    </xf>
    <xf numFmtId="0" fontId="9" fillId="19" borderId="1" xfId="0" applyFont="1" applyFill="1" applyBorder="1" applyAlignment="1" applyProtection="1">
      <alignment horizontal="left" vertical="center" indent="1"/>
      <protection locked="0"/>
    </xf>
    <xf numFmtId="0" fontId="39" fillId="19" borderId="1" xfId="0" applyFont="1" applyFill="1" applyBorder="1" applyAlignment="1" applyProtection="1">
      <alignment horizontal="left" vertical="center" indent="1"/>
      <protection locked="0"/>
    </xf>
    <xf numFmtId="0" fontId="27" fillId="19" borderId="7" xfId="0" applyFont="1" applyFill="1" applyBorder="1" applyAlignment="1">
      <alignment horizontal="left" vertical="center" indent="1"/>
    </xf>
    <xf numFmtId="0" fontId="27" fillId="19" borderId="1" xfId="0" applyFont="1" applyFill="1" applyBorder="1" applyAlignment="1">
      <alignment horizontal="left" vertical="center" indent="1"/>
    </xf>
    <xf numFmtId="0" fontId="39" fillId="19" borderId="1" xfId="0" applyFont="1" applyFill="1" applyBorder="1" applyAlignment="1">
      <alignment horizontal="left" vertical="center" indent="1"/>
    </xf>
    <xf numFmtId="0" fontId="24" fillId="19"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51" fillId="0" borderId="1" xfId="11" applyFont="1" applyBorder="1" applyAlignment="1">
      <alignment horizontal="left" vertical="center" indent="1"/>
    </xf>
    <xf numFmtId="0" fontId="8" fillId="0" borderId="8" xfId="0" applyFont="1" applyBorder="1" applyAlignment="1">
      <alignment horizontal="left" indent="1"/>
    </xf>
    <xf numFmtId="0" fontId="27" fillId="0" borderId="1" xfId="0" applyFont="1" applyBorder="1" applyAlignment="1">
      <alignment horizontal="left" vertical="center" indent="1"/>
    </xf>
    <xf numFmtId="0" fontId="39" fillId="0" borderId="1" xfId="0" applyFont="1" applyBorder="1" applyAlignment="1">
      <alignment horizontal="left" vertical="center" indent="1"/>
    </xf>
    <xf numFmtId="0" fontId="13" fillId="14" borderId="1" xfId="5" applyFont="1" applyFill="1" applyBorder="1" applyAlignment="1">
      <alignment horizontal="left" vertical="center" indent="1"/>
    </xf>
    <xf numFmtId="0" fontId="11" fillId="31" borderId="1" xfId="0" applyFont="1" applyFill="1" applyBorder="1" applyAlignment="1">
      <alignment horizontal="left" vertical="center" indent="1"/>
    </xf>
    <xf numFmtId="0" fontId="11" fillId="40" borderId="1" xfId="0" applyFont="1" applyFill="1" applyBorder="1" applyAlignment="1">
      <alignment horizontal="left" vertical="center" indent="1"/>
    </xf>
    <xf numFmtId="0" fontId="35" fillId="51" borderId="1" xfId="0" applyFont="1" applyFill="1" applyBorder="1" applyAlignment="1" applyProtection="1">
      <alignment horizontal="left" vertical="center" indent="1"/>
      <protection locked="0"/>
    </xf>
    <xf numFmtId="0" fontId="35" fillId="51" borderId="1" xfId="0" applyFont="1" applyFill="1" applyBorder="1" applyAlignment="1">
      <alignment horizontal="left" vertical="center" indent="1"/>
    </xf>
    <xf numFmtId="0" fontId="9" fillId="36" borderId="55" xfId="0" applyFont="1" applyFill="1" applyBorder="1" applyAlignment="1">
      <alignment horizontal="left" vertical="center" indent="1"/>
    </xf>
    <xf numFmtId="0" fontId="9" fillId="52" borderId="1" xfId="0" applyFont="1" applyFill="1" applyBorder="1" applyAlignment="1" applyProtection="1">
      <alignment horizontal="left" vertical="center" indent="1"/>
      <protection locked="0"/>
    </xf>
    <xf numFmtId="0" fontId="9" fillId="36" borderId="56" xfId="0" applyFont="1" applyFill="1" applyBorder="1" applyAlignment="1">
      <alignment horizontal="left" vertical="center" indent="1"/>
    </xf>
    <xf numFmtId="0" fontId="6" fillId="0" borderId="1" xfId="9" applyBorder="1" applyAlignment="1">
      <alignment horizontal="left" vertical="center" indent="1"/>
    </xf>
    <xf numFmtId="0" fontId="11" fillId="0" borderId="1" xfId="0" applyFont="1" applyBorder="1" applyAlignment="1" applyProtection="1">
      <alignment horizontal="left" vertical="center" indent="1"/>
      <protection locked="0"/>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53" fillId="0" borderId="13" xfId="0" applyFont="1" applyBorder="1" applyAlignment="1">
      <alignment horizontal="left" vertical="center" indent="1"/>
    </xf>
    <xf numFmtId="0" fontId="9" fillId="36" borderId="57" xfId="0" applyFont="1" applyFill="1" applyBorder="1" applyAlignment="1">
      <alignment horizontal="left" vertical="center" indent="1"/>
    </xf>
    <xf numFmtId="0" fontId="53" fillId="0" borderId="0" xfId="0" applyFont="1" applyAlignment="1">
      <alignment horizontal="left" vertical="center" indent="1"/>
    </xf>
    <xf numFmtId="0" fontId="8" fillId="29"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2" borderId="1" xfId="0" applyFont="1" applyFill="1" applyBorder="1" applyAlignment="1" applyProtection="1">
      <alignment horizontal="left" vertical="center" indent="1"/>
      <protection locked="0"/>
    </xf>
    <xf numFmtId="0" fontId="54" fillId="0" borderId="1" xfId="0" applyFont="1" applyBorder="1" applyAlignment="1">
      <alignment horizontal="left" vertical="center" indent="1"/>
    </xf>
    <xf numFmtId="0" fontId="15" fillId="0" borderId="2" xfId="0" applyFont="1" applyBorder="1" applyAlignment="1">
      <alignment horizontal="left" indent="1"/>
    </xf>
    <xf numFmtId="0" fontId="13" fillId="18"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51" fillId="25"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5" borderId="1" xfId="0" applyFont="1" applyFill="1" applyBorder="1" applyAlignment="1">
      <alignment horizontal="left" vertical="center" wrapText="1" indent="1"/>
    </xf>
    <xf numFmtId="0" fontId="15" fillId="35" borderId="8" xfId="0" applyFont="1" applyFill="1" applyBorder="1" applyAlignment="1">
      <alignment horizontal="left" vertical="center" wrapText="1" indent="1"/>
    </xf>
    <xf numFmtId="0" fontId="55" fillId="29" borderId="8" xfId="5" applyFont="1" applyFill="1" applyBorder="1" applyAlignment="1">
      <alignment horizontal="left" vertical="center" indent="1"/>
    </xf>
    <xf numFmtId="0" fontId="8" fillId="28" borderId="1" xfId="1" applyFont="1" applyFill="1" applyBorder="1" applyAlignment="1">
      <alignment horizontal="left" vertical="center" wrapText="1" indent="1"/>
    </xf>
    <xf numFmtId="0" fontId="22" fillId="0" borderId="0" xfId="9" applyFont="1" applyProtection="1">
      <protection locked="0"/>
    </xf>
    <xf numFmtId="0" fontId="9" fillId="18" borderId="1" xfId="0" applyFont="1" applyFill="1" applyBorder="1" applyAlignment="1">
      <alignment horizontal="left" vertical="center" indent="1"/>
    </xf>
    <xf numFmtId="0" fontId="9" fillId="18" borderId="13" xfId="0" applyFont="1" applyFill="1" applyBorder="1" applyAlignment="1">
      <alignment horizontal="left" vertical="center" indent="1"/>
    </xf>
    <xf numFmtId="0" fontId="8" fillId="18"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8" borderId="9" xfId="0" applyFont="1" applyFill="1" applyBorder="1" applyAlignment="1">
      <alignment horizontal="left" vertical="center" indent="1"/>
    </xf>
    <xf numFmtId="0" fontId="11" fillId="28"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20" borderId="13" xfId="0" applyFont="1" applyFill="1" applyBorder="1" applyAlignment="1">
      <alignment horizontal="left" vertical="center" indent="1"/>
    </xf>
    <xf numFmtId="0" fontId="9" fillId="20" borderId="1" xfId="0" applyFont="1" applyFill="1" applyBorder="1" applyAlignment="1">
      <alignment horizontal="left" vertical="center" indent="1"/>
    </xf>
    <xf numFmtId="0" fontId="10" fillId="30" borderId="8" xfId="0" applyFont="1" applyFill="1" applyBorder="1" applyAlignment="1">
      <alignment horizontal="left" vertical="center" indent="1"/>
    </xf>
    <xf numFmtId="0" fontId="11" fillId="0" borderId="0" xfId="0" applyFont="1"/>
    <xf numFmtId="0" fontId="56" fillId="0" borderId="0" xfId="0" applyFont="1"/>
    <xf numFmtId="0" fontId="0" fillId="0" borderId="0" xfId="0" applyAlignment="1">
      <alignment horizontal="left"/>
    </xf>
    <xf numFmtId="0" fontId="9" fillId="55" borderId="1" xfId="0" applyFont="1" applyFill="1" applyBorder="1" applyAlignment="1">
      <alignment horizontal="left" vertical="center" indent="1"/>
    </xf>
    <xf numFmtId="0" fontId="8" fillId="40" borderId="9" xfId="0" applyFont="1" applyFill="1" applyBorder="1" applyAlignment="1">
      <alignment horizontal="left" vertical="center" indent="1"/>
    </xf>
    <xf numFmtId="0" fontId="8" fillId="0" borderId="4" xfId="0" applyFont="1" applyBorder="1" applyAlignment="1">
      <alignment horizontal="left" indent="1"/>
    </xf>
    <xf numFmtId="0" fontId="8" fillId="0" borderId="0" xfId="0" applyFont="1" applyAlignment="1">
      <alignment horizontal="left"/>
    </xf>
    <xf numFmtId="0" fontId="9" fillId="36" borderId="16" xfId="0" applyFont="1" applyFill="1" applyBorder="1" applyAlignment="1">
      <alignment horizontal="left" vertical="center" indent="1"/>
    </xf>
    <xf numFmtId="0" fontId="8" fillId="0" borderId="1" xfId="0"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20" fillId="29" borderId="1" xfId="5" applyFont="1" applyFill="1" applyBorder="1" applyAlignment="1">
      <alignment horizontal="left" vertical="center" indent="1"/>
    </xf>
    <xf numFmtId="0" fontId="10" fillId="25" borderId="1" xfId="1" applyFont="1" applyFill="1" applyBorder="1" applyAlignment="1">
      <alignment horizontal="left" vertical="center" wrapText="1" indent="1"/>
    </xf>
    <xf numFmtId="0" fontId="8" fillId="0" borderId="1" xfId="0" applyFont="1" applyBorder="1" applyAlignment="1">
      <alignment horizontal="left" vertical="center" indent="1"/>
    </xf>
    <xf numFmtId="0" fontId="10" fillId="50" borderId="1" xfId="1" applyFont="1" applyFill="1" applyBorder="1" applyAlignment="1">
      <alignment horizontal="left" vertical="center" wrapText="1" indent="1"/>
    </xf>
    <xf numFmtId="0" fontId="10" fillId="8" borderId="0" xfId="0" applyFont="1" applyFill="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11" fillId="28" borderId="8" xfId="1" applyFont="1" applyFill="1" applyBorder="1" applyAlignment="1">
      <alignment horizontal="left" vertical="center" wrapText="1"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8" fillId="0" borderId="1" xfId="11" applyFont="1" applyBorder="1" applyAlignment="1" applyProtection="1">
      <alignment horizontal="left" vertical="center" indent="1"/>
      <protection locked="0"/>
    </xf>
    <xf numFmtId="0" fontId="13" fillId="0" borderId="1" xfId="0" applyFont="1" applyBorder="1" applyAlignment="1">
      <alignment horizontal="left" vertical="center" indent="1"/>
    </xf>
    <xf numFmtId="0" fontId="20" fillId="29" borderId="0" xfId="5" applyFont="1" applyFill="1" applyAlignment="1">
      <alignment horizontal="left" vertical="center" indent="1"/>
    </xf>
    <xf numFmtId="0" fontId="11" fillId="0" borderId="7" xfId="0" applyFont="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11" fillId="0" borderId="1" xfId="0" applyFont="1" applyBorder="1" applyAlignment="1">
      <alignment horizontal="left" vertical="center" wrapText="1" indent="1"/>
    </xf>
    <xf numFmtId="0" fontId="8" fillId="40" borderId="1"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0" borderId="9" xfId="0" applyFont="1" applyBorder="1" applyAlignment="1">
      <alignment horizontal="left" vertical="center" indent="1"/>
    </xf>
    <xf numFmtId="0" fontId="10" fillId="25" borderId="1"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20" fillId="4" borderId="7"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4" borderId="1" xfId="5" applyFont="1" applyBorder="1" applyAlignment="1">
      <alignment horizontal="left" vertical="center" indent="1"/>
    </xf>
    <xf numFmtId="0" fontId="28" fillId="13" borderId="9" xfId="0" applyFont="1" applyFill="1" applyBorder="1" applyAlignment="1">
      <alignment horizontal="left" vertical="center" indent="1"/>
    </xf>
    <xf numFmtId="0" fontId="20" fillId="4" borderId="9" xfId="5" applyFont="1" applyBorder="1" applyAlignment="1">
      <alignment horizontal="left" vertical="center" indent="1"/>
    </xf>
    <xf numFmtId="0" fontId="20" fillId="33" borderId="9" xfId="5" applyFont="1" applyFill="1" applyBorder="1" applyAlignment="1">
      <alignment horizontal="left" vertical="center" indent="1"/>
    </xf>
    <xf numFmtId="0" fontId="20" fillId="33" borderId="1" xfId="5" applyFont="1" applyFill="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0" fontId="15" fillId="5" borderId="1"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11" fillId="18" borderId="7" xfId="1" applyFont="1" applyFill="1" applyBorder="1" applyAlignment="1">
      <alignment horizontal="left" vertical="center" wrapText="1" indent="1"/>
    </xf>
    <xf numFmtId="0" fontId="8" fillId="0" borderId="8" xfId="0" applyFont="1" applyBorder="1" applyAlignment="1" applyProtection="1">
      <alignment horizontal="left" vertical="center" indent="1"/>
      <protection locked="0"/>
    </xf>
    <xf numFmtId="0" fontId="9" fillId="42" borderId="8" xfId="0" applyFont="1" applyFill="1" applyBorder="1" applyAlignment="1" applyProtection="1">
      <alignment horizontal="left" vertical="center" indent="1"/>
      <protection locked="0"/>
    </xf>
    <xf numFmtId="0" fontId="9" fillId="0" borderId="8" xfId="0" applyFont="1" applyBorder="1"/>
    <xf numFmtId="0" fontId="9" fillId="0" borderId="13" xfId="0" applyFont="1" applyBorder="1" applyAlignment="1">
      <alignment horizontal="left" indent="1"/>
    </xf>
    <xf numFmtId="0" fontId="9" fillId="42" borderId="4" xfId="0" applyFont="1" applyFill="1" applyBorder="1" applyAlignment="1" applyProtection="1">
      <alignment horizontal="left" vertical="center" indent="1"/>
      <protection locked="0"/>
    </xf>
    <xf numFmtId="0" fontId="8" fillId="0" borderId="1" xfId="0" applyFont="1" applyBorder="1" applyAlignment="1">
      <alignment horizontal="left" vertical="center" wrapText="1" inden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20" fillId="29" borderId="1" xfId="5" applyFont="1" applyFill="1" applyBorder="1" applyAlignment="1">
      <alignment horizontal="left" vertical="center" indent="1"/>
    </xf>
    <xf numFmtId="0" fontId="10" fillId="25" borderId="1" xfId="1" applyFont="1" applyFill="1" applyBorder="1" applyAlignment="1">
      <alignment horizontal="left" vertical="center" wrapText="1" indent="1"/>
    </xf>
    <xf numFmtId="0" fontId="8" fillId="0" borderId="1" xfId="0" applyFont="1" applyBorder="1" applyAlignment="1">
      <alignment horizontal="left" vertical="center" indent="1"/>
    </xf>
    <xf numFmtId="0" fontId="10" fillId="50" borderId="1" xfId="1" applyFont="1" applyFill="1" applyBorder="1" applyAlignment="1">
      <alignment horizontal="left" vertical="center" wrapText="1" indent="1"/>
    </xf>
    <xf numFmtId="0" fontId="8" fillId="0" borderId="1" xfId="0" applyFont="1" applyBorder="1" applyAlignment="1">
      <alignment horizontal="left" vertical="center" wrapText="1"/>
    </xf>
    <xf numFmtId="0" fontId="28" fillId="29"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top" wrapText="1" indent="1"/>
    </xf>
    <xf numFmtId="0" fontId="31" fillId="29" borderId="7" xfId="0" applyFont="1" applyFill="1" applyBorder="1" applyAlignment="1">
      <alignment horizontal="left" vertical="center" indent="1"/>
    </xf>
    <xf numFmtId="0" fontId="31" fillId="29" borderId="9" xfId="0" applyFont="1" applyFill="1" applyBorder="1" applyAlignment="1">
      <alignment horizontal="left" vertical="center" indent="1"/>
    </xf>
    <xf numFmtId="0" fontId="31" fillId="29" borderId="8" xfId="0" applyFont="1" applyFill="1" applyBorder="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33" fillId="18" borderId="1" xfId="0" applyFont="1" applyFill="1" applyBorder="1" applyAlignment="1">
      <alignment horizontal="center" vertical="center"/>
    </xf>
    <xf numFmtId="0" fontId="32" fillId="29" borderId="1" xfId="5" applyFont="1" applyFill="1" applyBorder="1" applyAlignment="1">
      <alignment horizontal="left" vertical="center" indent="1"/>
    </xf>
    <xf numFmtId="0" fontId="10" fillId="30" borderId="7" xfId="0" applyFont="1" applyFill="1" applyBorder="1" applyAlignment="1">
      <alignment horizontal="left" vertical="center" indent="1"/>
    </xf>
    <xf numFmtId="0" fontId="10" fillId="30" borderId="9" xfId="0" applyFont="1" applyFill="1" applyBorder="1" applyAlignment="1">
      <alignment horizontal="left" vertical="center" indent="1"/>
    </xf>
    <xf numFmtId="0" fontId="8" fillId="18" borderId="7" xfId="0" applyFont="1" applyFill="1" applyBorder="1" applyAlignment="1">
      <alignment horizontal="left" vertical="center" wrapText="1" indent="1"/>
    </xf>
    <xf numFmtId="0" fontId="8" fillId="18" borderId="8" xfId="0" applyFont="1" applyFill="1" applyBorder="1" applyAlignment="1">
      <alignment horizontal="left" vertical="center" wrapText="1" inden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20" fillId="29" borderId="2" xfId="5" applyFont="1" applyFill="1" applyBorder="1" applyAlignment="1">
      <alignment horizontal="left" vertical="center" indent="1"/>
    </xf>
    <xf numFmtId="0" fontId="20" fillId="29" borderId="3" xfId="5" applyFont="1" applyFill="1" applyBorder="1" applyAlignment="1">
      <alignment horizontal="left" vertical="center" indent="1"/>
    </xf>
    <xf numFmtId="0" fontId="20" fillId="29" borderId="4" xfId="5" applyFont="1" applyFill="1" applyBorder="1" applyAlignment="1">
      <alignment horizontal="left" vertical="center" indent="1"/>
    </xf>
    <xf numFmtId="0" fontId="30" fillId="0" borderId="7" xfId="9" applyFont="1" applyBorder="1" applyAlignment="1">
      <alignment horizontal="left" vertical="center" indent="1"/>
    </xf>
    <xf numFmtId="0" fontId="30" fillId="0" borderId="9" xfId="9" applyFont="1" applyBorder="1" applyAlignment="1">
      <alignment horizontal="left" vertical="center" indent="1"/>
    </xf>
    <xf numFmtId="0" fontId="30" fillId="0" borderId="8" xfId="9" applyFont="1" applyBorder="1" applyAlignment="1">
      <alignment horizontal="left" vertical="center" indent="1"/>
    </xf>
    <xf numFmtId="0" fontId="8" fillId="0" borderId="1" xfId="11" applyFont="1" applyBorder="1" applyAlignment="1" applyProtection="1">
      <alignment horizontal="left" vertical="center" indent="1"/>
      <protection locked="0"/>
    </xf>
    <xf numFmtId="0" fontId="11" fillId="28" borderId="7" xfId="1" applyFont="1" applyFill="1" applyBorder="1" applyAlignment="1">
      <alignment horizontal="left" vertical="center" wrapText="1" indent="1"/>
    </xf>
    <xf numFmtId="0" fontId="11" fillId="28" borderId="9"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22" fillId="0" borderId="2" xfId="9" applyFont="1" applyBorder="1" applyAlignment="1">
      <alignment horizontal="left" vertical="center" indent="1"/>
    </xf>
    <xf numFmtId="0" fontId="22" fillId="0" borderId="3" xfId="9" applyFont="1" applyBorder="1" applyAlignment="1">
      <alignment horizontal="left" vertical="center" indent="1"/>
    </xf>
    <xf numFmtId="0" fontId="22" fillId="0" borderId="4" xfId="9" applyFont="1" applyBorder="1" applyAlignment="1">
      <alignment horizontal="left" vertical="center" indent="1"/>
    </xf>
    <xf numFmtId="0" fontId="22" fillId="0" borderId="10" xfId="9" applyFont="1" applyBorder="1" applyAlignment="1">
      <alignment horizontal="left" vertical="center" indent="1"/>
    </xf>
    <xf numFmtId="0" fontId="22" fillId="0" borderId="12" xfId="9" applyFont="1" applyBorder="1" applyAlignment="1">
      <alignment horizontal="left" vertical="center" indent="1"/>
    </xf>
    <xf numFmtId="0" fontId="22" fillId="0" borderId="11" xfId="9" applyFont="1" applyBorder="1" applyAlignment="1">
      <alignment horizontal="left" vertical="center" indent="1"/>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10" fillId="25" borderId="8" xfId="5" applyFont="1" applyFill="1" applyBorder="1" applyAlignment="1">
      <alignment horizontal="left" vertical="center" indent="1"/>
    </xf>
    <xf numFmtId="0" fontId="10" fillId="10" borderId="7" xfId="5" applyFont="1" applyFill="1" applyBorder="1" applyAlignment="1">
      <alignment horizontal="left" vertical="center" indent="1"/>
    </xf>
    <xf numFmtId="0" fontId="10" fillId="10" borderId="9" xfId="5" applyFont="1" applyFill="1" applyBorder="1" applyAlignment="1">
      <alignment horizontal="left" vertical="center" indent="1"/>
    </xf>
    <xf numFmtId="0" fontId="10" fillId="10" borderId="8" xfId="5" applyFont="1" applyFill="1" applyBorder="1" applyAlignment="1">
      <alignment horizontal="left" vertical="center" indent="1"/>
    </xf>
    <xf numFmtId="0" fontId="8" fillId="0" borderId="9" xfId="0" applyFont="1" applyBorder="1" applyAlignment="1">
      <alignment horizontal="left" vertical="center" wrapText="1"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34" borderId="8" xfId="1" applyFont="1" applyFill="1" applyBorder="1" applyAlignment="1">
      <alignment horizontal="left" vertical="center" wrapText="1" indent="1"/>
    </xf>
    <xf numFmtId="49" fontId="8" fillId="0" borderId="7" xfId="0" applyNumberFormat="1" applyFont="1" applyBorder="1" applyAlignment="1">
      <alignment horizontal="left" vertical="center" indent="1"/>
    </xf>
    <xf numFmtId="49" fontId="8" fillId="0" borderId="9" xfId="0" applyNumberFormat="1" applyFont="1" applyBorder="1" applyAlignment="1">
      <alignment horizontal="left" vertical="center" indent="1"/>
    </xf>
    <xf numFmtId="49" fontId="8" fillId="0" borderId="8" xfId="0" applyNumberFormat="1" applyFont="1" applyBorder="1" applyAlignment="1">
      <alignment horizontal="left" vertical="center"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20" fillId="29" borderId="0" xfId="5" applyFont="1" applyFill="1" applyAlignment="1">
      <alignment horizontal="left" vertical="center" indent="1"/>
    </xf>
    <xf numFmtId="0" fontId="28" fillId="29" borderId="0" xfId="0" applyFont="1" applyFill="1" applyAlignment="1">
      <alignment vertical="center"/>
    </xf>
    <xf numFmtId="0" fontId="11" fillId="34" borderId="10" xfId="1" applyFont="1" applyFill="1" applyBorder="1" applyAlignment="1">
      <alignment horizontal="left" vertical="center" wrapText="1" indent="1"/>
    </xf>
    <xf numFmtId="0" fontId="11" fillId="34" borderId="12" xfId="1" applyFont="1" applyFill="1" applyBorder="1" applyAlignment="1">
      <alignment horizontal="left" vertical="center" wrapText="1" indent="1"/>
    </xf>
    <xf numFmtId="0" fontId="11" fillId="34" borderId="11"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8" fillId="54" borderId="1" xfId="0" applyFont="1" applyFill="1" applyBorder="1" applyAlignment="1" applyProtection="1">
      <alignment horizontal="left" vertical="center" indent="1"/>
      <protection locked="0"/>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11" fillId="0" borderId="1" xfId="0" applyFont="1" applyBorder="1" applyAlignment="1">
      <alignment horizontal="left" vertical="center" wrapText="1" indent="1"/>
    </xf>
    <xf numFmtId="0" fontId="8" fillId="40" borderId="1"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9" fillId="24" borderId="7" xfId="0" applyFont="1" applyFill="1" applyBorder="1" applyAlignment="1">
      <alignment horizontal="left" vertical="center" indent="1"/>
    </xf>
    <xf numFmtId="0" fontId="19" fillId="24" borderId="9" xfId="0" applyFont="1" applyFill="1" applyBorder="1" applyAlignment="1">
      <alignment horizontal="left" vertical="center" indent="1"/>
    </xf>
    <xf numFmtId="0" fontId="19" fillId="24" borderId="14" xfId="0" applyFont="1" applyFill="1" applyBorder="1" applyAlignment="1">
      <alignment horizontal="left" vertical="center" indent="1"/>
    </xf>
    <xf numFmtId="0" fontId="21" fillId="25" borderId="7" xfId="0" applyFont="1" applyFill="1" applyBorder="1" applyAlignment="1">
      <alignment horizontal="left" vertical="center" indent="1"/>
    </xf>
    <xf numFmtId="0" fontId="21" fillId="25" borderId="9" xfId="0" applyFont="1" applyFill="1" applyBorder="1" applyAlignment="1">
      <alignment horizontal="left" vertical="center" indent="1"/>
    </xf>
    <xf numFmtId="0" fontId="21" fillId="25" borderId="8" xfId="0" applyFont="1" applyFill="1" applyBorder="1" applyAlignment="1">
      <alignment horizontal="left" vertical="center" indent="1"/>
    </xf>
    <xf numFmtId="0" fontId="14" fillId="29" borderId="0" xfId="0" applyFont="1" applyFill="1" applyAlignment="1">
      <alignment horizontal="left" vertical="center" indent="1"/>
    </xf>
    <xf numFmtId="0" fontId="14" fillId="29" borderId="6" xfId="0" applyFont="1" applyFill="1" applyBorder="1" applyAlignment="1">
      <alignment horizontal="left" vertical="center" indent="1"/>
    </xf>
    <xf numFmtId="0" fontId="10" fillId="47" borderId="0" xfId="0" applyFont="1" applyFill="1" applyAlignment="1">
      <alignment horizontal="left" vertical="center" indent="1"/>
    </xf>
    <xf numFmtId="0" fontId="10" fillId="47" borderId="6" xfId="0" applyFont="1" applyFill="1" applyBorder="1" applyAlignment="1">
      <alignment horizontal="left" vertical="center"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pplyProtection="1">
      <alignment horizontal="left" vertical="center" wrapText="1" indent="1"/>
      <protection locked="0"/>
    </xf>
    <xf numFmtId="0" fontId="10" fillId="29" borderId="9" xfId="5" applyFont="1" applyFill="1" applyBorder="1" applyAlignment="1" applyProtection="1">
      <alignment horizontal="left" vertical="center" wrapText="1" indent="1"/>
      <protection locked="0"/>
    </xf>
    <xf numFmtId="0" fontId="10" fillId="29" borderId="8" xfId="5" applyFont="1" applyFill="1" applyBorder="1" applyAlignment="1" applyProtection="1">
      <alignment horizontal="left" vertical="center" wrapText="1" indent="1"/>
      <protection locked="0"/>
    </xf>
    <xf numFmtId="0" fontId="10" fillId="25" borderId="7" xfId="1" applyFont="1" applyFill="1" applyBorder="1" applyAlignment="1">
      <alignment horizontal="left" vertical="center" wrapText="1" indent="1"/>
    </xf>
    <xf numFmtId="0" fontId="10" fillId="25" borderId="9" xfId="1" applyFont="1" applyFill="1" applyBorder="1" applyAlignment="1">
      <alignment horizontal="left" vertical="center" wrapText="1" indent="1"/>
    </xf>
    <xf numFmtId="0" fontId="10" fillId="25" borderId="8" xfId="1" applyFont="1" applyFill="1" applyBorder="1" applyAlignment="1">
      <alignment horizontal="left" vertical="center" wrapText="1" indent="1"/>
    </xf>
    <xf numFmtId="0" fontId="10" fillId="25" borderId="7" xfId="5" applyFont="1" applyFill="1" applyBorder="1" applyAlignment="1" applyProtection="1">
      <alignment horizontal="left" vertical="center" indent="1"/>
      <protection locked="0"/>
    </xf>
    <xf numFmtId="0" fontId="10" fillId="25" borderId="9" xfId="5" applyFont="1" applyFill="1" applyBorder="1" applyAlignment="1" applyProtection="1">
      <alignment horizontal="left" vertical="center" indent="1"/>
      <protection locked="0"/>
    </xf>
    <xf numFmtId="0" fontId="10" fillId="25" borderId="8" xfId="5" applyFont="1" applyFill="1" applyBorder="1" applyAlignment="1" applyProtection="1">
      <alignment horizontal="left" vertical="center" indent="1"/>
      <protection locked="0"/>
    </xf>
    <xf numFmtId="0" fontId="14" fillId="29" borderId="1" xfId="0" applyFont="1" applyFill="1" applyBorder="1" applyAlignment="1">
      <alignment horizontal="left" vertical="center" indent="1"/>
    </xf>
    <xf numFmtId="0" fontId="10" fillId="25" borderId="3" xfId="5" applyFont="1" applyFill="1" applyBorder="1" applyAlignment="1">
      <alignment horizontal="left" vertical="center" indent="1"/>
    </xf>
    <xf numFmtId="0" fontId="10" fillId="25" borderId="1" xfId="0" applyFont="1" applyFill="1" applyBorder="1" applyAlignment="1">
      <alignment horizontal="left" vertical="center" indent="1"/>
    </xf>
    <xf numFmtId="0" fontId="10" fillId="29" borderId="1" xfId="5" applyFont="1" applyFill="1" applyBorder="1" applyAlignment="1" applyProtection="1">
      <alignment horizontal="left" vertical="center" wrapText="1" indent="1"/>
      <protection locked="0"/>
    </xf>
    <xf numFmtId="0" fontId="10" fillId="29" borderId="1" xfId="5" applyFont="1" applyFill="1" applyBorder="1" applyAlignment="1" applyProtection="1">
      <alignment horizontal="left" vertical="center"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0" borderId="9" xfId="0" applyFont="1" applyBorder="1" applyAlignment="1">
      <alignment horizontal="left" vertical="center" indent="1"/>
    </xf>
    <xf numFmtId="0" fontId="10" fillId="29" borderId="7" xfId="5" applyFont="1" applyFill="1" applyBorder="1" applyAlignment="1" applyProtection="1">
      <alignment horizontal="left" vertical="center" indent="1"/>
      <protection locked="0"/>
    </xf>
    <xf numFmtId="0" fontId="10" fillId="29" borderId="9" xfId="5" applyFont="1" applyFill="1" applyBorder="1" applyAlignment="1" applyProtection="1">
      <alignment horizontal="left" vertical="center" indent="1"/>
      <protection locked="0"/>
    </xf>
    <xf numFmtId="0" fontId="10" fillId="29" borderId="8" xfId="5" applyFont="1" applyFill="1" applyBorder="1" applyAlignment="1" applyProtection="1">
      <alignment horizontal="left" vertical="center" indent="1"/>
      <protection locked="0"/>
    </xf>
    <xf numFmtId="0" fontId="10" fillId="29" borderId="7" xfId="5" applyFont="1" applyFill="1" applyBorder="1" applyAlignment="1">
      <alignment horizontal="left" vertical="center" wrapText="1" indent="1"/>
    </xf>
    <xf numFmtId="0" fontId="10" fillId="29" borderId="9" xfId="5" applyFont="1" applyFill="1" applyBorder="1" applyAlignment="1">
      <alignment horizontal="left" vertical="center" wrapText="1" indent="1"/>
    </xf>
    <xf numFmtId="0" fontId="10" fillId="29" borderId="8" xfId="5" applyFont="1" applyFill="1" applyBorder="1" applyAlignment="1">
      <alignment horizontal="left" vertical="center" wrapText="1" indent="1"/>
    </xf>
    <xf numFmtId="0" fontId="10" fillId="29" borderId="43" xfId="5" applyFont="1" applyFill="1" applyBorder="1" applyAlignment="1" applyProtection="1">
      <alignment horizontal="left" vertical="center" wrapText="1" indent="1"/>
      <protection locked="0"/>
    </xf>
    <xf numFmtId="0" fontId="10" fillId="29" borderId="44" xfId="5" applyFont="1" applyFill="1" applyBorder="1" applyAlignment="1" applyProtection="1">
      <alignment horizontal="left" vertical="center" wrapText="1" indent="1"/>
      <protection locked="0"/>
    </xf>
    <xf numFmtId="0" fontId="10" fillId="29" borderId="42" xfId="5" applyFont="1" applyFill="1" applyBorder="1" applyAlignment="1" applyProtection="1">
      <alignment horizontal="left" vertical="center" wrapText="1" indent="1"/>
      <protection locked="0"/>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10" fillId="25" borderId="10" xfId="5" applyFont="1" applyFill="1" applyBorder="1" applyAlignment="1">
      <alignment horizontal="left" vertical="center" indent="1"/>
    </xf>
    <xf numFmtId="0" fontId="10" fillId="25" borderId="12" xfId="5" applyFont="1" applyFill="1" applyBorder="1" applyAlignment="1">
      <alignment horizontal="left" vertical="center" indent="1"/>
    </xf>
    <xf numFmtId="0" fontId="10" fillId="25" borderId="11" xfId="5" applyFont="1" applyFill="1" applyBorder="1" applyAlignment="1">
      <alignment horizontal="left" vertical="center" indent="1"/>
    </xf>
    <xf numFmtId="0" fontId="10" fillId="29" borderId="48" xfId="5" applyFont="1" applyFill="1" applyBorder="1" applyAlignment="1">
      <alignment horizontal="left" vertical="center" wrapText="1" indent="1"/>
    </xf>
    <xf numFmtId="0" fontId="10" fillId="29" borderId="49" xfId="5" applyFont="1" applyFill="1" applyBorder="1" applyAlignment="1">
      <alignment horizontal="left" vertical="center" wrapText="1" indent="1"/>
    </xf>
    <xf numFmtId="0" fontId="10" fillId="29" borderId="50" xfId="5" applyFont="1" applyFill="1" applyBorder="1" applyAlignment="1">
      <alignment horizontal="left" vertical="center" wrapText="1" indent="1"/>
    </xf>
    <xf numFmtId="0" fontId="10" fillId="25" borderId="52" xfId="5" applyFont="1" applyFill="1" applyBorder="1" applyAlignment="1">
      <alignment horizontal="left" vertical="center" indent="1"/>
    </xf>
    <xf numFmtId="0" fontId="10" fillId="25" borderId="53" xfId="5" applyFont="1" applyFill="1" applyBorder="1" applyAlignment="1">
      <alignment horizontal="left" vertical="center" indent="1"/>
    </xf>
    <xf numFmtId="0" fontId="10" fillId="25" borderId="54" xfId="5" applyFont="1" applyFill="1" applyBorder="1" applyAlignment="1">
      <alignment horizontal="left" vertical="center" indent="1"/>
    </xf>
    <xf numFmtId="0" fontId="10" fillId="29" borderId="43" xfId="5" applyFont="1" applyFill="1" applyBorder="1" applyAlignment="1">
      <alignment horizontal="left" vertical="center" wrapText="1" indent="1"/>
    </xf>
    <xf numFmtId="0" fontId="10" fillId="29" borderId="44" xfId="5" applyFont="1" applyFill="1" applyBorder="1" applyAlignment="1">
      <alignment horizontal="left" vertical="center" wrapText="1" indent="1"/>
    </xf>
    <xf numFmtId="0" fontId="10" fillId="29" borderId="42" xfId="5" applyFont="1" applyFill="1" applyBorder="1" applyAlignment="1">
      <alignment horizontal="left" vertical="center" wrapText="1" indent="1"/>
    </xf>
    <xf numFmtId="0" fontId="14" fillId="29" borderId="7" xfId="0" applyFont="1" applyFill="1" applyBorder="1" applyAlignment="1">
      <alignment horizontal="left" vertical="center" indent="1"/>
    </xf>
    <xf numFmtId="0" fontId="14" fillId="29" borderId="9" xfId="0" applyFont="1" applyFill="1" applyBorder="1" applyAlignment="1">
      <alignment horizontal="left" vertical="center" indent="1"/>
    </xf>
    <xf numFmtId="0" fontId="14" fillId="29"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9" borderId="1" xfId="5" applyFont="1" applyFill="1" applyBorder="1" applyAlignment="1">
      <alignment horizontal="left" vertical="center" wrapText="1" indent="1"/>
    </xf>
    <xf numFmtId="0" fontId="10" fillId="29" borderId="1" xfId="5" applyFont="1" applyFill="1" applyBorder="1" applyAlignment="1">
      <alignment horizontal="left" vertical="center" indent="1"/>
    </xf>
    <xf numFmtId="0" fontId="20" fillId="29" borderId="7" xfId="5" applyFont="1" applyFill="1" applyBorder="1" applyAlignment="1">
      <alignment horizontal="left" vertical="center" wrapText="1" indent="1"/>
    </xf>
    <xf numFmtId="0" fontId="20" fillId="29" borderId="9" xfId="5" applyFont="1" applyFill="1" applyBorder="1" applyAlignment="1">
      <alignment horizontal="left" vertical="center" wrapText="1" indent="1"/>
    </xf>
    <xf numFmtId="0" fontId="20" fillId="29" borderId="8" xfId="5" applyFont="1" applyFill="1" applyBorder="1" applyAlignment="1">
      <alignment horizontal="left" vertical="center" wrapText="1" indent="1"/>
    </xf>
    <xf numFmtId="0" fontId="10" fillId="25" borderId="1"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24" borderId="14" xfId="0" applyFont="1" applyFill="1" applyBorder="1" applyAlignment="1">
      <alignment horizontal="left" vertical="center" wrapText="1" indent="1"/>
    </xf>
    <xf numFmtId="0" fontId="19" fillId="38" borderId="43" xfId="0" applyFont="1" applyFill="1" applyBorder="1" applyAlignment="1">
      <alignment horizontal="left" vertical="center" wrapText="1" indent="1"/>
    </xf>
    <xf numFmtId="0" fontId="19" fillId="38" borderId="44" xfId="0" applyFont="1" applyFill="1" applyBorder="1" applyAlignment="1">
      <alignment horizontal="left" vertical="center" wrapText="1" indent="1"/>
    </xf>
    <xf numFmtId="0" fontId="19" fillId="38" borderId="51"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9" fillId="38" borderId="14" xfId="0" applyFont="1" applyFill="1" applyBorder="1" applyAlignment="1">
      <alignment horizontal="left" vertical="center" indent="1"/>
    </xf>
    <xf numFmtId="0" fontId="15" fillId="0" borderId="9" xfId="0" applyFont="1" applyBorder="1" applyAlignment="1">
      <alignment horizontal="left" vertical="center" indent="1"/>
    </xf>
    <xf numFmtId="0" fontId="10" fillId="33" borderId="7"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4" fillId="33" borderId="0" xfId="0" applyFont="1" applyFill="1" applyAlignment="1">
      <alignment horizontal="left" vertical="center" indent="1"/>
    </xf>
    <xf numFmtId="0" fontId="20" fillId="4" borderId="7" xfId="5" applyFont="1" applyBorder="1" applyAlignment="1">
      <alignment horizontal="left" vertical="center" indent="1"/>
    </xf>
    <xf numFmtId="0" fontId="20" fillId="4" borderId="8"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4" borderId="2" xfId="5" applyFont="1" applyBorder="1" applyAlignment="1">
      <alignment horizontal="left" vertical="center" indent="1"/>
    </xf>
    <xf numFmtId="0" fontId="20" fillId="4" borderId="3" xfId="5" applyFont="1" applyBorder="1" applyAlignment="1">
      <alignment horizontal="left" vertical="center" indent="1"/>
    </xf>
    <xf numFmtId="0" fontId="28" fillId="7" borderId="9" xfId="0" applyFont="1" applyFill="1" applyBorder="1" applyAlignment="1">
      <alignment horizontal="left" vertical="center" indent="1"/>
    </xf>
    <xf numFmtId="0" fontId="28"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0" fillId="4" borderId="1" xfId="5" applyFont="1" applyBorder="1" applyAlignment="1">
      <alignment horizontal="left" vertical="center" indent="1"/>
    </xf>
    <xf numFmtId="0" fontId="28" fillId="13" borderId="7" xfId="0" applyFont="1" applyFill="1" applyBorder="1" applyAlignment="1">
      <alignment horizontal="left" vertical="center" indent="1"/>
    </xf>
    <xf numFmtId="0" fontId="28" fillId="13" borderId="9" xfId="0" applyFont="1" applyFill="1" applyBorder="1" applyAlignment="1">
      <alignment horizontal="left" vertical="center" indent="1"/>
    </xf>
    <xf numFmtId="0" fontId="20" fillId="4" borderId="9" xfId="5" applyFont="1" applyBorder="1" applyAlignment="1">
      <alignment horizontal="left" vertical="center" indent="1"/>
    </xf>
    <xf numFmtId="0" fontId="20" fillId="33" borderId="9" xfId="5"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33" borderId="7" xfId="6" applyFont="1" applyFill="1" applyBorder="1" applyAlignment="1">
      <alignment horizontal="left" vertical="center" indent="1"/>
    </xf>
    <xf numFmtId="0" fontId="20" fillId="33" borderId="8" xfId="6" applyFont="1" applyFill="1" applyBorder="1" applyAlignment="1">
      <alignment horizontal="left" vertical="center" indent="1"/>
    </xf>
    <xf numFmtId="0" fontId="28" fillId="7" borderId="0" xfId="0" applyFont="1" applyFill="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7" xfId="0" applyFont="1" applyBorder="1" applyAlignment="1">
      <alignment horizontal="left" vertical="center" indent="1"/>
    </xf>
    <xf numFmtId="0" fontId="9" fillId="0" borderId="14" xfId="0" applyFont="1" applyBorder="1" applyAlignment="1">
      <alignment horizontal="left" vertical="center" indent="1"/>
    </xf>
    <xf numFmtId="0" fontId="15" fillId="19"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0" fillId="14" borderId="7" xfId="1" applyFont="1" applyFill="1" applyBorder="1" applyAlignment="1">
      <alignment horizontal="left" vertical="center" wrapText="1" indent="1"/>
    </xf>
    <xf numFmtId="0" fontId="10" fillId="14" borderId="9" xfId="1" applyFont="1" applyFill="1" applyBorder="1" applyAlignment="1">
      <alignment horizontal="left" vertical="center" wrapText="1" indent="1"/>
    </xf>
    <xf numFmtId="0" fontId="10" fillId="14" borderId="8" xfId="1" applyFont="1" applyFill="1" applyBorder="1" applyAlignment="1">
      <alignment horizontal="left" vertical="center" wrapText="1" indent="1"/>
    </xf>
    <xf numFmtId="0" fontId="10" fillId="14" borderId="7" xfId="5" applyFont="1" applyFill="1" applyBorder="1" applyAlignment="1">
      <alignment horizontal="left" vertical="center" indent="1"/>
    </xf>
    <xf numFmtId="0" fontId="10" fillId="14" borderId="9" xfId="5" applyFont="1" applyFill="1" applyBorder="1" applyAlignment="1">
      <alignment horizontal="left" vertical="center" indent="1"/>
    </xf>
    <xf numFmtId="0" fontId="10" fillId="14" borderId="8" xfId="5" applyFont="1" applyFill="1" applyBorder="1" applyAlignment="1">
      <alignment horizontal="left" vertical="center" indent="1"/>
    </xf>
    <xf numFmtId="0" fontId="8" fillId="18" borderId="9" xfId="0" applyFont="1" applyFill="1" applyBorder="1" applyAlignment="1">
      <alignment horizontal="left" vertical="center" wrapText="1" indent="1"/>
    </xf>
    <xf numFmtId="0" fontId="43" fillId="29" borderId="7" xfId="0" applyFont="1" applyFill="1" applyBorder="1" applyAlignment="1">
      <alignment horizontal="left" vertical="center" indent="1"/>
    </xf>
    <xf numFmtId="0" fontId="43" fillId="29" borderId="9" xfId="0" applyFont="1" applyFill="1" applyBorder="1" applyAlignment="1">
      <alignment horizontal="left" vertical="center" indent="1"/>
    </xf>
    <xf numFmtId="0" fontId="43" fillId="29" borderId="8" xfId="0" applyFont="1" applyFill="1" applyBorder="1" applyAlignment="1">
      <alignment horizontal="left" vertical="center" indent="1"/>
    </xf>
    <xf numFmtId="0" fontId="10" fillId="45" borderId="7" xfId="0" applyFont="1" applyFill="1" applyBorder="1" applyAlignment="1">
      <alignment horizontal="left" vertical="center" indent="1"/>
    </xf>
    <xf numFmtId="0" fontId="10" fillId="45" borderId="9" xfId="0" applyFont="1" applyFill="1" applyBorder="1" applyAlignment="1">
      <alignment horizontal="left" vertical="center" indent="1"/>
    </xf>
    <xf numFmtId="0" fontId="10" fillId="45" borderId="8" xfId="0" applyFont="1" applyFill="1" applyBorder="1" applyAlignment="1">
      <alignment horizontal="left" vertical="center" indent="1"/>
    </xf>
    <xf numFmtId="0" fontId="19" fillId="38" borderId="8" xfId="0" applyFont="1" applyFill="1" applyBorder="1" applyAlignment="1">
      <alignment horizontal="left" vertical="center" indent="1"/>
    </xf>
    <xf numFmtId="0" fontId="19" fillId="53" borderId="7" xfId="0" applyFont="1" applyFill="1" applyBorder="1" applyAlignment="1">
      <alignment horizontal="left" vertical="center" wrapText="1" indent="1"/>
    </xf>
    <xf numFmtId="0" fontId="19" fillId="53" borderId="9" xfId="0" applyFont="1" applyFill="1" applyBorder="1" applyAlignment="1">
      <alignment horizontal="left" vertical="center" wrapText="1" indent="1"/>
    </xf>
    <xf numFmtId="0" fontId="19" fillId="53" borderId="14" xfId="0" applyFont="1" applyFill="1" applyBorder="1" applyAlignment="1">
      <alignment horizontal="left" vertical="center" wrapText="1" indent="1"/>
    </xf>
    <xf numFmtId="0" fontId="10" fillId="25" borderId="7" xfId="0" applyFont="1" applyFill="1" applyBorder="1" applyAlignment="1">
      <alignment horizontal="left" vertical="center" wrapText="1" indent="1"/>
    </xf>
    <xf numFmtId="0" fontId="10" fillId="25" borderId="9" xfId="0" applyFont="1" applyFill="1" applyBorder="1" applyAlignment="1">
      <alignment horizontal="left" vertical="center" wrapText="1" indent="1"/>
    </xf>
    <xf numFmtId="0" fontId="10" fillId="25" borderId="8" xfId="0" applyFont="1" applyFill="1" applyBorder="1" applyAlignment="1">
      <alignment horizontal="left" vertical="center" wrapText="1" indent="1"/>
    </xf>
    <xf numFmtId="0" fontId="19" fillId="24" borderId="8" xfId="0" applyFont="1" applyFill="1" applyBorder="1" applyAlignment="1">
      <alignment horizontal="left" vertical="center" indent="1"/>
    </xf>
    <xf numFmtId="0" fontId="52" fillId="38" borderId="7" xfId="0" applyFont="1" applyFill="1" applyBorder="1" applyAlignment="1">
      <alignment horizontal="left" vertical="center" indent="1"/>
    </xf>
    <xf numFmtId="0" fontId="52" fillId="38" borderId="9" xfId="0" applyFont="1" applyFill="1" applyBorder="1" applyAlignment="1">
      <alignment horizontal="left" vertical="center" indent="1"/>
    </xf>
    <xf numFmtId="0" fontId="52"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8" fillId="18" borderId="7" xfId="0" quotePrefix="1" applyFont="1" applyFill="1" applyBorder="1" applyAlignment="1">
      <alignment horizontal="left" vertical="center" indent="1"/>
    </xf>
    <xf numFmtId="0" fontId="8" fillId="18" borderId="8" xfId="0" applyFont="1" applyFill="1" applyBorder="1" applyAlignment="1">
      <alignment horizontal="left" vertical="center" indent="1"/>
    </xf>
    <xf numFmtId="0" fontId="8" fillId="18" borderId="7" xfId="0" applyFont="1" applyFill="1" applyBorder="1" applyAlignment="1">
      <alignment horizontal="left" vertical="center" indent="1"/>
    </xf>
    <xf numFmtId="0" fontId="8" fillId="18" borderId="9" xfId="0" applyFont="1" applyFill="1" applyBorder="1" applyAlignment="1">
      <alignment horizontal="left" vertical="center" indent="1"/>
    </xf>
    <xf numFmtId="0" fontId="8" fillId="18" borderId="7" xfId="0" quotePrefix="1" applyFont="1" applyFill="1" applyBorder="1" applyAlignment="1">
      <alignment horizontal="left" vertical="top" wrapText="1" indent="1"/>
    </xf>
    <xf numFmtId="0" fontId="8" fillId="18" borderId="8" xfId="0" applyFont="1" applyFill="1" applyBorder="1" applyAlignment="1">
      <alignment horizontal="left" vertical="top" indent="1"/>
    </xf>
    <xf numFmtId="0" fontId="8" fillId="18" borderId="7" xfId="0" quotePrefix="1" applyFont="1" applyFill="1" applyBorder="1" applyAlignment="1">
      <alignment horizontal="left" vertical="center" wrapText="1" indent="1"/>
    </xf>
    <xf numFmtId="0" fontId="45" fillId="29" borderId="7" xfId="0" applyFont="1" applyFill="1" applyBorder="1" applyAlignment="1">
      <alignment horizontal="left" vertical="center" indent="1"/>
    </xf>
    <xf numFmtId="0" fontId="45" fillId="29" borderId="9" xfId="0" applyFont="1" applyFill="1" applyBorder="1" applyAlignment="1">
      <alignment horizontal="left" vertical="center" indent="1"/>
    </xf>
    <xf numFmtId="0" fontId="45" fillId="29" borderId="8" xfId="0" applyFont="1" applyFill="1" applyBorder="1" applyAlignment="1">
      <alignment horizontal="left" vertical="center" indent="1"/>
    </xf>
    <xf numFmtId="0" fontId="10" fillId="45" borderId="7" xfId="5" applyFont="1" applyFill="1" applyBorder="1" applyAlignment="1">
      <alignment horizontal="left" vertical="center" indent="1"/>
    </xf>
    <xf numFmtId="0" fontId="10" fillId="45" borderId="9" xfId="5" applyFont="1" applyFill="1" applyBorder="1" applyAlignment="1">
      <alignment horizontal="left" vertical="center" indent="1"/>
    </xf>
    <xf numFmtId="0" fontId="10" fillId="45" borderId="8" xfId="5" applyFont="1" applyFill="1" applyBorder="1" applyAlignment="1">
      <alignment horizontal="left" vertical="center" indent="1"/>
    </xf>
    <xf numFmtId="0" fontId="20" fillId="46" borderId="1" xfId="6" applyFont="1" applyFill="1" applyBorder="1" applyAlignment="1">
      <alignment horizontal="left" vertical="center" indent="1"/>
    </xf>
    <xf numFmtId="0" fontId="46" fillId="38" borderId="7" xfId="0" applyFont="1" applyFill="1" applyBorder="1" applyAlignment="1">
      <alignment horizontal="left" vertical="center" indent="1"/>
    </xf>
    <xf numFmtId="0" fontId="46" fillId="38" borderId="9" xfId="0" applyFont="1" applyFill="1" applyBorder="1" applyAlignment="1">
      <alignment horizontal="left" vertical="center" indent="1"/>
    </xf>
    <xf numFmtId="0" fontId="20" fillId="29" borderId="1" xfId="0" applyFont="1" applyFill="1" applyBorder="1" applyAlignment="1">
      <alignment horizontal="left" vertical="center" indent="1"/>
    </xf>
    <xf numFmtId="0" fontId="8" fillId="29" borderId="1" xfId="0" applyFont="1" applyFill="1" applyBorder="1" applyAlignment="1">
      <alignment horizontal="left" vertical="center" indent="1"/>
    </xf>
    <xf numFmtId="0" fontId="20" fillId="46" borderId="7" xfId="6" applyFont="1" applyFill="1" applyBorder="1" applyAlignment="1">
      <alignment horizontal="left" vertical="center" indent="1"/>
    </xf>
    <xf numFmtId="0" fontId="20" fillId="46" borderId="9" xfId="6" applyFont="1" applyFill="1" applyBorder="1" applyAlignment="1">
      <alignment horizontal="left" vertical="center" indent="1"/>
    </xf>
    <xf numFmtId="0" fontId="20" fillId="46" borderId="8" xfId="6" applyFont="1" applyFill="1" applyBorder="1" applyAlignment="1">
      <alignment horizontal="left" vertical="center" indent="1"/>
    </xf>
    <xf numFmtId="0" fontId="19" fillId="9" borderId="7" xfId="0" applyFont="1" applyFill="1" applyBorder="1" applyAlignment="1">
      <alignment horizontal="left" vertical="center" indent="1"/>
    </xf>
    <xf numFmtId="0" fontId="38" fillId="38" borderId="7" xfId="0" applyFont="1" applyFill="1" applyBorder="1" applyAlignment="1">
      <alignment horizontal="left" vertical="center" wrapText="1" indent="1"/>
    </xf>
    <xf numFmtId="0" fontId="10" fillId="10" borderId="7" xfId="6" applyFont="1" applyFill="1" applyBorder="1" applyAlignment="1">
      <alignment horizontal="left" vertical="center" indent="1"/>
    </xf>
    <xf numFmtId="0" fontId="10" fillId="10" borderId="1" xfId="6" applyFont="1" applyFill="1" applyBorder="1" applyAlignment="1">
      <alignment horizontal="left" vertical="center" indent="1"/>
    </xf>
    <xf numFmtId="0" fontId="8" fillId="31" borderId="7" xfId="0" applyFont="1" applyFill="1" applyBorder="1" applyAlignment="1">
      <alignment horizontal="left" vertical="center" indent="1"/>
    </xf>
    <xf numFmtId="0" fontId="8" fillId="31" borderId="8" xfId="0" applyFont="1" applyFill="1" applyBorder="1" applyAlignment="1">
      <alignment horizontal="left" vertical="center" indent="1"/>
    </xf>
    <xf numFmtId="0" fontId="11" fillId="25" borderId="7" xfId="1" applyFont="1" applyFill="1" applyBorder="1" applyAlignment="1">
      <alignment horizontal="left" vertical="center" wrapText="1" indent="1"/>
    </xf>
    <xf numFmtId="0" fontId="11" fillId="25" borderId="8" xfId="1" applyFont="1" applyFill="1" applyBorder="1" applyAlignment="1">
      <alignment horizontal="left" vertical="center" wrapText="1" indent="1"/>
    </xf>
    <xf numFmtId="0" fontId="11" fillId="25" borderId="7" xfId="3" applyFont="1" applyFill="1" applyBorder="1" applyAlignment="1">
      <alignment horizontal="left" vertical="center" wrapText="1" indent="1"/>
    </xf>
    <xf numFmtId="0" fontId="8" fillId="25" borderId="8" xfId="0" applyFont="1" applyFill="1" applyBorder="1" applyAlignment="1">
      <alignment horizontal="left" vertical="center" wrapText="1" indent="1"/>
    </xf>
    <xf numFmtId="0" fontId="19" fillId="9" borderId="1" xfId="0" applyFont="1" applyFill="1" applyBorder="1" applyAlignment="1">
      <alignment horizontal="left" vertical="center" indent="1"/>
    </xf>
    <xf numFmtId="0" fontId="38" fillId="38" borderId="1" xfId="0" applyFont="1" applyFill="1" applyBorder="1" applyAlignment="1">
      <alignment horizontal="left" vertical="center" wrapText="1" indent="1"/>
    </xf>
    <xf numFmtId="0" fontId="46" fillId="38" borderId="8" xfId="0" applyFont="1" applyFill="1" applyBorder="1" applyAlignment="1">
      <alignment horizontal="left" vertical="center" indent="1"/>
    </xf>
    <xf numFmtId="0" fontId="11" fillId="18" borderId="7" xfId="1" applyFont="1" applyFill="1" applyBorder="1" applyAlignment="1">
      <alignment horizontal="left" vertical="center" wrapText="1" indent="1"/>
    </xf>
    <xf numFmtId="0" fontId="11" fillId="18" borderId="9" xfId="1" applyFont="1" applyFill="1" applyBorder="1" applyAlignment="1">
      <alignment horizontal="left" vertical="center" wrapText="1" indent="1"/>
    </xf>
    <xf numFmtId="0" fontId="11" fillId="18" borderId="8" xfId="1" applyFont="1" applyFill="1" applyBorder="1" applyAlignment="1">
      <alignment horizontal="left" vertical="center" wrapText="1" indent="1"/>
    </xf>
    <xf numFmtId="0" fontId="8" fillId="6" borderId="7" xfId="0" applyFont="1" applyFill="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10" fillId="10" borderId="1" xfId="5" applyFont="1" applyFill="1" applyBorder="1" applyAlignment="1">
      <alignment horizontal="left" vertical="center" indent="1"/>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630">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505E69"/>
      </font>
      <fill>
        <patternFill>
          <bgColor rgb="FF505E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rgb="FFFFBE29"/>
        </patternFill>
      </fill>
    </dxf>
    <dxf>
      <font>
        <color theme="1"/>
      </font>
      <fill>
        <patternFill>
          <bgColor rgb="FFEFFDE3"/>
        </patternFill>
      </fill>
    </dxf>
    <dxf>
      <fill>
        <patternFill>
          <bgColor rgb="FFF9CBAD"/>
        </patternFill>
      </fill>
    </dxf>
    <dxf>
      <font>
        <color rgb="FF4F5F69"/>
      </font>
      <fill>
        <patternFill>
          <bgColor rgb="FF4F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ill>
        <patternFill>
          <bgColor rgb="FFEFFDE3"/>
        </patternFill>
      </fill>
    </dxf>
    <dxf>
      <font>
        <color auto="1"/>
      </font>
      <fill>
        <patternFill>
          <bgColor rgb="FFF9CBAD"/>
        </patternFill>
      </fill>
    </dxf>
    <dxf>
      <font>
        <color rgb="FF506069"/>
      </font>
      <fill>
        <patternFill>
          <bgColor rgb="FF506069"/>
        </patternFill>
      </fill>
    </dxf>
    <dxf>
      <font>
        <color theme="0"/>
      </font>
      <fill>
        <patternFill>
          <bgColor rgb="FF505F69"/>
        </patternFill>
      </fill>
    </dxf>
    <dxf>
      <font>
        <color theme="0"/>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505F6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5F6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506069"/>
        </patternFill>
      </fill>
    </dxf>
    <dxf>
      <font>
        <color theme="1"/>
      </font>
      <fill>
        <patternFill>
          <bgColor rgb="FFF9CBAD"/>
        </patternFill>
      </fill>
    </dxf>
    <dxf>
      <font>
        <color theme="1"/>
      </font>
      <fill>
        <patternFill>
          <bgColor rgb="FFFFBE29"/>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FFC000"/>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theme="5" tint="0.59996337778862885"/>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EFFDE3"/>
        </patternFill>
      </fill>
    </dxf>
    <dxf>
      <font>
        <color theme="0"/>
      </font>
      <fill>
        <patternFill>
          <bgColor rgb="FF506069"/>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rgb="FF006100"/>
      </font>
      <fill>
        <patternFill>
          <bgColor rgb="FFC6EFCE"/>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ill>
        <patternFill>
          <bgColor theme="9"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theme="1"/>
      </font>
      <fill>
        <patternFill>
          <bgColor rgb="FFF9CBAD"/>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E223A"/>
      </font>
      <fill>
        <patternFill>
          <bgColor rgb="FFFFBE29"/>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ont>
        <color rgb="FF0E223A"/>
      </font>
      <fill>
        <patternFill>
          <bgColor rgb="FFFFBE2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0"/>
      </font>
      <fill>
        <patternFill>
          <bgColor rgb="FF4F5F69"/>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9C0006"/>
      </font>
      <fill>
        <patternFill>
          <bgColor rgb="FFFFC7CE"/>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theme="1"/>
      </font>
      <fill>
        <patternFill>
          <bgColor rgb="FFEFFDE3"/>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505E69"/>
      </font>
      <fill>
        <patternFill>
          <bgColor rgb="FF505E69"/>
        </patternFill>
      </fill>
    </dxf>
    <dxf>
      <font>
        <color rgb="FF505E69"/>
      </font>
      <fill>
        <patternFill>
          <bgColor rgb="FF505E69"/>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E223A"/>
      </font>
      <fill>
        <patternFill>
          <bgColor rgb="FFFFBE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theme="1"/>
      </font>
      <fill>
        <patternFill>
          <bgColor theme="1" tint="0.24994659260841701"/>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rgb="FF506069"/>
      </font>
      <fill>
        <patternFill>
          <bgColor rgb="FF50606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4F5F69"/>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ill>
        <patternFill>
          <bgColor rgb="FFF9CBAD"/>
        </patternFill>
      </fill>
    </dxf>
    <dxf>
      <font>
        <color rgb="FF4F5F69"/>
      </font>
      <fill>
        <patternFill>
          <bgColor rgb="FF4F5F69"/>
        </patternFill>
      </fill>
    </dxf>
    <dxf>
      <fill>
        <patternFill>
          <bgColor rgb="FFFFBE29"/>
        </patternFill>
      </fill>
    </dxf>
    <dxf>
      <fill>
        <patternFill>
          <bgColor rgb="FFEFFEE3"/>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4F5F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rgb="FF505F69"/>
      </font>
      <fill>
        <patternFill>
          <bgColor rgb="FF505F69"/>
        </patternFill>
      </fill>
    </dxf>
    <dxf>
      <font>
        <color theme="0"/>
      </font>
      <fill>
        <patternFill>
          <bgColor rgb="FFCC092F"/>
        </patternFill>
      </fill>
    </dxf>
    <dxf>
      <font>
        <color theme="0"/>
      </font>
      <fill>
        <patternFill>
          <bgColor rgb="FF505F69"/>
        </patternFill>
      </fill>
    </dxf>
    <dxf>
      <font>
        <color rgb="FF505F69"/>
      </font>
      <fill>
        <patternFill>
          <bgColor rgb="FF506069"/>
        </patternFill>
      </fill>
    </dxf>
    <dxf>
      <fill>
        <patternFill>
          <bgColor rgb="FFEFFDE3"/>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CC092F"/>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C00000"/>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ont>
        <color theme="0"/>
      </font>
      <fill>
        <patternFill>
          <bgColor rgb="FF4F5F69"/>
        </patternFill>
      </fill>
    </dxf>
    <dxf>
      <fill>
        <patternFill>
          <bgColor rgb="FFEFFDE3"/>
        </patternFill>
      </fill>
    </dxf>
    <dxf>
      <font>
        <color theme="1"/>
      </font>
      <fill>
        <patternFill>
          <bgColor theme="1" tint="0.24994659260841701"/>
        </patternFill>
      </fill>
    </dxf>
    <dxf>
      <fill>
        <patternFill>
          <bgColor theme="5" tint="0.59996337778862885"/>
        </patternFill>
      </fill>
    </dxf>
    <dxf>
      <font>
        <color theme="1"/>
      </font>
      <fill>
        <patternFill>
          <bgColor theme="1" tint="0.2499465926084170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theme="1"/>
      </font>
      <fill>
        <patternFill>
          <bgColor theme="1" tint="0.24994659260841701"/>
        </patternFill>
      </fill>
    </dxf>
    <dxf>
      <fill>
        <patternFill>
          <bgColor theme="1" tint="0.24994659260841701"/>
        </patternFill>
      </fill>
    </dxf>
    <dxf>
      <font>
        <color theme="1"/>
      </font>
      <fill>
        <patternFill>
          <bgColor theme="1" tint="0.24994659260841701"/>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ill>
        <patternFill>
          <bgColor rgb="FFFFBE29"/>
        </patternFill>
      </fill>
    </dxf>
    <dxf>
      <font>
        <color theme="1"/>
      </font>
      <fill>
        <patternFill>
          <bgColor rgb="FFFFBE29"/>
        </patternFill>
      </fill>
    </dxf>
    <dxf>
      <font>
        <color rgb="FFF2F8F9"/>
      </font>
      <fill>
        <patternFill>
          <bgColor rgb="FFC00000"/>
        </patternFill>
      </fill>
    </dxf>
    <dxf>
      <font>
        <color theme="1"/>
      </font>
      <fill>
        <patternFill>
          <bgColor rgb="FFFFBE29"/>
        </patternFill>
      </fill>
    </dxf>
    <dxf>
      <fill>
        <patternFill>
          <bgColor rgb="FFF9CBAD"/>
        </patternFill>
      </fill>
    </dxf>
    <dxf>
      <fill>
        <patternFill>
          <bgColor rgb="FFFFBE29"/>
        </patternFill>
      </fill>
    </dxf>
    <dxf>
      <fill>
        <patternFill>
          <bgColor rgb="FFEFFDE3"/>
        </patternFill>
      </fill>
    </dxf>
    <dxf>
      <font>
        <color rgb="FF0E223A"/>
      </font>
      <fill>
        <patternFill>
          <bgColor rgb="FFFFBE2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rgb="FF505F69"/>
      </font>
      <fill>
        <patternFill>
          <bgColor rgb="FF505F69"/>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506069"/>
      </font>
      <fill>
        <patternFill>
          <bgColor rgb="FF506069"/>
        </patternFill>
      </fill>
    </dxf>
    <dxf>
      <fill>
        <patternFill>
          <bgColor rgb="FFFFBE29"/>
        </patternFill>
      </fill>
    </dxf>
    <dxf>
      <fill>
        <patternFill>
          <bgColor rgb="FFF9CBAD"/>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ill>
        <patternFill>
          <bgColor rgb="FFF9CBAD"/>
        </patternFill>
      </fill>
    </dxf>
    <dxf>
      <font>
        <color rgb="FF506069"/>
      </font>
      <fill>
        <patternFill>
          <bgColor rgb="FF506069"/>
        </patternFill>
      </fill>
    </dxf>
    <dxf>
      <fill>
        <patternFill>
          <bgColor rgb="FFEFFDE3"/>
        </patternFill>
      </fill>
    </dxf>
    <dxf>
      <fill>
        <patternFill>
          <bgColor rgb="FFFFBE2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theme="1"/>
      </font>
      <fill>
        <patternFill>
          <bgColor rgb="FFEFFDE3"/>
        </patternFill>
      </fill>
    </dxf>
    <dxf>
      <font>
        <color auto="1"/>
      </font>
      <fill>
        <patternFill>
          <bgColor rgb="FFF9CBAD"/>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FFBE29"/>
        </patternFill>
      </fill>
    </dxf>
    <dxf>
      <fill>
        <patternFill>
          <bgColor rgb="FFF9CBAD"/>
        </patternFill>
      </fill>
    </dxf>
    <dxf>
      <font>
        <color theme="1"/>
      </font>
      <fill>
        <patternFill>
          <bgColor rgb="FFEFFEE3"/>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ill>
        <patternFill>
          <bgColor rgb="FFFFBE29"/>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4F5F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00000"/>
        </patternFill>
      </fill>
    </dxf>
    <dxf>
      <font>
        <color theme="0"/>
      </font>
      <fill>
        <patternFill>
          <bgColor rgb="FF505F69"/>
        </patternFill>
      </fill>
    </dxf>
    <dxf>
      <font>
        <color rgb="FF0E223A"/>
      </font>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F69"/>
      </font>
      <fill>
        <patternFill>
          <bgColor rgb="FF505F69"/>
        </patternFill>
      </fill>
    </dxf>
    <dxf>
      <font>
        <color theme="0"/>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rgb="FF0E223A"/>
      </font>
      <fill>
        <patternFill>
          <bgColor rgb="FFEFFE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1"/>
      </font>
      <fill>
        <patternFill>
          <bgColor rgb="FFEFFEE3"/>
        </patternFill>
      </fill>
    </dxf>
    <dxf>
      <font>
        <color theme="0"/>
      </font>
      <fill>
        <patternFill>
          <bgColor rgb="FFC00000"/>
        </patternFill>
      </fill>
    </dxf>
    <dxf>
      <font>
        <color theme="1"/>
      </font>
      <fill>
        <patternFill>
          <bgColor theme="1" tint="0.24994659260841701"/>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rgb="FF505F69"/>
      </font>
      <fill>
        <patternFill>
          <bgColor rgb="FF505F69"/>
        </patternFill>
      </fill>
    </dxf>
    <dxf>
      <font>
        <color rgb="FF506069"/>
      </font>
      <fill>
        <patternFill>
          <bgColor rgb="FF5060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9CBAD"/>
        </patternFill>
      </fill>
    </dxf>
    <dxf>
      <font>
        <color rgb="FF0E223A"/>
      </font>
      <fill>
        <patternFill>
          <bgColor rgb="FFEFFEE3"/>
        </patternFill>
      </fill>
    </dxf>
    <dxf>
      <fill>
        <patternFill>
          <bgColor theme="5" tint="0.59996337778862885"/>
        </patternFill>
      </fill>
    </dxf>
    <dxf>
      <font>
        <color rgb="FF0E223A"/>
      </font>
      <fill>
        <patternFill>
          <bgColor rgb="FFEFFDE3"/>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82E"/>
        </patternFill>
      </fill>
    </dxf>
    <dxf>
      <font>
        <color theme="0"/>
      </font>
      <fill>
        <patternFill>
          <bgColor rgb="FF506069"/>
        </patternFill>
      </fill>
    </dxf>
    <dxf>
      <fill>
        <patternFill>
          <bgColor rgb="FFEFFDE3"/>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0E223A"/>
      </font>
      <fill>
        <patternFill>
          <bgColor rgb="FFEFFDE3"/>
        </patternFill>
      </fill>
    </dxf>
    <dxf>
      <font>
        <color theme="0"/>
      </font>
      <fill>
        <patternFill>
          <bgColor rgb="FFC00000"/>
        </patternFill>
      </fill>
    </dxf>
    <dxf>
      <font>
        <color theme="0"/>
      </font>
      <fill>
        <patternFill>
          <bgColor rgb="FFC00000"/>
        </patternFill>
      </fill>
    </dxf>
    <dxf>
      <font>
        <color theme="0"/>
      </font>
      <fill>
        <patternFill>
          <bgColor rgb="FFCC082E"/>
        </patternFill>
      </fill>
    </dxf>
    <dxf>
      <font>
        <color rgb="FF4F5F69"/>
      </font>
      <fill>
        <patternFill>
          <bgColor rgb="FF505E69"/>
        </patternFill>
      </fill>
    </dxf>
    <dxf>
      <font>
        <color rgb="FF506069"/>
      </font>
      <fill>
        <patternFill>
          <bgColor rgb="FF5060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rgb="FF505E69"/>
      </font>
      <fill>
        <patternFill>
          <bgColor rgb="FF505E69"/>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ill>
        <patternFill>
          <bgColor rgb="FFEFFDE3"/>
        </patternFill>
      </fill>
    </dxf>
    <dxf>
      <fill>
        <patternFill>
          <bgColor rgb="FFFFBE29"/>
        </patternFill>
      </fill>
    </dxf>
    <dxf>
      <font>
        <color rgb="FF505F69"/>
      </font>
      <fill>
        <patternFill>
          <bgColor rgb="FF505F69"/>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ill>
        <patternFill>
          <bgColor rgb="FFEFFDE3"/>
        </patternFill>
      </fill>
    </dxf>
    <dxf>
      <font>
        <color theme="0"/>
      </font>
      <fill>
        <patternFill>
          <fgColor theme="0" tint="-0.499984740745262"/>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0"/>
      </font>
      <fill>
        <patternFill>
          <bgColor rgb="FFC00000"/>
        </patternFill>
      </fill>
    </dxf>
    <dxf>
      <font>
        <color theme="0"/>
      </font>
      <fill>
        <patternFill>
          <bgColor rgb="FFC00000"/>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auto="1"/>
      </font>
      <fill>
        <patternFill>
          <bgColor rgb="FFF9CBAD"/>
        </patternFill>
      </fill>
    </dxf>
    <dxf>
      <font>
        <color rgb="FF4F5F69"/>
      </font>
      <fill>
        <patternFill>
          <bgColor rgb="FF4F5F69"/>
        </patternFill>
      </fill>
    </dxf>
    <dxf>
      <font>
        <color theme="0"/>
      </font>
      <fill>
        <patternFill>
          <bgColor rgb="FFCC082E"/>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5E69"/>
      </font>
      <fill>
        <patternFill>
          <bgColor rgb="FF4F5F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0E223A"/>
      </font>
      <fill>
        <patternFill>
          <bgColor rgb="FFEFFDE3"/>
        </patternFill>
      </fill>
    </dxf>
    <dxf>
      <font>
        <color theme="1"/>
      </font>
      <fill>
        <patternFill patternType="solid">
          <fgColor theme="0"/>
          <bgColor theme="0" tint="-0.24994659260841701"/>
        </patternFill>
      </fill>
    </dxf>
    <dxf>
      <font>
        <color rgb="FF0E223A"/>
      </font>
      <fill>
        <patternFill>
          <bgColor rgb="FFEFFDE3"/>
        </patternFill>
      </fill>
    </dxf>
    <dxf>
      <font>
        <color theme="1"/>
      </font>
      <fill>
        <patternFill>
          <bgColor rgb="FFEFFD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rgb="FF505F69"/>
      </font>
      <fill>
        <patternFill>
          <bgColor rgb="FF505F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4F5F69"/>
        </patternFill>
      </fill>
    </dxf>
    <dxf>
      <font>
        <color theme="0"/>
      </font>
      <fill>
        <patternFill>
          <bgColor rgb="FF506069"/>
        </patternFill>
      </fill>
    </dxf>
    <dxf>
      <font>
        <color theme="0"/>
      </font>
      <fill>
        <patternFill>
          <fgColor auto="1"/>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fgColor theme="0"/>
          <bgColor rgb="FF5060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ill>
        <patternFill>
          <bgColor rgb="FFEFFDE3"/>
        </patternFill>
      </fill>
    </dxf>
    <dxf>
      <fill>
        <patternFill>
          <bgColor rgb="FFEFFDE3"/>
        </patternFill>
      </fill>
    </dxf>
    <dxf>
      <font>
        <color theme="0"/>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92F"/>
        </patternFill>
      </fill>
    </dxf>
    <dxf>
      <font>
        <color theme="1"/>
      </font>
      <fill>
        <patternFill>
          <bgColor rgb="FFCC092F"/>
        </patternFill>
      </fill>
    </dxf>
    <dxf>
      <font>
        <color rgb="FF4F5F69"/>
      </font>
      <fill>
        <patternFill>
          <fgColor theme="1" tint="0.34998626667073579"/>
          <bgColor rgb="FF4F5F69"/>
        </patternFill>
      </fill>
    </dxf>
    <dxf>
      <font>
        <color theme="1"/>
      </font>
      <fill>
        <patternFill>
          <bgColor rgb="FFEFFEE3"/>
        </patternFill>
      </fill>
    </dxf>
    <dxf>
      <font>
        <color rgb="FF4F5F69"/>
      </font>
      <fill>
        <patternFill>
          <bgColor rgb="FF4F5F69"/>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ont>
        <color rgb="FF505F69"/>
      </font>
      <fill>
        <patternFill>
          <fgColor theme="1" tint="0.34998626667073579"/>
          <bgColor rgb="FF506069"/>
        </patternFill>
      </fill>
    </dxf>
    <dxf>
      <font>
        <color rgb="FF505F69"/>
      </font>
      <fill>
        <patternFill>
          <bgColor rgb="FF506069"/>
        </patternFill>
      </fill>
    </dxf>
    <dxf>
      <fill>
        <patternFill>
          <bgColor theme="5" tint="0.59996337778862885"/>
        </patternFill>
      </fill>
    </dxf>
    <dxf>
      <fill>
        <patternFill>
          <bgColor theme="5" tint="0.59996337778862885"/>
        </patternFill>
      </fill>
    </dxf>
    <dxf>
      <font>
        <color theme="0"/>
      </font>
      <fill>
        <patternFill>
          <bgColor rgb="FF505F69"/>
        </patternFill>
      </fill>
    </dxf>
    <dxf>
      <font>
        <color rgb="FFF2F8F9"/>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ill>
        <patternFill>
          <bgColor theme="5" tint="0.59996337778862885"/>
        </patternFill>
      </fill>
    </dxf>
    <dxf>
      <font>
        <color theme="1"/>
      </font>
      <fill>
        <patternFill>
          <bgColor rgb="FFEFFDE3"/>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0"/>
      </font>
      <fill>
        <patternFill>
          <bgColor rgb="FFCC092F"/>
        </patternFill>
      </fill>
    </dxf>
    <dxf>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s>
  <tableStyles count="0" defaultTableStyle="TableStyleMedium2" defaultPivotStyle="PivotStyleLight16"/>
  <colors>
    <mruColors>
      <color rgb="FF4F5F69"/>
      <color rgb="FFCC082E"/>
      <color rgb="FF505F69"/>
      <color rgb="FFEFFEE3"/>
      <color rgb="FFF2F8F9"/>
      <color rgb="FFFFBE29"/>
      <color rgb="FFF9CBAD"/>
      <color rgb="FF0E223A"/>
      <color rgb="FF808080"/>
      <color rgb="FFEFFD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104775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333375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104775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0510E429-7CD3-414D-8A0C-A6256FBA6B07}"/>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0DE1058D-CE1F-7546-BBE1-6A8C15E20ED5}"/>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57F956BF-C783-1D4C-BCB8-EB0F04DC30E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74F9FC93-9A1E-1745-B6AA-735B90CC57A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F0C52B6F-34E7-8445-97E3-707FACA211FC}"/>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vmware.com/en/VMware-Cloud-Foundation/services/vcf-cross-cloud-mobility-v1/GUID-20440B6A-0805-4A73-88A9-DD431088791C.html" TargetMode="Externa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10.xml"/><Relationship Id="rId4" Type="http://schemas.openxmlformats.org/officeDocument/2006/relationships/hyperlink" Target="mailto:administrator@vsphere.local"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mailto:svc-cbo-vsphere@sfo.rainpole.io"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6"/>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63.83203125" style="2" customWidth="1"/>
    <col min="3" max="3" width="54.83203125" style="10" customWidth="1"/>
    <col min="4" max="4" width="65.83203125" style="3" customWidth="1"/>
    <col min="5" max="5" width="99.5" style="3" customWidth="1"/>
    <col min="6" max="14" width="10.83203125" style="2" customWidth="1"/>
    <col min="15" max="16384" width="10.83203125" style="2"/>
  </cols>
  <sheetData>
    <row r="1" spans="1:7" ht="16" customHeight="1" x14ac:dyDescent="0.2">
      <c r="A1" s="1"/>
      <c r="C1" s="2"/>
      <c r="D1" s="2"/>
      <c r="E1" s="2"/>
    </row>
    <row r="2" spans="1:7" ht="54" customHeight="1" x14ac:dyDescent="0.2">
      <c r="B2" s="419" t="s">
        <v>3687</v>
      </c>
      <c r="C2" s="419"/>
      <c r="D2" s="419"/>
      <c r="E2" s="419"/>
      <c r="F2" s="200"/>
      <c r="G2" s="200"/>
    </row>
    <row r="3" spans="1:7" ht="20" customHeight="1" x14ac:dyDescent="0.2">
      <c r="B3" s="339" t="s">
        <v>3688</v>
      </c>
      <c r="C3" s="420"/>
      <c r="D3" s="420"/>
      <c r="E3" s="420"/>
      <c r="F3" s="15"/>
      <c r="G3" s="15"/>
    </row>
    <row r="6" spans="1:7" s="104" customFormat="1" ht="34" customHeight="1" x14ac:dyDescent="0.2">
      <c r="B6" s="414" t="s">
        <v>3689</v>
      </c>
      <c r="C6" s="414"/>
      <c r="D6" s="414"/>
      <c r="E6" s="414"/>
    </row>
    <row r="7" spans="1:7" ht="20" customHeight="1" x14ac:dyDescent="0.2">
      <c r="B7" s="336" t="s">
        <v>3690</v>
      </c>
      <c r="C7" s="246" t="s">
        <v>3691</v>
      </c>
      <c r="D7" s="415" t="s">
        <v>20</v>
      </c>
      <c r="E7" s="415"/>
    </row>
    <row r="8" spans="1:7" ht="85" x14ac:dyDescent="0.2">
      <c r="B8" s="337" t="s">
        <v>3692</v>
      </c>
      <c r="C8" s="334" t="s">
        <v>3693</v>
      </c>
      <c r="D8" s="405" t="s">
        <v>3694</v>
      </c>
      <c r="E8" s="406"/>
    </row>
    <row r="9" spans="1:7" ht="20" customHeight="1" x14ac:dyDescent="0.2">
      <c r="B9" s="337" t="s">
        <v>2508</v>
      </c>
      <c r="C9" s="197" t="s">
        <v>3695</v>
      </c>
      <c r="D9" s="405" t="s">
        <v>2493</v>
      </c>
      <c r="E9" s="406"/>
    </row>
    <row r="10" spans="1:7" ht="50" customHeight="1" x14ac:dyDescent="0.2">
      <c r="B10" s="337" t="s">
        <v>3696</v>
      </c>
      <c r="C10" s="197" t="s">
        <v>3695</v>
      </c>
      <c r="D10" s="405" t="s">
        <v>3697</v>
      </c>
      <c r="E10" s="406"/>
    </row>
    <row r="11" spans="1:7" ht="50" customHeight="1" x14ac:dyDescent="0.2">
      <c r="B11" s="337" t="s">
        <v>3698</v>
      </c>
      <c r="C11" s="197" t="s">
        <v>3699</v>
      </c>
      <c r="D11" s="405" t="s">
        <v>3700</v>
      </c>
      <c r="E11" s="406"/>
    </row>
    <row r="12" spans="1:7" ht="96" customHeight="1" x14ac:dyDescent="0.2">
      <c r="B12" s="337" t="s">
        <v>3701</v>
      </c>
      <c r="C12" s="197" t="s">
        <v>3695</v>
      </c>
      <c r="D12" s="404" t="s">
        <v>3702</v>
      </c>
      <c r="E12" s="404"/>
    </row>
    <row r="13" spans="1:7" ht="90" customHeight="1" x14ac:dyDescent="0.2">
      <c r="B13" s="337" t="s">
        <v>3703</v>
      </c>
      <c r="C13" s="197" t="s">
        <v>3695</v>
      </c>
      <c r="D13" s="404" t="s">
        <v>3704</v>
      </c>
      <c r="E13" s="404"/>
    </row>
    <row r="14" spans="1:7" ht="90" customHeight="1" x14ac:dyDescent="0.2">
      <c r="B14" s="337" t="s">
        <v>3705</v>
      </c>
      <c r="C14" s="197" t="s">
        <v>3695</v>
      </c>
      <c r="D14" s="407" t="s">
        <v>3706</v>
      </c>
      <c r="E14" s="408"/>
    </row>
    <row r="15" spans="1:7" ht="34" x14ac:dyDescent="0.2">
      <c r="B15" s="337" t="s">
        <v>3707</v>
      </c>
      <c r="C15" s="197" t="s">
        <v>3695</v>
      </c>
      <c r="D15" s="332" t="s">
        <v>3708</v>
      </c>
      <c r="E15" s="333"/>
    </row>
    <row r="16" spans="1:7" ht="34" x14ac:dyDescent="0.2">
      <c r="B16" s="337" t="s">
        <v>3709</v>
      </c>
      <c r="C16" s="197" t="s">
        <v>3695</v>
      </c>
      <c r="D16" s="332" t="s">
        <v>3708</v>
      </c>
      <c r="E16" s="333"/>
    </row>
    <row r="17" spans="2:5" ht="34" x14ac:dyDescent="0.2">
      <c r="B17" s="337" t="s">
        <v>3710</v>
      </c>
      <c r="C17" s="334" t="s">
        <v>3711</v>
      </c>
      <c r="D17" s="421" t="s">
        <v>3712</v>
      </c>
      <c r="E17" s="421"/>
    </row>
    <row r="19" spans="2:5" s="104" customFormat="1" ht="34" customHeight="1" x14ac:dyDescent="0.2">
      <c r="B19" s="414" t="s">
        <v>3713</v>
      </c>
      <c r="C19" s="414"/>
      <c r="D19" s="414"/>
      <c r="E19" s="414"/>
    </row>
    <row r="20" spans="2:5" ht="20" customHeight="1" x14ac:dyDescent="0.2">
      <c r="B20" s="336" t="s">
        <v>3690</v>
      </c>
      <c r="C20" s="246" t="s">
        <v>3691</v>
      </c>
      <c r="D20" s="415" t="s">
        <v>20</v>
      </c>
      <c r="E20" s="415"/>
    </row>
    <row r="21" spans="2:5" ht="20" customHeight="1" x14ac:dyDescent="0.2">
      <c r="B21" s="337" t="s">
        <v>858</v>
      </c>
      <c r="C21" s="197" t="s">
        <v>3714</v>
      </c>
      <c r="D21" s="409" t="s">
        <v>3715</v>
      </c>
      <c r="E21" s="410"/>
    </row>
    <row r="22" spans="2:5" ht="20" customHeight="1" x14ac:dyDescent="0.2">
      <c r="B22" s="337" t="s">
        <v>2508</v>
      </c>
      <c r="C22" s="197" t="s">
        <v>3699</v>
      </c>
      <c r="D22" s="411"/>
      <c r="E22" s="412"/>
    </row>
    <row r="23" spans="2:5" ht="20" customHeight="1" x14ac:dyDescent="0.2">
      <c r="B23" s="337" t="s">
        <v>3696</v>
      </c>
      <c r="C23" s="197" t="s">
        <v>3699</v>
      </c>
      <c r="D23" s="411"/>
      <c r="E23" s="412"/>
    </row>
    <row r="24" spans="2:5" ht="20" customHeight="1" x14ac:dyDescent="0.2">
      <c r="B24" s="337" t="s">
        <v>3698</v>
      </c>
      <c r="C24" s="197" t="s">
        <v>3699</v>
      </c>
      <c r="D24" s="411"/>
      <c r="E24" s="412"/>
    </row>
    <row r="25" spans="2:5" ht="20" customHeight="1" x14ac:dyDescent="0.2">
      <c r="B25" s="337" t="s">
        <v>3716</v>
      </c>
      <c r="C25" s="197" t="s">
        <v>3699</v>
      </c>
      <c r="D25" s="411"/>
      <c r="E25" s="412"/>
    </row>
    <row r="26" spans="2:5" ht="20" customHeight="1" x14ac:dyDescent="0.2">
      <c r="B26" s="337" t="s">
        <v>3717</v>
      </c>
      <c r="C26" s="197" t="s">
        <v>3699</v>
      </c>
      <c r="D26" s="411"/>
      <c r="E26" s="412"/>
    </row>
    <row r="27" spans="2:5" ht="20" customHeight="1" x14ac:dyDescent="0.2">
      <c r="B27" s="337" t="s">
        <v>3705</v>
      </c>
      <c r="C27" s="197" t="s">
        <v>3699</v>
      </c>
      <c r="D27" s="411"/>
      <c r="E27" s="412"/>
    </row>
    <row r="28" spans="2:5" ht="20" customHeight="1" x14ac:dyDescent="0.2">
      <c r="B28" s="337" t="s">
        <v>3707</v>
      </c>
      <c r="C28" s="197" t="s">
        <v>3699</v>
      </c>
      <c r="D28" s="411"/>
      <c r="E28" s="412"/>
    </row>
    <row r="29" spans="2:5" ht="20" customHeight="1" x14ac:dyDescent="0.2">
      <c r="B29" s="337" t="s">
        <v>3709</v>
      </c>
      <c r="C29" s="197" t="s">
        <v>3699</v>
      </c>
      <c r="D29" s="411"/>
      <c r="E29" s="412"/>
    </row>
    <row r="30" spans="2:5" ht="49" customHeight="1" x14ac:dyDescent="0.2">
      <c r="B30" s="337" t="s">
        <v>3710</v>
      </c>
      <c r="C30" s="334" t="s">
        <v>3711</v>
      </c>
      <c r="D30" s="404" t="s">
        <v>3718</v>
      </c>
      <c r="E30" s="404"/>
    </row>
    <row r="32" spans="2:5" s="104" customFormat="1" ht="34" customHeight="1" x14ac:dyDescent="0.2">
      <c r="B32" s="414" t="s">
        <v>3719</v>
      </c>
      <c r="C32" s="414"/>
      <c r="D32" s="414"/>
      <c r="E32" s="414"/>
    </row>
    <row r="33" spans="2:5" ht="20" customHeight="1" x14ac:dyDescent="0.2">
      <c r="B33" s="336" t="s">
        <v>17</v>
      </c>
      <c r="C33" s="336" t="s">
        <v>10</v>
      </c>
      <c r="D33" s="415" t="s">
        <v>20</v>
      </c>
      <c r="E33" s="415"/>
    </row>
    <row r="34" spans="2:5" ht="105" customHeight="1" x14ac:dyDescent="0.2">
      <c r="B34" s="416" t="s">
        <v>3720</v>
      </c>
      <c r="C34" s="337" t="s">
        <v>3721</v>
      </c>
      <c r="D34" s="404" t="s">
        <v>3722</v>
      </c>
      <c r="E34" s="416"/>
    </row>
    <row r="35" spans="2:5" ht="34" customHeight="1" x14ac:dyDescent="0.2">
      <c r="B35" s="416"/>
      <c r="C35" s="331" t="s">
        <v>3723</v>
      </c>
      <c r="D35" s="416" t="s">
        <v>3724</v>
      </c>
      <c r="E35" s="416"/>
    </row>
    <row r="36" spans="2:5" ht="20" customHeight="1" x14ac:dyDescent="0.2">
      <c r="B36" s="337"/>
      <c r="C36" s="331" t="s">
        <v>3725</v>
      </c>
      <c r="D36" s="404" t="s">
        <v>3726</v>
      </c>
      <c r="E36" s="404"/>
    </row>
    <row r="37" spans="2:5" ht="20" customHeight="1" x14ac:dyDescent="0.2">
      <c r="B37" s="337"/>
      <c r="C37" s="331" t="s">
        <v>3727</v>
      </c>
      <c r="D37" s="404" t="s">
        <v>3728</v>
      </c>
      <c r="E37" s="404"/>
    </row>
    <row r="38" spans="2:5" ht="120" customHeight="1" x14ac:dyDescent="0.2">
      <c r="B38" s="337"/>
      <c r="C38" s="331" t="s">
        <v>3729</v>
      </c>
      <c r="D38" s="404" t="s">
        <v>3730</v>
      </c>
      <c r="E38" s="416"/>
    </row>
    <row r="40" spans="2:5" s="104" customFormat="1" ht="34" customHeight="1" x14ac:dyDescent="0.2">
      <c r="B40" s="414" t="s">
        <v>3731</v>
      </c>
      <c r="C40" s="414"/>
      <c r="D40" s="414"/>
      <c r="E40" s="414"/>
    </row>
    <row r="41" spans="2:5" ht="20" customHeight="1" x14ac:dyDescent="0.2">
      <c r="B41" s="336" t="s">
        <v>3732</v>
      </c>
      <c r="C41" s="246" t="s">
        <v>3733</v>
      </c>
      <c r="D41" s="336" t="s">
        <v>3734</v>
      </c>
      <c r="E41" s="336" t="s">
        <v>20</v>
      </c>
    </row>
    <row r="42" spans="2:5" ht="17" x14ac:dyDescent="0.2">
      <c r="B42" s="337" t="s">
        <v>3735</v>
      </c>
      <c r="C42" s="197" t="s">
        <v>3736</v>
      </c>
      <c r="D42" s="331" t="s">
        <v>3737</v>
      </c>
      <c r="E42" s="331"/>
    </row>
    <row r="43" spans="2:5" ht="102" x14ac:dyDescent="0.2">
      <c r="B43" s="337" t="s">
        <v>3738</v>
      </c>
      <c r="C43" s="197" t="s">
        <v>3739</v>
      </c>
      <c r="D43" s="331" t="s">
        <v>3740</v>
      </c>
      <c r="E43" s="331" t="s">
        <v>3741</v>
      </c>
    </row>
    <row r="44" spans="2:5" ht="34" x14ac:dyDescent="0.2">
      <c r="B44" s="337" t="s">
        <v>3742</v>
      </c>
      <c r="C44" s="197" t="s">
        <v>3736</v>
      </c>
      <c r="D44" s="331" t="s">
        <v>3743</v>
      </c>
      <c r="E44" s="331" t="s">
        <v>3744</v>
      </c>
    </row>
    <row r="46" spans="2:5" ht="34" customHeight="1" x14ac:dyDescent="0.2">
      <c r="B46" s="414" t="s">
        <v>3745</v>
      </c>
      <c r="C46" s="414"/>
      <c r="D46" s="414"/>
      <c r="E46" s="414"/>
    </row>
    <row r="47" spans="2:5" ht="20" customHeight="1" x14ac:dyDescent="0.2">
      <c r="B47" s="336" t="s">
        <v>3732</v>
      </c>
      <c r="C47" s="246" t="s">
        <v>3746</v>
      </c>
      <c r="D47" s="336" t="s">
        <v>3747</v>
      </c>
      <c r="E47" s="336" t="s">
        <v>20</v>
      </c>
    </row>
    <row r="48" spans="2:5" ht="20" customHeight="1" x14ac:dyDescent="0.2">
      <c r="B48" s="337" t="s">
        <v>3748</v>
      </c>
      <c r="C48" s="337" t="s">
        <v>3749</v>
      </c>
      <c r="D48" s="337" t="s">
        <v>3750</v>
      </c>
      <c r="E48" s="337" t="s">
        <v>3751</v>
      </c>
    </row>
    <row r="50" spans="2:5" ht="34" customHeight="1" x14ac:dyDescent="0.2">
      <c r="B50" s="414" t="s">
        <v>3752</v>
      </c>
      <c r="C50" s="414"/>
      <c r="D50" s="414"/>
      <c r="E50" s="414"/>
    </row>
    <row r="51" spans="2:5" ht="20" customHeight="1" x14ac:dyDescent="0.2">
      <c r="B51" s="336" t="s">
        <v>3753</v>
      </c>
      <c r="C51" s="246" t="s">
        <v>3754</v>
      </c>
      <c r="D51" s="336" t="s">
        <v>59</v>
      </c>
      <c r="E51" s="336" t="s">
        <v>20</v>
      </c>
    </row>
    <row r="52" spans="2:5" ht="40" customHeight="1" x14ac:dyDescent="0.2">
      <c r="B52" s="337" t="s">
        <v>3755</v>
      </c>
      <c r="C52" s="272" t="s">
        <v>3756</v>
      </c>
      <c r="D52" s="272" t="s">
        <v>1625</v>
      </c>
      <c r="E52" s="273" t="s">
        <v>3757</v>
      </c>
    </row>
    <row r="53" spans="2:5" ht="40" customHeight="1" x14ac:dyDescent="0.2">
      <c r="B53" s="337" t="s">
        <v>3758</v>
      </c>
      <c r="C53" s="337"/>
      <c r="D53" s="337"/>
      <c r="E53" s="331" t="s">
        <v>3759</v>
      </c>
    </row>
    <row r="54" spans="2:5" ht="40" customHeight="1" x14ac:dyDescent="0.2">
      <c r="B54" s="337" t="s">
        <v>3760</v>
      </c>
      <c r="C54" s="337"/>
      <c r="D54" s="337"/>
      <c r="E54" s="331" t="s">
        <v>3761</v>
      </c>
    </row>
    <row r="55" spans="2:5" ht="20" customHeight="1" x14ac:dyDescent="0.2">
      <c r="B55" s="337" t="s">
        <v>3762</v>
      </c>
      <c r="C55" s="337"/>
      <c r="D55" s="337"/>
      <c r="E55" s="331" t="s">
        <v>3763</v>
      </c>
    </row>
    <row r="57" spans="2:5" s="104" customFormat="1" ht="34" customHeight="1" x14ac:dyDescent="0.2">
      <c r="B57" s="414" t="s">
        <v>3764</v>
      </c>
      <c r="C57" s="414"/>
      <c r="D57" s="414"/>
      <c r="E57" s="414"/>
    </row>
    <row r="58" spans="2:5" ht="20" customHeight="1" x14ac:dyDescent="0.2">
      <c r="B58" s="251" t="s">
        <v>17</v>
      </c>
      <c r="C58" s="417" t="s">
        <v>20</v>
      </c>
      <c r="D58" s="417"/>
      <c r="E58" s="417"/>
    </row>
    <row r="59" spans="2:5" ht="34" customHeight="1" x14ac:dyDescent="0.2">
      <c r="B59" s="337" t="s">
        <v>3765</v>
      </c>
      <c r="C59" s="418" t="s">
        <v>3766</v>
      </c>
      <c r="D59" s="418"/>
      <c r="E59" s="418"/>
    </row>
    <row r="61" spans="2:5" ht="34" customHeight="1" x14ac:dyDescent="0.2">
      <c r="B61" s="414" t="s">
        <v>1313</v>
      </c>
      <c r="C61" s="414"/>
      <c r="D61" s="414"/>
      <c r="E61" s="414"/>
    </row>
    <row r="62" spans="2:5" ht="20" customHeight="1" x14ac:dyDescent="0.2">
      <c r="B62" s="251" t="s">
        <v>17</v>
      </c>
      <c r="C62" s="338" t="s">
        <v>3754</v>
      </c>
      <c r="D62" s="338" t="s">
        <v>3767</v>
      </c>
      <c r="E62" s="338" t="s">
        <v>20</v>
      </c>
    </row>
    <row r="63" spans="2:5" ht="20" customHeight="1" x14ac:dyDescent="0.2">
      <c r="B63" s="337" t="s">
        <v>3768</v>
      </c>
      <c r="C63" s="337" t="s">
        <v>3769</v>
      </c>
      <c r="D63" s="337" t="s">
        <v>3770</v>
      </c>
      <c r="E63" s="331" t="s">
        <v>3771</v>
      </c>
    </row>
    <row r="64" spans="2:5" ht="69" customHeight="1" x14ac:dyDescent="0.2">
      <c r="B64" s="337"/>
      <c r="C64" s="337" t="s">
        <v>3772</v>
      </c>
      <c r="D64" s="337" t="s">
        <v>3773</v>
      </c>
      <c r="E64" s="331" t="s">
        <v>3774</v>
      </c>
    </row>
    <row r="65" spans="2:5" ht="20" customHeight="1" x14ac:dyDescent="0.2">
      <c r="B65" s="337" t="s">
        <v>3775</v>
      </c>
      <c r="C65" s="337" t="s">
        <v>3776</v>
      </c>
      <c r="D65" s="337"/>
      <c r="E65" s="331" t="s">
        <v>3777</v>
      </c>
    </row>
    <row r="67" spans="2:5" ht="34" customHeight="1" x14ac:dyDescent="0.2">
      <c r="B67" s="414" t="s">
        <v>1326</v>
      </c>
      <c r="C67" s="414"/>
      <c r="D67" s="414"/>
      <c r="E67" s="414"/>
    </row>
    <row r="68" spans="2:5" ht="20" customHeight="1" x14ac:dyDescent="0.2">
      <c r="B68" s="336" t="s">
        <v>17</v>
      </c>
      <c r="C68" s="336" t="s">
        <v>3778</v>
      </c>
      <c r="D68" s="415" t="s">
        <v>20</v>
      </c>
      <c r="E68" s="415"/>
    </row>
    <row r="69" spans="2:5" ht="77" customHeight="1" x14ac:dyDescent="0.2">
      <c r="B69" s="337" t="s">
        <v>3779</v>
      </c>
      <c r="C69" s="337"/>
      <c r="D69" s="404" t="s">
        <v>3780</v>
      </c>
      <c r="E69" s="404"/>
    </row>
    <row r="70" spans="2:5" ht="340" customHeight="1" x14ac:dyDescent="0.2">
      <c r="B70" s="337" t="s">
        <v>3781</v>
      </c>
      <c r="C70" s="331" t="s">
        <v>3782</v>
      </c>
      <c r="D70" s="404" t="s">
        <v>3783</v>
      </c>
      <c r="E70" s="404"/>
    </row>
    <row r="72" spans="2:5" s="104" customFormat="1" ht="34" customHeight="1" x14ac:dyDescent="0.2">
      <c r="B72" s="414" t="s">
        <v>3784</v>
      </c>
      <c r="C72" s="414"/>
      <c r="D72" s="414"/>
      <c r="E72" s="414"/>
    </row>
    <row r="73" spans="2:5" ht="20" customHeight="1" x14ac:dyDescent="0.2">
      <c r="B73" s="336" t="s">
        <v>17</v>
      </c>
      <c r="C73" s="415" t="s">
        <v>20</v>
      </c>
      <c r="D73" s="415"/>
      <c r="E73" s="415"/>
    </row>
    <row r="74" spans="2:5" ht="34" customHeight="1" x14ac:dyDescent="0.2">
      <c r="B74" s="337" t="s">
        <v>3785</v>
      </c>
      <c r="C74" s="413" t="s">
        <v>3786</v>
      </c>
      <c r="D74" s="413"/>
      <c r="E74" s="413"/>
    </row>
    <row r="76" spans="2:5" s="104" customFormat="1" ht="34" customHeight="1" x14ac:dyDescent="0.2">
      <c r="B76" s="414" t="s">
        <v>53</v>
      </c>
      <c r="C76" s="414"/>
      <c r="D76" s="414"/>
      <c r="E76" s="414"/>
    </row>
    <row r="77" spans="2:5" ht="20" customHeight="1" x14ac:dyDescent="0.2">
      <c r="B77" s="336" t="s">
        <v>17</v>
      </c>
      <c r="C77" s="415" t="s">
        <v>20</v>
      </c>
      <c r="D77" s="415"/>
      <c r="E77" s="415"/>
    </row>
    <row r="78" spans="2:5" ht="50" customHeight="1" x14ac:dyDescent="0.2">
      <c r="B78" s="337" t="s">
        <v>53</v>
      </c>
      <c r="C78" s="413" t="s">
        <v>3787</v>
      </c>
      <c r="D78" s="413"/>
      <c r="E78" s="413" t="s">
        <v>3788</v>
      </c>
    </row>
    <row r="80" spans="2:5" s="104" customFormat="1" ht="34" customHeight="1" x14ac:dyDescent="0.2">
      <c r="B80" s="414" t="s">
        <v>1878</v>
      </c>
      <c r="C80" s="414"/>
      <c r="D80" s="414"/>
      <c r="E80" s="414"/>
    </row>
    <row r="81" spans="2:5" ht="20" customHeight="1" x14ac:dyDescent="0.2">
      <c r="B81" s="336" t="s">
        <v>17</v>
      </c>
      <c r="C81" s="415" t="s">
        <v>20</v>
      </c>
      <c r="D81" s="415"/>
      <c r="E81" s="415"/>
    </row>
    <row r="82" spans="2:5" ht="34" customHeight="1" x14ac:dyDescent="0.2">
      <c r="B82" s="337" t="s">
        <v>1878</v>
      </c>
      <c r="C82" s="413" t="s">
        <v>3789</v>
      </c>
      <c r="D82" s="413"/>
      <c r="E82" s="413"/>
    </row>
    <row r="84" spans="2:5" s="104" customFormat="1" ht="34" customHeight="1" x14ac:dyDescent="0.2">
      <c r="B84" s="414" t="s">
        <v>3790</v>
      </c>
      <c r="C84" s="414"/>
      <c r="D84" s="414"/>
      <c r="E84" s="414"/>
    </row>
    <row r="85" spans="2:5" ht="20" customHeight="1" x14ac:dyDescent="0.2">
      <c r="B85" s="336" t="s">
        <v>17</v>
      </c>
      <c r="C85" s="415" t="s">
        <v>20</v>
      </c>
      <c r="D85" s="415"/>
      <c r="E85" s="415"/>
    </row>
    <row r="86" spans="2:5" ht="60" customHeight="1" x14ac:dyDescent="0.2">
      <c r="B86" s="337" t="s">
        <v>3790</v>
      </c>
      <c r="C86" s="413" t="s">
        <v>3791</v>
      </c>
      <c r="D86" s="413"/>
      <c r="E86" s="413"/>
    </row>
  </sheetData>
  <sheetProtection algorithmName="SHA-512" hashValue="LKmLUPRkhH68rUh0jossC1nCxSlWaDSJcl1VVxBDCCrBOxq5ujlmhTBcZ5g8UQcY9lxT8tBUbOGHq+klyp+Glg==" saltValue="+eXoQlpZ6UZtv1NBpBEz8A==" spinCount="100000" sheet="1" objects="1" scenarios="1"/>
  <mergeCells count="47">
    <mergeCell ref="B2:E2"/>
    <mergeCell ref="C3:E3"/>
    <mergeCell ref="D34:E34"/>
    <mergeCell ref="D35:E35"/>
    <mergeCell ref="B34:B35"/>
    <mergeCell ref="D33:E33"/>
    <mergeCell ref="B32:E32"/>
    <mergeCell ref="D12:E12"/>
    <mergeCell ref="D13:E13"/>
    <mergeCell ref="D17:E17"/>
    <mergeCell ref="B6:E6"/>
    <mergeCell ref="D30:E30"/>
    <mergeCell ref="B19:E19"/>
    <mergeCell ref="D7:E7"/>
    <mergeCell ref="D20:E20"/>
    <mergeCell ref="D38:E38"/>
    <mergeCell ref="C81:E81"/>
    <mergeCell ref="C82:E82"/>
    <mergeCell ref="C85:E85"/>
    <mergeCell ref="C58:E58"/>
    <mergeCell ref="B72:E72"/>
    <mergeCell ref="B61:E61"/>
    <mergeCell ref="B67:E67"/>
    <mergeCell ref="C59:E59"/>
    <mergeCell ref="C86:E86"/>
    <mergeCell ref="B84:E84"/>
    <mergeCell ref="B76:E76"/>
    <mergeCell ref="B80:E80"/>
    <mergeCell ref="B40:E40"/>
    <mergeCell ref="B46:E46"/>
    <mergeCell ref="C77:E77"/>
    <mergeCell ref="C78:E78"/>
    <mergeCell ref="C73:E73"/>
    <mergeCell ref="C74:E74"/>
    <mergeCell ref="D70:E70"/>
    <mergeCell ref="D68:E68"/>
    <mergeCell ref="D69:E69"/>
    <mergeCell ref="B50:E50"/>
    <mergeCell ref="B57:E57"/>
    <mergeCell ref="D36:E36"/>
    <mergeCell ref="D37:E37"/>
    <mergeCell ref="D8:E8"/>
    <mergeCell ref="D9:E9"/>
    <mergeCell ref="D10:E10"/>
    <mergeCell ref="D11:E11"/>
    <mergeCell ref="D14:E14"/>
    <mergeCell ref="D21:E29"/>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tabSelected="1" zoomScale="120" zoomScaleNormal="12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4" width="1.83203125" style="8" customWidth="1"/>
    <col min="5" max="5" width="60.83203125" style="8" customWidth="1"/>
    <col min="6" max="8" width="1.83203125" style="8" customWidth="1"/>
    <col min="9" max="9" width="2.83203125" style="8" customWidth="1"/>
    <col min="10" max="10" width="47.5" style="8" bestFit="1" customWidth="1"/>
    <col min="11" max="11" width="76" style="8" customWidth="1"/>
    <col min="12" max="12" width="25.33203125" style="8" customWidth="1"/>
    <col min="13" max="13" width="100.83203125" style="8" customWidth="1"/>
    <col min="14" max="21" width="10.83203125" style="8" customWidth="1"/>
    <col min="22" max="16384" width="10.83203125" style="8"/>
  </cols>
  <sheetData>
    <row r="1" spans="1:39" s="7" customFormat="1" ht="16" customHeight="1" x14ac:dyDescent="0.2">
      <c r="A1" s="39"/>
    </row>
    <row r="2" spans="1:39" s="2" customFormat="1" ht="54" customHeight="1" x14ac:dyDescent="0.2">
      <c r="A2" s="7"/>
      <c r="B2" s="422" t="s">
        <v>3679</v>
      </c>
      <c r="C2" s="423"/>
      <c r="D2" s="423"/>
      <c r="E2" s="423"/>
      <c r="F2" s="423"/>
      <c r="G2" s="423"/>
      <c r="H2" s="423"/>
      <c r="I2" s="423"/>
      <c r="J2" s="423"/>
      <c r="K2" s="423"/>
      <c r="L2" s="423"/>
      <c r="M2" s="424"/>
      <c r="O2" s="7"/>
      <c r="P2" s="7"/>
      <c r="Q2" s="7"/>
      <c r="R2" s="7"/>
      <c r="S2" s="7"/>
      <c r="T2" s="7"/>
      <c r="U2" s="7"/>
      <c r="V2" s="7"/>
      <c r="W2" s="7"/>
      <c r="X2" s="7"/>
      <c r="Y2" s="7"/>
      <c r="Z2" s="7"/>
      <c r="AA2" s="7"/>
      <c r="AB2" s="7"/>
      <c r="AC2" s="7"/>
      <c r="AD2" s="7"/>
      <c r="AE2" s="7"/>
      <c r="AF2" s="7"/>
      <c r="AG2" s="7"/>
      <c r="AH2" s="7"/>
      <c r="AI2" s="7"/>
      <c r="AJ2" s="7"/>
      <c r="AK2" s="7"/>
      <c r="AL2" s="7"/>
      <c r="AM2" s="7"/>
    </row>
    <row r="3" spans="1:39" s="2" customFormat="1" ht="20" customHeight="1" x14ac:dyDescent="0.2">
      <c r="A3" s="7"/>
      <c r="B3" s="434" t="s">
        <v>3680</v>
      </c>
      <c r="C3" s="435"/>
      <c r="D3" s="435"/>
      <c r="E3" s="435"/>
      <c r="F3" s="435"/>
      <c r="G3" s="435"/>
      <c r="H3" s="435"/>
      <c r="I3" s="435"/>
      <c r="J3" s="435"/>
      <c r="K3" s="435"/>
      <c r="L3" s="435"/>
      <c r="M3" s="322" t="str">
        <f ca="1">pnp_version_number</f>
        <v>v1.9.0.008</v>
      </c>
      <c r="O3" s="7"/>
      <c r="P3" s="7"/>
      <c r="Q3" s="7"/>
      <c r="R3" s="7"/>
      <c r="S3" s="7"/>
      <c r="T3" s="7"/>
      <c r="U3" s="7"/>
      <c r="V3" s="7"/>
      <c r="W3" s="7"/>
      <c r="X3" s="7"/>
      <c r="Y3" s="7"/>
      <c r="Z3" s="7"/>
      <c r="AA3" s="7"/>
      <c r="AB3" s="7"/>
      <c r="AC3" s="7"/>
      <c r="AD3" s="7"/>
      <c r="AE3" s="7"/>
      <c r="AF3" s="7"/>
      <c r="AG3" s="7"/>
      <c r="AH3" s="7"/>
      <c r="AI3" s="7"/>
      <c r="AJ3" s="7"/>
      <c r="AK3" s="7"/>
      <c r="AL3" s="7"/>
      <c r="AM3" s="7"/>
    </row>
    <row r="4" spans="1:39" s="7" customFormat="1" ht="16" customHeight="1" x14ac:dyDescent="0.2">
      <c r="I4" s="40"/>
      <c r="J4" s="40"/>
    </row>
    <row r="5" spans="1:39" s="7" customFormat="1" ht="16" customHeight="1" x14ac:dyDescent="0.2"/>
    <row r="6" spans="1:39" s="2" customFormat="1" ht="20" customHeight="1" x14ac:dyDescent="0.2">
      <c r="A6" s="7"/>
      <c r="B6" s="425" t="s">
        <v>3681</v>
      </c>
      <c r="C6" s="426"/>
      <c r="D6" s="426"/>
      <c r="E6" s="426"/>
      <c r="F6" s="426"/>
      <c r="G6" s="426"/>
      <c r="H6" s="426"/>
      <c r="I6" s="426"/>
      <c r="J6" s="426"/>
      <c r="K6" s="426"/>
      <c r="L6" s="426"/>
      <c r="M6" s="427"/>
      <c r="O6" s="7"/>
      <c r="P6" s="7"/>
      <c r="Q6" s="7"/>
      <c r="R6" s="7"/>
      <c r="S6" s="7"/>
      <c r="T6" s="7"/>
      <c r="U6" s="7"/>
      <c r="V6" s="7"/>
      <c r="W6" s="7"/>
      <c r="X6" s="7"/>
      <c r="Y6" s="7"/>
      <c r="Z6" s="7"/>
      <c r="AA6" s="7"/>
      <c r="AB6" s="7"/>
      <c r="AC6" s="7"/>
      <c r="AD6" s="7"/>
      <c r="AE6" s="7"/>
      <c r="AF6" s="7"/>
      <c r="AG6" s="7"/>
      <c r="AH6" s="7"/>
      <c r="AI6" s="7"/>
      <c r="AJ6" s="7"/>
      <c r="AK6" s="7"/>
      <c r="AL6" s="7"/>
      <c r="AM6" s="7"/>
    </row>
    <row r="7" spans="1:39" s="2" customFormat="1" ht="20" customHeight="1" x14ac:dyDescent="0.2">
      <c r="A7" s="7"/>
      <c r="B7" s="428" t="s">
        <v>3682</v>
      </c>
      <c r="C7" s="429"/>
      <c r="D7" s="429"/>
      <c r="E7" s="429"/>
      <c r="F7" s="429"/>
      <c r="G7" s="429"/>
      <c r="H7" s="429"/>
      <c r="I7" s="429"/>
      <c r="J7" s="429"/>
      <c r="K7" s="429"/>
      <c r="L7" s="429"/>
      <c r="M7" s="430"/>
      <c r="O7" s="7"/>
      <c r="P7" s="7"/>
      <c r="Q7" s="7"/>
      <c r="R7" s="7"/>
      <c r="S7" s="7"/>
      <c r="T7" s="7"/>
      <c r="U7" s="7"/>
      <c r="V7" s="7"/>
      <c r="W7" s="7"/>
      <c r="X7" s="7"/>
      <c r="Y7" s="7"/>
      <c r="Z7" s="7"/>
      <c r="AA7" s="7"/>
      <c r="AB7" s="7"/>
      <c r="AC7" s="7"/>
      <c r="AD7" s="7"/>
      <c r="AE7" s="7"/>
      <c r="AF7" s="7"/>
      <c r="AG7" s="7"/>
      <c r="AH7" s="7"/>
      <c r="AI7" s="7"/>
      <c r="AJ7" s="7"/>
      <c r="AK7" s="7"/>
      <c r="AL7" s="7"/>
      <c r="AM7" s="7"/>
    </row>
    <row r="8" spans="1:39" s="7" customFormat="1" ht="20" customHeight="1" x14ac:dyDescent="0.2">
      <c r="I8" s="40"/>
    </row>
    <row r="9" spans="1:39" ht="17" x14ac:dyDescent="0.2">
      <c r="J9" s="433" t="s">
        <v>195</v>
      </c>
      <c r="K9" s="433"/>
      <c r="L9" s="433"/>
      <c r="M9" s="433"/>
    </row>
    <row r="10" spans="1:39" x14ac:dyDescent="0.2">
      <c r="J10" s="431" t="s">
        <v>3683</v>
      </c>
      <c r="K10" s="431"/>
      <c r="L10" s="431"/>
      <c r="M10" s="431"/>
    </row>
    <row r="11" spans="1:39" x14ac:dyDescent="0.2">
      <c r="J11" s="432" t="str">
        <f>IF(vcf_version_chosen="No Version Selected","Select Version",vcf_version_chosen)</f>
        <v>9.0.2.0</v>
      </c>
      <c r="K11" s="432"/>
      <c r="L11" s="432"/>
      <c r="M11" s="432"/>
    </row>
    <row r="12" spans="1:39" x14ac:dyDescent="0.2">
      <c r="J12" s="432"/>
      <c r="K12" s="432"/>
      <c r="L12" s="432"/>
      <c r="M12" s="432"/>
    </row>
    <row r="14" spans="1:39" ht="18" x14ac:dyDescent="0.2">
      <c r="J14" s="425" t="s">
        <v>1306</v>
      </c>
      <c r="K14" s="426"/>
      <c r="L14" s="426"/>
      <c r="M14" s="427"/>
    </row>
    <row r="15" spans="1:39" ht="17" x14ac:dyDescent="0.2">
      <c r="J15" s="346" t="s">
        <v>9</v>
      </c>
      <c r="K15" s="346" t="s">
        <v>10</v>
      </c>
      <c r="L15" s="346" t="s">
        <v>11</v>
      </c>
      <c r="M15" s="346" t="s">
        <v>12</v>
      </c>
    </row>
    <row r="16" spans="1:39" x14ac:dyDescent="0.2">
      <c r="J16" s="114" t="s">
        <v>4026</v>
      </c>
      <c r="K16" s="99" t="str">
        <f>CONCATENATE(mgmt_domain_deployment_type_chosen," Deployment Version")</f>
        <v>VMware Cloud Foundation Deployment Version</v>
      </c>
      <c r="L16" s="112" t="str">
        <f>IF(vcf_version_chosen="No Version Selected","Excluded","Included")</f>
        <v>Included</v>
      </c>
      <c r="M16" s="337" t="str">
        <f>IF(vcf_version_result="Excluded",CONCATENATE("Cause: ",mgmt_domain_deployment_type_chosen, " Deployment Version is not selected"),CONCATENATE(mgmt_domain_deployment_type_chosen," Version ",vcf_version," selected"))</f>
        <v>VMware Cloud Foundation Version 9.0.2.0 selected</v>
      </c>
    </row>
    <row r="17" spans="5:14" x14ac:dyDescent="0.2">
      <c r="J17" s="115" t="s">
        <v>3683</v>
      </c>
      <c r="K17" s="99" t="s">
        <v>3684</v>
      </c>
      <c r="L17" s="112" t="str">
        <f>IF(vcf_version_chosen="No Version Selected","Excluded","Included")</f>
        <v>Included</v>
      </c>
      <c r="M17" s="337"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
      <c r="J18" s="116" t="s">
        <v>2483</v>
      </c>
      <c r="K18" s="99" t="s">
        <v>3685</v>
      </c>
      <c r="L18" s="112" t="str">
        <f>IF(vcf_version_chosen="No Version Selected","Excluded",IF(mgmt_domain_deployment_type_chosen="VMware vSphere Foundation","Excluded",IF(mgmt_domain_chosen="Deploy a new VCF fleet","Included","Included")))</f>
        <v>Included</v>
      </c>
      <c r="M18" s="337"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
      <c r="J19" s="117" t="s">
        <v>2486</v>
      </c>
      <c r="K19" s="99" t="s">
        <v>3686</v>
      </c>
      <c r="L19" s="112" t="str">
        <f>IF(vcf_version_chosen="No Version Selected","Excluded",
IF(AND(mgmt_domain_deployment_type_chosen="VMware vSphere Foundation",vcf_granular_option_chosen="Create VI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337" t="str">
        <f>IF(vcf_version_result="Excluded",CONCATENATE("Cause: ",mgmt_domain_deployment_type_chosen," Deployment Version is not selected"),
IF(AND(mgmt_domain_deployment_type_chosen="VMware vSphere Foundation",vcf_granular_option_chosen="Create VI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VI Workload Domain","A VI Workload Domain will be added on an exsiting VCF Instance",
IF(vcf_granular_option_chosen="VMware vSphere Foundation Deployment","Deploy a new VMware vSphere Foundation Cluster",""))))))))))</f>
        <v>VMware Cloud Foundation Installer will deploy a new VCF fleet</v>
      </c>
    </row>
    <row r="21" spans="5:14" x14ac:dyDescent="0.2">
      <c r="J21" s="118"/>
    </row>
    <row r="24" spans="5:14" x14ac:dyDescent="0.2">
      <c r="J24" s="119"/>
    </row>
    <row r="25" spans="5:14" x14ac:dyDescent="0.2">
      <c r="J25" s="119"/>
    </row>
    <row r="27" spans="5:14" x14ac:dyDescent="0.2">
      <c r="J27" s="119"/>
    </row>
    <row r="29" spans="5:14" x14ac:dyDescent="0.2">
      <c r="E29" s="120"/>
      <c r="F29" s="120"/>
      <c r="G29" s="120"/>
      <c r="H29" s="120"/>
      <c r="N29" s="120"/>
    </row>
    <row r="30" spans="5:14" x14ac:dyDescent="0.2">
      <c r="E30" s="120"/>
      <c r="F30" s="120"/>
      <c r="G30" s="120"/>
      <c r="H30" s="120"/>
      <c r="N30" s="120"/>
    </row>
    <row r="31" spans="5:14" x14ac:dyDescent="0.2">
      <c r="E31" s="120"/>
      <c r="F31" s="120"/>
      <c r="G31" s="120"/>
      <c r="H31" s="120"/>
      <c r="I31" s="120"/>
      <c r="N31" s="120"/>
    </row>
    <row r="32" spans="5:14" x14ac:dyDescent="0.2">
      <c r="E32" s="120"/>
      <c r="F32" s="120"/>
      <c r="G32" s="120"/>
      <c r="H32" s="120"/>
      <c r="I32" s="120"/>
      <c r="N32" s="120"/>
    </row>
    <row r="33" spans="5:14" x14ac:dyDescent="0.2">
      <c r="E33" s="120"/>
      <c r="F33" s="120"/>
      <c r="G33" s="120"/>
      <c r="H33" s="120"/>
      <c r="I33" s="120"/>
      <c r="N33" s="120"/>
    </row>
    <row r="34" spans="5:14" x14ac:dyDescent="0.2">
      <c r="E34" s="120"/>
      <c r="F34" s="120"/>
      <c r="G34" s="120"/>
      <c r="H34" s="120"/>
      <c r="I34" s="120"/>
      <c r="N34" s="120"/>
    </row>
    <row r="35" spans="5:14" x14ac:dyDescent="0.2">
      <c r="E35" s="120"/>
      <c r="F35" s="120"/>
      <c r="G35" s="120"/>
      <c r="H35" s="120"/>
      <c r="I35" s="120"/>
      <c r="N35" s="120"/>
    </row>
    <row r="36" spans="5:14" x14ac:dyDescent="0.2">
      <c r="E36" s="120"/>
      <c r="F36" s="120"/>
      <c r="G36" s="120"/>
      <c r="H36" s="120"/>
      <c r="I36" s="120"/>
      <c r="N36" s="120"/>
    </row>
  </sheetData>
  <sheetProtection algorithmName="SHA-512" hashValue="5kqjOuF038CXbG4uO5L5/7ylwxEriWAQqrVoem5St3nCS6cHs1hRmqNtZrK0DHeIPfjGjP5lvkYV6772So+Vqg==" saltValue="TZZMuQftE/RALOWcikwknQ==" spinCount="100000" sheet="1" selectLockedCells="1"/>
  <mergeCells count="8">
    <mergeCell ref="B2:M2"/>
    <mergeCell ref="B6:M6"/>
    <mergeCell ref="B7:M7"/>
    <mergeCell ref="J14:M14"/>
    <mergeCell ref="J10:M10"/>
    <mergeCell ref="J11:M12"/>
    <mergeCell ref="J9:M9"/>
    <mergeCell ref="B3:L3"/>
  </mergeCells>
  <conditionalFormatting sqref="J16 L16:M16">
    <cfRule type="expression" dxfId="2629" priority="8">
      <formula>(vcf_version_result="Excluded")</formula>
    </cfRule>
  </conditionalFormatting>
  <conditionalFormatting sqref="J16:J19">
    <cfRule type="expression" dxfId="2628" priority="17" stopIfTrue="1">
      <formula>(vcf_version_result&lt;&gt;"Excluded")</formula>
    </cfRule>
  </conditionalFormatting>
  <conditionalFormatting sqref="J18">
    <cfRule type="expression" dxfId="2627" priority="12">
      <formula>mgmt_domain_deployment_type_chosen="VMware vSphere Foundation"</formula>
    </cfRule>
  </conditionalFormatting>
  <conditionalFormatting sqref="J19 L19:M19">
    <cfRule type="expression" dxfId="2626" priority="1">
      <formula>AND((mgmt_domain_deployment_type_chosen="VMware Cloud Foundation"),(vcf_granular_option_chosen="VMware vSphere Foundation Deployment"))</formula>
    </cfRule>
    <cfRule type="expression" dxfId="2625" priority="2">
      <formula>AND((mgmt_domain_deployment_type_chosen="VMware vSphere Foundation"),(vcf_granular_option_chosen="Create Cluster"))</formula>
    </cfRule>
    <cfRule type="expression" dxfId="2624" priority="3">
      <formula>AND((mgmt_domain_deployment_type_chosen="VMware vSphere Foundation"),(vcf_granular_option_chosen="Create VI Workload Domain"))</formula>
    </cfRule>
  </conditionalFormatting>
  <conditionalFormatting sqref="J19">
    <cfRule type="expression" dxfId="2623" priority="5">
      <formula>(vcf_granular_option_chosen="None Chosen")</formula>
    </cfRule>
    <cfRule type="expression" dxfId="2622" priority="15">
      <formula>AND((mgmt_domain_deployment_type_chosen="VVF"),(vcf_granular_option_chosen="Workload Domain"))</formula>
    </cfRule>
  </conditionalFormatting>
  <conditionalFormatting sqref="J11:L11">
    <cfRule type="expression" dxfId="2621" priority="7">
      <formula>vcf_version="Select Deployment Version"</formula>
    </cfRule>
  </conditionalFormatting>
  <conditionalFormatting sqref="L16:L19">
    <cfRule type="expression" dxfId="2620" priority="13">
      <formula>(vcf_version_result="Excluded")</formula>
    </cfRule>
    <cfRule type="expression" dxfId="2619" priority="19" stopIfTrue="1">
      <formula>(vcf_version_chosen&lt;&gt;"Excluded")</formula>
    </cfRule>
  </conditionalFormatting>
  <conditionalFormatting sqref="L18">
    <cfRule type="expression" dxfId="2618" priority="16">
      <formula>(mgmt_domain_result="Excluded")</formula>
    </cfRule>
    <cfRule type="expression" dxfId="2617" priority="20">
      <formula>(mgmt_domain_result&lt;&gt;"Excluded")</formula>
    </cfRule>
  </conditionalFormatting>
  <conditionalFormatting sqref="L18:M18">
    <cfRule type="expression" dxfId="2616" priority="11">
      <formula>mgmt_domain_deployment_type_chosen="VMware vSphere Foundation"</formula>
    </cfRule>
  </conditionalFormatting>
  <conditionalFormatting sqref="L19:M19">
    <cfRule type="expression" dxfId="2615" priority="9">
      <formula>vcf_granular_option_result="Excluded"</formula>
    </cfRule>
  </conditionalFormatting>
  <conditionalFormatting sqref="M16:M17 M19">
    <cfRule type="expression" dxfId="2614" priority="14">
      <formula>vcf_version_result="Excluded"</formula>
    </cfRule>
    <cfRule type="expression" dxfId="2613" priority="18">
      <formula>vcf_version_result="Included"</formula>
    </cfRule>
  </conditionalFormatting>
  <conditionalFormatting sqref="M18">
    <cfRule type="expression" dxfId="2612" priority="6">
      <formula>mgmt_domain_result="Included"</formula>
    </cfRule>
    <cfRule type="expression" dxfId="2611" priority="10">
      <formula>mgmt_domain_result="Excluded"</formula>
    </cfRule>
  </conditionalFormatting>
  <dataValidations count="5">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9.0.0.0,9.0.1.0,9.0.2.0"</formula1>
    </dataValidation>
    <dataValidation allowBlank="1" showErrorMessage="1" promptTitle="Select Version" prompt="Select Version" sqref="J11:L11" xr:uid="{0CB2B253-FC13-E74C-A78A-0DE109187FA1}"/>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G102"/>
  <sheetViews>
    <sheetView showGridLines="0" zoomScaleNormal="100" workbookViewId="0"/>
  </sheetViews>
  <sheetFormatPr baseColWidth="10" defaultColWidth="10.83203125" defaultRowHeight="16" x14ac:dyDescent="0.2"/>
  <cols>
    <col min="1" max="1" width="2.83203125" style="2" customWidth="1"/>
    <col min="2" max="2" width="11.83203125" style="2" customWidth="1"/>
    <col min="3" max="3" width="12.83203125" style="2" customWidth="1"/>
    <col min="4" max="4" width="12.5" style="2" customWidth="1"/>
    <col min="5" max="5" width="21.83203125" style="2" customWidth="1"/>
    <col min="6" max="6" width="12" style="2" customWidth="1"/>
    <col min="7" max="7" width="13" style="2" customWidth="1"/>
    <col min="8" max="8" width="27" style="3" customWidth="1"/>
    <col min="9" max="9" width="17.83203125" style="3" customWidth="1"/>
    <col min="10" max="10" width="14.6640625" style="2" customWidth="1"/>
    <col min="11" max="11" width="15.5" style="2" customWidth="1"/>
    <col min="12" max="12" width="19.83203125" style="2" customWidth="1"/>
    <col min="13" max="13" width="15" style="2" customWidth="1"/>
    <col min="14" max="14" width="11" style="2" customWidth="1"/>
    <col min="15" max="15" width="14.83203125" style="2" customWidth="1"/>
    <col min="16" max="16" width="25.5" style="2" customWidth="1"/>
    <col min="17" max="17" width="12" style="2" customWidth="1"/>
    <col min="18" max="18" width="13.1640625" style="2" customWidth="1"/>
    <col min="19" max="19" width="13.83203125" style="2" customWidth="1"/>
    <col min="20" max="20" width="7" style="2" customWidth="1"/>
    <col min="21" max="21" width="18" style="2" customWidth="1"/>
    <col min="22" max="22" width="11.83203125" style="2" customWidth="1"/>
    <col min="23" max="23" width="31" style="2" customWidth="1"/>
    <col min="24" max="27" width="10.83203125" style="2" customWidth="1"/>
    <col min="28" max="28" width="34.83203125" style="2" customWidth="1"/>
    <col min="29" max="36" width="10.83203125" style="2" customWidth="1"/>
    <col min="37" max="16384" width="10.83203125" style="2"/>
  </cols>
  <sheetData>
    <row r="1" spans="1:32" ht="16" customHeight="1" x14ac:dyDescent="0.2">
      <c r="A1" s="1"/>
      <c r="B1" s="1"/>
      <c r="C1" s="1"/>
      <c r="H1" s="2"/>
      <c r="I1" s="2"/>
    </row>
    <row r="2" spans="1:32" ht="54" customHeight="1" x14ac:dyDescent="0.2">
      <c r="B2" s="481" t="s">
        <v>3904</v>
      </c>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row>
    <row r="3" spans="1:32" ht="20" customHeight="1" x14ac:dyDescent="0.2">
      <c r="B3" s="420"/>
      <c r="C3" s="420"/>
      <c r="D3" s="420"/>
      <c r="E3" s="420"/>
      <c r="F3" s="420"/>
      <c r="G3" s="420"/>
      <c r="H3" s="420"/>
      <c r="I3" s="420"/>
      <c r="J3" s="420"/>
      <c r="K3" s="420"/>
      <c r="L3" s="420"/>
      <c r="M3" s="420"/>
      <c r="N3" s="420"/>
      <c r="O3" s="420"/>
      <c r="P3" s="420"/>
      <c r="Q3" s="420"/>
      <c r="R3" s="420"/>
      <c r="S3" s="420"/>
      <c r="T3" s="420"/>
      <c r="U3" s="420"/>
      <c r="V3" s="420"/>
      <c r="W3" s="420"/>
      <c r="X3" s="420"/>
      <c r="Y3" s="420"/>
      <c r="Z3" s="420"/>
      <c r="AA3" s="420"/>
      <c r="AB3" s="420"/>
    </row>
    <row r="5" spans="1:32" ht="15" customHeight="1" x14ac:dyDescent="0.2">
      <c r="H5" s="2"/>
      <c r="J5" s="3"/>
      <c r="K5" s="3"/>
      <c r="L5" s="3"/>
      <c r="M5" s="3"/>
      <c r="N5" s="3"/>
      <c r="O5" s="3"/>
      <c r="P5" s="3"/>
      <c r="Q5" s="3"/>
    </row>
    <row r="6" spans="1:32" s="104" customFormat="1" ht="20" customHeight="1" x14ac:dyDescent="0.2">
      <c r="B6" s="425" t="s">
        <v>3905</v>
      </c>
      <c r="C6" s="426"/>
      <c r="D6" s="426"/>
      <c r="E6" s="427"/>
      <c r="F6" s="2"/>
      <c r="G6" s="440" t="s">
        <v>3906</v>
      </c>
      <c r="H6" s="441"/>
      <c r="I6" s="441"/>
      <c r="J6" s="441"/>
      <c r="K6" s="441"/>
      <c r="L6" s="441"/>
      <c r="M6" s="441"/>
      <c r="N6" s="2"/>
      <c r="O6" s="105" t="s">
        <v>3907</v>
      </c>
      <c r="P6" s="357"/>
      <c r="Q6" s="480"/>
      <c r="R6" s="480"/>
      <c r="S6" s="480"/>
      <c r="T6" s="3"/>
      <c r="U6" s="105" t="s">
        <v>20</v>
      </c>
      <c r="V6" s="357"/>
      <c r="W6" s="357"/>
      <c r="X6" s="357"/>
      <c r="Y6" s="357"/>
      <c r="Z6" s="357"/>
      <c r="AA6" s="357"/>
      <c r="AB6" s="357"/>
      <c r="AC6" s="360"/>
      <c r="AD6" s="360"/>
      <c r="AE6" s="360"/>
    </row>
    <row r="7" spans="1:32" ht="20" customHeight="1" x14ac:dyDescent="0.2">
      <c r="B7" s="431" t="s">
        <v>3908</v>
      </c>
      <c r="C7" s="431"/>
      <c r="D7" s="431"/>
      <c r="E7" s="348" t="s">
        <v>1268</v>
      </c>
      <c r="G7" s="482" t="s">
        <v>3908</v>
      </c>
      <c r="H7" s="483"/>
      <c r="I7" s="484"/>
      <c r="J7" s="359" t="s">
        <v>3909</v>
      </c>
      <c r="K7" s="359" t="s">
        <v>3910</v>
      </c>
      <c r="L7" s="359" t="s">
        <v>3911</v>
      </c>
      <c r="M7" s="359" t="s">
        <v>3912</v>
      </c>
      <c r="O7" s="485" t="s">
        <v>3913</v>
      </c>
      <c r="P7" s="485"/>
      <c r="Q7" s="485"/>
      <c r="R7" s="485" t="s">
        <v>2161</v>
      </c>
      <c r="S7" s="485"/>
      <c r="T7" s="3"/>
      <c r="U7" s="486" t="s">
        <v>3914</v>
      </c>
      <c r="V7" s="486"/>
      <c r="W7" s="486"/>
      <c r="X7" s="486"/>
      <c r="Y7" s="486"/>
      <c r="Z7" s="486"/>
      <c r="AA7" s="486"/>
      <c r="AB7" s="486"/>
      <c r="AC7" s="360"/>
      <c r="AD7" s="360"/>
      <c r="AE7" s="360"/>
    </row>
    <row r="8" spans="1:32" ht="20" customHeight="1" x14ac:dyDescent="0.2">
      <c r="B8" s="416" t="s">
        <v>3915</v>
      </c>
      <c r="C8" s="416"/>
      <c r="D8" s="416"/>
      <c r="E8" s="399">
        <v>30</v>
      </c>
      <c r="G8" s="404" t="s">
        <v>1664</v>
      </c>
      <c r="H8" s="404"/>
      <c r="I8" s="404"/>
      <c r="J8" s="337">
        <v>1</v>
      </c>
      <c r="K8" s="331">
        <f>sizing_sddc_manager_cpu</f>
        <v>4</v>
      </c>
      <c r="L8" s="331">
        <f>sizing_sddc_manager_ram</f>
        <v>16</v>
      </c>
      <c r="M8" s="331">
        <f>sizing_sddc_manager_disk</f>
        <v>914</v>
      </c>
      <c r="O8" s="428" t="s">
        <v>3916</v>
      </c>
      <c r="P8" s="429"/>
      <c r="Q8" s="430"/>
      <c r="R8" s="488">
        <f t="array" ref="R8">IF(OR(H32="Mandatory - HA Cluster",sizing_vcfops_deployment_model_chosen="Deploy HA",sizing_vcfvidb_chosen="Deploy HA"),MAX(4,(ROUNDUP(((SUM(K8:K27)/sizing_cpu_oversubscription)/sizing_mgmt_cluster_host_core_count),0)),((ROUNDUP((SUM(L8:L27/sizing_ram_oversubscription)/sizing_mgmt_cluster_host_ram_count),0))+1)),
IF(OR(sizing_storage_type="vSAN-ESA",sizing_storage_type="vSAN-OSA"),MAX(3,(ROUNDUP(((SUM(K8:K27)/sizing_cpu_oversubscription)/sizing_mgmt_cluster_host_core_count),0)),((ROUNDUP((SUM(L8:L27/sizing_ram_oversubscription)/sizing_mgmt_cluster_host_ram_count),0))+1)),MAX(2,(ROUNDUP(((SUM(K8:K27)/sizing_cpu_oversubscription)/sizing_mgmt_cluster_host_core_count),0)),((ROUNDUP((SUM(L8:L27/sizing_ram_oversubscription)/sizing_mgmt_cluster_host_ram_count),0))+1))))</f>
        <v>4</v>
      </c>
      <c r="S8" s="489"/>
      <c r="T8" s="23"/>
      <c r="U8" s="486"/>
      <c r="V8" s="486"/>
      <c r="W8" s="486"/>
      <c r="X8" s="486"/>
      <c r="Y8" s="486"/>
      <c r="Z8" s="486"/>
      <c r="AA8" s="486"/>
      <c r="AB8" s="486"/>
      <c r="AC8" s="360"/>
      <c r="AD8" s="360"/>
      <c r="AE8" s="360"/>
    </row>
    <row r="9" spans="1:32" ht="20" customHeight="1" x14ac:dyDescent="0.2">
      <c r="B9" s="416" t="s">
        <v>3917</v>
      </c>
      <c r="C9" s="416"/>
      <c r="D9" s="416"/>
      <c r="E9" s="399">
        <v>10</v>
      </c>
      <c r="G9" s="416" t="s">
        <v>3918</v>
      </c>
      <c r="H9" s="416"/>
      <c r="I9" s="416"/>
      <c r="J9" s="337">
        <v>2</v>
      </c>
      <c r="K9" s="337">
        <v>2</v>
      </c>
      <c r="L9" s="337">
        <v>1</v>
      </c>
      <c r="M9" s="337">
        <v>0</v>
      </c>
      <c r="O9" s="428" t="s">
        <v>3919</v>
      </c>
      <c r="P9" s="429"/>
      <c r="Q9" s="430"/>
      <c r="R9" s="463" t="str">
        <f>CONCATENATE(ROUNDUP(SUM(K8:K27)/(calculated_mgmt_host_count-1)/sizing_cpu_oversubscription,0)," CPUs")</f>
        <v>6 CPUs</v>
      </c>
      <c r="S9" s="464"/>
      <c r="U9" s="486"/>
      <c r="V9" s="486"/>
      <c r="W9" s="486"/>
      <c r="X9" s="486"/>
      <c r="Y9" s="486"/>
      <c r="Z9" s="486"/>
      <c r="AA9" s="486"/>
      <c r="AB9" s="486"/>
      <c r="AC9" s="360"/>
      <c r="AD9" s="360"/>
      <c r="AE9" s="360"/>
      <c r="AF9" s="360"/>
    </row>
    <row r="10" spans="1:32" ht="20" customHeight="1" x14ac:dyDescent="0.2">
      <c r="G10" s="404" t="s">
        <v>3920</v>
      </c>
      <c r="H10" s="404"/>
      <c r="I10" s="404"/>
      <c r="J10" s="337">
        <v>1</v>
      </c>
      <c r="K10" s="331">
        <f>IF(sizing_m01_included="Included",VLOOKUP(D32,table_vcenter_appliance_cpu,2,FALSE),0)</f>
        <v>8</v>
      </c>
      <c r="L10" s="331">
        <f>IF(sizing_m01_included="Included",VLOOKUP(D32,table_vcenter_appliance_ram,2,FALSE),0)</f>
        <v>30</v>
      </c>
      <c r="M10" s="331">
        <f>IF(sizing_m01_included="Included",VLOOKUP(CONCATENATE(D32,F32),table_vcenter_disk_gb,2,FALSE),0)</f>
        <v>908</v>
      </c>
      <c r="O10" s="428" t="s">
        <v>3921</v>
      </c>
      <c r="P10" s="429"/>
      <c r="Q10" s="430"/>
      <c r="R10" s="463" t="str">
        <f>CONCATENATE(ROUNDUP(SUM(L8:L27)/(calculated_mgmt_host_count-1)/sizing_ram_oversubscription,0)," GB RAM")</f>
        <v>40 GB RAM</v>
      </c>
      <c r="S10" s="464"/>
      <c r="U10" s="486"/>
      <c r="V10" s="486"/>
      <c r="W10" s="486"/>
      <c r="X10" s="486"/>
      <c r="Y10" s="486"/>
      <c r="Z10" s="486"/>
      <c r="AA10" s="486"/>
      <c r="AB10" s="486"/>
      <c r="AC10" s="360"/>
      <c r="AD10" s="360"/>
      <c r="AE10" s="360"/>
      <c r="AF10" s="360"/>
    </row>
    <row r="11" spans="1:32" ht="20" customHeight="1" x14ac:dyDescent="0.2">
      <c r="B11" s="425" t="s">
        <v>3922</v>
      </c>
      <c r="C11" s="426"/>
      <c r="D11" s="426"/>
      <c r="E11" s="427"/>
      <c r="G11" s="404" t="s">
        <v>3923</v>
      </c>
      <c r="H11" s="404"/>
      <c r="I11" s="404"/>
      <c r="J11" s="337">
        <f>SUM(IF(H32="Mandatory - Single Node",1,3),IF(sizing_m01_nsxt_gm_appliance_size&lt;&gt;"Excluded",3,0))</f>
        <v>3</v>
      </c>
      <c r="K11" s="331">
        <f>SUM(PRODUCT(VLOOKUP(sizing_m01_nsxt_appliance_size,table_nsxt_manager_cpu,2,FALSE),IF(H32="Mandatory - HA Cluster",3,1)),(PRODUCT(IF(sizing_m01_nsxt_gm_appliance_size&lt;&gt;"Excluded",VLOOKUP(sizing_m01_nsxt_gm_appliance_size,table_nsxt_manager_cpu,2,FALSE),0),3)))</f>
        <v>18</v>
      </c>
      <c r="L11" s="331">
        <f>SUM(PRODUCT(VLOOKUP(sizing_m01_nsxt_appliance_size,table_nsxt_manager_ram,2,FALSE),IF(H32="Mandatory - HA Cluster",3,1)),(PRODUCT(IF(sizing_m01_nsxt_gm_appliance_size&lt;&gt;"Excluded",VLOOKUP(sizing_m01_nsxt_gm_appliance_size,table_nsxt_manager_ram,2,FALSE),0),3)))</f>
        <v>72</v>
      </c>
      <c r="M11" s="331">
        <f>SUM(PRODUCT(VLOOKUP(sizing_m01_nsxt_appliance_size,table_nsxt_manager_disk_gb,2,FALSE),IF(H32="Mandatory - HA Cluster",3,1)),(PRODUCT(IF(sizing_m01_nsxt_gm_appliance_size&lt;&gt;"Excluded",VLOOKUP(sizing_m01_nsxt_gm_appliance_size,table_nsxt_manager_disk_gb,2,FALSE),0),3)))</f>
        <v>900</v>
      </c>
      <c r="T11" s="3"/>
      <c r="U11" s="486"/>
      <c r="V11" s="486"/>
      <c r="W11" s="486"/>
      <c r="X11" s="486"/>
      <c r="Y11" s="486"/>
      <c r="Z11" s="486"/>
      <c r="AA11" s="486"/>
      <c r="AB11" s="486"/>
      <c r="AC11" s="360"/>
      <c r="AD11" s="360"/>
      <c r="AE11" s="360"/>
      <c r="AF11" s="360"/>
    </row>
    <row r="12" spans="1:32" ht="20" customHeight="1" x14ac:dyDescent="0.2">
      <c r="B12" s="431" t="s">
        <v>3924</v>
      </c>
      <c r="C12" s="431"/>
      <c r="D12" s="431"/>
      <c r="E12" s="348" t="s">
        <v>1268</v>
      </c>
      <c r="G12" s="404" t="s">
        <v>3925</v>
      </c>
      <c r="H12" s="404"/>
      <c r="I12" s="404"/>
      <c r="J12" s="337">
        <f>IF(sizing_m01_nsxt_edge_size&lt;&gt;"Excluded",2,0)</f>
        <v>0</v>
      </c>
      <c r="K12" s="331">
        <f>PRODUCT(IF(AND(sizing_m01_nsxt_edge_size&lt;&gt;"Excluded",sizing_m01_included="Included"),VLOOKUP(sizing_m01_nsxt_edge_size,table_nsxt_edge_cpu,2,FALSE),0),J12)</f>
        <v>0</v>
      </c>
      <c r="L12" s="331">
        <f>PRODUCT(IF(AND(sizing_m01_nsxt_edge_size&lt;&gt;"Excluded",sizing_m01_included="Included"),VLOOKUP(sizing_m01_nsxt_edge_size,table_nsxt_edge_ram,2,FALSE),0),2)</f>
        <v>0</v>
      </c>
      <c r="M12" s="331">
        <f>PRODUCT(IF(AND(sizing_m01_nsxt_edge_size&lt;&gt;"Excluded",sizing_m01_included="Included"),VLOOKUP(sizing_m01_nsxt_edge_size,table_nsxt_edge_disk_gb,2,FALSE),0),J12)</f>
        <v>0</v>
      </c>
      <c r="O12" s="335" t="s">
        <v>3926</v>
      </c>
      <c r="P12" s="335"/>
      <c r="Q12" s="335"/>
      <c r="R12" s="335"/>
      <c r="S12" s="335"/>
      <c r="T12" s="3"/>
      <c r="U12" s="486"/>
      <c r="V12" s="486"/>
      <c r="W12" s="486"/>
      <c r="X12" s="486"/>
      <c r="Y12" s="486"/>
      <c r="Z12" s="486"/>
      <c r="AA12" s="486"/>
      <c r="AB12" s="486"/>
      <c r="AC12" s="360"/>
      <c r="AD12" s="360"/>
      <c r="AE12" s="360"/>
      <c r="AF12" s="360"/>
    </row>
    <row r="13" spans="1:32" ht="20" customHeight="1" x14ac:dyDescent="0.2">
      <c r="B13" s="416" t="s">
        <v>3927</v>
      </c>
      <c r="C13" s="416"/>
      <c r="D13" s="416"/>
      <c r="E13" s="106">
        <v>128</v>
      </c>
      <c r="G13" s="416" t="s">
        <v>3928</v>
      </c>
      <c r="H13" s="416"/>
      <c r="I13" s="416"/>
      <c r="J13" s="337">
        <f>IF(sizing_mgmt_avi_lb_appliance_size="Excluded",0,3)</f>
        <v>0</v>
      </c>
      <c r="K13" s="337">
        <f>IF(sizing_mgmt_avi_lb_appliance_size="Excluded",0,PRODUCT(J13,IF(AND(sizing_m01_included="Included",sizing_mgmt_avi_lb_appliance_size&lt;&gt;"Excluded"),VLOOKUP(sizing_mgmt_avi_lb_appliance_size,table_avi_lb_cpu,2,FALSE),0)))</f>
        <v>0</v>
      </c>
      <c r="L13" s="331">
        <f>IF(sizing_mgmt_avi_lb_appliance_size="Excluded",0,PRODUCT(J13,IF(AND(sizing_m01_included="Included",sizing_mgmt_avi_lb_appliance_size&lt;&gt;"Excluded"),VLOOKUP(sizing_mgmt_avi_lb_appliance_size,table_avi_lb_ram,2,FALSE),0)))</f>
        <v>0</v>
      </c>
      <c r="M13" s="331">
        <f>IF(sizing_mgmt_avi_lb_appliance_size="Excluded",0,PRODUCT(J13,IF(AND(sizing_m01_included="Included",sizing_mgmt_avi_lb_appliance_size&lt;&gt;"Excluded"),VLOOKUP(sizing_mgmt_avi_lb_appliance_size,table_avi_lb_disk,2,FALSE),0)))</f>
        <v>0</v>
      </c>
      <c r="O13" s="343" t="s">
        <v>3929</v>
      </c>
      <c r="P13" s="344"/>
      <c r="Q13" s="344"/>
      <c r="R13" s="487" t="s">
        <v>3930</v>
      </c>
      <c r="S13" s="487"/>
      <c r="T13" s="3"/>
      <c r="U13" s="486"/>
      <c r="V13" s="486"/>
      <c r="W13" s="486"/>
      <c r="X13" s="486"/>
      <c r="Y13" s="486"/>
      <c r="Z13" s="486"/>
      <c r="AA13" s="486"/>
      <c r="AB13" s="486"/>
      <c r="AC13" s="360"/>
      <c r="AD13" s="360"/>
      <c r="AE13" s="360"/>
      <c r="AF13" s="360"/>
    </row>
    <row r="14" spans="1:32" ht="20" customHeight="1" x14ac:dyDescent="0.2">
      <c r="B14" s="416" t="s">
        <v>3931</v>
      </c>
      <c r="C14" s="416"/>
      <c r="D14" s="416"/>
      <c r="E14" s="106">
        <v>1024</v>
      </c>
      <c r="G14" s="416" t="s">
        <v>3932</v>
      </c>
      <c r="H14" s="416"/>
      <c r="I14" s="416"/>
      <c r="J14" s="337">
        <f>IF(sizing_m01_ssp_chosen="Medium",9,IF(sizing_m01_ssp_chosen="Large",12,IF(sizing_m01_ssp_chosen="X-Large",14,0)))</f>
        <v>0</v>
      </c>
      <c r="K14" s="337">
        <f>IF(sizing_m01_ssp_chosen&lt;&gt;"Excluded",VLOOKUP(sizing_m01_ssp_chosen,table_ssp_cpu,2,FALSE),0)</f>
        <v>0</v>
      </c>
      <c r="L14" s="337">
        <f>IF(sizing_m01_ssp_chosen&lt;&gt;"Excluded",VLOOKUP(sizing_m01_ssp_chosen,table_ssp_ram,2,FALSE),0)</f>
        <v>0</v>
      </c>
      <c r="M14" s="337">
        <f>IF(sizing_m01_ssp_chosen&lt;&gt;"Excluded",VLOOKUP(sizing_m01_ssp_chosen,table_ssp_disk,2,FALSE),0)</f>
        <v>0</v>
      </c>
      <c r="O14" s="349" t="s">
        <v>3908</v>
      </c>
      <c r="P14" s="350"/>
      <c r="Q14" s="350"/>
      <c r="R14" s="473" t="s">
        <v>3933</v>
      </c>
      <c r="S14" s="474"/>
      <c r="T14" s="3"/>
      <c r="U14" s="486"/>
      <c r="V14" s="486"/>
      <c r="W14" s="486"/>
      <c r="X14" s="486"/>
      <c r="Y14" s="486"/>
      <c r="Z14" s="486"/>
      <c r="AA14" s="486"/>
      <c r="AB14" s="486"/>
      <c r="AC14" s="360"/>
      <c r="AD14" s="360"/>
      <c r="AE14" s="360"/>
      <c r="AF14" s="360"/>
    </row>
    <row r="15" spans="1:32" ht="20" customHeight="1" x14ac:dyDescent="0.2">
      <c r="B15" s="416" t="s">
        <v>3934</v>
      </c>
      <c r="C15" s="416"/>
      <c r="D15" s="416"/>
      <c r="E15" s="106">
        <v>2</v>
      </c>
      <c r="G15" s="416" t="s">
        <v>3935</v>
      </c>
      <c r="H15" s="416"/>
      <c r="I15" s="416"/>
      <c r="J15" s="337">
        <f>COUNTIF(C36:C59,"Included")</f>
        <v>0</v>
      </c>
      <c r="K15" s="331">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331">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331">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O15" s="343" t="s">
        <v>3936</v>
      </c>
      <c r="P15" s="344"/>
      <c r="Q15" s="344"/>
      <c r="R15" s="404">
        <f>(SUM(M8:M27))</f>
        <v>2722</v>
      </c>
      <c r="S15" s="404"/>
      <c r="T15" s="3"/>
      <c r="U15" s="486"/>
      <c r="V15" s="486"/>
      <c r="W15" s="486"/>
      <c r="X15" s="486"/>
      <c r="Y15" s="486"/>
      <c r="Z15" s="486"/>
      <c r="AA15" s="486"/>
      <c r="AB15" s="486"/>
      <c r="AC15" s="360"/>
      <c r="AD15" s="360"/>
      <c r="AE15" s="360"/>
      <c r="AF15" s="360"/>
    </row>
    <row r="16" spans="1:32" ht="20" customHeight="1" x14ac:dyDescent="0.2">
      <c r="B16" s="416" t="s">
        <v>3937</v>
      </c>
      <c r="C16" s="416"/>
      <c r="D16" s="416"/>
      <c r="E16" s="106">
        <v>1</v>
      </c>
      <c r="G16" s="337" t="s">
        <v>3938</v>
      </c>
      <c r="H16" s="337"/>
      <c r="I16" s="337"/>
      <c r="J16" s="337">
        <f>SUM(
(IF(AND(sizing_w01_chosen="Included",sizing_w01_nsxt_model&lt;&gt;"Shared"),IF(sizing_w01_nsxt_model="Mandatory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331">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Tables'!D71)</f>
        <v>0</v>
      </c>
      <c r="L16" s="331">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Tables'!D72)</f>
        <v>0</v>
      </c>
      <c r="M16" s="331">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Tables'!D73)</f>
        <v>0</v>
      </c>
      <c r="O16" s="343" t="s">
        <v>3939</v>
      </c>
      <c r="P16" s="344"/>
      <c r="Q16" s="344"/>
      <c r="R16" s="404" t="str">
        <f>CONCATENATE(SUM(L8:L27))</f>
        <v>119</v>
      </c>
      <c r="S16" s="404"/>
      <c r="T16" s="3"/>
      <c r="U16" s="486"/>
      <c r="V16" s="486"/>
      <c r="W16" s="486"/>
      <c r="X16" s="486"/>
      <c r="Y16" s="486"/>
      <c r="Z16" s="486"/>
      <c r="AA16" s="486"/>
      <c r="AB16" s="486"/>
      <c r="AC16" s="360"/>
      <c r="AD16" s="360"/>
      <c r="AE16" s="360"/>
      <c r="AF16" s="360"/>
    </row>
    <row r="17" spans="2:33" ht="20" customHeight="1" x14ac:dyDescent="0.2">
      <c r="G17" s="428" t="s">
        <v>3940</v>
      </c>
      <c r="H17" s="429"/>
      <c r="I17" s="430"/>
      <c r="J17" s="337">
        <f>COUNTIF(S36:S59,"&lt;&gt;Excluded")*3</f>
        <v>0</v>
      </c>
      <c r="K17" s="337">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337">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337">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O17" s="343" t="s">
        <v>3941</v>
      </c>
      <c r="P17" s="344"/>
      <c r="Q17" s="344"/>
      <c r="R17" s="404">
        <f>R15+R16</f>
        <v>2841</v>
      </c>
      <c r="S17" s="404"/>
      <c r="T17" s="3"/>
      <c r="U17" s="486"/>
      <c r="V17" s="486"/>
      <c r="W17" s="486"/>
      <c r="X17" s="486"/>
      <c r="Y17" s="486"/>
      <c r="Z17" s="486"/>
      <c r="AA17" s="486"/>
      <c r="AB17" s="486"/>
      <c r="AC17" s="360"/>
      <c r="AD17" s="360"/>
      <c r="AE17" s="360"/>
      <c r="AF17" s="360"/>
    </row>
    <row r="18" spans="2:33" ht="20" customHeight="1" x14ac:dyDescent="0.2">
      <c r="B18" s="425" t="s">
        <v>3942</v>
      </c>
      <c r="C18" s="426"/>
      <c r="D18" s="426"/>
      <c r="E18" s="427"/>
      <c r="G18" s="416" t="s">
        <v>3943</v>
      </c>
      <c r="H18" s="416"/>
      <c r="I18" s="416"/>
      <c r="J18" s="337">
        <f>SUM(PRODUCT(9,COUNTIF(V36:V59,"Medium")),PRODUCT(12,COUNTIF(V36:V59,"Large")),PRODUCT(14,COUNTIF(V36:V59,"X-Large")))</f>
        <v>0</v>
      </c>
      <c r="K18" s="99">
        <f>SUM((PRODUCT((VLOOKUP("Medium",table_ssp_cpu,2,FALSE)),COUNTIF(V36:V59,"Medium"))),PRODUCT((VLOOKUP("Large",table_ssp_cpu,2,FALSE)),COUNTIF(V36:V59,"Large")),PRODUCT((VLOOKUP("X-Large",table_ssp_cpu,2,FALSE)),COUNTIF(V36:V59,"X-Large")))</f>
        <v>0</v>
      </c>
      <c r="L18" s="99">
        <f>SUM((PRODUCT((VLOOKUP("Medium",table_ssp_ram,2,FALSE)),COUNTIF(V36:V59,"Medium"))),PRODUCT((VLOOKUP("Large",table_ssp_ram,2,FALSE)),COUNTIF(V36:V59,"Large")),PRODUCT((VLOOKUP("X-Large",table_ssp_ram,2,FALSE)),COUNTIF(V36:V59,"X-Large")))</f>
        <v>0</v>
      </c>
      <c r="M18" s="99">
        <f>SUM((PRODUCT((VLOOKUP("Medium",table_ssp_disk,2,FALSE)),COUNTIF(V36:V59,"Medium"))),PRODUCT((VLOOKUP("Large",table_ssp_disk,2,FALSE)),COUNTIF(V36:V59,"Large")),PRODUCT((VLOOKUP("X-Large",table_ssp_disk,2,FALSE)),COUNTIF(V36:V59,"X-Large")))</f>
        <v>0</v>
      </c>
      <c r="O18" s="343" t="s">
        <v>3944</v>
      </c>
      <c r="P18" s="344"/>
      <c r="Q18" s="344"/>
      <c r="R18" s="404">
        <f>ROUNDUP(IF(R13="vSAN-ESA",R17*1.5,R17*2),0)</f>
        <v>5682</v>
      </c>
      <c r="S18" s="404"/>
      <c r="T18" s="3"/>
      <c r="U18" s="486"/>
      <c r="V18" s="486"/>
      <c r="W18" s="486"/>
      <c r="X18" s="486"/>
      <c r="Y18" s="486"/>
      <c r="Z18" s="486"/>
      <c r="AA18" s="486"/>
      <c r="AB18" s="486"/>
      <c r="AC18" s="360"/>
      <c r="AD18" s="360"/>
      <c r="AE18" s="360"/>
      <c r="AF18" s="360"/>
    </row>
    <row r="19" spans="2:33" ht="20" customHeight="1" x14ac:dyDescent="0.2">
      <c r="B19" s="447" t="s">
        <v>3945</v>
      </c>
      <c r="C19" s="448"/>
      <c r="D19" s="449"/>
      <c r="E19" s="348" t="s">
        <v>1268</v>
      </c>
      <c r="G19" s="428" t="s">
        <v>3946</v>
      </c>
      <c r="H19" s="429"/>
      <c r="I19" s="430"/>
      <c r="J19" s="337">
        <f>IF(sizing_vcfops_ha_chosen="Exclude",0,1)</f>
        <v>0</v>
      </c>
      <c r="K19" s="331">
        <f>IF(sizing_vcfops_ha_chosen="Exclude",0,sizing_vcffm_cpu)</f>
        <v>0</v>
      </c>
      <c r="L19" s="331">
        <f>IF(sizing_vcfops_ha_chosen="Exclude",0,sizing_vcffm_ram)</f>
        <v>0</v>
      </c>
      <c r="M19" s="331">
        <f>IF(sizing_vcfops_ha_chosen="Exclude",0,sizing_vcffm_disk)</f>
        <v>0</v>
      </c>
      <c r="O19" s="343" t="s">
        <v>3947</v>
      </c>
      <c r="P19" s="344"/>
      <c r="Q19" s="344"/>
      <c r="R19" s="404">
        <f>ROUNDUP(R18*(1+(sizing_virtual_machine_overhead/100)),0)</f>
        <v>7387</v>
      </c>
      <c r="S19" s="404"/>
      <c r="T19" s="23"/>
      <c r="U19" s="486"/>
      <c r="V19" s="486"/>
      <c r="W19" s="486"/>
      <c r="X19" s="486"/>
      <c r="Y19" s="486"/>
      <c r="Z19" s="486"/>
      <c r="AA19" s="486"/>
      <c r="AB19" s="486"/>
      <c r="AC19" s="360"/>
      <c r="AD19" s="360"/>
      <c r="AE19" s="360"/>
      <c r="AF19" s="360"/>
    </row>
    <row r="20" spans="2:33" ht="20" customHeight="1" x14ac:dyDescent="0.2">
      <c r="B20" s="428" t="s">
        <v>3948</v>
      </c>
      <c r="C20" s="429"/>
      <c r="D20" s="430"/>
      <c r="E20" s="106" t="s">
        <v>3949</v>
      </c>
      <c r="G20" s="428" t="s">
        <v>3950</v>
      </c>
      <c r="H20" s="429"/>
      <c r="I20" s="430"/>
      <c r="J20" s="337">
        <f>IF(sizing_vcfops_ha_chosen&lt;&gt;"Exclude",IF(sizing_vcfops_deployment_model_chosen="Deploy HA",3,IF(sizing_vcfops_deployment_model_chosen="Deploy Simple",1,0)),0)</f>
        <v>0</v>
      </c>
      <c r="K20" s="337">
        <f>IF(sizing_vcfops_ha_chosen&lt;&gt;"Exclude",PRODUCT(VLOOKUP(sizing_vcfops_ha_chosen,table_vcfops_appliance_cpu,2,FALSE),J20),0)</f>
        <v>0</v>
      </c>
      <c r="L20" s="337">
        <f>IF(sizing_vcfops_ha_chosen&lt;&gt;"Exclude",PRODUCT(VLOOKUP(sizing_vcfops_ha_chosen,table_vcfops_appliance_ram,2,FALSE),J20),0)</f>
        <v>0</v>
      </c>
      <c r="M20" s="337">
        <f>IF(sizing_vcfops_ha_chosen&lt;&gt;"Exclude",PRODUCT(VLOOKUP(sizing_vcfops_ha_chosen,table_vcfops_appliance_disk,2,FALSE),J20),0)</f>
        <v>0</v>
      </c>
      <c r="O20" s="343" t="s">
        <v>3951</v>
      </c>
      <c r="P20" s="344"/>
      <c r="Q20" s="344"/>
      <c r="R20" s="404">
        <f>IF(OR((sizing_storage_type="FC"),(sizing_storage_type="NFS")),ROUNDUP(R17*(1+(sizing_estimated_growth/100)),0),ROUNDUP(R19*(1+(sizing_estimated_growth/100)),0))</f>
        <v>3126</v>
      </c>
      <c r="S20" s="404"/>
      <c r="U20" s="486"/>
      <c r="V20" s="486"/>
      <c r="W20" s="486"/>
      <c r="X20" s="486"/>
      <c r="Y20" s="486"/>
      <c r="Z20" s="486"/>
      <c r="AA20" s="486"/>
      <c r="AB20" s="486"/>
      <c r="AC20" s="360"/>
      <c r="AD20" s="360"/>
      <c r="AE20" s="360"/>
      <c r="AF20" s="360"/>
    </row>
    <row r="21" spans="2:33" ht="20" customHeight="1" x14ac:dyDescent="0.2">
      <c r="B21" s="428" t="s">
        <v>1344</v>
      </c>
      <c r="C21" s="429"/>
      <c r="D21" s="430"/>
      <c r="E21" s="106" t="s">
        <v>13</v>
      </c>
      <c r="G21" s="428" t="s">
        <v>3952</v>
      </c>
      <c r="H21" s="429"/>
      <c r="I21" s="430"/>
      <c r="J21" s="337">
        <f>IF(sizing_vcfops_collector_chosen="Exclude",0,1)</f>
        <v>0</v>
      </c>
      <c r="K21" s="337">
        <f>IF(sizing_vcfops_collector_chosen="Exclude",0,VLOOKUP(sizing_vcfops_collector_chosen,table_vcfo_p_cpu,2,FALSE))</f>
        <v>0</v>
      </c>
      <c r="L21" s="337">
        <f>IF(sizing_vcfops_collector_chosen="Exclude",0,VLOOKUP(sizing_vcfops_collector_chosen,table_vcfo_p_ram,2,FALSE))</f>
        <v>0</v>
      </c>
      <c r="M21" s="337">
        <f>IF(sizing_vcfops_collector_chosen="Exclude",0,VLOOKUP(sizing_vcfops_collector_chosen,table_vcfo_p_disk,2,FALSE))</f>
        <v>0</v>
      </c>
      <c r="O21" s="351" t="s">
        <v>3953</v>
      </c>
      <c r="P21" s="372"/>
      <c r="Q21" s="372"/>
      <c r="R21" s="490" t="str">
        <f>CONCATENATE(ROUNDUP(R20/(calculated_mgmt_host_count-1),0)," GB Disk")</f>
        <v>1042 GB Disk</v>
      </c>
      <c r="S21" s="490"/>
      <c r="U21" s="486"/>
      <c r="V21" s="486"/>
      <c r="W21" s="486"/>
      <c r="X21" s="486"/>
      <c r="Y21" s="486"/>
      <c r="Z21" s="486"/>
      <c r="AA21" s="486"/>
      <c r="AB21" s="486"/>
      <c r="AC21" s="360"/>
      <c r="AD21" s="360"/>
      <c r="AE21" s="360"/>
      <c r="AF21" s="360"/>
    </row>
    <row r="22" spans="2:33" ht="20" customHeight="1" x14ac:dyDescent="0.2">
      <c r="B22" s="428" t="s">
        <v>3954</v>
      </c>
      <c r="C22" s="429"/>
      <c r="D22" s="430"/>
      <c r="E22" s="106" t="s">
        <v>13</v>
      </c>
      <c r="G22" s="428" t="s">
        <v>3955</v>
      </c>
      <c r="H22" s="429"/>
      <c r="I22" s="430"/>
      <c r="J22" s="337">
        <f>IF(sizing_vcfauto_chosen="Exclude",0,
IF(sizing_vcfauto_chosen="Small",1,
IF(sizing_vcfauto_chosen="Medium",3,
IF(sizing_vcfauto_chosen="Large",3,)
)))</f>
        <v>0</v>
      </c>
      <c r="K22" s="337">
        <f>IF(sizing_vcfauto_chosen="Exclude",0,PRODUCT(VLOOKUP(sizing_vcfauto_chosen,table_vcfa_appliance_cpu,2,FALSE),J22))</f>
        <v>0</v>
      </c>
      <c r="L22" s="331">
        <f>IF(sizing_vcfauto_chosen="Exclude",0,PRODUCT(VLOOKUP(sizing_vcfauto_chosen,table_vcfa_appliance_ram,2,FALSE),J22))</f>
        <v>0</v>
      </c>
      <c r="M22" s="337">
        <f>IF(sizing_vcfauto_chosen="Exclude",0,PRODUCT(VLOOKUP(sizing_vcfauto_chosen,table_vcfa_appliance_disk,2,FALSE),J22))</f>
        <v>0</v>
      </c>
      <c r="N22" s="6"/>
      <c r="T22" s="6"/>
      <c r="U22" s="486"/>
      <c r="V22" s="486"/>
      <c r="W22" s="486"/>
      <c r="X22" s="486"/>
      <c r="Y22" s="486"/>
      <c r="Z22" s="486"/>
      <c r="AA22" s="486"/>
      <c r="AB22" s="486"/>
      <c r="AC22" s="360"/>
      <c r="AD22" s="360"/>
      <c r="AE22" s="360"/>
      <c r="AF22" s="360"/>
      <c r="AG22" s="360"/>
    </row>
    <row r="23" spans="2:33" ht="20" customHeight="1" x14ac:dyDescent="0.2">
      <c r="B23" s="428" t="s">
        <v>3807</v>
      </c>
      <c r="C23" s="429"/>
      <c r="D23" s="430"/>
      <c r="E23" s="106" t="s">
        <v>13</v>
      </c>
      <c r="G23" s="428" t="s">
        <v>3956</v>
      </c>
      <c r="H23" s="429"/>
      <c r="I23" s="430"/>
      <c r="J23" s="337">
        <f>IF(sizing_vcfops_logs_chosen="Exclude",0,IF(sizing_vcfops_deployment_model_chosen="Deploy HA",3,1))</f>
        <v>0</v>
      </c>
      <c r="K23" s="337" t="str">
        <f>IF(sizing_vcfops_logs_chosen="Exclude","0",PRODUCT(IF(sizing_vcfops_logs_chosen="Existing Component",0,IF(sizing_vcfops_deployment_model_chosen="Deploy HA",3,1)),VLOOKUP(sizing_vcfops_logs_chosen,table_vrli_appliance_cpu,2,)))</f>
        <v>0</v>
      </c>
      <c r="L23" s="337" t="str">
        <f>IF(sizing_vcfops_logs_chosen="Exclude","0",PRODUCT(IF(E24="Existing Component",0,IF(sizing_vcfops_deployment_model_chosen="Deploy HA",3,1)),VLOOKUP(E24,table_vrli_appliance_ram,2,)))</f>
        <v>0</v>
      </c>
      <c r="M23" s="337" t="str">
        <f>IF(sizing_vcfops_logs_chosen="Exclude","0",PRODUCT(IF(E24="Existing Component",0,IF(sizing_vcfops_deployment_model_chosen="Deploy HA",3,1)),VLOOKUP(E24,table_vrli_appliance_disk,2,)))</f>
        <v>0</v>
      </c>
      <c r="O23" s="35"/>
      <c r="P23" s="35"/>
      <c r="Q23" s="35"/>
      <c r="R23" s="35"/>
      <c r="S23" s="6"/>
      <c r="T23" s="6"/>
      <c r="U23" s="486"/>
      <c r="V23" s="486"/>
      <c r="W23" s="486"/>
      <c r="X23" s="486"/>
      <c r="Y23" s="486"/>
      <c r="Z23" s="486"/>
      <c r="AA23" s="486"/>
      <c r="AB23" s="486"/>
      <c r="AC23" s="360"/>
      <c r="AD23" s="360"/>
      <c r="AE23" s="360"/>
      <c r="AF23" s="360"/>
      <c r="AG23" s="360"/>
    </row>
    <row r="24" spans="2:33" ht="20" customHeight="1" x14ac:dyDescent="0.2">
      <c r="B24" s="416" t="s">
        <v>3957</v>
      </c>
      <c r="C24" s="416"/>
      <c r="D24" s="416"/>
      <c r="E24" s="106" t="s">
        <v>13</v>
      </c>
      <c r="G24" s="428" t="s">
        <v>3958</v>
      </c>
      <c r="H24" s="429"/>
      <c r="I24" s="430"/>
      <c r="J24" s="337">
        <f>IF(sizing_vcfops_net_chosen="Exclude",0,IF(sizing_vcfops_deployment_model_chosen="Deploy HA",3,1))</f>
        <v>0</v>
      </c>
      <c r="K24" s="337" t="str">
        <f>IF(sizing_vcfops_net_chosen="Exclude","0",PRODUCT(VLOOKUP(sizing_vcfops_net_chosen,table_vcfopsnet_appliance_cpu,2,),J24))</f>
        <v>0</v>
      </c>
      <c r="L24" s="337" t="str">
        <f>IF(sizing_vcfops_net_chosen="Exclude","0",PRODUCT(VLOOKUP(sizing_vcfops_net_chosen,table_vcfopsnet_appliance_ram,2,),J24))</f>
        <v>0</v>
      </c>
      <c r="M24" s="337" t="str">
        <f>IF(sizing_vcfops_net_chosen="Exclude","0",PRODUCT(VLOOKUP(sizing_vcfops_net_chosen,table_vcfopsnet_appliance_disk,2,),J24))</f>
        <v>0</v>
      </c>
      <c r="N24" s="6"/>
      <c r="O24" s="35"/>
      <c r="P24" s="35"/>
      <c r="Q24" s="35"/>
      <c r="R24" s="35"/>
      <c r="S24" s="6"/>
      <c r="T24" s="6"/>
      <c r="U24" s="486"/>
      <c r="V24" s="486"/>
      <c r="W24" s="486"/>
      <c r="X24" s="486"/>
      <c r="Y24" s="486"/>
      <c r="Z24" s="486"/>
      <c r="AA24" s="486"/>
      <c r="AB24" s="486"/>
      <c r="AC24" s="360"/>
      <c r="AD24" s="360"/>
      <c r="AE24" s="360"/>
      <c r="AF24" s="360"/>
      <c r="AG24" s="360"/>
    </row>
    <row r="25" spans="2:33" ht="20" customHeight="1" x14ac:dyDescent="0.2">
      <c r="B25" s="416" t="s">
        <v>3959</v>
      </c>
      <c r="C25" s="416"/>
      <c r="D25" s="416"/>
      <c r="E25" s="106" t="s">
        <v>13</v>
      </c>
      <c r="G25" s="428" t="s">
        <v>3960</v>
      </c>
      <c r="H25" s="429"/>
      <c r="I25" s="430"/>
      <c r="J25" s="337">
        <f>IF(sizing_vcfops_net_collector_chosen="Exclude",0,1)</f>
        <v>0</v>
      </c>
      <c r="K25" s="337" t="str">
        <f>IF(sizing_vcfops_net_collector_chosen="Exclude","0",PRODUCT(IF(sizing_vcfops_net_collector_chosen="Exclude",0,1),VLOOKUP(sizing_vcfops_net_collector_chosen,table_vcfopsnet_collector_cpu,2,)))</f>
        <v>0</v>
      </c>
      <c r="L25" s="337" t="str">
        <f>IF(sizing_vcfops_net_collector_chosen="Exclude","0",PRODUCT(IF(sizing_vcfops_net_collector_chosen="Exclude",0,1),VLOOKUP(sizing_vcfops_net_collector_chosen,table_vcfopsnet_collector_ram,2,)))</f>
        <v>0</v>
      </c>
      <c r="M25" s="337" t="str">
        <f>IF(sizing_vcfops_net_collector_chosen="Exclude","0",PRODUCT(IF(sizing_vcfops_net_collector_chosen="Excludet",0,1),VLOOKUP(sizing_vcfops_net_collector_chosen,table_vcfopsnet_collector_disk,2,)))</f>
        <v>0</v>
      </c>
      <c r="N25" s="6"/>
      <c r="O25" s="35"/>
      <c r="P25" s="35"/>
      <c r="Q25" s="35"/>
      <c r="R25" s="35"/>
      <c r="S25" s="6"/>
      <c r="T25" s="6"/>
      <c r="U25" s="486"/>
      <c r="V25" s="486"/>
      <c r="W25" s="486"/>
      <c r="X25" s="486"/>
      <c r="Y25" s="486"/>
      <c r="Z25" s="486"/>
      <c r="AA25" s="486"/>
      <c r="AB25" s="486"/>
      <c r="AC25" s="360"/>
      <c r="AD25" s="360"/>
      <c r="AE25" s="360"/>
      <c r="AF25" s="360"/>
      <c r="AG25" s="360"/>
    </row>
    <row r="26" spans="2:33" ht="20" customHeight="1" x14ac:dyDescent="0.2">
      <c r="B26" s="416" t="s">
        <v>3961</v>
      </c>
      <c r="C26" s="416"/>
      <c r="D26" s="416"/>
      <c r="E26" s="241" t="s">
        <v>13</v>
      </c>
      <c r="G26" s="343" t="s">
        <v>3962</v>
      </c>
      <c r="H26" s="344"/>
      <c r="I26" s="345"/>
      <c r="J26" s="337">
        <f>IF(OR(sizing_vcfvidb_chosen="Embedded",sizing_vcfvidb_chosen="Exclude"),0,IF(sizing_vcfvidb_chosen="Deploy HA",3,1))</f>
        <v>0</v>
      </c>
      <c r="K26" s="337">
        <f>PRODUCT(VLOOKUP("Medium",table_wsa_appliance_cpu,2,FALSE),J26)</f>
        <v>0</v>
      </c>
      <c r="L26" s="337">
        <f>PRODUCT(VLOOKUP("Medium",table_wsa_appliance_ram,2,FALSE),J26)</f>
        <v>0</v>
      </c>
      <c r="M26" s="337">
        <f>PRODUCT(VLOOKUP("Medium",table_wsa_appliance_disk,2,FALSE),J26)</f>
        <v>0</v>
      </c>
      <c r="N26" s="6"/>
      <c r="O26" s="35"/>
      <c r="P26" s="35"/>
      <c r="Q26" s="35"/>
      <c r="R26" s="35"/>
      <c r="S26" s="6"/>
      <c r="T26" s="6"/>
      <c r="U26" s="486"/>
      <c r="V26" s="486"/>
      <c r="W26" s="486"/>
      <c r="X26" s="486"/>
      <c r="Y26" s="486"/>
      <c r="Z26" s="486"/>
      <c r="AA26" s="486"/>
      <c r="AB26" s="486"/>
      <c r="AC26" s="360"/>
      <c r="AD26" s="360"/>
      <c r="AE26" s="360"/>
      <c r="AF26" s="360"/>
      <c r="AG26" s="360"/>
    </row>
    <row r="27" spans="2:33" ht="20" customHeight="1" x14ac:dyDescent="0.2">
      <c r="B27" s="428" t="s">
        <v>3962</v>
      </c>
      <c r="C27" s="429"/>
      <c r="D27" s="430"/>
      <c r="E27" s="106" t="s">
        <v>13</v>
      </c>
      <c r="G27" s="343" t="s">
        <v>3963</v>
      </c>
      <c r="H27" s="344"/>
      <c r="I27" s="345"/>
      <c r="J27" s="337">
        <f>G79</f>
        <v>0</v>
      </c>
      <c r="K27" s="331">
        <f>(SUMPRODUCT('Management Domain Sizing'!$G$71:$G$78,'Management Domain Sizing'!H71:H78))</f>
        <v>0</v>
      </c>
      <c r="L27" s="331">
        <f>(SUMPRODUCT('Management Domain Sizing'!$G$71:$G$78,'Management Domain Sizing'!I71:I78))</f>
        <v>0</v>
      </c>
      <c r="M27" s="331">
        <f>(SUMPRODUCT('Management Domain Sizing'!$G$71:$G$78,'Management Domain Sizing'!J71:J78))</f>
        <v>0</v>
      </c>
      <c r="N27" s="6"/>
      <c r="O27" s="35"/>
      <c r="P27" s="35"/>
      <c r="Q27" s="35"/>
      <c r="R27" s="35"/>
      <c r="S27" s="6"/>
      <c r="T27" s="6"/>
      <c r="U27" s="486"/>
      <c r="V27" s="486"/>
      <c r="W27" s="486"/>
      <c r="X27" s="486"/>
      <c r="Y27" s="486"/>
      <c r="Z27" s="486"/>
      <c r="AA27" s="486"/>
      <c r="AB27" s="486"/>
      <c r="AC27" s="360"/>
      <c r="AD27" s="360"/>
      <c r="AE27" s="360"/>
      <c r="AF27" s="360"/>
      <c r="AG27" s="360"/>
    </row>
    <row r="28" spans="2:33" ht="20" customHeight="1" x14ac:dyDescent="0.2">
      <c r="G28" s="351" t="s">
        <v>3964</v>
      </c>
      <c r="H28" s="372"/>
      <c r="I28" s="352"/>
      <c r="J28" s="4">
        <f>SUM(J8:J27)</f>
        <v>7</v>
      </c>
      <c r="K28" s="361" t="str">
        <f>CONCATENATE(SUM(K8:K27)," vCPUs")</f>
        <v>32 vCPUs</v>
      </c>
      <c r="L28" s="361" t="str">
        <f>CONCATENATE(SUM(L8:L27)," GB")</f>
        <v>119 GB</v>
      </c>
      <c r="M28" s="361" t="str">
        <f>CONCATENATE(SUM(M8:M27), " GB")</f>
        <v>2722 GB</v>
      </c>
      <c r="N28" s="6"/>
      <c r="O28" s="35"/>
      <c r="P28" s="35"/>
      <c r="Q28" s="35"/>
      <c r="R28" s="35"/>
      <c r="S28" s="6"/>
      <c r="T28" s="6"/>
      <c r="U28" s="486"/>
      <c r="V28" s="486"/>
      <c r="W28" s="486"/>
      <c r="X28" s="486"/>
      <c r="Y28" s="486"/>
      <c r="Z28" s="486"/>
      <c r="AA28" s="486"/>
      <c r="AB28" s="486"/>
      <c r="AC28" s="360"/>
      <c r="AD28" s="360"/>
      <c r="AE28" s="360"/>
      <c r="AF28" s="360"/>
      <c r="AG28" s="360"/>
    </row>
    <row r="29" spans="2:33" ht="20" customHeight="1" x14ac:dyDescent="0.2"/>
    <row r="30" spans="2:33" s="104" customFormat="1" ht="34" customHeight="1" x14ac:dyDescent="0.2">
      <c r="B30" s="340" t="s">
        <v>2724</v>
      </c>
      <c r="C30" s="341"/>
      <c r="D30" s="341"/>
      <c r="E30" s="341"/>
      <c r="F30" s="341"/>
      <c r="G30" s="341"/>
      <c r="H30" s="341"/>
      <c r="I30" s="341"/>
      <c r="J30" s="341"/>
      <c r="K30" s="341"/>
      <c r="L30" s="341"/>
      <c r="M30" s="341"/>
      <c r="N30" s="441"/>
      <c r="O30" s="441"/>
      <c r="P30" s="441"/>
      <c r="Q30" s="441"/>
      <c r="R30" s="441"/>
      <c r="S30" s="441"/>
      <c r="T30" s="441"/>
      <c r="U30" s="441"/>
      <c r="V30" s="441"/>
      <c r="W30" s="441"/>
      <c r="X30" s="441"/>
      <c r="Y30" s="441"/>
      <c r="Z30" s="441"/>
      <c r="AA30" s="441"/>
      <c r="AB30" s="441"/>
    </row>
    <row r="31" spans="2:33" ht="20" customHeight="1" x14ac:dyDescent="0.2">
      <c r="B31" s="346" t="s">
        <v>2726</v>
      </c>
      <c r="C31" s="346" t="s">
        <v>3965</v>
      </c>
      <c r="D31" s="447" t="s">
        <v>3966</v>
      </c>
      <c r="E31" s="449"/>
      <c r="F31" s="447" t="s">
        <v>3967</v>
      </c>
      <c r="G31" s="449"/>
      <c r="H31" s="346" t="s">
        <v>3968</v>
      </c>
      <c r="I31" s="447" t="s">
        <v>3969</v>
      </c>
      <c r="J31" s="448"/>
      <c r="K31" s="449"/>
      <c r="L31" s="447" t="s">
        <v>3970</v>
      </c>
      <c r="M31" s="448"/>
      <c r="N31" s="449"/>
      <c r="O31" s="447" t="s">
        <v>3971</v>
      </c>
      <c r="P31" s="449"/>
      <c r="Q31" s="447" t="s">
        <v>3972</v>
      </c>
      <c r="R31" s="448"/>
      <c r="S31" s="448"/>
      <c r="T31" s="449"/>
      <c r="U31" s="431" t="s">
        <v>3973</v>
      </c>
      <c r="V31" s="431"/>
      <c r="W31" s="431"/>
      <c r="X31" s="316" t="s">
        <v>20</v>
      </c>
      <c r="Y31" s="316"/>
      <c r="Z31" s="316"/>
      <c r="AA31" s="316"/>
      <c r="AB31" s="317"/>
    </row>
    <row r="32" spans="2:33" ht="20" customHeight="1" x14ac:dyDescent="0.2">
      <c r="B32" s="331" t="s">
        <v>3974</v>
      </c>
      <c r="C32" s="347" t="s">
        <v>3975</v>
      </c>
      <c r="D32" s="347" t="s">
        <v>93</v>
      </c>
      <c r="E32" s="337" t="str">
        <f>CONCATENATE(IF(sizing_m01_included="Included",VLOOKUP(D32,table_vcenter_appliance_cpu,2,FALSE),0)," CPUS ",": ",IF(sizing_m01_included="Included",VLOOKUP(D32,table_vcenter_appliance_ram,2,FALSE),0)," GB")</f>
        <v>8 CPUS : 30 GB</v>
      </c>
      <c r="F32" s="347" t="s">
        <v>852</v>
      </c>
      <c r="G32" s="337" t="str">
        <f>CONCATENATE(IF(sizing_m01_included="Included",VLOOKUP(CONCATENATE(D32,F32),table_vcenter_disk_gb,2,FALSE),0)," GB")</f>
        <v>908 GB</v>
      </c>
      <c r="H32" s="347" t="s">
        <v>3976</v>
      </c>
      <c r="I32" s="347" t="s">
        <v>93</v>
      </c>
      <c r="J32" s="428" t="str">
        <f>CONCATENATE(IF(AND(sizing_m01_included="Included",mgmt_nsxt_appliance_size_chosen&lt;&gt;"Shared"),
VLOOKUP(sizing_m01_nsxt_appliance_size,table_nsxt_manager_cpu,2,FALSE),0), " CPUS : ",IF(AND(sizing_m01_included="Included",mgmt_nsxt_appliance_size_chosen&lt;&gt;"Shared"),
VLOOKUP(sizing_m01_nsxt_appliance_size,table_nsxt_manager_ram,2,FALSE),0)," GB : ",IF(AND(sizing_m01_included="Included",mgmt_nsxt_appliance_size_chosen&lt;&gt;"Shared"),
VLOOKUP(sizing_m01_nsxt_appliance_size,table_nsxt_manager_disk_gb,2,FALSE),0)," GB")</f>
        <v>6 CPUS : 24 GB : 300 GB</v>
      </c>
      <c r="K32" s="430"/>
      <c r="L32" s="347" t="s">
        <v>2480</v>
      </c>
      <c r="M32" s="428"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0 GB : 0 RAM : 0 GB</v>
      </c>
      <c r="N32" s="430"/>
      <c r="O32" s="347" t="s">
        <v>2480</v>
      </c>
      <c r="P32" s="337"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0 CPU : 0 GB : 0 GB</v>
      </c>
      <c r="Q32" s="347" t="s">
        <v>2480</v>
      </c>
      <c r="R32" s="428"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2" s="429"/>
      <c r="T32" s="430"/>
      <c r="U32" s="347" t="s">
        <v>2480</v>
      </c>
      <c r="V32" s="416" t="str">
        <f>CONCATENATE(IF(sizing_m01_ssp_chosen&lt;&gt;"Excluded",VLOOKUP(sizing_m01_ssp_chosen,table_ssp_cpu,2,FALSE),0)," CPUs : ",IF(sizing_m01_ssp_chosen&lt;&gt;"Excluded",VLOOKUP(sizing_m01_ssp_chosen,table_ssp_ram,2,FALSE),0), " GB : ",IF(sizing_m01_ssp_chosen&lt;&gt;"Excluded",VLOOKUP(sizing_m01_ssp_chosen,table_ssp_disk,2,FALSE),0)," GB")</f>
        <v>0 CPUs : 0 GB : 0 GB</v>
      </c>
      <c r="W32" s="416"/>
      <c r="X32" s="344" t="str">
        <f>IF(sizing_m01_included="Included",CONCATENATE("vCenter ",VLOOKUP(mgmt_vcenter_appliance_size_chosen,vcenter_sizing_limits,2,FALSE)," | NSX ",VLOOKUP(sizing_m01_nsxt_appliance_size,nsx_sizing_limits,2,FALSE)),"")</f>
        <v>vCenter 100 Hosts 1000 VMs | NSX 128 Hosts - 5 vSphere Clusters</v>
      </c>
      <c r="Y32" s="344"/>
      <c r="Z32" s="344"/>
      <c r="AA32" s="344"/>
      <c r="AB32" s="345"/>
    </row>
    <row r="33" spans="2:28" ht="20" customHeight="1" x14ac:dyDescent="0.2">
      <c r="G33" s="3"/>
      <c r="I33" s="2"/>
    </row>
    <row r="34" spans="2:28" s="104" customFormat="1" ht="34" customHeight="1" x14ac:dyDescent="0.2">
      <c r="B34" s="340" t="s">
        <v>3977</v>
      </c>
      <c r="C34" s="341"/>
      <c r="D34" s="107"/>
      <c r="E34" s="107"/>
      <c r="F34" s="107"/>
      <c r="G34" s="107"/>
      <c r="H34" s="107"/>
      <c r="I34" s="107"/>
      <c r="J34" s="107"/>
      <c r="K34" s="107"/>
      <c r="L34" s="107"/>
      <c r="M34" s="107"/>
      <c r="N34" s="107"/>
      <c r="O34" s="107"/>
      <c r="P34" s="357"/>
      <c r="Q34" s="357"/>
      <c r="R34" s="480"/>
      <c r="S34" s="480"/>
      <c r="T34" s="480"/>
      <c r="U34" s="480"/>
      <c r="V34" s="480"/>
      <c r="W34" s="480"/>
      <c r="X34" s="480"/>
      <c r="Y34" s="480"/>
      <c r="Z34" s="480"/>
      <c r="AA34" s="480"/>
      <c r="AB34" s="480"/>
    </row>
    <row r="35" spans="2:28" ht="20" customHeight="1" x14ac:dyDescent="0.2">
      <c r="B35" s="346" t="s">
        <v>2726</v>
      </c>
      <c r="C35" s="346" t="s">
        <v>3965</v>
      </c>
      <c r="D35" s="431" t="s">
        <v>3978</v>
      </c>
      <c r="E35" s="431"/>
      <c r="F35" s="447" t="s">
        <v>3979</v>
      </c>
      <c r="G35" s="449"/>
      <c r="H35" s="346" t="s">
        <v>3968</v>
      </c>
      <c r="I35" s="431" t="s">
        <v>3980</v>
      </c>
      <c r="J35" s="431"/>
      <c r="K35" s="431"/>
      <c r="L35" s="346" t="s">
        <v>3981</v>
      </c>
      <c r="M35" s="447" t="s">
        <v>3982</v>
      </c>
      <c r="N35" s="448"/>
      <c r="O35" s="449"/>
      <c r="P35" s="431" t="s">
        <v>3983</v>
      </c>
      <c r="Q35" s="431"/>
      <c r="R35" s="431"/>
      <c r="S35" s="431" t="s">
        <v>3972</v>
      </c>
      <c r="T35" s="431"/>
      <c r="U35" s="431"/>
      <c r="V35" s="447" t="s">
        <v>3984</v>
      </c>
      <c r="W35" s="449"/>
      <c r="X35" s="447" t="s">
        <v>20</v>
      </c>
      <c r="Y35" s="448"/>
      <c r="Z35" s="448"/>
      <c r="AA35" s="448"/>
      <c r="AB35" s="449"/>
    </row>
    <row r="36" spans="2:28" ht="20" customHeight="1" x14ac:dyDescent="0.2">
      <c r="B36" s="331" t="s">
        <v>3985</v>
      </c>
      <c r="C36" s="108" t="s">
        <v>2480</v>
      </c>
      <c r="D36" s="347" t="s">
        <v>93</v>
      </c>
      <c r="E36" s="337" t="str">
        <f>CONCATENATE(IF(sizing_w01_chosen="Included",VLOOKUP(sizing_w01_vcenter_appliance_size,table_vcenter_appliance_cpu,2,FALSE),0)," CPUs ",": ",IF(sizing_w01_chosen="Included",VLOOKUP(sizing_w01_vcenter_appliance_size,table_vcenter_appliance_ram,2,FALSE),0)," GB")</f>
        <v>0 CPUs : 0 GB</v>
      </c>
      <c r="F36" s="347" t="s">
        <v>852</v>
      </c>
      <c r="G36" s="337" t="str">
        <f>CONCATENATE(IF(sizing_w01_chosen="Included",VLOOKUP(CONCATENATE(sizing_w01_vcenter_appliance_size,sizing_w01_vcenter_storage_size),table_vcenter_disk_gb,2,FALSE),0)," GB")</f>
        <v>0 GB</v>
      </c>
      <c r="H36" s="347" t="s">
        <v>3976</v>
      </c>
      <c r="I36" s="347" t="s">
        <v>751</v>
      </c>
      <c r="J36" s="428"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36" s="430"/>
      <c r="L36" s="347" t="s">
        <v>2480</v>
      </c>
      <c r="M36" s="347" t="s">
        <v>751</v>
      </c>
      <c r="N36" s="438"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36" s="439"/>
      <c r="P36" s="347" t="s">
        <v>13</v>
      </c>
      <c r="Q36" s="416" t="str">
        <f>(CONCATENATE(IF(AND(sizing_w01_chosen="Included",sizing_w01_spr_chosen="Include"),VLOOKUP(wld_srm_vm_size_chosen,table_srm_cpu,2,FALSE),0)," CPUs :",IF(AND(sizing_w01_chosen="Included",sizing_w01_spr_chosen="Include"),VLOOKUP(wld_srm_vm_size_chosen,table_srm_ram,2,FALSE),0)," GB : ",IF(AND(sizing_w01_chosen="Included",sizing_w01_spr_chosen="Include"),VLOOKUP(wld_srm_vm_size_chosen,table_srm_disk,2,FALSE),0)," GB"))</f>
        <v>0 CPUs :0 GB : 0 GB</v>
      </c>
      <c r="R36" s="416"/>
      <c r="S36" s="315" t="s">
        <v>2480</v>
      </c>
      <c r="T36" s="478"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36" s="479"/>
      <c r="V36" s="347" t="s">
        <v>2480</v>
      </c>
      <c r="W36" s="337" t="str">
        <f>CONCATENATE(IF(sizing_w01_ssp_chosen&lt;&gt;"Excluded",VLOOKUP(sizing_w01_ssp_chosen,table_ssp_cpu,2,FALSE),0)," CPUs : ",IF(sizing_w01_ssp_chosen&lt;&gt;"Excluded",VLOOKUP(sizing_w01_ssp_chosen,table_ssp_ram,2,FALSE),0), " GB : ",IF(sizing_w01_ssp_chosen&lt;&gt;"Excluded",VLOOKUP(sizing_w01_ssp_chosen,table_ssp_disk,2,FALSE),0)," GB")</f>
        <v>0 CPUs : 0 GB : 0 GB</v>
      </c>
      <c r="X36" s="428" t="str">
        <f>IF(sizing_w01_chosen="Included",CONCATENATE("vCenter:",VLOOKUP(sizing_w01_vcenter_appliance_size,vcenter_sizing_limits,2,FALSE)," | NSX LM ",VLOOKUP(sizing_w01_nsxt_appliance_size,nsx_sizing_limits,2,FALSE)),"")</f>
        <v/>
      </c>
      <c r="Y36" s="429"/>
      <c r="Z36" s="429"/>
      <c r="AA36" s="429"/>
      <c r="AB36" s="430"/>
    </row>
    <row r="37" spans="2:28" ht="20" customHeight="1" x14ac:dyDescent="0.2">
      <c r="B37" s="331" t="s">
        <v>3986</v>
      </c>
      <c r="C37" s="108" t="s">
        <v>2480</v>
      </c>
      <c r="D37" s="109" t="s">
        <v>93</v>
      </c>
      <c r="E37" s="337" t="str">
        <f>CONCATENATE(IF(sizing_w02_chosen="Included",VLOOKUP(sizing_w02_vcenter_appliance_size,table_vcenter_appliance_cpu,2,FALSE),0)," CPUs ",": ",IF(sizing_w02_chosen="Included",VLOOKUP(sizing_w02_vcenter_appliance_size,table_vcenter_appliance_ram,2,FALSE),0)," GB")</f>
        <v>0 CPUs : 0 GB</v>
      </c>
      <c r="F37" s="109" t="s">
        <v>852</v>
      </c>
      <c r="G37" s="337" t="str">
        <f>CONCATENATE(IF(sizing_w02_chosen="Included",VLOOKUP(CONCATENATE(sizing_w02_vcenter_appliance_size,sizing_w02_vcenter_storage_size),table_vcenter_disk_gb,2,FALSE),0)," GB")</f>
        <v>0 GB</v>
      </c>
      <c r="H37" s="109" t="s">
        <v>2632</v>
      </c>
      <c r="I37" s="109" t="s">
        <v>751</v>
      </c>
      <c r="J37" s="428"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37" s="430"/>
      <c r="L37" s="102" t="s">
        <v>2480</v>
      </c>
      <c r="M37" s="102" t="s">
        <v>751</v>
      </c>
      <c r="N37" s="438"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37" s="439"/>
      <c r="P37" s="102" t="s">
        <v>13</v>
      </c>
      <c r="Q37" s="404" t="str">
        <f>(CONCATENATE(IF(AND(sizing_w02_chosen="Included",sizing_w02_spr_chosen="Include"),VLOOKUP(wld_srm_vm_size_chosen,table_srm_cpu,2,FALSE),0)," CPUs :",IF(AND(sizing_w02_chosen="Included",sizing_w02_spr_chosen="Include"),VLOOKUP(wld_srm_vm_size_chosen,table_srm_ram,2,FALSE),0)," GB : ",IF(AND(sizing_w02_chosen="Included",sizing_w02_spr_chosen="Include"),VLOOKUP(wld_srm_vm_size_chosen,table_srm_disk,2,FALSE),0)," GB"))</f>
        <v>0 CPUs :0 GB : 0 GB</v>
      </c>
      <c r="R37" s="404"/>
      <c r="S37" s="110" t="s">
        <v>2480</v>
      </c>
      <c r="T37" s="416"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37" s="428"/>
      <c r="V37" s="347" t="s">
        <v>2480</v>
      </c>
      <c r="W37" s="337" t="str">
        <f>CONCATENATE(IF(sizing_w02_ssp_chosen&lt;&gt;"Excluded",VLOOKUP(sizing_w02_ssp_chosen,table_ssp_cpu,2,FALSE),0)," CPUs : ",IF(sizing_w02_ssp_chosen&lt;&gt;"Excluded",VLOOKUP(sizing_w02_ssp_chosen,table_ssp_ram,2,FALSE),0), " GB : ",IF(sizing_w02_ssp_chosen&lt;&gt;"Excluded",VLOOKUP(sizing_w02_ssp_chosen,table_ssp_disk,2,FALSE),0)," GB")</f>
        <v>0 CPUs : 0 GB : 0 GB</v>
      </c>
      <c r="X37" s="428" t="str">
        <f>IF(sizing_w02_chosen="Included",CONCATENATE("vCenter:",VLOOKUP(sizing_w02_vcenter_appliance_size,vcenter_sizing_limits,2,FALSE)," | NSX LM ",VLOOKUP(sizing_w02_nsxt_appliance_size,nsx_sizing_limits,2,FALSE)),"")</f>
        <v/>
      </c>
      <c r="Y37" s="429"/>
      <c r="Z37" s="429"/>
      <c r="AA37" s="429"/>
      <c r="AB37" s="430"/>
    </row>
    <row r="38" spans="2:28" ht="20" customHeight="1" x14ac:dyDescent="0.2">
      <c r="B38" s="331" t="s">
        <v>3987</v>
      </c>
      <c r="C38" s="111" t="s">
        <v>2480</v>
      </c>
      <c r="D38" s="109" t="s">
        <v>93</v>
      </c>
      <c r="E38" s="337" t="str">
        <f>CONCATENATE(IF(sizing_w03_chosen="Included",VLOOKUP(sizing_w03_vcenter_appliance_size,table_vcenter_appliance_cpu,2,FALSE),0)," CPUs ",": ",IF(sizing_w03_chosen="Included",VLOOKUP(sizing_w03_vcenter_appliance_size,table_vcenter_appliance_ram,2,FALSE),0)," GB")</f>
        <v>0 CPUs : 0 GB</v>
      </c>
      <c r="F38" s="109" t="s">
        <v>852</v>
      </c>
      <c r="G38" s="337" t="str">
        <f>CONCATENATE(IF(sizing_w03_chosen="Included",VLOOKUP(CONCATENATE(sizing_w03_vcenter_appliance_size,sizing_w03_vcenter_storage_size),table_vcenter_disk_gb,2,FALSE),0)," GB")</f>
        <v>0 GB</v>
      </c>
      <c r="H38" s="109" t="s">
        <v>2632</v>
      </c>
      <c r="I38" s="109" t="s">
        <v>751</v>
      </c>
      <c r="J38" s="428"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38" s="430"/>
      <c r="L38" s="102" t="s">
        <v>2480</v>
      </c>
      <c r="M38" s="347" t="s">
        <v>751</v>
      </c>
      <c r="N38" s="438"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38" s="439"/>
      <c r="P38" s="102" t="s">
        <v>13</v>
      </c>
      <c r="Q38" s="404" t="str">
        <f>(CONCATENATE(IF(AND(sizing_w03_chosen="Included",sizing_w03_spr_chosen="Include"),VLOOKUP(wld_srm_vm_size_chosen,table_srm_cpu,2,FALSE),0)," CPUs :",IF(AND(sizing_w03_chosen="Included",sizing_w03_spr_chosen="Include"),VLOOKUP(wld_srm_vm_size_chosen,table_srm_ram,2,FALSE),0)," GB : ",IF(AND(sizing_w03_chosen="Included",sizing_w03_spr_chosen="Include"),VLOOKUP(wld_srm_vm_size_chosen,table_srm_disk,2,FALSE),0)," GB"))</f>
        <v>0 CPUs :0 GB : 0 GB</v>
      </c>
      <c r="R38" s="404"/>
      <c r="S38" s="110" t="s">
        <v>2480</v>
      </c>
      <c r="T38" s="404"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38" s="407"/>
      <c r="V38" s="347" t="s">
        <v>2480</v>
      </c>
      <c r="W38" s="337" t="str">
        <f>CONCATENATE(IF(sizing_w03_ssp_chosen&lt;&gt;"Excluded",VLOOKUP(sizing_w03_ssp_chosen,table_ssp_cpu,2,FALSE),0)," CPUs : ",IF(sizing_w03_ssp_chosen&lt;&gt;"Excluded",VLOOKUP(sizing_w03_ssp_chosen,table_ssp_ram,2,FALSE),0), " GB : ",IF(sizing_w03_ssp_chosen&lt;&gt;"Excluded",VLOOKUP(sizing_w03_ssp_chosen,table_ssp_disk,2,FALSE),0)," GB")</f>
        <v>0 CPUs : 0 GB : 0 GB</v>
      </c>
      <c r="X38" s="428" t="str">
        <f>IF(sizing_w03_chosen="Included",CONCATENATE("vCenter:",VLOOKUP(sizing_w03_vcenter_appliance_size,vcenter_sizing_limits,2,FALSE)," | NSX LM ",VLOOKUP(sizing_w03_nsxt_appliance_size,nsx_sizing_limits,2,FALSE)),"")</f>
        <v/>
      </c>
      <c r="Y38" s="429"/>
      <c r="Z38" s="429"/>
      <c r="AA38" s="429"/>
      <c r="AB38" s="430"/>
    </row>
    <row r="39" spans="2:28" ht="20" customHeight="1" x14ac:dyDescent="0.2">
      <c r="B39" s="331" t="s">
        <v>3988</v>
      </c>
      <c r="C39" s="111" t="s">
        <v>2480</v>
      </c>
      <c r="D39" s="109" t="s">
        <v>93</v>
      </c>
      <c r="E39" s="337" t="str">
        <f>CONCATENATE(IF(sizing_w04_chosen="Included",VLOOKUP(sizing_w04_vcenter_appliance_size,table_vcenter_appliance_cpu,2,FALSE),0)," CPUs ",": ",IF(sizing_w04_chosen="Included",VLOOKUP(sizing_w04_vcenter_appliance_size,table_vcenter_appliance_ram,2,FALSE),0)," GB")</f>
        <v>0 CPUs : 0 GB</v>
      </c>
      <c r="F39" s="109" t="s">
        <v>852</v>
      </c>
      <c r="G39" s="337" t="str">
        <f>CONCATENATE(IF(sizing_w04_chosen="Included",VLOOKUP(CONCATENATE(sizing_w04_vcenter_appliance_size,sizing_w04_vcenter_storage_size),table_vcenter_disk_gb,2,FALSE),0)," GB")</f>
        <v>0 GB</v>
      </c>
      <c r="H39" s="109" t="s">
        <v>2632</v>
      </c>
      <c r="I39" s="109" t="s">
        <v>751</v>
      </c>
      <c r="J39" s="428"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39" s="430"/>
      <c r="L39" s="102" t="s">
        <v>2480</v>
      </c>
      <c r="M39" s="347" t="s">
        <v>751</v>
      </c>
      <c r="N39" s="438"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39" s="439"/>
      <c r="P39" s="102" t="s">
        <v>13</v>
      </c>
      <c r="Q39" s="404" t="str">
        <f>(CONCATENATE(IF(AND(sizing_w04_chosen="Included",sizing_w04_spr_chosen="Include"),VLOOKUP(wld_srm_vm_size_chosen,table_srm_cpu,2,FALSE),0)," CPUs :",IF(AND(sizing_w04_chosen="Included",sizing_w04_spr_chosen="Include"),VLOOKUP(wld_srm_vm_size_chosen,table_srm_ram,2,FALSE),0)," GB : ",IF(AND(sizing_w04_chosen="Included",sizing_w04_spr_chosen="Include"),VLOOKUP(wld_srm_vm_size_chosen,table_srm_disk,2,FALSE),0)," GB"))</f>
        <v>0 CPUs :0 GB : 0 GB</v>
      </c>
      <c r="R39" s="404"/>
      <c r="S39" s="102" t="s">
        <v>2480</v>
      </c>
      <c r="T39" s="404"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39" s="407"/>
      <c r="V39" s="347" t="s">
        <v>2480</v>
      </c>
      <c r="W39" s="337" t="str">
        <f>CONCATENATE(IF(sizing_w04_ssp_chosen&lt;&gt;"Excluded",VLOOKUP(sizing_w04_ssp_chosen,table_ssp_cpu,2,FALSE),0)," CPUs : ",IF(sizing_w04_ssp_chosen&lt;&gt;"Excluded",VLOOKUP(sizing_w04_ssp_chosen,table_ssp_ram,2,FALSE),0), " GB : ",IF(sizing_w04_ssp_chosen&lt;&gt;"Excluded",VLOOKUP(sizing_w04_ssp_chosen,table_ssp_disk,2,FALSE),0)," GB")</f>
        <v>0 CPUs : 0 GB : 0 GB</v>
      </c>
      <c r="X39" s="428" t="str">
        <f>IF(sizing_w04_chosen="Included",CONCATENATE("vCenter:",VLOOKUP(sizing_w04_vcenter_appliance_size,vcenter_sizing_limits,2,FALSE)," | NSX LM ",VLOOKUP(sizing_w04_nsxt_appliance_size,nsx_sizing_limits,2,FALSE)),"")</f>
        <v/>
      </c>
      <c r="Y39" s="429"/>
      <c r="Z39" s="429"/>
      <c r="AA39" s="429"/>
      <c r="AB39" s="430"/>
    </row>
    <row r="40" spans="2:28" ht="20" customHeight="1" x14ac:dyDescent="0.2">
      <c r="B40" s="331" t="s">
        <v>3989</v>
      </c>
      <c r="C40" s="111" t="s">
        <v>2480</v>
      </c>
      <c r="D40" s="109" t="s">
        <v>93</v>
      </c>
      <c r="E40" s="100" t="str">
        <f>CONCATENATE(IF(sizing_w05_chosen="Included",VLOOKUP(sizing_w05_vcenter_appliance_size,table_vcenter_appliance_cpu,2,FALSE),0)," CPUs ",": ",IF(sizing_w05_chosen="Included",VLOOKUP(sizing_w05_vcenter_appliance_size,table_vcenter_appliance_ram,2,FALSE),0)," GB")</f>
        <v>0 CPUs : 0 GB</v>
      </c>
      <c r="F40" s="109" t="s">
        <v>852</v>
      </c>
      <c r="G40" s="100" t="str">
        <f>CONCATENATE(IF(sizing_w05_chosen="Included",VLOOKUP(CONCATENATE(sizing_w05_vcenter_appliance_size,sizing_w05_vcenter_storage_size),table_vcenter_disk_gb,2,FALSE),0)," GB")</f>
        <v>0 GB</v>
      </c>
      <c r="H40" s="109" t="s">
        <v>2632</v>
      </c>
      <c r="I40" s="109" t="s">
        <v>751</v>
      </c>
      <c r="J40" s="436"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0" s="437"/>
      <c r="L40" s="102" t="s">
        <v>2480</v>
      </c>
      <c r="M40" s="347" t="s">
        <v>751</v>
      </c>
      <c r="N40" s="438"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0" s="439"/>
      <c r="P40" s="102" t="s">
        <v>13</v>
      </c>
      <c r="Q40" s="404" t="str">
        <f>(CONCATENATE(IF(AND(sizing_w05_chosen="Included",sizing_w05_spr_chosen="Include"),VLOOKUP(wld_srm_vm_size_chosen,table_srm_cpu,2,FALSE),0)," CPUs :",IF(AND(sizing_w05_chosen="Included",sizing_w05_spr_chosen="Include"),VLOOKUP(wld_srm_vm_size_chosen,table_srm_ram,2,FALSE),0)," GB : ",IF(AND(sizing_w05_chosen="Included",sizing_w05_spr_chosen="Include"),VLOOKUP(wld_srm_vm_size_chosen,table_srm_disk,2,FALSE),0)," GB"))</f>
        <v>0 CPUs :0 GB : 0 GB</v>
      </c>
      <c r="R40" s="404"/>
      <c r="S40" s="102" t="s">
        <v>2480</v>
      </c>
      <c r="T40" s="404"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0" s="407"/>
      <c r="V40" s="347" t="s">
        <v>2480</v>
      </c>
      <c r="W40" s="337" t="str">
        <f>CONCATENATE(IF(sizing_w05_ssp_chosen&lt;&gt;"Excluded",VLOOKUP(sizing_w05_ssp_chosen,table_ssp_cpu,2,FALSE),0)," CPUs : ",IF(sizing_w05_ssp_chosen&lt;&gt;"Excluded",VLOOKUP(sizing_w05_ssp_chosen,table_ssp_ram,2,FALSE),0), " GB : ",IF(sizing_w05_ssp_chosen&lt;&gt;"Excluded",VLOOKUP(sizing_w05_ssp_chosen,table_ssp_disk,2,FALSE),0)," GB")</f>
        <v>0 CPUs : 0 GB : 0 GB</v>
      </c>
      <c r="X40" s="428" t="str">
        <f>IF(sizing_w05_chosen="Included",CONCATENATE("vCenter:",VLOOKUP(sizing_w05_vcenter_appliance_size,vcenter_sizing_limits,2,FALSE)," | NSX LM ",VLOOKUP(sizing_w05_nsxt_appliance_size,nsx_sizing_limits,2,FALSE)),"")</f>
        <v/>
      </c>
      <c r="Y40" s="429"/>
      <c r="Z40" s="429"/>
      <c r="AA40" s="429"/>
      <c r="AB40" s="430"/>
    </row>
    <row r="41" spans="2:28" ht="20" customHeight="1" x14ac:dyDescent="0.2">
      <c r="B41" s="331" t="s">
        <v>3990</v>
      </c>
      <c r="C41" s="111" t="s">
        <v>2480</v>
      </c>
      <c r="D41" s="109" t="s">
        <v>93</v>
      </c>
      <c r="E41" s="100" t="str">
        <f>CONCATENATE(IF(sizing_w06_chosen="Included",VLOOKUP(sizing_w06_vcenter_appliance_size,table_vcenter_appliance_cpu,2,FALSE),0)," CPUs ",": ",IF(sizing_w06_chosen="Included",VLOOKUP(sizing_w06_vcenter_appliance_size,table_vcenter_appliance_ram,2,FALSE),0)," GB")</f>
        <v>0 CPUs : 0 GB</v>
      </c>
      <c r="F41" s="109" t="s">
        <v>852</v>
      </c>
      <c r="G41" s="100" t="str">
        <f>CONCATENATE(IF(sizing_w06_chosen="Included",VLOOKUP(CONCATENATE(sizing_w06_vcenter_appliance_size,sizing_w06_vcenter_storage_size),table_vcenter_disk_gb,2,FALSE),0)," GB")</f>
        <v>0 GB</v>
      </c>
      <c r="H41" s="109" t="s">
        <v>2632</v>
      </c>
      <c r="I41" s="109" t="s">
        <v>751</v>
      </c>
      <c r="J41" s="436"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1" s="437"/>
      <c r="L41" s="102" t="s">
        <v>2480</v>
      </c>
      <c r="M41" s="347" t="s">
        <v>751</v>
      </c>
      <c r="N41" s="438"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1" s="439"/>
      <c r="P41" s="102" t="s">
        <v>13</v>
      </c>
      <c r="Q41" s="404" t="str">
        <f>(CONCATENATE(IF(AND(sizing_w06_chosen="Included",sizing_w06_spr_chosen="Include"),VLOOKUP(wld_srm_vm_size_chosen,table_srm_cpu,2,FALSE),0)," CPUs :",IF(AND(sizing_w06_chosen="Included",sizing_w06_spr_chosen="Include"),VLOOKUP(wld_srm_vm_size_chosen,table_srm_ram,2,FALSE),0)," GB : ",IF(AND(sizing_w06_chosen="Included",sizing_w06_spr_chosen="Include"),VLOOKUP(wld_srm_vm_size_chosen,table_srm_disk,2,FALSE),0)," GB"))</f>
        <v>0 CPUs :0 GB : 0 GB</v>
      </c>
      <c r="R41" s="404"/>
      <c r="S41" s="102" t="s">
        <v>2480</v>
      </c>
      <c r="T41" s="404"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1" s="407"/>
      <c r="V41" s="347" t="s">
        <v>2480</v>
      </c>
      <c r="W41" s="337" t="str">
        <f>CONCATENATE(IF(sizing_w06_ssp_chosen&lt;&gt;"Excluded",VLOOKUP(sizing_w06_ssp_chosen,table_ssp_cpu,2,FALSE),0)," CPUs : ",IF(sizing_w06_ssp_chosen&lt;&gt;"Excluded",VLOOKUP(sizing_w06_ssp_chosen,table_ssp_ram,2,FALSE),0), " GB : ",IF(sizing_w06_ssp_chosen&lt;&gt;"Excluded",VLOOKUP(sizing_w06_ssp_chosen,table_ssp_disk,2,FALSE),0)," GB")</f>
        <v>0 CPUs : 0 GB : 0 GB</v>
      </c>
      <c r="X41" s="428" t="str">
        <f>IF(sizing_w06_chosen="Included",CONCATENATE("vCenter:",VLOOKUP(sizing_w06_vcenter_appliance_size,vcenter_sizing_limits,2,FALSE)," | NSX LM ",VLOOKUP(sizing_w06_nsxt_appliance_size,nsx_sizing_limits,2,FALSE)),"")</f>
        <v/>
      </c>
      <c r="Y41" s="429"/>
      <c r="Z41" s="429"/>
      <c r="AA41" s="429"/>
      <c r="AB41" s="430"/>
    </row>
    <row r="42" spans="2:28" ht="20" customHeight="1" x14ac:dyDescent="0.2">
      <c r="B42" s="331" t="s">
        <v>3991</v>
      </c>
      <c r="C42" s="111" t="s">
        <v>2480</v>
      </c>
      <c r="D42" s="109" t="s">
        <v>93</v>
      </c>
      <c r="E42" s="100" t="str">
        <f>CONCATENATE(IF(sizing_w07_chosen="Included",VLOOKUP(sizing_w07_vcenter_appliance_size,table_vcenter_appliance_cpu,2,FALSE),0)," CPUs ",": ",IF(sizing_w07_chosen="Included",VLOOKUP(sizing_w07_vcenter_appliance_size,table_vcenter_appliance_ram,2,FALSE),0)," GB")</f>
        <v>0 CPUs : 0 GB</v>
      </c>
      <c r="F42" s="109" t="s">
        <v>852</v>
      </c>
      <c r="G42" s="100" t="str">
        <f>CONCATENATE(IF(sizing_w07_chosen="Included",VLOOKUP(CONCATENATE(sizing_w07_vcenter_appliance_size,sizing_w07_vcenter_storage_size),table_vcenter_disk_gb,2,FALSE),0)," GB")</f>
        <v>0 GB</v>
      </c>
      <c r="H42" s="109" t="s">
        <v>2632</v>
      </c>
      <c r="I42" s="109" t="s">
        <v>751</v>
      </c>
      <c r="J42" s="436"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2" s="437"/>
      <c r="L42" s="102" t="s">
        <v>2480</v>
      </c>
      <c r="M42" s="347" t="s">
        <v>751</v>
      </c>
      <c r="N42" s="438"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2" s="439"/>
      <c r="P42" s="102" t="s">
        <v>13</v>
      </c>
      <c r="Q42" s="404" t="str">
        <f>(CONCATENATE(IF(AND(sizing_w07_chosen="Included",sizing_w07_spr_chosen="Include"),VLOOKUP(wld_srm_vm_size_chosen,table_srm_cpu,2,FALSE),0)," CPUs :",IF(AND(sizing_w07_chosen="Included",sizing_w07_spr_chosen="Include"),VLOOKUP(wld_srm_vm_size_chosen,table_srm_ram,2,FALSE),0)," GB : ",IF(AND(sizing_w07_chosen="Included",sizing_w07_spr_chosen="Include"),VLOOKUP(wld_srm_vm_size_chosen,table_srm_disk,2,FALSE),0)," GB"))</f>
        <v>0 CPUs :0 GB : 0 GB</v>
      </c>
      <c r="R42" s="404"/>
      <c r="S42" s="102" t="s">
        <v>2480</v>
      </c>
      <c r="T42" s="404"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2" s="407"/>
      <c r="V42" s="347" t="s">
        <v>2480</v>
      </c>
      <c r="W42" s="337" t="str">
        <f>CONCATENATE(IF(sizing_w07_ssp_chosen&lt;&gt;"Excluded",VLOOKUP(sizing_w07_ssp_chosen,table_ssp_cpu,2,FALSE),0)," CPUs : ",IF(sizing_w07_ssp_chosen&lt;&gt;"Excluded",VLOOKUP(sizing_w07_ssp_chosen,table_ssp_ram,2,FALSE),0), " GB : ",IF(sizing_w07_ssp_chosen&lt;&gt;"Excluded",VLOOKUP(sizing_w07_ssp_chosen,table_ssp_disk,2,FALSE),0)," GB")</f>
        <v>0 CPUs : 0 GB : 0 GB</v>
      </c>
      <c r="X42" s="428" t="str">
        <f>IF(sizing_w07_chosen="Included",CONCATENATE("vCenter:",VLOOKUP(sizing_w07_vcenter_appliance_size,vcenter_sizing_limits,2,FALSE)," | NSX LM ",VLOOKUP(sizing_w07_nsxt_appliance_size,nsx_sizing_limits,2,FALSE)),"")</f>
        <v/>
      </c>
      <c r="Y42" s="429"/>
      <c r="Z42" s="429"/>
      <c r="AA42" s="429"/>
      <c r="AB42" s="430"/>
    </row>
    <row r="43" spans="2:28" ht="20" customHeight="1" x14ac:dyDescent="0.2">
      <c r="B43" s="331" t="s">
        <v>3992</v>
      </c>
      <c r="C43" s="111" t="s">
        <v>2480</v>
      </c>
      <c r="D43" s="109" t="s">
        <v>93</v>
      </c>
      <c r="E43" s="100" t="str">
        <f>CONCATENATE(IF(sizing_w08_chosen="Included",VLOOKUP(sizing_w08_vcenter_appliance_size,table_vcenter_appliance_cpu,2,FALSE),0)," CPUs ",": ",IF(sizing_w08_chosen="Included",VLOOKUP(sizing_w08_vcenter_appliance_size,table_vcenter_appliance_ram,2,FALSE),0)," GB")</f>
        <v>0 CPUs : 0 GB</v>
      </c>
      <c r="F43" s="109" t="s">
        <v>852</v>
      </c>
      <c r="G43" s="100" t="str">
        <f>CONCATENATE(IF(sizing_w08_chosen="Included",VLOOKUP(CONCATENATE(sizing_w08_vcenter_appliance_size,sizing_w08_vcenter_storage_size),table_vcenter_disk_gb,2,FALSE),0)," GB")</f>
        <v>0 GB</v>
      </c>
      <c r="H43" s="109" t="s">
        <v>2632</v>
      </c>
      <c r="I43" s="109" t="s">
        <v>751</v>
      </c>
      <c r="J43" s="436"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43" s="437"/>
      <c r="L43" s="102" t="s">
        <v>2480</v>
      </c>
      <c r="M43" s="347" t="s">
        <v>751</v>
      </c>
      <c r="N43" s="438"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43" s="439"/>
      <c r="P43" s="102" t="s">
        <v>13</v>
      </c>
      <c r="Q43" s="404" t="str">
        <f>(CONCATENATE(IF(AND(sizing_w08_chosen="Included",sizing_w08_spr_chosen="Include"),VLOOKUP(wld_srm_vm_size_chosen,table_srm_cpu,2,FALSE),0)," CPUs :",IF(AND(sizing_w08_chosen="Included",sizing_w08_spr_chosen="Include"),VLOOKUP(wld_srm_vm_size_chosen,table_srm_ram,2,FALSE),0)," GB : ",IF(AND(sizing_w08_chosen="Included",sizing_w08_spr_chosen="Include"),VLOOKUP(wld_srm_vm_size_chosen,table_srm_disk,2,FALSE),0)," GB"))</f>
        <v>0 CPUs :0 GB : 0 GB</v>
      </c>
      <c r="R43" s="404"/>
      <c r="S43" s="102" t="s">
        <v>2480</v>
      </c>
      <c r="T43" s="404"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43" s="407"/>
      <c r="V43" s="347" t="s">
        <v>2480</v>
      </c>
      <c r="W43" s="337" t="str">
        <f>CONCATENATE(IF(sizing_w08_ssp_chosen&lt;&gt;"Excluded",VLOOKUP(sizing_w08_ssp_chosen,table_ssp_cpu,2,FALSE),0)," CPUs : ",IF(sizing_w08_ssp_chosen&lt;&gt;"Excluded",VLOOKUP(sizing_w08_ssp_chosen,table_ssp_ram,2,FALSE),0), " GB : ",IF(sizing_w08_ssp_chosen&lt;&gt;"Excluded",VLOOKUP(sizing_w08_ssp_chosen,table_ssp_disk,2,FALSE),0)," GB")</f>
        <v>0 CPUs : 0 GB : 0 GB</v>
      </c>
      <c r="X43" s="428" t="str">
        <f>IF(sizing_w08_chosen="Included",CONCATENATE("vCenter:",VLOOKUP(sizing_w08_vcenter_appliance_size,vcenter_sizing_limits,2,FALSE)," | NSX LM ",VLOOKUP(sizing_w08_nsxt_appliance_size,nsx_sizing_limits,2,FALSE)),"")</f>
        <v/>
      </c>
      <c r="Y43" s="429"/>
      <c r="Z43" s="429"/>
      <c r="AA43" s="429"/>
      <c r="AB43" s="430"/>
    </row>
    <row r="44" spans="2:28" ht="20" customHeight="1" x14ac:dyDescent="0.2">
      <c r="B44" s="331" t="s">
        <v>3993</v>
      </c>
      <c r="C44" s="111" t="s">
        <v>2480</v>
      </c>
      <c r="D44" s="109" t="s">
        <v>93</v>
      </c>
      <c r="E44" s="100" t="str">
        <f>CONCATENATE(IF(sizing_w09_chosen="Included",VLOOKUP(sizing_w09_vcenter_appliance_size,table_vcenter_appliance_cpu,2,FALSE),0)," CPUs ",": ",IF(sizing_w09_chosen="Included",VLOOKUP(sizing_w09_vcenter_appliance_size,table_vcenter_appliance_ram,2,FALSE),0)," GB")</f>
        <v>0 CPUs : 0 GB</v>
      </c>
      <c r="F44" s="109" t="s">
        <v>852</v>
      </c>
      <c r="G44" s="100" t="str">
        <f>CONCATENATE(IF(sizing_w09_chosen="Included",VLOOKUP(CONCATENATE(sizing_w09_vcenter_appliance_size,sizing_w09_vcenter_storage_size),table_vcenter_disk_gb,2,FALSE),0)," GB")</f>
        <v>0 GB</v>
      </c>
      <c r="H44" s="109" t="s">
        <v>2632</v>
      </c>
      <c r="I44" s="109" t="s">
        <v>751</v>
      </c>
      <c r="J44" s="436"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44" s="437"/>
      <c r="L44" s="102" t="s">
        <v>2480</v>
      </c>
      <c r="M44" s="347" t="s">
        <v>751</v>
      </c>
      <c r="N44" s="438"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44" s="439"/>
      <c r="P44" s="102" t="s">
        <v>13</v>
      </c>
      <c r="Q44" s="404" t="str">
        <f>(CONCATENATE(IF(AND(sizing_w09_chosen="Included",sizing_w09_spr_chosen="Include"),VLOOKUP(wld_srm_vm_size_chosen,table_srm_cpu,2,FALSE),0)," CPUs :",IF(AND(sizing_w09_chosen="Included",sizing_w09_spr_chosen="Include"),VLOOKUP(wld_srm_vm_size_chosen,table_srm_ram,2,FALSE),0)," GB : ",IF(AND(sizing_w09_chosen="Included",sizing_w09_spr_chosen="Include"),VLOOKUP(wld_srm_vm_size_chosen,table_srm_disk,2,FALSE),0)," GB"))</f>
        <v>0 CPUs :0 GB : 0 GB</v>
      </c>
      <c r="R44" s="404"/>
      <c r="S44" s="102" t="s">
        <v>2480</v>
      </c>
      <c r="T44" s="404"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44" s="407"/>
      <c r="V44" s="347" t="s">
        <v>2480</v>
      </c>
      <c r="W44" s="337" t="str">
        <f>CONCATENATE(IF(sizing_w09_ssp_chosen&lt;&gt;"Excluded",VLOOKUP(sizing_w09_ssp_chosen,table_ssp_cpu,2,FALSE),0)," CPUs : ",IF(sizing_w09_ssp_chosen&lt;&gt;"Excluded",VLOOKUP(sizing_w09_ssp_chosen,table_ssp_ram,2,FALSE),0), " GB : ",IF(sizing_w09_ssp_chosen&lt;&gt;"Excluded",VLOOKUP(sizing_w09_ssp_chosen,table_ssp_disk,2,FALSE),0)," GB")</f>
        <v>0 CPUs : 0 GB : 0 GB</v>
      </c>
      <c r="X44" s="428" t="str">
        <f>IF(sizing_w09_chosen="Included",CONCATENATE("vCenter:",VLOOKUP(sizing_w09_vcenter_appliance_size,vcenter_sizing_limits,2,FALSE)," | NSX LM ",VLOOKUP(sizing_w09_nsxt_appliance_size,nsx_sizing_limits,2,FALSE)),"")</f>
        <v/>
      </c>
      <c r="Y44" s="429"/>
      <c r="Z44" s="429"/>
      <c r="AA44" s="429"/>
      <c r="AB44" s="430"/>
    </row>
    <row r="45" spans="2:28" ht="20" customHeight="1" x14ac:dyDescent="0.2">
      <c r="B45" s="331" t="s">
        <v>3994</v>
      </c>
      <c r="C45" s="111" t="s">
        <v>2480</v>
      </c>
      <c r="D45" s="109" t="s">
        <v>93</v>
      </c>
      <c r="E45" s="100" t="str">
        <f>CONCATENATE(IF(sizing_w10_chosen="Included",VLOOKUP(sizing_w10_vcenter_appliance_size,table_vcenter_appliance_cpu,2,FALSE),0)," CPUs ",": ",IF(sizing_w10_chosen="Included",VLOOKUP(sizing_w10_vcenter_appliance_size,table_vcenter_appliance_ram,2,FALSE),0)," GB")</f>
        <v>0 CPUs : 0 GB</v>
      </c>
      <c r="F45" s="109" t="s">
        <v>852</v>
      </c>
      <c r="G45" s="100" t="str">
        <f>CONCATENATE(IF(sizing_w10_chosen="Included",VLOOKUP(CONCATENATE(sizing_w10_vcenter_appliance_size,sizing_w10_vcenter_storage_size),table_vcenter_disk_gb,2,FALSE),0)," GB")</f>
        <v>0 GB</v>
      </c>
      <c r="H45" s="109" t="s">
        <v>2632</v>
      </c>
      <c r="I45" s="109" t="s">
        <v>751</v>
      </c>
      <c r="J45" s="436"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45" s="437"/>
      <c r="L45" s="102" t="s">
        <v>2480</v>
      </c>
      <c r="M45" s="347" t="s">
        <v>751</v>
      </c>
      <c r="N45" s="438"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45" s="439"/>
      <c r="P45" s="102" t="s">
        <v>13</v>
      </c>
      <c r="Q45" s="404" t="str">
        <f>(CONCATENATE(IF(AND(sizing_w10_chosen="Included",sizing_w10_spr_chosen="Include"),VLOOKUP(wld_srm_vm_size_chosen,table_srm_cpu,2,FALSE),0)," CPUs :",IF(AND(sizing_w10_chosen="Included",sizing_w10_spr_chosen="Include"),VLOOKUP(wld_srm_vm_size_chosen,table_srm_ram,2,FALSE),0)," GB : ",IF(AND(sizing_w10_chosen="Included",sizing_w10_spr_chosen="Include"),VLOOKUP(wld_srm_vm_size_chosen,table_srm_disk,2,FALSE),0)," GB"))</f>
        <v>0 CPUs :0 GB : 0 GB</v>
      </c>
      <c r="R45" s="404"/>
      <c r="S45" s="102" t="s">
        <v>2480</v>
      </c>
      <c r="T45" s="404"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45" s="407"/>
      <c r="V45" s="347" t="s">
        <v>2480</v>
      </c>
      <c r="W45" s="337" t="str">
        <f>CONCATENATE(IF(sizing_w10_ssp_chosen&lt;&gt;"Excluded",VLOOKUP(sizing_w10_ssp_chosen,table_ssp_cpu,2,FALSE),0)," CPUs : ",IF(sizing_w10_ssp_chosen&lt;&gt;"Excluded",VLOOKUP(sizing_w10_ssp_chosen,table_ssp_ram,2,FALSE),0), " GB : ",IF(sizing_w10_ssp_chosen&lt;&gt;"Excluded",VLOOKUP(sizing_w10_ssp_chosen,table_ssp_disk,2,FALSE),0)," GB")</f>
        <v>0 CPUs : 0 GB : 0 GB</v>
      </c>
      <c r="X45" s="428" t="str">
        <f>IF(sizing_w10_chosen="Included",CONCATENATE("vCenter:",VLOOKUP(sizing_w10_vcenter_appliance_size,vcenter_sizing_limits,2,FALSE)," | NSX LM ",VLOOKUP(sizing_w10_nsxt_appliance_size,nsx_sizing_limits,2,FALSE)),"")</f>
        <v/>
      </c>
      <c r="Y45" s="429"/>
      <c r="Z45" s="429"/>
      <c r="AA45" s="429"/>
      <c r="AB45" s="430"/>
    </row>
    <row r="46" spans="2:28" ht="20" customHeight="1" x14ac:dyDescent="0.2">
      <c r="B46" s="331" t="s">
        <v>3995</v>
      </c>
      <c r="C46" s="111" t="s">
        <v>2480</v>
      </c>
      <c r="D46" s="109" t="s">
        <v>93</v>
      </c>
      <c r="E46" s="100" t="str">
        <f>CONCATENATE(IF(sizing_w11_chosen="Included",VLOOKUP(sizing_w11_vcenter_appliance_size,table_vcenter_appliance_cpu,2,FALSE),0)," CPUs ",": ",IF(sizing_w11_chosen="Included",VLOOKUP(sizing_w11_vcenter_appliance_size,table_vcenter_appliance_ram,2,FALSE),0)," GB")</f>
        <v>0 CPUs : 0 GB</v>
      </c>
      <c r="F46" s="109" t="s">
        <v>852</v>
      </c>
      <c r="G46" s="100" t="str">
        <f>CONCATENATE(IF(sizing_w11_chosen="Included",VLOOKUP(CONCATENATE(sizing_w11_vcenter_appliance_size,sizing_w11_vcenter_storage_size),table_vcenter_disk_gb,2,FALSE),0)," GB")</f>
        <v>0 GB</v>
      </c>
      <c r="H46" s="109" t="s">
        <v>2632</v>
      </c>
      <c r="I46" s="109" t="s">
        <v>751</v>
      </c>
      <c r="J46" s="436"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46" s="437"/>
      <c r="L46" s="102" t="s">
        <v>2480</v>
      </c>
      <c r="M46" s="347" t="s">
        <v>751</v>
      </c>
      <c r="N46" s="438"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46" s="439"/>
      <c r="P46" s="102" t="s">
        <v>13</v>
      </c>
      <c r="Q46" s="404" t="str">
        <f>(CONCATENATE(IF(AND(sizing_w11_chosen="Included",sizing_w11_spr_chosen="Include"),VLOOKUP(wld_srm_vm_size_chosen,table_srm_cpu,2,FALSE),0)," CPUs :",IF(AND(sizing_w11_chosen="Included",sizing_w11_spr_chosen="Include"),VLOOKUP(wld_srm_vm_size_chosen,table_srm_ram,2,FALSE),0)," GB : ",IF(AND(sizing_w11_chosen="Included",sizing_w11_spr_chosen="Include"),VLOOKUP(wld_srm_vm_size_chosen,table_srm_disk,2,FALSE),0)," GB"))</f>
        <v>0 CPUs :0 GB : 0 GB</v>
      </c>
      <c r="R46" s="404"/>
      <c r="S46" s="102" t="s">
        <v>2480</v>
      </c>
      <c r="T46" s="404"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46" s="407"/>
      <c r="V46" s="347" t="s">
        <v>2480</v>
      </c>
      <c r="W46" s="337" t="str">
        <f>CONCATENATE(IF(sizing_w11_ssp_chosen&lt;&gt;"Excluded",VLOOKUP(sizing_w11_ssp_chosen,table_ssp_cpu,2,FALSE),0)," CPUs : ",IF(sizing_w11_ssp_chosen&lt;&gt;"Excluded",VLOOKUP(sizing_w11_ssp_chosen,table_ssp_ram,2,FALSE),0), " GB : ",IF(sizing_w11_ssp_chosen&lt;&gt;"Excluded",VLOOKUP(sizing_w11_ssp_chosen,table_ssp_disk,2,FALSE),0)," GB")</f>
        <v>0 CPUs : 0 GB : 0 GB</v>
      </c>
      <c r="X46" s="428" t="str">
        <f>IF(sizing_w11_chosen="Included",CONCATENATE("vCenter:",VLOOKUP(sizing_w11_vcenter_appliance_size,vcenter_sizing_limits,2,FALSE)," | NSX LM ",VLOOKUP(sizing_w01_nsxt_appliance_size,nsx_sizing_limits,2,FALSE)),"")</f>
        <v/>
      </c>
      <c r="Y46" s="429"/>
      <c r="Z46" s="429"/>
      <c r="AA46" s="429"/>
      <c r="AB46" s="430"/>
    </row>
    <row r="47" spans="2:28" ht="20" customHeight="1" x14ac:dyDescent="0.2">
      <c r="B47" s="331" t="s">
        <v>3996</v>
      </c>
      <c r="C47" s="111" t="s">
        <v>2480</v>
      </c>
      <c r="D47" s="109" t="s">
        <v>93</v>
      </c>
      <c r="E47" s="100" t="str">
        <f>CONCATENATE(IF(sizing_w12_chosen="Included",VLOOKUP(sizing_w12_vcenter_appliance_size,table_vcenter_appliance_cpu,2,FALSE),0)," CPUs ",": ",IF(sizing_w12_chosen="Included",VLOOKUP(sizing_w12_vcenter_appliance_size,table_vcenter_appliance_ram,2,FALSE),0)," GB")</f>
        <v>0 CPUs : 0 GB</v>
      </c>
      <c r="F47" s="109" t="s">
        <v>852</v>
      </c>
      <c r="G47" s="100" t="str">
        <f>CONCATENATE(IF(sizing_w12_chosen="Included",VLOOKUP(CONCATENATE(sizing_w12_vcenter_appliance_size,sizing_w12_vcenter_storage_size),table_vcenter_disk_gb,2,FALSE),0)," GB")</f>
        <v>0 GB</v>
      </c>
      <c r="H47" s="109" t="s">
        <v>2632</v>
      </c>
      <c r="I47" s="109" t="s">
        <v>751</v>
      </c>
      <c r="J47" s="436"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47" s="437"/>
      <c r="L47" s="102" t="s">
        <v>2480</v>
      </c>
      <c r="M47" s="347" t="s">
        <v>751</v>
      </c>
      <c r="N47" s="438"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47" s="439"/>
      <c r="P47" s="102" t="s">
        <v>13</v>
      </c>
      <c r="Q47" s="404" t="str">
        <f>(CONCATENATE(IF(AND(sizing_w12_chosen="Included",sizing_w12_spr_chosen="Include"),VLOOKUP(wld_srm_vm_size_chosen,table_srm_cpu,2,FALSE),0)," CPUs :",IF(AND(sizing_w12_chosen="Included",sizing_w12_spr_chosen="Include"),VLOOKUP(wld_srm_vm_size_chosen,table_srm_ram,2,FALSE),0)," GB : ",IF(AND(sizing_w12_chosen="Included",sizing_w12_spr_chosen="Include"),VLOOKUP(wld_srm_vm_size_chosen,table_srm_disk,2,FALSE),0)," GB"))</f>
        <v>0 CPUs :0 GB : 0 GB</v>
      </c>
      <c r="R47" s="404"/>
      <c r="S47" s="102" t="s">
        <v>2480</v>
      </c>
      <c r="T47" s="404"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47" s="407"/>
      <c r="V47" s="347" t="s">
        <v>2480</v>
      </c>
      <c r="W47" s="337" t="str">
        <f>CONCATENATE(IF(sizing_w12_ssp_chosen&lt;&gt;"Excluded",VLOOKUP(sizing_w12_ssp_chosen,table_ssp_cpu,2,FALSE),0)," CPUs : ",IF(sizing_w12_ssp_chosen&lt;&gt;"Excluded",VLOOKUP(sizing_w12_ssp_chosen,table_ssp_ram,2,FALSE),0), " GB : ",IF(sizing_w12_ssp_chosen&lt;&gt;"Excluded",VLOOKUP(sizing_w12_ssp_chosen,table_ssp_disk,2,FALSE),0)," GB")</f>
        <v>0 CPUs : 0 GB : 0 GB</v>
      </c>
      <c r="X47" s="428" t="str">
        <f>IF(sizing_w12_chosen="Included",CONCATENATE("vCenter:",VLOOKUP(sizing_w12_vcenter_appliance_size,vcenter_sizing_limits,2,FALSE)," | NSX LM ",VLOOKUP(sizing_w12_nsxt_appliance_size,nsx_sizing_limits,2,FALSE)),"")</f>
        <v/>
      </c>
      <c r="Y47" s="429"/>
      <c r="Z47" s="429"/>
      <c r="AA47" s="429"/>
      <c r="AB47" s="430"/>
    </row>
    <row r="48" spans="2:28" ht="20" customHeight="1" x14ac:dyDescent="0.2">
      <c r="B48" s="331" t="s">
        <v>3997</v>
      </c>
      <c r="C48" s="111" t="s">
        <v>2480</v>
      </c>
      <c r="D48" s="109" t="s">
        <v>93</v>
      </c>
      <c r="E48" s="100" t="str">
        <f>CONCATENATE(IF(sizing_w13_chosen="Included",VLOOKUP(sizing_w13_vcenter_appliance_size,table_vcenter_appliance_cpu,2,FALSE),0)," CPUs ",": ",IF(sizing_w13_chosen="Included",VLOOKUP(sizing_w13_vcenter_appliance_size,table_vcenter_appliance_ram,2,FALSE),0)," GB")</f>
        <v>0 CPUs : 0 GB</v>
      </c>
      <c r="F48" s="109" t="s">
        <v>852</v>
      </c>
      <c r="G48" s="100" t="str">
        <f>CONCATENATE(IF(sizing_w13_chosen="Included",VLOOKUP(CONCATENATE(sizing_w13_vcenter_appliance_size,sizing_w13_vcenter_storage_size),table_vcenter_disk_gb,2,FALSE),0)," GB")</f>
        <v>0 GB</v>
      </c>
      <c r="H48" s="109" t="s">
        <v>2632</v>
      </c>
      <c r="I48" s="109" t="s">
        <v>751</v>
      </c>
      <c r="J48" s="436"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48" s="437"/>
      <c r="L48" s="102" t="s">
        <v>2480</v>
      </c>
      <c r="M48" s="347" t="s">
        <v>751</v>
      </c>
      <c r="N48" s="438"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48" s="439"/>
      <c r="P48" s="102" t="s">
        <v>13</v>
      </c>
      <c r="Q48" s="404" t="str">
        <f>(CONCATENATE(IF(AND(sizing_w13_chosen="Included",sizing_w13_spr_chosen="Include"),VLOOKUP(wld_srm_vm_size_chosen,table_srm_cpu,2,FALSE),0)," CPUs :",IF(AND(sizing_w13_chosen="Included",sizing_w13_spr_chosen="Include"),VLOOKUP(wld_srm_vm_size_chosen,table_srm_ram,2,FALSE),0)," GB : ",IF(AND(sizing_w13_chosen="Included",sizing_w13_spr_chosen="Include"),VLOOKUP(wld_srm_vm_size_chosen,table_srm_disk,2,FALSE),0)," GB"))</f>
        <v>0 CPUs :0 GB : 0 GB</v>
      </c>
      <c r="R48" s="404"/>
      <c r="S48" s="102" t="s">
        <v>2480</v>
      </c>
      <c r="T48" s="404"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48" s="407"/>
      <c r="V48" s="347" t="s">
        <v>2480</v>
      </c>
      <c r="W48" s="337" t="str">
        <f>CONCATENATE(IF(sizing_w13_ssp_chosen&lt;&gt;"Excluded",VLOOKUP(sizing_w13_ssp_chosen,table_ssp_cpu,2,FALSE),0)," CPUs : ",IF(sizing_w13_ssp_chosen&lt;&gt;"Excluded",VLOOKUP(sizing_w13_ssp_chosen,table_ssp_ram,2,FALSE),0), " GB : ",IF(sizing_w13_ssp_chosen&lt;&gt;"Excluded",VLOOKUP(sizing_w13_ssp_chosen,table_ssp_disk,2,FALSE),0)," GB")</f>
        <v>0 CPUs : 0 GB : 0 GB</v>
      </c>
      <c r="X48" s="428" t="str">
        <f>IF(sizing_w13_chosen="Included",CONCATENATE("vCenter:",VLOOKUP(sizing_w13_vcenter_appliance_size,vcenter_sizing_limits,2,FALSE)," | NSX LM ",VLOOKUP(sizing_w13_nsxt_appliance_size,nsx_sizing_limits,2,FALSE)),"")</f>
        <v/>
      </c>
      <c r="Y48" s="429"/>
      <c r="Z48" s="429"/>
      <c r="AA48" s="429"/>
      <c r="AB48" s="430"/>
    </row>
    <row r="49" spans="1:28" ht="20" customHeight="1" x14ac:dyDescent="0.2">
      <c r="B49" s="331" t="s">
        <v>3998</v>
      </c>
      <c r="C49" s="111" t="s">
        <v>2480</v>
      </c>
      <c r="D49" s="109" t="s">
        <v>93</v>
      </c>
      <c r="E49" s="100" t="str">
        <f>CONCATENATE(IF(sizing_w14_chosen="Included",VLOOKUP(sizing_w14_vcenter_appliance_size,table_vcenter_appliance_cpu,2,FALSE),0)," CPUs ",": ",IF(sizing_w14_chosen="Included",VLOOKUP(sizing_w14_vcenter_appliance_size,table_vcenter_appliance_ram,2,FALSE),0)," GB")</f>
        <v>0 CPUs : 0 GB</v>
      </c>
      <c r="F49" s="109" t="s">
        <v>852</v>
      </c>
      <c r="G49" s="100" t="str">
        <f>CONCATENATE(IF(sizing_w14_chosen="Included",VLOOKUP(CONCATENATE(sizing_w14_vcenter_appliance_size,sizing_w14_vcenter_storage_size),table_vcenter_disk_gb,2,FALSE),0)," GB")</f>
        <v>0 GB</v>
      </c>
      <c r="H49" s="109" t="s">
        <v>2632</v>
      </c>
      <c r="I49" s="109" t="s">
        <v>751</v>
      </c>
      <c r="J49" s="436"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49" s="437"/>
      <c r="L49" s="102" t="s">
        <v>2480</v>
      </c>
      <c r="M49" s="347" t="s">
        <v>751</v>
      </c>
      <c r="N49" s="438"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49" s="439"/>
      <c r="P49" s="102" t="s">
        <v>13</v>
      </c>
      <c r="Q49" s="404" t="str">
        <f>(CONCATENATE(IF(AND(sizing_w14_chosen="Included",sizing_w14_spr_chosen="Include"),VLOOKUP(wld_srm_vm_size_chosen,table_srm_cpu,2,FALSE),0)," CPUs :",IF(AND(sizing_w14_chosen="Included",sizing_w14_spr_chosen="Include"),VLOOKUP(wld_srm_vm_size_chosen,table_srm_ram,2,FALSE),0)," GB : ",IF(AND(sizing_w14_chosen="Included",sizing_w14_spr_chosen="Include"),VLOOKUP(wld_srm_vm_size_chosen,table_srm_disk,2,FALSE),0)," GB"))</f>
        <v>0 CPUs :0 GB : 0 GB</v>
      </c>
      <c r="R49" s="404"/>
      <c r="S49" s="102" t="s">
        <v>2480</v>
      </c>
      <c r="T49" s="404"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49" s="407"/>
      <c r="V49" s="347" t="s">
        <v>2480</v>
      </c>
      <c r="W49" s="337" t="str">
        <f>CONCATENATE(IF(sizing_w14_ssp_chosen&lt;&gt;"Excluded",VLOOKUP(sizing_w14_ssp_chosen,table_ssp_cpu,2,FALSE),0)," CPUs : ",IF(sizing_w14_ssp_chosen&lt;&gt;"Excluded",VLOOKUP(sizing_w14_ssp_chosen,table_ssp_ram,2,FALSE),0), " GB : ",IF(sizing_w14_ssp_chosen&lt;&gt;"Excluded",VLOOKUP(sizing_w14_ssp_chosen,table_ssp_disk,2,FALSE),0)," GB")</f>
        <v>0 CPUs : 0 GB : 0 GB</v>
      </c>
      <c r="X49" s="428" t="str">
        <f>IF(sizing_w14_chosen="Included",CONCATENATE("vCenter:",VLOOKUP(sizing_w14_vcenter_appliance_size,vcenter_sizing_limits,2,FALSE)," | NSX LM ",VLOOKUP(sizing_w14_nsxt_appliance_size,nsx_sizing_limits,2,FALSE)),"")</f>
        <v/>
      </c>
      <c r="Y49" s="429"/>
      <c r="Z49" s="429"/>
      <c r="AA49" s="429"/>
      <c r="AB49" s="430"/>
    </row>
    <row r="50" spans="1:28" ht="20" customHeight="1" x14ac:dyDescent="0.2">
      <c r="B50" s="331" t="s">
        <v>3999</v>
      </c>
      <c r="C50" s="111" t="s">
        <v>2480</v>
      </c>
      <c r="D50" s="109" t="s">
        <v>93</v>
      </c>
      <c r="E50" s="100" t="str">
        <f>CONCATENATE(IF(sizing_w15_chosen="Included",VLOOKUP(sizing_w15_vcenter_appliance_size,table_vcenter_appliance_cpu,2,FALSE),0)," CPUs ",": ",IF(sizing_w15_chosen="Included",VLOOKUP(sizing_w15_vcenter_appliance_size,table_vcenter_appliance_ram,2,FALSE),0)," GB")</f>
        <v>0 CPUs : 0 GB</v>
      </c>
      <c r="F50" s="109" t="s">
        <v>852</v>
      </c>
      <c r="G50" s="100" t="str">
        <f>CONCATENATE(IF(sizing_w15_chosen="Included",VLOOKUP(CONCATENATE(sizing_w15_vcenter_appliance_size,sizing_w15_vcenter_storage_size),table_vcenter_disk_gb,2,FALSE),0)," GB")</f>
        <v>0 GB</v>
      </c>
      <c r="H50" s="109" t="s">
        <v>2632</v>
      </c>
      <c r="I50" s="109" t="s">
        <v>751</v>
      </c>
      <c r="J50" s="436"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0" s="437"/>
      <c r="L50" s="102" t="s">
        <v>2480</v>
      </c>
      <c r="M50" s="347" t="s">
        <v>751</v>
      </c>
      <c r="N50" s="438"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0" s="439"/>
      <c r="P50" s="102" t="s">
        <v>13</v>
      </c>
      <c r="Q50" s="404" t="str">
        <f>(CONCATENATE(IF(AND(sizing_w15_chosen="Included",sizing_w15_spr_chosen="Include"),VLOOKUP(wld_srm_vm_size_chosen,table_srm_cpu,2,FALSE),0)," CPUs :",IF(AND(sizing_w15_chosen="Included",sizing_w15_spr_chosen="Include"),VLOOKUP(wld_srm_vm_size_chosen,table_srm_ram,2,FALSE),0)," GB : ",IF(AND(sizing_w15_chosen="Included",sizing_w15_spr_chosen="Include"),VLOOKUP(wld_srm_vm_size_chosen,table_srm_disk,2,FALSE),0)," GB"))</f>
        <v>0 CPUs :0 GB : 0 GB</v>
      </c>
      <c r="R50" s="404"/>
      <c r="S50" s="102" t="s">
        <v>2480</v>
      </c>
      <c r="T50" s="404"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0" s="407"/>
      <c r="V50" s="347" t="s">
        <v>2480</v>
      </c>
      <c r="W50" s="337" t="str">
        <f>CONCATENATE(IF(sizing_w15_ssp_chosen&lt;&gt;"Excluded",VLOOKUP(sizing_w15_ssp_chosen,table_ssp_cpu,2,FALSE),0)," CPUs : ",IF(sizing_w15_ssp_chosen&lt;&gt;"Excluded",VLOOKUP(sizing_w15_ssp_chosen,table_ssp_ram,2,FALSE),0), " GB : ",IF(sizing_w15_ssp_chosen&lt;&gt;"Excluded",VLOOKUP(sizing_w15_ssp_chosen,table_ssp_disk,2,FALSE),0)," GB")</f>
        <v>0 CPUs : 0 GB : 0 GB</v>
      </c>
      <c r="X50" s="428" t="str">
        <f>IF(sizing_w15_chosen="Included",CONCATENATE("vCenter:",VLOOKUP(sizing_w15_vcenter_appliance_size,vcenter_sizing_limits,2,FALSE)," | NSX LM ",VLOOKUP(sizing_w15_nsxt_appliance_size,nsx_sizing_limits,2,FALSE)),"")</f>
        <v/>
      </c>
      <c r="Y50" s="429"/>
      <c r="Z50" s="429"/>
      <c r="AA50" s="429"/>
      <c r="AB50" s="430"/>
    </row>
    <row r="51" spans="1:28" ht="20" customHeight="1" x14ac:dyDescent="0.2">
      <c r="B51" s="331" t="s">
        <v>4000</v>
      </c>
      <c r="C51" s="111" t="s">
        <v>2480</v>
      </c>
      <c r="D51" s="109" t="s">
        <v>93</v>
      </c>
      <c r="E51" s="100" t="str">
        <f>CONCATENATE(IF(sizing_w16_chosen="Included",VLOOKUP(sizing_w16_vcenter_appliance_size,table_vcenter_appliance_cpu,2,FALSE),0)," CPUs ",": ",IF(sizing_w16_chosen="Included",VLOOKUP(sizing_w16_vcenter_appliance_size,table_vcenter_appliance_ram,2,FALSE),0)," GB")</f>
        <v>0 CPUs : 0 GB</v>
      </c>
      <c r="F51" s="109" t="s">
        <v>852</v>
      </c>
      <c r="G51" s="100" t="str">
        <f>CONCATENATE(IF(sizing_w16_chosen="Included",VLOOKUP(CONCATENATE(sizing_w16_vcenter_appliance_size,sizing_w16_vcenter_storage_size),table_vcenter_disk_gb,2,FALSE),0)," GB")</f>
        <v>0 GB</v>
      </c>
      <c r="H51" s="109" t="s">
        <v>2632</v>
      </c>
      <c r="I51" s="109" t="s">
        <v>751</v>
      </c>
      <c r="J51" s="436"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1" s="437"/>
      <c r="L51" s="102" t="s">
        <v>2480</v>
      </c>
      <c r="M51" s="347" t="s">
        <v>751</v>
      </c>
      <c r="N51" s="438"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1" s="439"/>
      <c r="P51" s="102" t="s">
        <v>13</v>
      </c>
      <c r="Q51" s="404" t="str">
        <f>(CONCATENATE(IF(AND(sizing_w16_chosen="Included",sizing_w16_spr_chosen="Include"),VLOOKUP(wld_srm_vm_size_chosen,table_srm_cpu,2,FALSE),0)," CPUs :",IF(AND(sizing_w16_chosen="Included",sizing_w16_spr_chosen="Include"),VLOOKUP(wld_srm_vm_size_chosen,table_srm_ram,2,FALSE),0)," GB : ",IF(AND(sizing_w16_chosen="Included",sizing_w16_spr_chosen="Include"),VLOOKUP(wld_srm_vm_size_chosen,table_srm_disk,2,FALSE),0)," GB"))</f>
        <v>0 CPUs :0 GB : 0 GB</v>
      </c>
      <c r="R51" s="404"/>
      <c r="S51" s="102" t="s">
        <v>2480</v>
      </c>
      <c r="T51" s="404"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1" s="407"/>
      <c r="V51" s="347" t="s">
        <v>2480</v>
      </c>
      <c r="W51" s="337" t="str">
        <f>CONCATENATE(IF(sizing_w16_ssp_chosen&lt;&gt;"Excluded",VLOOKUP(sizing_w16_ssp_chosen,table_ssp_cpu,2,FALSE),0)," CPUs : ",IF(sizing_w16_ssp_chosen&lt;&gt;"Excluded",VLOOKUP(sizing_w16_ssp_chosen,table_ssp_ram,2,FALSE),0), " GB : ",IF(sizing_w16_ssp_chosen&lt;&gt;"Excluded",VLOOKUP(sizing_w16_ssp_chosen,table_ssp_disk,2,FALSE),0)," GB")</f>
        <v>0 CPUs : 0 GB : 0 GB</v>
      </c>
      <c r="X51" s="428" t="str">
        <f>IF(sizing_w16_chosen="Included",CONCATENATE("vCenter:",VLOOKUP(sizing_w16_vcenter_appliance_size,vcenter_sizing_limits,2,FALSE)," | NSX LM ",VLOOKUP(sizing_w16_nsxt_appliance_size,nsx_sizing_limits,2,FALSE)),"")</f>
        <v/>
      </c>
      <c r="Y51" s="429"/>
      <c r="Z51" s="429"/>
      <c r="AA51" s="429"/>
      <c r="AB51" s="430"/>
    </row>
    <row r="52" spans="1:28" ht="20" customHeight="1" x14ac:dyDescent="0.2">
      <c r="B52" s="331" t="s">
        <v>4001</v>
      </c>
      <c r="C52" s="111" t="s">
        <v>2480</v>
      </c>
      <c r="D52" s="109" t="s">
        <v>93</v>
      </c>
      <c r="E52" s="100" t="str">
        <f>CONCATENATE(IF(sizing_w17_chosen="Included",VLOOKUP(sizing_w17_vcenter_appliance_size,table_vcenter_appliance_cpu,2,FALSE),0)," CPUs ",": ",IF(sizing_w17_chosen="Included",VLOOKUP(sizing_w17_vcenter_appliance_size,table_vcenter_appliance_ram,2,FALSE),0)," GB")</f>
        <v>0 CPUs : 0 GB</v>
      </c>
      <c r="F52" s="109" t="s">
        <v>852</v>
      </c>
      <c r="G52" s="100" t="str">
        <f>CONCATENATE(IF(sizing_w17_chosen="Included",VLOOKUP(CONCATENATE(sizing_w17_vcenter_appliance_size,sizing_w17_vcenter_storage_size),table_vcenter_disk_gb,2,FALSE),0)," GB")</f>
        <v>0 GB</v>
      </c>
      <c r="H52" s="109" t="s">
        <v>2632</v>
      </c>
      <c r="I52" s="109" t="s">
        <v>751</v>
      </c>
      <c r="J52" s="436"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2" s="437"/>
      <c r="L52" s="102" t="s">
        <v>2480</v>
      </c>
      <c r="M52" s="347" t="s">
        <v>751</v>
      </c>
      <c r="N52" s="438"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2" s="439"/>
      <c r="P52" s="102" t="s">
        <v>13</v>
      </c>
      <c r="Q52" s="404" t="str">
        <f>(CONCATENATE(IF(AND(sizing_w17_chosen="Included",sizing_w17_spr_chosen="Include"),VLOOKUP(wld_srm_vm_size_chosen,table_srm_cpu,2,FALSE),0)," CPUs :",IF(AND(sizing_w17_chosen="Included",sizing_w17_spr_chosen="Include"),VLOOKUP(wld_srm_vm_size_chosen,table_srm_ram,2,FALSE),0)," GB : ",IF(AND(sizing_w17_chosen="Included",sizing_w17_spr_chosen="Include"),VLOOKUP(wld_srm_vm_size_chosen,table_srm_disk,2,FALSE),0)," GB"))</f>
        <v>0 CPUs :0 GB : 0 GB</v>
      </c>
      <c r="R52" s="404"/>
      <c r="S52" s="102" t="s">
        <v>2480</v>
      </c>
      <c r="T52" s="404"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2" s="407"/>
      <c r="V52" s="347" t="s">
        <v>2480</v>
      </c>
      <c r="W52" s="337" t="str">
        <f>CONCATENATE(IF(sizing_w17_ssp_chosen&lt;&gt;"Excluded",VLOOKUP(sizing_w17_ssp_chosen,table_ssp_cpu,2,FALSE),0)," CPUs : ",IF(sizing_w17_ssp_chosen&lt;&gt;"Excluded",VLOOKUP(sizing_w17_ssp_chosen,table_ssp_ram,2,FALSE),0), " GB : ",IF(sizing_w17_ssp_chosen&lt;&gt;"Excluded",VLOOKUP(sizing_w17_ssp_chosen,table_ssp_disk,2,FALSE),0)," GB")</f>
        <v>0 CPUs : 0 GB : 0 GB</v>
      </c>
      <c r="X52" s="428" t="str">
        <f>IF(sizing_w17_chosen="Included",CONCATENATE("vCenter:",VLOOKUP(sizing_w17_vcenter_appliance_size,vcenter_sizing_limits,2,FALSE)," | NSX LM ",VLOOKUP(sizing_w17_nsxt_appliance_size,nsx_sizing_limits,2,FALSE)),"")</f>
        <v/>
      </c>
      <c r="Y52" s="429"/>
      <c r="Z52" s="429"/>
      <c r="AA52" s="429"/>
      <c r="AB52" s="430"/>
    </row>
    <row r="53" spans="1:28" ht="20" customHeight="1" x14ac:dyDescent="0.2">
      <c r="B53" s="331" t="s">
        <v>4002</v>
      </c>
      <c r="C53" s="111" t="s">
        <v>2480</v>
      </c>
      <c r="D53" s="109" t="s">
        <v>93</v>
      </c>
      <c r="E53" s="100" t="str">
        <f>CONCATENATE(IF(sizing_w18_chosen="Included",VLOOKUP(sizing_w18_vcenter_appliance_size,table_vcenter_appliance_cpu,2,FALSE),0)," CPUs ",": ",IF(sizing_w18_chosen="Included",VLOOKUP(sizing_w18_vcenter_appliance_size,table_vcenter_appliance_ram,2,FALSE),0)," GB")</f>
        <v>0 CPUs : 0 GB</v>
      </c>
      <c r="F53" s="109" t="s">
        <v>852</v>
      </c>
      <c r="G53" s="100" t="str">
        <f>CONCATENATE(IF(sizing_w18_chosen="Included",VLOOKUP(CONCATENATE(sizing_w18_vcenter_appliance_size,sizing_w18_vcenter_storage_size),table_vcenter_disk_gb,2,FALSE),0)," GB")</f>
        <v>0 GB</v>
      </c>
      <c r="H53" s="109" t="s">
        <v>2632</v>
      </c>
      <c r="I53" s="109" t="s">
        <v>751</v>
      </c>
      <c r="J53" s="436"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53" s="437"/>
      <c r="L53" s="102" t="s">
        <v>2480</v>
      </c>
      <c r="M53" s="347" t="s">
        <v>751</v>
      </c>
      <c r="N53" s="438"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53" s="439"/>
      <c r="P53" s="102" t="s">
        <v>13</v>
      </c>
      <c r="Q53" s="404" t="str">
        <f>(CONCATENATE(IF(AND(sizing_w18_chosen="Included",sizing_w18_spr_chosen="Include"),VLOOKUP(wld_srm_vm_size_chosen,table_srm_cpu,2,FALSE),0)," CPUs :",IF(AND(sizing_w18_chosen="Included",sizing_w18_spr_chosen="Include"),VLOOKUP(wld_srm_vm_size_chosen,table_srm_ram,2,FALSE),0)," GB : ",IF(AND(sizing_w18_chosen="Included",sizing_w18_spr_chosen="Include"),VLOOKUP(wld_srm_vm_size_chosen,table_srm_disk,2,FALSE),0)," GB"))</f>
        <v>0 CPUs :0 GB : 0 GB</v>
      </c>
      <c r="R53" s="404"/>
      <c r="S53" s="102" t="s">
        <v>2480</v>
      </c>
      <c r="T53" s="404"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53" s="407"/>
      <c r="V53" s="347" t="s">
        <v>2480</v>
      </c>
      <c r="W53" s="337" t="str">
        <f>CONCATENATE(IF(sizing_w18_ssp_chosen&lt;&gt;"Excluded",VLOOKUP(sizing_w18_ssp_chosen,table_ssp_cpu,2,FALSE),0)," CPUs : ",IF(sizing_w18_ssp_chosen&lt;&gt;"Excluded",VLOOKUP(sizing_w18_ssp_chosen,table_ssp_ram,2,FALSE),0), " GB : ",IF(sizing_w18_ssp_chosen&lt;&gt;"Excluded",VLOOKUP(sizing_w18_ssp_chosen,table_ssp_disk,2,FALSE),0)," GB")</f>
        <v>0 CPUs : 0 GB : 0 GB</v>
      </c>
      <c r="X53" s="428" t="str">
        <f>IF(sizing_w18_chosen="Included",CONCATENATE("vCenter:",VLOOKUP(sizing_w18_vcenter_appliance_size,vcenter_sizing_limits,2,FALSE)," | NSX LM ",VLOOKUP(sizing_w18_nsxt_appliance_size,nsx_sizing_limits,2,FALSE)),"")</f>
        <v/>
      </c>
      <c r="Y53" s="429"/>
      <c r="Z53" s="429"/>
      <c r="AA53" s="429"/>
      <c r="AB53" s="430"/>
    </row>
    <row r="54" spans="1:28" ht="20" customHeight="1" x14ac:dyDescent="0.2">
      <c r="B54" s="331" t="s">
        <v>4003</v>
      </c>
      <c r="C54" s="111" t="s">
        <v>2480</v>
      </c>
      <c r="D54" s="109" t="s">
        <v>93</v>
      </c>
      <c r="E54" s="100" t="str">
        <f>CONCATENATE(IF(sizing_w19_chosen="Included",VLOOKUP(sizing_w19_vcenter_appliance_size,table_vcenter_appliance_cpu,2,FALSE),0)," CPUs ",": ",IF(sizing_w19_chosen="Included",VLOOKUP(sizing_w19_vcenter_appliance_size,table_vcenter_appliance_ram,2,FALSE),0)," GB")</f>
        <v>0 CPUs : 0 GB</v>
      </c>
      <c r="F54" s="109" t="s">
        <v>852</v>
      </c>
      <c r="G54" s="100" t="str">
        <f>CONCATENATE(IF(sizing_w19_chosen="Included",VLOOKUP(CONCATENATE(sizing_w19_vcenter_appliance_size,sizing_w19_vcenter_storage_size),table_vcenter_disk_gb,2,FALSE),0)," GB")</f>
        <v>0 GB</v>
      </c>
      <c r="H54" s="109" t="s">
        <v>2632</v>
      </c>
      <c r="I54" s="109" t="s">
        <v>751</v>
      </c>
      <c r="J54" s="436"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54" s="437"/>
      <c r="L54" s="102" t="s">
        <v>2480</v>
      </c>
      <c r="M54" s="347" t="s">
        <v>751</v>
      </c>
      <c r="N54" s="438"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54" s="439"/>
      <c r="P54" s="102" t="s">
        <v>13</v>
      </c>
      <c r="Q54" s="404" t="str">
        <f>(CONCATENATE(IF(AND(sizing_w19_chosen="Included",sizing_w19_spr_chosen="Include"),VLOOKUP(wld_srm_vm_size_chosen,table_srm_cpu,2,FALSE),0)," CPUs :",IF(AND(sizing_w19_chosen="Included",sizing_w19_spr_chosen="Include"),VLOOKUP(wld_srm_vm_size_chosen,table_srm_ram,2,FALSE),0)," GB : ",IF(AND(sizing_w19_chosen="Included",sizing_w19_spr_chosen="Include"),VLOOKUP(wld_srm_vm_size_chosen,table_srm_disk,2,FALSE),0)," GB"))</f>
        <v>0 CPUs :0 GB : 0 GB</v>
      </c>
      <c r="R54" s="404"/>
      <c r="S54" s="102" t="s">
        <v>2480</v>
      </c>
      <c r="T54" s="404"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54" s="407"/>
      <c r="V54" s="347" t="s">
        <v>2480</v>
      </c>
      <c r="W54" s="337" t="str">
        <f>CONCATENATE(IF(sizing_w19_ssp_chosen&lt;&gt;"Excluded",VLOOKUP(sizing_w19_ssp_chosen,table_ssp_cpu,2,FALSE),0)," CPUs : ",IF(sizing_w19_ssp_chosen&lt;&gt;"Excluded",VLOOKUP(sizing_w19_ssp_chosen,table_ssp_ram,2,FALSE),0), " GB : ",IF(sizing_w19_ssp_chosen&lt;&gt;"Excluded",VLOOKUP(sizing_w19_ssp_chosen,table_ssp_disk,2,FALSE),0)," GB")</f>
        <v>0 CPUs : 0 GB : 0 GB</v>
      </c>
      <c r="X54" s="428" t="str">
        <f>IF(sizing_w19_chosen="Included",CONCATENATE("vCenter:",VLOOKUP(sizing_w19_vcenter_appliance_size,vcenter_sizing_limits,2,FALSE)," | NSX LM ",VLOOKUP(sizing_w19_nsxt_appliance_size,nsx_sizing_limits,2,FALSE)),"")</f>
        <v/>
      </c>
      <c r="Y54" s="429"/>
      <c r="Z54" s="429"/>
      <c r="AA54" s="429"/>
      <c r="AB54" s="430"/>
    </row>
    <row r="55" spans="1:28" ht="20" customHeight="1" x14ac:dyDescent="0.2">
      <c r="B55" s="331" t="s">
        <v>4004</v>
      </c>
      <c r="C55" s="111" t="s">
        <v>2480</v>
      </c>
      <c r="D55" s="109" t="s">
        <v>93</v>
      </c>
      <c r="E55" s="100" t="str">
        <f>CONCATENATE(IF(sizing_w20_chosen="Included",VLOOKUP(sizing_w20_vcenter_appliance_size,table_vcenter_appliance_cpu,2,FALSE),0)," CPUs ",": ",IF(sizing_w20_chosen="Included",VLOOKUP(sizing_w20_vcenter_appliance_size,table_vcenter_appliance_ram,2,FALSE),0)," GB")</f>
        <v>0 CPUs : 0 GB</v>
      </c>
      <c r="F55" s="109" t="s">
        <v>852</v>
      </c>
      <c r="G55" s="100" t="str">
        <f>CONCATENATE(IF(sizing_w20_chosen="Included",VLOOKUP(CONCATENATE(sizing_w20_vcenter_appliance_size,sizing_w20_vcenter_storage_size),table_vcenter_disk_gb,2,FALSE),0)," GB")</f>
        <v>0 GB</v>
      </c>
      <c r="H55" s="109" t="s">
        <v>2632</v>
      </c>
      <c r="I55" s="109" t="s">
        <v>751</v>
      </c>
      <c r="J55" s="436"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55" s="437"/>
      <c r="L55" s="102" t="s">
        <v>2480</v>
      </c>
      <c r="M55" s="347" t="s">
        <v>751</v>
      </c>
      <c r="N55" s="438"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55" s="439"/>
      <c r="P55" s="102" t="s">
        <v>13</v>
      </c>
      <c r="Q55" s="404" t="str">
        <f>(CONCATENATE(IF(AND(sizing_w20_chosen="Included",sizing_w20_spr_chosen="Include"),VLOOKUP(wld_srm_vm_size_chosen,table_srm_cpu,2,FALSE),0)," CPUs :",IF(AND(sizing_w20_chosen="Included",sizing_w20_spr_chosen="Include"),VLOOKUP(wld_srm_vm_size_chosen,table_srm_ram,2,FALSE),0)," GB : ",IF(AND(sizing_w20_chosen="Included",sizing_w20_spr_chosen="Include"),VLOOKUP(wld_srm_vm_size_chosen,table_srm_disk,2,FALSE),0)," GB"))</f>
        <v>0 CPUs :0 GB : 0 GB</v>
      </c>
      <c r="R55" s="404"/>
      <c r="S55" s="102" t="s">
        <v>2480</v>
      </c>
      <c r="T55" s="404"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55" s="407"/>
      <c r="V55" s="347" t="s">
        <v>2480</v>
      </c>
      <c r="W55" s="337" t="str">
        <f>CONCATENATE(IF(sizing_w20_ssp_chosen&lt;&gt;"Excluded",VLOOKUP(sizing_w20_ssp_chosen,table_ssp_cpu,2,FALSE),0)," CPUs : ",IF(sizing_w20_ssp_chosen&lt;&gt;"Excluded",VLOOKUP(sizing_w20_ssp_chosen,table_ssp_ram,2,FALSE),0), " GB : ",IF(sizing_w20_ssp_chosen&lt;&gt;"Excluded",VLOOKUP(sizing_w20_ssp_chosen,table_ssp_disk,2,FALSE),0)," GB")</f>
        <v>0 CPUs : 0 GB : 0 GB</v>
      </c>
      <c r="X55" s="428" t="str">
        <f>IF(sizing_w20_chosen="Included",CONCATENATE("vCenter:",VLOOKUP(sizing_w20_vcenter_appliance_size,vcenter_sizing_limits,2,FALSE)," | NSX LM ",VLOOKUP(sizing_w20_nsxt_appliance_size,nsx_sizing_limits,2,FALSE)),"")</f>
        <v/>
      </c>
      <c r="Y55" s="429"/>
      <c r="Z55" s="429"/>
      <c r="AA55" s="429"/>
      <c r="AB55" s="430"/>
    </row>
    <row r="56" spans="1:28" ht="20" customHeight="1" x14ac:dyDescent="0.2">
      <c r="B56" s="331" t="s">
        <v>4005</v>
      </c>
      <c r="C56" s="111" t="s">
        <v>2480</v>
      </c>
      <c r="D56" s="109" t="s">
        <v>93</v>
      </c>
      <c r="E56" s="100" t="str">
        <f>CONCATENATE(IF(sizing_w21_chosen="Included",VLOOKUP(sizing_w21_vcenter_appliance_size,table_vcenter_appliance_cpu,2,FALSE),0)," CPUs ",": ",IF(sizing_w21_chosen="Included",VLOOKUP(sizing_w21_vcenter_appliance_size,table_vcenter_appliance_ram,2,FALSE),0)," GB")</f>
        <v>0 CPUs : 0 GB</v>
      </c>
      <c r="F56" s="109" t="s">
        <v>852</v>
      </c>
      <c r="G56" s="100" t="str">
        <f>CONCATENATE(IF(sizing_w21_chosen="Included",VLOOKUP(CONCATENATE(sizing_w21_vcenter_appliance_size,sizing_w21_vcenter_storage_size),table_vcenter_disk_gb,2,FALSE),0)," GB")</f>
        <v>0 GB</v>
      </c>
      <c r="H56" s="109" t="s">
        <v>2632</v>
      </c>
      <c r="I56" s="109" t="s">
        <v>751</v>
      </c>
      <c r="J56" s="436"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56" s="437"/>
      <c r="L56" s="102" t="s">
        <v>2480</v>
      </c>
      <c r="M56" s="347" t="s">
        <v>751</v>
      </c>
      <c r="N56" s="438"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56" s="439"/>
      <c r="P56" s="102" t="s">
        <v>13</v>
      </c>
      <c r="Q56" s="404" t="str">
        <f>(CONCATENATE(IF(AND(sizing_w21_chosen="Included",sizing_w21_spr_chosen="Include"),VLOOKUP(wld_srm_vm_size_chosen,table_srm_cpu,2,FALSE),0)," CPUs :",IF(AND(sizing_w21_chosen="Included",sizing_w21_spr_chosen="Include"),VLOOKUP(wld_srm_vm_size_chosen,table_srm_ram,2,FALSE),0)," GB : ",IF(AND(sizing_w21_chosen="Included",sizing_w21_spr_chosen="Include"),VLOOKUP(wld_srm_vm_size_chosen,table_srm_disk,2,FALSE),0)," GB"))</f>
        <v>0 CPUs :0 GB : 0 GB</v>
      </c>
      <c r="R56" s="404"/>
      <c r="S56" s="102" t="s">
        <v>2480</v>
      </c>
      <c r="T56" s="404"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56" s="407"/>
      <c r="V56" s="347" t="s">
        <v>2480</v>
      </c>
      <c r="W56" s="337" t="str">
        <f>CONCATENATE(IF(sizing_w21_ssp_chosen&lt;&gt;"Excluded",VLOOKUP(sizing_w21_ssp_chosen,table_ssp_cpu,2,FALSE),0)," CPUs : ",IF(sizing_w21_ssp_chosen&lt;&gt;"Excluded",VLOOKUP(sizing_w21_ssp_chosen,table_ssp_ram,2,FALSE),0), " GB : ",IF(sizing_w21_ssp_chosen&lt;&gt;"Excluded",VLOOKUP(sizing_w21_ssp_chosen,table_ssp_disk,2,FALSE),0)," GB")</f>
        <v>0 CPUs : 0 GB : 0 GB</v>
      </c>
      <c r="X56" s="428" t="str">
        <f>IF(sizing_w21_chosen="Included",CONCATENATE("vCenter:",VLOOKUP(sizing_w21_vcenter_appliance_size,vcenter_sizing_limits,2,FALSE)," | NSX LM ",VLOOKUP(sizing_w21_nsxt_appliance_size,nsx_sizing_limits,2,FALSE)),"")</f>
        <v/>
      </c>
      <c r="Y56" s="429"/>
      <c r="Z56" s="429"/>
      <c r="AA56" s="429"/>
      <c r="AB56" s="430"/>
    </row>
    <row r="57" spans="1:28" ht="20" customHeight="1" x14ac:dyDescent="0.2">
      <c r="B57" s="331" t="s">
        <v>4006</v>
      </c>
      <c r="C57" s="111" t="s">
        <v>2480</v>
      </c>
      <c r="D57" s="109" t="s">
        <v>93</v>
      </c>
      <c r="E57" s="100" t="str">
        <f>CONCATENATE(IF(sizing_w22_chosen="Included",VLOOKUP(sizing_w22_vcenter_appliance_size,table_vcenter_appliance_cpu,2,FALSE),0)," CPUs ",": ",IF(sizing_w22_chosen="Included",VLOOKUP(sizing_w22_vcenter_appliance_size,table_vcenter_appliance_ram,2,FALSE),0)," GB")</f>
        <v>0 CPUs : 0 GB</v>
      </c>
      <c r="F57" s="109" t="s">
        <v>852</v>
      </c>
      <c r="G57" s="100" t="str">
        <f>CONCATENATE(IF(sizing_w22_chosen="Included",VLOOKUP(CONCATENATE(sizing_w22_vcenter_appliance_size,sizing_w22_vcenter_storage_size),table_vcenter_disk_gb,2,FALSE),0)," GB")</f>
        <v>0 GB</v>
      </c>
      <c r="H57" s="109" t="s">
        <v>2632</v>
      </c>
      <c r="I57" s="109" t="s">
        <v>751</v>
      </c>
      <c r="J57" s="436"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57" s="437"/>
      <c r="L57" s="102" t="s">
        <v>2480</v>
      </c>
      <c r="M57" s="347" t="s">
        <v>751</v>
      </c>
      <c r="N57" s="438"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57" s="439"/>
      <c r="P57" s="102" t="s">
        <v>13</v>
      </c>
      <c r="Q57" s="404" t="str">
        <f>(CONCATENATE(IF(AND(sizing_w22_chosen="Included",sizing_w22_spr_chosen="Include"),VLOOKUP(wld_srm_vm_size_chosen,table_srm_cpu,2,FALSE),0)," CPUs :",IF(AND(sizing_w22_chosen="Included",sizing_w22_spr_chosen="Include"),VLOOKUP(wld_srm_vm_size_chosen,table_srm_ram,2,FALSE),0)," GB : ",IF(AND(sizing_w22_chosen="Included",sizing_w22_spr_chosen="Include"),VLOOKUP(wld_srm_vm_size_chosen,table_srm_disk,2,FALSE),0)," GB"))</f>
        <v>0 CPUs :0 GB : 0 GB</v>
      </c>
      <c r="R57" s="404"/>
      <c r="S57" s="102" t="s">
        <v>2480</v>
      </c>
      <c r="T57" s="404"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57" s="407"/>
      <c r="V57" s="347" t="s">
        <v>2480</v>
      </c>
      <c r="W57" s="337" t="str">
        <f>CONCATENATE(IF(sizing_w22_ssp_chosen&lt;&gt;"Excluded",VLOOKUP(sizing_w22_ssp_chosen,table_ssp_cpu,2,FALSE),0)," CPUs : ",IF(sizing_w22_ssp_chosen&lt;&gt;"Excluded",VLOOKUP(sizing_w22_ssp_chosen,table_ssp_ram,2,FALSE),0), " GB : ",IF(sizing_w22_ssp_chosen&lt;&gt;"Excluded",VLOOKUP(sizing_w22_ssp_chosen,table_ssp_disk,2,FALSE),0)," GB")</f>
        <v>0 CPUs : 0 GB : 0 GB</v>
      </c>
      <c r="X57" s="428" t="str">
        <f>IF(sizing_w22_chosen="Included",CONCATENATE("vCenter:",VLOOKUP(sizing_w22_vcenter_appliance_size,vcenter_sizing_limits,2,FALSE)," | NSX LM ",VLOOKUP(sizing_w22_nsxt_appliance_size,nsx_sizing_limits,2,FALSE)),"")</f>
        <v/>
      </c>
      <c r="Y57" s="429"/>
      <c r="Z57" s="429"/>
      <c r="AA57" s="429"/>
      <c r="AB57" s="430"/>
    </row>
    <row r="58" spans="1:28" ht="20" customHeight="1" x14ac:dyDescent="0.2">
      <c r="B58" s="331" t="s">
        <v>4007</v>
      </c>
      <c r="C58" s="111" t="s">
        <v>2480</v>
      </c>
      <c r="D58" s="109" t="s">
        <v>93</v>
      </c>
      <c r="E58" s="100" t="str">
        <f>CONCATENATE(IF(sizing_w23_chosen="Included",VLOOKUP(sizing_w23_vcenter_appliance_size,table_vcenter_appliance_cpu,2,FALSE),0)," CPUs ",": ",IF(sizing_w23_chosen="Included",VLOOKUP(sizing_w23_vcenter_appliance_size,table_vcenter_appliance_ram,2,FALSE),0)," GB")</f>
        <v>0 CPUs : 0 GB</v>
      </c>
      <c r="F58" s="109" t="s">
        <v>852</v>
      </c>
      <c r="G58" s="100" t="str">
        <f>CONCATENATE(IF(sizing_w23_chosen="Included",VLOOKUP(CONCATENATE(sizing_w23_vcenter_appliance_size,sizing_w23_vcenter_storage_size),table_vcenter_disk_gb,2,FALSE),0)," GB")</f>
        <v>0 GB</v>
      </c>
      <c r="H58" s="109" t="s">
        <v>2632</v>
      </c>
      <c r="I58" s="109" t="s">
        <v>751</v>
      </c>
      <c r="J58" s="436"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58" s="437"/>
      <c r="L58" s="102" t="s">
        <v>2480</v>
      </c>
      <c r="M58" s="347" t="s">
        <v>751</v>
      </c>
      <c r="N58" s="438"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58" s="439"/>
      <c r="P58" s="102" t="s">
        <v>13</v>
      </c>
      <c r="Q58" s="404" t="str">
        <f>(CONCATENATE(IF(AND(sizing_w23_chosen="Included",sizing_w23_spr_chosen="Include"),VLOOKUP(wld_srm_vm_size_chosen,table_srm_cpu,2,FALSE),0)," CPUs :",IF(AND(sizing_w23_chosen="Included",sizing_w23_spr_chosen="Include"),VLOOKUP(wld_srm_vm_size_chosen,table_srm_ram,2,FALSE),0)," GB : ",IF(AND(sizing_w23_chosen="Included",sizing_w23_spr_chosen="Include"),VLOOKUP(wld_srm_vm_size_chosen,table_srm_disk,2,FALSE),0)," GB"))</f>
        <v>0 CPUs :0 GB : 0 GB</v>
      </c>
      <c r="R58" s="404"/>
      <c r="S58" s="102" t="s">
        <v>2480</v>
      </c>
      <c r="T58" s="404"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58" s="407"/>
      <c r="V58" s="347" t="s">
        <v>2480</v>
      </c>
      <c r="W58" s="337" t="str">
        <f>CONCATENATE(IF(sizing_w23_ssp_chosen&lt;&gt;"Excluded",VLOOKUP(sizing_w23_ssp_chosen,table_ssp_cpu,2,FALSE),0)," CPUs : ",IF(sizing_w23_ssp_chosen&lt;&gt;"Excluded",VLOOKUP(sizing_w23_ssp_chosen,table_ssp_ram,2,FALSE),0), " GB : ",IF(sizing_w23_ssp_chosen&lt;&gt;"Excluded",VLOOKUP(sizing_w23_ssp_chosen,table_ssp_disk,2,FALSE),0)," GB")</f>
        <v>0 CPUs : 0 GB : 0 GB</v>
      </c>
      <c r="X58" s="428" t="str">
        <f>IF(sizing_w23_chosen="Included",CONCATENATE("vCenter:",VLOOKUP(sizing_w23_vcenter_appliance_size,vcenter_sizing_limits,2,FALSE)," | NSX LM ",VLOOKUP(sizing_w23_nsxt_appliance_size,nsx_sizing_limits,2,FALSE)),"")</f>
        <v/>
      </c>
      <c r="Y58" s="429"/>
      <c r="Z58" s="429"/>
      <c r="AA58" s="429"/>
      <c r="AB58" s="430"/>
    </row>
    <row r="59" spans="1:28" ht="20" customHeight="1" x14ac:dyDescent="0.2">
      <c r="B59" s="331" t="s">
        <v>4008</v>
      </c>
      <c r="C59" s="111" t="s">
        <v>2480</v>
      </c>
      <c r="D59" s="109" t="s">
        <v>93</v>
      </c>
      <c r="E59" s="100" t="str">
        <f>CONCATENATE(IF(sizing_w24_chosen="Included",VLOOKUP(sizing_w24_vcenter_appliance_size,table_vcenter_appliance_cpu,2,FALSE),0)," CPUs ",": ",IF(sizing_w24_chosen="Included",VLOOKUP(sizing_w24_vcenter_appliance_size,table_vcenter_appliance_ram,2,FALSE),0)," GB")</f>
        <v>0 CPUs : 0 GB</v>
      </c>
      <c r="F59" s="109" t="s">
        <v>852</v>
      </c>
      <c r="G59" s="100" t="str">
        <f>CONCATENATE(IF(sizing_w24_chosen="Included",VLOOKUP(CONCATENATE(sizing_w24_vcenter_appliance_size,sizing_w24_vcenter_storage_size),table_vcenter_disk_gb,2,FALSE),0)," GB")</f>
        <v>0 GB</v>
      </c>
      <c r="H59" s="109" t="s">
        <v>2632</v>
      </c>
      <c r="I59" s="109" t="s">
        <v>751</v>
      </c>
      <c r="J59" s="436"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59" s="437"/>
      <c r="L59" s="102" t="s">
        <v>2480</v>
      </c>
      <c r="M59" s="347" t="s">
        <v>751</v>
      </c>
      <c r="N59" s="438"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59" s="439"/>
      <c r="P59" s="102" t="s">
        <v>13</v>
      </c>
      <c r="Q59" s="404" t="str">
        <f>(CONCATENATE(IF(AND(sizing_w24_chosen="Included",sizing_w24_spr_chosen="Include"),VLOOKUP(wld_srm_vm_size_chosen,table_srm_cpu,2,FALSE),0)," CPUs :",IF(AND(sizing_w24_chosen="Included",sizing_w24_spr_chosen="Include"),VLOOKUP(wld_srm_vm_size_chosen,table_srm_ram,2,FALSE),0)," GB : ",IF(AND(sizing_w24_chosen="Included",sizing_w24_spr_chosen="Include"),VLOOKUP(wld_srm_vm_size_chosen,table_srm_disk,2,FALSE),0)," GB"))</f>
        <v>0 CPUs :0 GB : 0 GB</v>
      </c>
      <c r="R59" s="404"/>
      <c r="S59" s="102" t="s">
        <v>2480</v>
      </c>
      <c r="T59" s="404"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59" s="407"/>
      <c r="V59" s="347" t="s">
        <v>2480</v>
      </c>
      <c r="W59" s="337" t="str">
        <f>CONCATENATE(IF(sizing_w24_ssp_chosen&lt;&gt;"Excluded",VLOOKUP(sizing_w24_ssp_chosen,table_ssp_cpu,2,FALSE),0)," CPUs : ",IF(sizing_w24_ssp_chosen&lt;&gt;"Excluded",VLOOKUP(sizing_w24_ssp_chosen,table_ssp_ram,2,FALSE),0), " GB : ",IF(sizing_w24_ssp_chosen&lt;&gt;"Excluded",VLOOKUP(sizing_w24_ssp_chosen,table_ssp_disk,2,FALSE),0)," GB")</f>
        <v>0 CPUs : 0 GB : 0 GB</v>
      </c>
      <c r="X59" s="428" t="str">
        <f>IF(sizing_w24_chosen="Included",CONCATENATE("vCenter:",VLOOKUP(sizing_w24_vcenter_appliance_size,vcenter_sizing_limits,2,FALSE)," | NSX LM ",VLOOKUP(sizing_w24_nsxt_appliance_size,nsx_sizing_limits,2,FALSE)),"")</f>
        <v/>
      </c>
      <c r="Y59" s="429"/>
      <c r="Z59" s="429"/>
      <c r="AA59" s="429"/>
      <c r="AB59" s="430"/>
    </row>
    <row r="60" spans="1:28" ht="20" customHeight="1" x14ac:dyDescent="0.2"/>
    <row r="61" spans="1:28" ht="34" customHeight="1" x14ac:dyDescent="0.2">
      <c r="A61" s="7"/>
      <c r="B61" s="440" t="s">
        <v>4009</v>
      </c>
      <c r="C61" s="441"/>
      <c r="D61" s="441"/>
      <c r="E61" s="441"/>
      <c r="F61" s="441"/>
      <c r="G61" s="441"/>
      <c r="H61" s="441"/>
      <c r="I61" s="441"/>
      <c r="J61" s="441"/>
      <c r="K61" s="441"/>
      <c r="L61" s="441"/>
      <c r="M61" s="441"/>
      <c r="N61" s="441"/>
      <c r="O61" s="441"/>
      <c r="P61" s="441"/>
      <c r="Q61" s="441"/>
      <c r="R61" s="442"/>
      <c r="S61" s="7"/>
      <c r="T61" s="7"/>
      <c r="U61" s="7"/>
      <c r="V61" s="7"/>
      <c r="W61" s="7"/>
      <c r="X61" s="7"/>
      <c r="Y61" s="7"/>
      <c r="Z61" s="7"/>
      <c r="AA61" s="7"/>
    </row>
    <row r="62" spans="1:28" ht="20" customHeight="1" x14ac:dyDescent="0.2">
      <c r="A62" s="7"/>
      <c r="B62" s="431" t="s">
        <v>9</v>
      </c>
      <c r="C62" s="431"/>
      <c r="D62" s="431"/>
      <c r="E62" s="447" t="s">
        <v>10</v>
      </c>
      <c r="F62" s="448"/>
      <c r="G62" s="448"/>
      <c r="H62" s="449"/>
      <c r="I62" s="346" t="s">
        <v>11</v>
      </c>
      <c r="J62" s="447" t="s">
        <v>12</v>
      </c>
      <c r="K62" s="448"/>
      <c r="L62" s="448"/>
      <c r="M62" s="448"/>
      <c r="N62" s="448"/>
      <c r="O62" s="448"/>
      <c r="P62" s="448"/>
      <c r="Q62" s="448"/>
      <c r="R62" s="449"/>
      <c r="S62" s="7"/>
      <c r="T62" s="7"/>
      <c r="U62" s="7"/>
      <c r="W62" s="7"/>
      <c r="X62" s="7"/>
      <c r="Y62" s="7"/>
      <c r="Z62" s="7"/>
      <c r="AA62" s="7"/>
    </row>
    <row r="63" spans="1:28" ht="20" customHeight="1" x14ac:dyDescent="0.2">
      <c r="A63" s="7"/>
      <c r="B63" s="446" t="s">
        <v>13</v>
      </c>
      <c r="C63" s="446"/>
      <c r="D63" s="446"/>
      <c r="E63" s="457" t="s">
        <v>4010</v>
      </c>
      <c r="F63" s="458"/>
      <c r="G63" s="458"/>
      <c r="H63" s="459"/>
      <c r="I63" s="112" t="str">
        <f>IF(spr_chosen="Management &amp; VI Workload","Included",IF(spr_chosen="Management Only","Included",IF(spr_chosen="VI Workload Only","Included","Excluded")))</f>
        <v>Excluded</v>
      </c>
      <c r="J63" s="450" t="str">
        <f>IF(spr_result="Excluded","Cause: Not Selected. Site Protection and Disaster Recovery will not be deployed",IF(spr_chosen="Management Only","Site Protection and Disaster Recovery will be deployed in the Management Workload Domain",IF(spr_chosen="Management &amp; VI Workload","Site Protection and Disaster Recovery will be deployed in the Management Workload Domain and selected VI Workload Domains",IF(spr_chosen="VI Workload Only","Site Protection and Disaster Recovery will be in selected VI Workload Domains",""))))</f>
        <v>Cause: Not Selected. Site Protection and Disaster Recovery will not be deployed</v>
      </c>
      <c r="K63" s="451"/>
      <c r="L63" s="451"/>
      <c r="M63" s="451"/>
      <c r="N63" s="451"/>
      <c r="O63" s="451"/>
      <c r="P63" s="451"/>
      <c r="Q63" s="451"/>
      <c r="R63" s="452"/>
      <c r="S63" s="7"/>
      <c r="T63" s="7"/>
      <c r="U63" s="7"/>
      <c r="V63" s="7"/>
      <c r="W63" s="7"/>
      <c r="X63" s="7"/>
      <c r="Y63" s="7"/>
    </row>
    <row r="64" spans="1:28" ht="20" customHeight="1" x14ac:dyDescent="0.2">
      <c r="A64" s="7"/>
      <c r="B64" s="460" t="s">
        <v>13</v>
      </c>
      <c r="C64" s="461"/>
      <c r="D64" s="462"/>
      <c r="E64" s="454" t="s">
        <v>4011</v>
      </c>
      <c r="F64" s="455"/>
      <c r="G64" s="455"/>
      <c r="H64" s="456"/>
      <c r="I64" s="112" t="str">
        <f>IF(rwr_chosen="Exclude","Excluded","Included")</f>
        <v>Excluded</v>
      </c>
      <c r="J64" s="450" t="str">
        <f>IF(rwr_chosen="Exclude","Cause: Not Selected. On Premise Ransomware Recovery will not be deployed","On Premise Ransomware Recovery will be deployed")</f>
        <v>Cause: Not Selected. On Premise Ransomware Recovery will not be deployed</v>
      </c>
      <c r="K64" s="451"/>
      <c r="L64" s="451"/>
      <c r="M64" s="451"/>
      <c r="N64" s="451"/>
      <c r="O64" s="451"/>
      <c r="P64" s="451"/>
      <c r="Q64" s="451"/>
      <c r="R64" s="452"/>
      <c r="S64" s="7"/>
      <c r="T64" s="7"/>
      <c r="U64" s="7"/>
      <c r="V64" s="7"/>
      <c r="W64" s="7"/>
      <c r="X64" s="7"/>
      <c r="Y64" s="7"/>
    </row>
    <row r="65" spans="1:25" ht="20" customHeight="1" x14ac:dyDescent="0.2">
      <c r="A65" s="7"/>
      <c r="B65" s="453" t="s">
        <v>13</v>
      </c>
      <c r="C65" s="453"/>
      <c r="D65" s="453"/>
      <c r="E65" s="443" t="s">
        <v>4012</v>
      </c>
      <c r="F65" s="444"/>
      <c r="G65" s="444"/>
      <c r="H65" s="445"/>
      <c r="I65" s="337" t="str">
        <f>IF(cbr_chosen="Exclude","Excluded","Included")</f>
        <v>Excluded</v>
      </c>
      <c r="J65" s="428" t="str">
        <f>IF(cbr_chosen="Exclude","Cause: Not Selected. Cloud-Based Ransomware Recovery will not be deployed","Cloud-Based Ransomware Recovery will be deployed")</f>
        <v>Cause: Not Selected. Cloud-Based Ransomware Recovery will not be deployed</v>
      </c>
      <c r="K65" s="429"/>
      <c r="L65" s="429"/>
      <c r="M65" s="429"/>
      <c r="N65" s="429"/>
      <c r="O65" s="429"/>
      <c r="P65" s="429"/>
      <c r="Q65" s="429"/>
      <c r="R65" s="430"/>
      <c r="S65" s="7"/>
      <c r="T65" s="7"/>
      <c r="U65" s="7"/>
      <c r="V65" s="7"/>
      <c r="W65" s="7"/>
      <c r="X65" s="7"/>
      <c r="Y65" s="7"/>
    </row>
    <row r="66" spans="1:25" ht="20" customHeight="1" x14ac:dyDescent="0.2">
      <c r="A66" s="7"/>
      <c r="B66" s="453" t="s">
        <v>13</v>
      </c>
      <c r="C66" s="453"/>
      <c r="D66" s="453"/>
      <c r="E66" s="443" t="s">
        <v>4013</v>
      </c>
      <c r="F66" s="444"/>
      <c r="G66" s="444"/>
      <c r="H66" s="445"/>
      <c r="I66" s="337" t="str">
        <f>IF(ccm_chosen="Exclude","Excluded","Included")</f>
        <v>Excluded</v>
      </c>
      <c r="J66" s="428" t="str">
        <f>IF(ccm_chosen="Exclude","Cause: Not Selected. Cross-Cloud Mobility will not be deployed","Cross-Cloud Mobility will be deployed")</f>
        <v>Cause: Not Selected. Cross-Cloud Mobility will not be deployed</v>
      </c>
      <c r="K66" s="429"/>
      <c r="L66" s="429"/>
      <c r="M66" s="429"/>
      <c r="N66" s="429"/>
      <c r="O66" s="429"/>
      <c r="P66" s="429"/>
      <c r="Q66" s="429"/>
      <c r="R66" s="430"/>
      <c r="S66" s="7"/>
      <c r="T66" s="7"/>
      <c r="U66" s="7"/>
      <c r="V66" s="7"/>
      <c r="W66" s="7"/>
      <c r="X66" s="7"/>
      <c r="Y66" s="7"/>
    </row>
    <row r="67" spans="1:25" ht="20" customHeight="1" x14ac:dyDescent="0.2"/>
    <row r="68" spans="1:25" ht="34" customHeight="1" x14ac:dyDescent="0.2">
      <c r="B68" s="335" t="s">
        <v>4014</v>
      </c>
      <c r="C68" s="335"/>
      <c r="D68" s="335"/>
      <c r="E68" s="335"/>
      <c r="F68" s="335"/>
      <c r="G68" s="335"/>
      <c r="H68" s="335"/>
      <c r="I68" s="335"/>
      <c r="J68" s="335"/>
      <c r="K68" s="335"/>
      <c r="L68" s="335"/>
      <c r="M68" s="335"/>
      <c r="N68" s="335"/>
      <c r="O68" s="335"/>
      <c r="P68" s="335"/>
      <c r="Q68" s="335"/>
      <c r="R68" s="335"/>
    </row>
    <row r="69" spans="1:25" ht="20" customHeight="1" x14ac:dyDescent="0.2">
      <c r="B69" s="447" t="s">
        <v>261</v>
      </c>
      <c r="C69" s="448"/>
      <c r="D69" s="448"/>
      <c r="E69" s="449"/>
      <c r="F69" s="97" t="s">
        <v>1268</v>
      </c>
      <c r="G69" s="359" t="s">
        <v>3909</v>
      </c>
      <c r="H69" s="359" t="s">
        <v>3910</v>
      </c>
      <c r="I69" s="359" t="s">
        <v>4015</v>
      </c>
      <c r="J69" s="359" t="s">
        <v>4016</v>
      </c>
      <c r="K69" s="472" t="s">
        <v>20</v>
      </c>
      <c r="L69" s="473"/>
      <c r="M69" s="473"/>
      <c r="N69" s="473"/>
      <c r="O69" s="473"/>
      <c r="P69" s="473"/>
      <c r="Q69" s="473"/>
      <c r="R69" s="474"/>
    </row>
    <row r="70" spans="1:25" ht="20" customHeight="1" x14ac:dyDescent="0.2">
      <c r="B70" s="465" t="s">
        <v>4010</v>
      </c>
      <c r="C70" s="466"/>
      <c r="D70" s="466"/>
      <c r="E70" s="466"/>
      <c r="F70" s="466"/>
      <c r="G70" s="466"/>
      <c r="H70" s="466"/>
      <c r="I70" s="466"/>
      <c r="J70" s="466"/>
      <c r="K70" s="466"/>
      <c r="L70" s="466"/>
      <c r="M70" s="466"/>
      <c r="N70" s="466"/>
      <c r="O70" s="466"/>
      <c r="P70" s="466"/>
      <c r="Q70" s="466"/>
      <c r="R70" s="467"/>
    </row>
    <row r="71" spans="1:25" ht="20" customHeight="1" x14ac:dyDescent="0.2">
      <c r="B71" s="428" t="s">
        <v>4017</v>
      </c>
      <c r="C71" s="429"/>
      <c r="D71" s="429"/>
      <c r="E71" s="430"/>
      <c r="F71" s="337" t="s">
        <v>538</v>
      </c>
      <c r="G71" s="331">
        <f>IF(OR(spr_mo_result="True",spr_mw_result="True"),1,0)</f>
        <v>0</v>
      </c>
      <c r="H71" s="331">
        <f>IF(OR(spr_mo_result="True",spr_mw_result="True"),VLOOKUP(mgmt_srm_vm_size_chosen,table_srm_cpu,2,FALSE),0)</f>
        <v>0</v>
      </c>
      <c r="I71" s="331">
        <f>IF(OR(spr_mo_result="True",spr_mw_result="True"),VLOOKUP(mgmt_srm_vm_size_chosen,table_srm_ram,2,FALSE),0)</f>
        <v>0</v>
      </c>
      <c r="J71" s="331">
        <f>IF(OR(spr_mo_result="True",spr_mw_result="True"),VLOOKUP(mgmt_srm_vm_size_chosen,table_srm_disk,2,FALSE),0)</f>
        <v>0</v>
      </c>
      <c r="K71" s="407" t="s">
        <v>4018</v>
      </c>
      <c r="L71" s="471"/>
      <c r="M71" s="471"/>
      <c r="N71" s="471"/>
      <c r="O71" s="471"/>
      <c r="P71" s="471"/>
      <c r="Q71" s="471"/>
      <c r="R71" s="408"/>
    </row>
    <row r="72" spans="1:25" ht="20" customHeight="1" x14ac:dyDescent="0.2">
      <c r="B72" s="416" t="s">
        <v>4019</v>
      </c>
      <c r="C72" s="416"/>
      <c r="D72" s="416"/>
      <c r="E72" s="416"/>
      <c r="F72" s="337" t="s">
        <v>538</v>
      </c>
      <c r="G72" s="331">
        <f>COUNTIF(P36:P59,"Include")</f>
        <v>0</v>
      </c>
      <c r="H72" s="331">
        <f>IF(OR(spr_wo_result="True",spr_mw_result="True"),VLOOKUP(wld_srm_vm_size_chosen,table_srm_cpu,2,FALSE),0)</f>
        <v>0</v>
      </c>
      <c r="I72" s="331">
        <f>IF(OR(spr_wo_result="True",spr_mw_result="True"),VLOOKUP(wld_srm_vm_size_chosen,table_srm_ram,2,FALSE),0)</f>
        <v>0</v>
      </c>
      <c r="J72" s="331">
        <f>IF(OR(spr_wo_result="True",spr_mw_result="True"),VLOOKUP(wld_srm_vm_size_chosen,table_srm_disk,2,FALSE),0)</f>
        <v>0</v>
      </c>
      <c r="K72" s="407"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2" s="471"/>
      <c r="M72" s="471"/>
      <c r="N72" s="471"/>
      <c r="O72" s="471"/>
      <c r="P72" s="471"/>
      <c r="Q72" s="471"/>
      <c r="R72" s="408"/>
    </row>
    <row r="73" spans="1:25" ht="20" customHeight="1" x14ac:dyDescent="0.2">
      <c r="B73" s="468" t="s">
        <v>4020</v>
      </c>
      <c r="C73" s="469"/>
      <c r="D73" s="469"/>
      <c r="E73" s="469"/>
      <c r="F73" s="469"/>
      <c r="G73" s="469"/>
      <c r="H73" s="469"/>
      <c r="I73" s="469"/>
      <c r="J73" s="469"/>
      <c r="K73" s="469"/>
      <c r="L73" s="469"/>
      <c r="M73" s="469"/>
      <c r="N73" s="469"/>
      <c r="O73" s="469"/>
      <c r="P73" s="469"/>
      <c r="Q73" s="469"/>
      <c r="R73" s="470"/>
    </row>
    <row r="74" spans="1:25" ht="20" customHeight="1" x14ac:dyDescent="0.2">
      <c r="B74" s="428" t="s">
        <v>4021</v>
      </c>
      <c r="C74" s="429"/>
      <c r="D74" s="429"/>
      <c r="E74" s="429"/>
      <c r="F74" s="337" t="s">
        <v>538</v>
      </c>
      <c r="G74" s="331">
        <f>IF(rwr_result="Excluded",0,1)</f>
        <v>0</v>
      </c>
      <c r="H74" s="331">
        <f>IF(rwr_result="Excluded",0,8)</f>
        <v>0</v>
      </c>
      <c r="I74" s="331">
        <f>IF(rwr_result="Excluded",0,24)</f>
        <v>0</v>
      </c>
      <c r="J74" s="331">
        <f>IF(rwr_result="Excluded",0,800)</f>
        <v>0</v>
      </c>
      <c r="K74" s="407" t="s">
        <v>4018</v>
      </c>
      <c r="L74" s="471"/>
      <c r="M74" s="471"/>
      <c r="N74" s="471"/>
      <c r="O74" s="471"/>
      <c r="P74" s="471"/>
      <c r="Q74" s="471"/>
      <c r="R74" s="408"/>
    </row>
    <row r="75" spans="1:25" ht="20" customHeight="1" x14ac:dyDescent="0.2">
      <c r="B75" s="468" t="s">
        <v>4022</v>
      </c>
      <c r="C75" s="469"/>
      <c r="D75" s="469"/>
      <c r="E75" s="469"/>
      <c r="F75" s="469"/>
      <c r="G75" s="469"/>
      <c r="H75" s="469"/>
      <c r="I75" s="469"/>
      <c r="J75" s="469"/>
      <c r="K75" s="469"/>
      <c r="L75" s="469"/>
      <c r="M75" s="469"/>
      <c r="N75" s="469"/>
      <c r="O75" s="469"/>
      <c r="P75" s="469"/>
      <c r="Q75" s="469"/>
      <c r="R75" s="470"/>
    </row>
    <row r="76" spans="1:25" ht="20" customHeight="1" x14ac:dyDescent="0.2">
      <c r="B76" s="416" t="s">
        <v>4023</v>
      </c>
      <c r="C76" s="416"/>
      <c r="D76" s="416"/>
      <c r="E76" s="416"/>
      <c r="F76" s="197" t="s">
        <v>538</v>
      </c>
      <c r="G76" s="337">
        <f>IF(cbr_result="Excluded",0,2)</f>
        <v>0</v>
      </c>
      <c r="H76" s="337">
        <f>IF(cbr_result="Excluded",0,sizing_cbr_cpu)</f>
        <v>0</v>
      </c>
      <c r="I76" s="331">
        <f>IF(cbr_result="Excluded",0,sizing_cbr_ram)</f>
        <v>0</v>
      </c>
      <c r="J76" s="331">
        <f>IF(cbr_result="Excluded",0,sizing_cbr_disk)</f>
        <v>0</v>
      </c>
      <c r="K76" s="475" t="s">
        <v>4018</v>
      </c>
      <c r="L76" s="476"/>
      <c r="M76" s="476"/>
      <c r="N76" s="476"/>
      <c r="O76" s="476"/>
      <c r="P76" s="476"/>
      <c r="Q76" s="476"/>
      <c r="R76" s="477"/>
    </row>
    <row r="77" spans="1:25" ht="20" customHeight="1" x14ac:dyDescent="0.2">
      <c r="B77" s="468" t="s">
        <v>4024</v>
      </c>
      <c r="C77" s="469"/>
      <c r="D77" s="469"/>
      <c r="E77" s="469"/>
      <c r="F77" s="469"/>
      <c r="G77" s="469"/>
      <c r="H77" s="469"/>
      <c r="I77" s="469"/>
      <c r="J77" s="469"/>
      <c r="K77" s="469"/>
      <c r="L77" s="469"/>
      <c r="M77" s="469"/>
      <c r="N77" s="469"/>
      <c r="O77" s="469"/>
      <c r="P77" s="469"/>
      <c r="Q77" s="469"/>
      <c r="R77" s="470"/>
    </row>
    <row r="78" spans="1:25" ht="20" customHeight="1" x14ac:dyDescent="0.2">
      <c r="B78" s="416" t="s">
        <v>4025</v>
      </c>
      <c r="C78" s="416"/>
      <c r="D78" s="416"/>
      <c r="E78" s="416"/>
      <c r="F78" s="197" t="s">
        <v>538</v>
      </c>
      <c r="G78" s="337">
        <f>IF(ccm_result="Excluded",0,1)</f>
        <v>0</v>
      </c>
      <c r="H78" s="337">
        <f>IF(ccm_result="Excluded",0,sizing_ccm_hcx_cpu)</f>
        <v>0</v>
      </c>
      <c r="I78" s="331">
        <f>IF(ccm_result="Excluded",0,sizing_ccm_hcx_ram)</f>
        <v>0</v>
      </c>
      <c r="J78" s="331">
        <f>IF(ccm_result="Excluded",0,sizing_ccm_hcx_disk)</f>
        <v>0</v>
      </c>
      <c r="K78" s="475" t="s">
        <v>4018</v>
      </c>
      <c r="L78" s="476"/>
      <c r="M78" s="476"/>
      <c r="N78" s="476"/>
      <c r="O78" s="476"/>
      <c r="P78" s="476"/>
      <c r="Q78" s="476"/>
      <c r="R78" s="477"/>
    </row>
    <row r="79" spans="1:25" ht="20" customHeight="1" x14ac:dyDescent="0.2">
      <c r="E79" s="463" t="s">
        <v>3964</v>
      </c>
      <c r="F79" s="464"/>
      <c r="G79" s="4">
        <f>SUM(G71:G72,G76,G78,G74)</f>
        <v>0</v>
      </c>
      <c r="H79" s="4" t="str">
        <f>CONCATENATE(SUMPRODUCT('Management Domain Sizing'!$G$71:$G$78,'Management Domain Sizing'!H71:H78)," CPUs")</f>
        <v>0 CPUs</v>
      </c>
      <c r="I79" s="4" t="str">
        <f>CONCATENATE(SUMPRODUCT('Management Domain Sizing'!$G$71:$G$78,'Management Domain Sizing'!I71:I78)," GB")</f>
        <v>0 GB</v>
      </c>
      <c r="J79" s="4" t="str">
        <f>CONCATENATE(SUMPRODUCT('Management Domain Sizing'!$G$71:$G$78,'Management Domain Sizing'!J71:J78)," GB")</f>
        <v>0 GB</v>
      </c>
    </row>
    <row r="80" spans="1:25" ht="20" customHeight="1" x14ac:dyDescent="0.2"/>
    <row r="81" spans="3:11" ht="20" customHeight="1" x14ac:dyDescent="0.2"/>
    <row r="82" spans="3:11" ht="20" customHeight="1" x14ac:dyDescent="0.2">
      <c r="H82" s="2"/>
      <c r="J82" s="3"/>
      <c r="K82" s="3"/>
    </row>
    <row r="83" spans="3:11" ht="20" customHeight="1" x14ac:dyDescent="0.2">
      <c r="H83" s="2"/>
      <c r="J83" s="3"/>
      <c r="K83" s="3"/>
    </row>
    <row r="84" spans="3:11" ht="20" customHeight="1" x14ac:dyDescent="0.2">
      <c r="H84" s="2"/>
      <c r="J84" s="3"/>
      <c r="K84" s="3"/>
    </row>
    <row r="85" spans="3:11" x14ac:dyDescent="0.2">
      <c r="H85" s="2"/>
      <c r="J85" s="3"/>
      <c r="K85" s="3"/>
    </row>
    <row r="86" spans="3:11" x14ac:dyDescent="0.2">
      <c r="H86" s="2"/>
      <c r="J86" s="3"/>
      <c r="K86" s="3"/>
    </row>
    <row r="87" spans="3:11" x14ac:dyDescent="0.2">
      <c r="C87" s="1"/>
    </row>
    <row r="97" spans="22:22" x14ac:dyDescent="0.2">
      <c r="V97" s="23"/>
    </row>
    <row r="98" spans="22:22" x14ac:dyDescent="0.2">
      <c r="V98" s="23"/>
    </row>
    <row r="99" spans="22:22" x14ac:dyDescent="0.2">
      <c r="V99" s="23"/>
    </row>
    <row r="100" spans="22:22" x14ac:dyDescent="0.2">
      <c r="V100" s="23"/>
    </row>
    <row r="101" spans="22:22" x14ac:dyDescent="0.2">
      <c r="V101" s="23"/>
    </row>
    <row r="102" spans="22:22" x14ac:dyDescent="0.2">
      <c r="V102" s="23"/>
    </row>
  </sheetData>
  <sheetProtection algorithmName="SHA-512" hashValue="dT1OTQK5OtY4gHVy0mYAIWrj9F7v0mvdw8UWQVFS8fXiZxvCTYR5uVxkCdjMwKWOIj16ZWS/vk32fKfZ/LN6GQ==" saltValue="qE0Pl8ujGDxL9IA+h/cYtQ==" spinCount="100000" sheet="1" selectLockedCells="1"/>
  <dataConsolidate/>
  <mergeCells count="234">
    <mergeCell ref="N44:O44"/>
    <mergeCell ref="N41:O41"/>
    <mergeCell ref="N42:O42"/>
    <mergeCell ref="N38:O38"/>
    <mergeCell ref="U31:W31"/>
    <mergeCell ref="V35:W35"/>
    <mergeCell ref="G17:I17"/>
    <mergeCell ref="R20:S20"/>
    <mergeCell ref="R21:S21"/>
    <mergeCell ref="R18:S18"/>
    <mergeCell ref="R19:S19"/>
    <mergeCell ref="R17:S17"/>
    <mergeCell ref="G20:I20"/>
    <mergeCell ref="J36:K36"/>
    <mergeCell ref="J37:K37"/>
    <mergeCell ref="Q36:R36"/>
    <mergeCell ref="Q37:R37"/>
    <mergeCell ref="Q44:R44"/>
    <mergeCell ref="J43:K43"/>
    <mergeCell ref="J44:K44"/>
    <mergeCell ref="J41:K41"/>
    <mergeCell ref="J42:K42"/>
    <mergeCell ref="N43:O43"/>
    <mergeCell ref="Q41:R41"/>
    <mergeCell ref="B26:D26"/>
    <mergeCell ref="B27:D27"/>
    <mergeCell ref="N39:O39"/>
    <mergeCell ref="L31:N31"/>
    <mergeCell ref="J38:K38"/>
    <mergeCell ref="I35:K35"/>
    <mergeCell ref="O31:P31"/>
    <mergeCell ref="M35:O35"/>
    <mergeCell ref="M32:N32"/>
    <mergeCell ref="P35:R35"/>
    <mergeCell ref="D31:E31"/>
    <mergeCell ref="F35:G35"/>
    <mergeCell ref="D35:E35"/>
    <mergeCell ref="J39:K39"/>
    <mergeCell ref="I31:K31"/>
    <mergeCell ref="Q6:S6"/>
    <mergeCell ref="O10:Q10"/>
    <mergeCell ref="R8:S8"/>
    <mergeCell ref="O9:Q9"/>
    <mergeCell ref="J55:K55"/>
    <mergeCell ref="Q53:R53"/>
    <mergeCell ref="N45:O45"/>
    <mergeCell ref="T54:U54"/>
    <mergeCell ref="T55:U55"/>
    <mergeCell ref="Q50:R50"/>
    <mergeCell ref="Q51:R51"/>
    <mergeCell ref="N46:O46"/>
    <mergeCell ref="Q45:R45"/>
    <mergeCell ref="Q46:R46"/>
    <mergeCell ref="Q47:R47"/>
    <mergeCell ref="J45:K45"/>
    <mergeCell ref="J46:K46"/>
    <mergeCell ref="Q52:R52"/>
    <mergeCell ref="Q48:R48"/>
    <mergeCell ref="Q49:R49"/>
    <mergeCell ref="T52:U52"/>
    <mergeCell ref="T45:U45"/>
    <mergeCell ref="T46:U46"/>
    <mergeCell ref="T47:U47"/>
    <mergeCell ref="N37:O37"/>
    <mergeCell ref="J40:K40"/>
    <mergeCell ref="N40:O40"/>
    <mergeCell ref="Q39:R39"/>
    <mergeCell ref="Q40:R40"/>
    <mergeCell ref="B3:AB3"/>
    <mergeCell ref="B2:AB2"/>
    <mergeCell ref="G6:M6"/>
    <mergeCell ref="B6:E6"/>
    <mergeCell ref="B7:D7"/>
    <mergeCell ref="G7:I7"/>
    <mergeCell ref="O7:Q7"/>
    <mergeCell ref="R7:S7"/>
    <mergeCell ref="U7:AB28"/>
    <mergeCell ref="G19:I19"/>
    <mergeCell ref="G18:I18"/>
    <mergeCell ref="G8:I8"/>
    <mergeCell ref="G9:I9"/>
    <mergeCell ref="G10:I10"/>
    <mergeCell ref="R13:S13"/>
    <mergeCell ref="R14:S14"/>
    <mergeCell ref="B8:D8"/>
    <mergeCell ref="B9:D9"/>
    <mergeCell ref="B12:D12"/>
    <mergeCell ref="R15:S15"/>
    <mergeCell ref="R16:S16"/>
    <mergeCell ref="B11:E11"/>
    <mergeCell ref="B14:D14"/>
    <mergeCell ref="B15:D15"/>
    <mergeCell ref="B16:D16"/>
    <mergeCell ref="G13:I13"/>
    <mergeCell ref="G15:I15"/>
    <mergeCell ref="G11:I11"/>
    <mergeCell ref="G12:I12"/>
    <mergeCell ref="G14:I14"/>
    <mergeCell ref="B13:D13"/>
    <mergeCell ref="R9:S9"/>
    <mergeCell ref="R10:S10"/>
    <mergeCell ref="O8:Q8"/>
    <mergeCell ref="B18:E18"/>
    <mergeCell ref="B19:D19"/>
    <mergeCell ref="B20:D20"/>
    <mergeCell ref="B21:D21"/>
    <mergeCell ref="N36:O36"/>
    <mergeCell ref="B25:D25"/>
    <mergeCell ref="B22:D22"/>
    <mergeCell ref="B23:D23"/>
    <mergeCell ref="B24:D24"/>
    <mergeCell ref="G21:I21"/>
    <mergeCell ref="G22:I22"/>
    <mergeCell ref="G23:I23"/>
    <mergeCell ref="G24:I24"/>
    <mergeCell ref="G25:I25"/>
    <mergeCell ref="F31:G31"/>
    <mergeCell ref="N30:AB30"/>
    <mergeCell ref="V32:W32"/>
    <mergeCell ref="J32:K32"/>
    <mergeCell ref="X35:AB35"/>
    <mergeCell ref="R34:AB34"/>
    <mergeCell ref="S35:U35"/>
    <mergeCell ref="X36:AB36"/>
    <mergeCell ref="X37:AB37"/>
    <mergeCell ref="X38:AB38"/>
    <mergeCell ref="Q31:T31"/>
    <mergeCell ref="T36:U36"/>
    <mergeCell ref="T37:U37"/>
    <mergeCell ref="R32:T32"/>
    <mergeCell ref="T44:U44"/>
    <mergeCell ref="X41:AB41"/>
    <mergeCell ref="X42:AB42"/>
    <mergeCell ref="X43:AB43"/>
    <mergeCell ref="T41:U41"/>
    <mergeCell ref="T42:U42"/>
    <mergeCell ref="T43:U43"/>
    <mergeCell ref="X39:AB39"/>
    <mergeCell ref="X40:AB40"/>
    <mergeCell ref="Q42:R42"/>
    <mergeCell ref="Q43:R43"/>
    <mergeCell ref="T39:U39"/>
    <mergeCell ref="T40:U40"/>
    <mergeCell ref="T38:U38"/>
    <mergeCell ref="Q38:R38"/>
    <mergeCell ref="T59:U59"/>
    <mergeCell ref="T58:U58"/>
    <mergeCell ref="T56:U56"/>
    <mergeCell ref="T51:U51"/>
    <mergeCell ref="X44:AB44"/>
    <mergeCell ref="X45:AB45"/>
    <mergeCell ref="X46:AB46"/>
    <mergeCell ref="X47:AB47"/>
    <mergeCell ref="X49:AB49"/>
    <mergeCell ref="X50:AB50"/>
    <mergeCell ref="X51:AB51"/>
    <mergeCell ref="X48:AB48"/>
    <mergeCell ref="T50:U50"/>
    <mergeCell ref="T57:U57"/>
    <mergeCell ref="X59:AB59"/>
    <mergeCell ref="X58:AB58"/>
    <mergeCell ref="X57:AB57"/>
    <mergeCell ref="X53:AB53"/>
    <mergeCell ref="X54:AB54"/>
    <mergeCell ref="T48:U48"/>
    <mergeCell ref="T49:U49"/>
    <mergeCell ref="E79:F79"/>
    <mergeCell ref="B70:R70"/>
    <mergeCell ref="B75:R75"/>
    <mergeCell ref="E66:H66"/>
    <mergeCell ref="K74:R74"/>
    <mergeCell ref="B66:D66"/>
    <mergeCell ref="B73:R73"/>
    <mergeCell ref="K72:R72"/>
    <mergeCell ref="K71:R71"/>
    <mergeCell ref="K69:R69"/>
    <mergeCell ref="J66:R66"/>
    <mergeCell ref="B71:E71"/>
    <mergeCell ref="B74:E74"/>
    <mergeCell ref="K78:R78"/>
    <mergeCell ref="B69:E69"/>
    <mergeCell ref="B77:R77"/>
    <mergeCell ref="K76:R76"/>
    <mergeCell ref="B78:E78"/>
    <mergeCell ref="B76:E76"/>
    <mergeCell ref="B72:E72"/>
    <mergeCell ref="E65:H65"/>
    <mergeCell ref="B63:D63"/>
    <mergeCell ref="B62:D62"/>
    <mergeCell ref="E62:H62"/>
    <mergeCell ref="J63:R63"/>
    <mergeCell ref="J65:R65"/>
    <mergeCell ref="J64:R64"/>
    <mergeCell ref="B65:D65"/>
    <mergeCell ref="E64:H64"/>
    <mergeCell ref="E63:H63"/>
    <mergeCell ref="J62:R62"/>
    <mergeCell ref="B64:D64"/>
    <mergeCell ref="N57:O57"/>
    <mergeCell ref="Q57:R57"/>
    <mergeCell ref="B61:R61"/>
    <mergeCell ref="Q56:R56"/>
    <mergeCell ref="X52:AB52"/>
    <mergeCell ref="J57:K57"/>
    <mergeCell ref="N54:O54"/>
    <mergeCell ref="J59:K59"/>
    <mergeCell ref="N58:O58"/>
    <mergeCell ref="J56:K56"/>
    <mergeCell ref="J58:K58"/>
    <mergeCell ref="J53:K53"/>
    <mergeCell ref="N52:O52"/>
    <mergeCell ref="N53:O53"/>
    <mergeCell ref="Q59:R59"/>
    <mergeCell ref="X56:AB56"/>
    <mergeCell ref="X55:AB55"/>
    <mergeCell ref="Q54:R54"/>
    <mergeCell ref="Q55:R55"/>
    <mergeCell ref="N55:O55"/>
    <mergeCell ref="T53:U53"/>
    <mergeCell ref="N59:O59"/>
    <mergeCell ref="Q58:R58"/>
    <mergeCell ref="N56:O56"/>
    <mergeCell ref="J47:K47"/>
    <mergeCell ref="J48:K48"/>
    <mergeCell ref="J54:K54"/>
    <mergeCell ref="J51:K51"/>
    <mergeCell ref="J52:K52"/>
    <mergeCell ref="J49:K49"/>
    <mergeCell ref="N47:O47"/>
    <mergeCell ref="J50:K50"/>
    <mergeCell ref="N50:O50"/>
    <mergeCell ref="N51:O51"/>
    <mergeCell ref="N48:O48"/>
    <mergeCell ref="N49:O49"/>
  </mergeCells>
  <phoneticPr fontId="4" type="noConversion"/>
  <conditionalFormatting sqref="B63:C63">
    <cfRule type="expression" dxfId="2610" priority="209">
      <formula>(spr_chosen="Exclude")</formula>
    </cfRule>
    <cfRule type="expression" dxfId="2609" priority="210">
      <formula>AND((spr_chosen&lt;&gt;"Exclude"),(spr_result="Excluded"))</formula>
    </cfRule>
    <cfRule type="expression" dxfId="2608" priority="211">
      <formula>AND((spr_chosen&lt;&gt;"Exclude"),(spr_result="Included"))</formula>
    </cfRule>
  </conditionalFormatting>
  <conditionalFormatting sqref="B65:C65">
    <cfRule type="expression" dxfId="2607" priority="223">
      <formula>(cbr_chosen="Exclude")</formula>
    </cfRule>
    <cfRule type="expression" dxfId="2606" priority="224">
      <formula>AND((cbr_chosen&lt;&gt;"Exclude"),(cbr_result="Excluded"))</formula>
    </cfRule>
    <cfRule type="expression" dxfId="2605" priority="230">
      <formula>AND((cbr_chosen&lt;&gt;"Exclude"),(cbr_result="Included"))</formula>
    </cfRule>
  </conditionalFormatting>
  <conditionalFormatting sqref="B66:C66">
    <cfRule type="expression" dxfId="2604" priority="232">
      <formula>(ccm_chosen="Exclude")</formula>
    </cfRule>
    <cfRule type="expression" dxfId="2603" priority="225">
      <formula>AND((ccm_chosen&lt;&gt;"Exclude"),(ccm_result="Included"))</formula>
    </cfRule>
    <cfRule type="expression" dxfId="2602" priority="231">
      <formula>AND((ccm_chosen&lt;&gt;"Exclude"),(ccm_result="Excluded"))</formula>
    </cfRule>
  </conditionalFormatting>
  <conditionalFormatting sqref="B64:D64 I64:R64">
    <cfRule type="expression" dxfId="2601" priority="62">
      <formula>(rwr_chosen="Include")</formula>
    </cfRule>
    <cfRule type="expression" dxfId="2600" priority="63">
      <formula>(rwr_chosen="Exclude")</formula>
    </cfRule>
  </conditionalFormatting>
  <conditionalFormatting sqref="C40:J40">
    <cfRule type="expression" dxfId="2599" priority="697">
      <formula>(sizing_w05_chosen="Included")</formula>
    </cfRule>
  </conditionalFormatting>
  <conditionalFormatting sqref="C41:J41">
    <cfRule type="expression" dxfId="2598" priority="695">
      <formula>(sizing_w06_chosen="Included")</formula>
    </cfRule>
  </conditionalFormatting>
  <conditionalFormatting sqref="C42:J42">
    <cfRule type="expression" dxfId="2597" priority="693">
      <formula>(sizing_w07_chosen="Included")</formula>
    </cfRule>
  </conditionalFormatting>
  <conditionalFormatting sqref="C43:J43">
    <cfRule type="expression" dxfId="2596" priority="691">
      <formula>(sizing_w08_chosen="Included")</formula>
    </cfRule>
  </conditionalFormatting>
  <conditionalFormatting sqref="C44:J44">
    <cfRule type="expression" dxfId="2595" priority="690">
      <formula>(sizing_w09_chosen="Included")</formula>
    </cfRule>
  </conditionalFormatting>
  <conditionalFormatting sqref="C45:J45">
    <cfRule type="expression" dxfId="2594" priority="689">
      <formula>(sizing_w10_chosen="Included")</formula>
    </cfRule>
  </conditionalFormatting>
  <conditionalFormatting sqref="C46:J46">
    <cfRule type="expression" dxfId="2593" priority="685">
      <formula>(sizing_w11_chosen="Included")</formula>
    </cfRule>
  </conditionalFormatting>
  <conditionalFormatting sqref="C47:J47">
    <cfRule type="expression" dxfId="2592" priority="688">
      <formula>(sizing_w12_chosen="Included")</formula>
    </cfRule>
  </conditionalFormatting>
  <conditionalFormatting sqref="C48:J48">
    <cfRule type="expression" dxfId="2591" priority="687">
      <formula>(sizing_w13_chosen="Included")</formula>
    </cfRule>
  </conditionalFormatting>
  <conditionalFormatting sqref="C49:J49">
    <cfRule type="expression" dxfId="2590" priority="686">
      <formula>(sizing_w14_chosen="Included")</formula>
    </cfRule>
  </conditionalFormatting>
  <conditionalFormatting sqref="C50:J50">
    <cfRule type="expression" dxfId="2589" priority="678">
      <formula>(sizing_w15_chosen="Included")</formula>
    </cfRule>
  </conditionalFormatting>
  <conditionalFormatting sqref="C51:J51">
    <cfRule type="expression" dxfId="2588" priority="682">
      <formula>(sizing_w16_chosen="Included")</formula>
    </cfRule>
  </conditionalFormatting>
  <conditionalFormatting sqref="C52:J52">
    <cfRule type="expression" dxfId="2587" priority="681">
      <formula>(sizing_w17_chosen="Included")</formula>
    </cfRule>
  </conditionalFormatting>
  <conditionalFormatting sqref="C53:J53">
    <cfRule type="expression" dxfId="2586" priority="679">
      <formula>(sizing_w18_chosen="Included")</formula>
    </cfRule>
  </conditionalFormatting>
  <conditionalFormatting sqref="C54:J54">
    <cfRule type="expression" dxfId="2585" priority="677">
      <formula>(sizing_w19_chosen="Included")</formula>
    </cfRule>
  </conditionalFormatting>
  <conditionalFormatting sqref="C55:J55">
    <cfRule type="expression" dxfId="2584" priority="675">
      <formula>(sizing_w20_chosen="Included")</formula>
    </cfRule>
  </conditionalFormatting>
  <conditionalFormatting sqref="C56:J56">
    <cfRule type="expression" dxfId="2583" priority="672">
      <formula>(sizing_w21_chosen="Included")</formula>
    </cfRule>
  </conditionalFormatting>
  <conditionalFormatting sqref="C57:J57">
    <cfRule type="expression" dxfId="2582" priority="670">
      <formula>(sizing_w22_chosen="Included")</formula>
    </cfRule>
  </conditionalFormatting>
  <conditionalFormatting sqref="C58:J58">
    <cfRule type="expression" dxfId="2581" priority="560">
      <formula>(sizing_w23_chosen="Included")</formula>
    </cfRule>
  </conditionalFormatting>
  <conditionalFormatting sqref="C59:J59">
    <cfRule type="expression" dxfId="2580" priority="559">
      <formula>(sizing_w24_chosen="Included")</formula>
    </cfRule>
  </conditionalFormatting>
  <conditionalFormatting sqref="C37:K37">
    <cfRule type="expression" dxfId="2579" priority="711">
      <formula>(sizing_w02_chosen="Included")</formula>
    </cfRule>
  </conditionalFormatting>
  <conditionalFormatting sqref="C38:K38">
    <cfRule type="expression" dxfId="2578" priority="1102">
      <formula>(sizing_w03_chosen="Included")</formula>
    </cfRule>
  </conditionalFormatting>
  <conditionalFormatting sqref="C39:K39">
    <cfRule type="expression" dxfId="2577" priority="700">
      <formula>(sizing_w04_chosen="Included")</formula>
    </cfRule>
  </conditionalFormatting>
  <conditionalFormatting sqref="D36:J36 L36:N36 P36:Q36 S36:W36">
    <cfRule type="expression" dxfId="2576" priority="4">
      <formula>(sizing_w01_chosen="Excluded")</formula>
    </cfRule>
  </conditionalFormatting>
  <conditionalFormatting sqref="D40:J40 L40:N40 P40:Q40 S40:W40">
    <cfRule type="expression" dxfId="2575" priority="10">
      <formula>(sizing_w05_chosen="Excluded")</formula>
    </cfRule>
  </conditionalFormatting>
  <conditionalFormatting sqref="D41:J41 L41:N41 P41:Q41 S41:W41">
    <cfRule type="expression" dxfId="2574" priority="11">
      <formula>(sizing_w06_chosen="Excluded")</formula>
    </cfRule>
  </conditionalFormatting>
  <conditionalFormatting sqref="D42:J42 L42:N42 P42:Q42 S42:W42">
    <cfRule type="expression" dxfId="2573" priority="12">
      <formula>(sizing_w07_chosen="Excluded")</formula>
    </cfRule>
  </conditionalFormatting>
  <conditionalFormatting sqref="D43:J43 L43:N43 P43:Q43 S43:W43">
    <cfRule type="expression" dxfId="2572" priority="13">
      <formula>(sizing_w08_chosen="Excluded")</formula>
    </cfRule>
  </conditionalFormatting>
  <conditionalFormatting sqref="D44:J44 L44:N44 P44:Q44 S44:W44">
    <cfRule type="expression" dxfId="2571" priority="14">
      <formula>(sizing_w09_chosen="Excluded")</formula>
    </cfRule>
  </conditionalFormatting>
  <conditionalFormatting sqref="D45:J45 L45:N45 P45:Q45 S45:W45">
    <cfRule type="expression" dxfId="2570" priority="15">
      <formula>(sizing_w10_chosen="Excluded")</formula>
    </cfRule>
  </conditionalFormatting>
  <conditionalFormatting sqref="D46:J46 L46:N46 P46:Q46 S46:W46">
    <cfRule type="expression" dxfId="2569" priority="16">
      <formula>(sizing_w11_chosen="Excluded")</formula>
    </cfRule>
  </conditionalFormatting>
  <conditionalFormatting sqref="D47:J47 L47:N47 P47:Q47 S47:W47">
    <cfRule type="expression" dxfId="2568" priority="17">
      <formula>(sizing_w12_chosen="Excluded")</formula>
    </cfRule>
  </conditionalFormatting>
  <conditionalFormatting sqref="D48:J48 L48:N48 P48:Q48 S48:W48">
    <cfRule type="expression" dxfId="2567" priority="18">
      <formula>(sizing_w13_chosen="Excluded")</formula>
    </cfRule>
  </conditionalFormatting>
  <conditionalFormatting sqref="D49:J49 L49:N49 P49:Q49 S49:W49">
    <cfRule type="expression" dxfId="2566" priority="19">
      <formula>(sizing_w14_chosen="Excluded")</formula>
    </cfRule>
  </conditionalFormatting>
  <conditionalFormatting sqref="D50:J50 L50:N50 P50:Q50 S50:W50">
    <cfRule type="expression" dxfId="2565" priority="20">
      <formula>(sizing_w15_chosen="Excluded")</formula>
    </cfRule>
  </conditionalFormatting>
  <conditionalFormatting sqref="D51:J51 L51:N51 P51:Q51 S51:W51">
    <cfRule type="expression" dxfId="2564" priority="21">
      <formula>(sizing_w16_chosen="Excluded")</formula>
    </cfRule>
  </conditionalFormatting>
  <conditionalFormatting sqref="D52:J52 L52:N52 P52:Q52 S52:W52">
    <cfRule type="expression" dxfId="2563" priority="22">
      <formula>(sizing_w17_chosen="Excluded")</formula>
    </cfRule>
  </conditionalFormatting>
  <conditionalFormatting sqref="D53:J53 L53:N53 P53:Q53 S53:W53">
    <cfRule type="expression" dxfId="2562" priority="23">
      <formula>(sizing_w18_chosen="Excluded")</formula>
    </cfRule>
  </conditionalFormatting>
  <conditionalFormatting sqref="D54:J54 L54:N54 P54:Q54 S54:W54">
    <cfRule type="expression" dxfId="2561" priority="24">
      <formula>(sizing_w19_chosen="Excluded")</formula>
    </cfRule>
  </conditionalFormatting>
  <conditionalFormatting sqref="D55:J55 L55:N55 P55:Q55 S55:W55">
    <cfRule type="expression" dxfId="2560" priority="25">
      <formula>(sizing_w20_chosen="Excluded")</formula>
    </cfRule>
  </conditionalFormatting>
  <conditionalFormatting sqref="D56:J56 L56:N56 P56:Q56 S56:W56">
    <cfRule type="expression" dxfId="2559" priority="26">
      <formula>(sizing_w21_chosen="Excluded")</formula>
    </cfRule>
  </conditionalFormatting>
  <conditionalFormatting sqref="D57:J57 L57:N57 P57:Q57 S57:W57">
    <cfRule type="expression" dxfId="2558" priority="27">
      <formula>(sizing_w22_chosen="Excluded")</formula>
    </cfRule>
  </conditionalFormatting>
  <conditionalFormatting sqref="D58:J58 L58:N58 P58:Q58 S58:W58">
    <cfRule type="expression" dxfId="2557" priority="30">
      <formula>(sizing_w23_chosen="Excluded")</formula>
    </cfRule>
  </conditionalFormatting>
  <conditionalFormatting sqref="D59:J59 L59:N59 P59:Q59 S59:W59">
    <cfRule type="expression" dxfId="2556" priority="49">
      <formula>(sizing_w24_chosen="Excluded")</formula>
    </cfRule>
  </conditionalFormatting>
  <conditionalFormatting sqref="D38:N38 P38:Q38 S38:W38">
    <cfRule type="expression" dxfId="2555" priority="8">
      <formula>(sizing_w03_chosen="Excluded")</formula>
    </cfRule>
  </conditionalFormatting>
  <conditionalFormatting sqref="D39:N39 P39:Q39 S39:W39">
    <cfRule type="expression" dxfId="2554" priority="9" stopIfTrue="1">
      <formula>(sizing_w04_chosen="Excluded")</formula>
    </cfRule>
  </conditionalFormatting>
  <conditionalFormatting sqref="D37:W37">
    <cfRule type="expression" dxfId="2553" priority="7">
      <formula>(sizing_w02_chosen="Excluded")</formula>
    </cfRule>
  </conditionalFormatting>
  <conditionalFormatting sqref="E8:E9 C32:J32 L32:M32 O32:R32 F76 F78 E13:E16 F71:F72 S36:T36">
    <cfRule type="notContainsBlanks" dxfId="2552" priority="1100">
      <formula>LEN(TRIM(C8))&gt;0</formula>
    </cfRule>
  </conditionalFormatting>
  <conditionalFormatting sqref="E20:E27">
    <cfRule type="notContainsBlanks" dxfId="2551" priority="94">
      <formula>LEN(TRIM(E20))&gt;0</formula>
    </cfRule>
    <cfRule type="containsBlanks" dxfId="2550" priority="93">
      <formula>LEN(TRIM(E20))=0</formula>
    </cfRule>
  </conditionalFormatting>
  <conditionalFormatting sqref="E21">
    <cfRule type="expression" dxfId="2549" priority="92">
      <formula>sizing_vcfops_ha_chosen="Exclude"</formula>
    </cfRule>
  </conditionalFormatting>
  <conditionalFormatting sqref="E22">
    <cfRule type="expression" dxfId="2548" priority="57">
      <formula>sizing_vcfops_collector_chosen="Exclude"</formula>
    </cfRule>
  </conditionalFormatting>
  <conditionalFormatting sqref="E23">
    <cfRule type="expression" dxfId="2547" priority="89">
      <formula>sizing_vcfauto_chosen="Exclude"</formula>
    </cfRule>
  </conditionalFormatting>
  <conditionalFormatting sqref="E24">
    <cfRule type="expression" dxfId="2546" priority="90">
      <formula>sizing_vcfops_logs_chosen="Exclude"</formula>
    </cfRule>
  </conditionalFormatting>
  <conditionalFormatting sqref="E25">
    <cfRule type="expression" dxfId="2545" priority="59">
      <formula>sizing_vcfops_net_chosen="Exclude"</formula>
    </cfRule>
  </conditionalFormatting>
  <conditionalFormatting sqref="E26">
    <cfRule type="expression" dxfId="2544" priority="58">
      <formula>sizing_vcfops_net_collector_chosen="Exclude"</formula>
    </cfRule>
  </conditionalFormatting>
  <conditionalFormatting sqref="E27">
    <cfRule type="expression" dxfId="2543" priority="88">
      <formula>sizing_vcfvidb_chosen="Exclude"</formula>
    </cfRule>
  </conditionalFormatting>
  <conditionalFormatting sqref="F71:F72 E13:E16 D32:E32">
    <cfRule type="containsBlanks" dxfId="2542" priority="1096">
      <formula>LEN(TRIM(D13))=0</formula>
    </cfRule>
  </conditionalFormatting>
  <conditionalFormatting sqref="F76 F78 O32:R32 L32:M32 E8:E9 I32:J32">
    <cfRule type="containsBlanks" dxfId="2541" priority="1098">
      <formula>LEN(TRIM(E8))=0</formula>
    </cfRule>
  </conditionalFormatting>
  <conditionalFormatting sqref="F76">
    <cfRule type="expression" dxfId="2540" priority="396">
      <formula>cbr_result="Excluded"</formula>
    </cfRule>
  </conditionalFormatting>
  <conditionalFormatting sqref="F78">
    <cfRule type="expression" dxfId="2539" priority="394">
      <formula>ccm_result="Excluded"</formula>
    </cfRule>
  </conditionalFormatting>
  <conditionalFormatting sqref="F74:J74">
    <cfRule type="expression" dxfId="2538" priority="60">
      <formula>rwr_chosen="Include"</formula>
    </cfRule>
  </conditionalFormatting>
  <conditionalFormatting sqref="F74:K74">
    <cfRule type="expression" dxfId="2537" priority="61">
      <formula>rwr_chosen="Exclude"</formula>
    </cfRule>
  </conditionalFormatting>
  <conditionalFormatting sqref="F71:R71">
    <cfRule type="expression" dxfId="2536" priority="91">
      <formula>AND((spr_mo_result="False"),(spr_mw_result="False"))</formula>
    </cfRule>
  </conditionalFormatting>
  <conditionalFormatting sqref="F72:R72">
    <cfRule type="expression" dxfId="2535" priority="53">
      <formula>AND((spr_wo_result="False"),(spr_mw_result="False"))</formula>
    </cfRule>
  </conditionalFormatting>
  <conditionalFormatting sqref="G71:J71">
    <cfRule type="expression" dxfId="2534" priority="54">
      <formula>$G$71=1</formula>
    </cfRule>
  </conditionalFormatting>
  <conditionalFormatting sqref="G72:J72">
    <cfRule type="expression" dxfId="2533" priority="387">
      <formula>$G$72&gt;0</formula>
    </cfRule>
  </conditionalFormatting>
  <conditionalFormatting sqref="G76:J76">
    <cfRule type="expression" dxfId="2532" priority="56">
      <formula>cbr_result="Included"</formula>
    </cfRule>
    <cfRule type="expression" dxfId="2531" priority="196">
      <formula>cbr_result="Excluded"</formula>
    </cfRule>
  </conditionalFormatting>
  <conditionalFormatting sqref="G78:J78">
    <cfRule type="expression" dxfId="2530" priority="55">
      <formula>ccm_result="Included"</formula>
    </cfRule>
    <cfRule type="expression" dxfId="2529" priority="197">
      <formula>ccm_result="Excluded"</formula>
    </cfRule>
  </conditionalFormatting>
  <conditionalFormatting sqref="H36">
    <cfRule type="expression" dxfId="2528" priority="486">
      <formula>AND(sizing_w01_chosen="Isolated Vi Workload Domain",sizing_w01_nsxt_model="Shared")</formula>
    </cfRule>
  </conditionalFormatting>
  <conditionalFormatting sqref="I65">
    <cfRule type="expression" dxfId="2527" priority="219">
      <formula>AND((cbr_chosen&lt;&gt;"Exclude"),(cbr_result="Excluded"))</formula>
    </cfRule>
    <cfRule type="expression" dxfId="2526" priority="218">
      <formula>AND((cbr_chosen&lt;&gt;"Exclude"),(cbr_result="Included"))</formula>
    </cfRule>
  </conditionalFormatting>
  <conditionalFormatting sqref="I66">
    <cfRule type="expression" dxfId="2525" priority="229">
      <formula>(ccm_chosen="Exclude")</formula>
    </cfRule>
    <cfRule type="expression" dxfId="2524" priority="228" stopIfTrue="1">
      <formula>AND((ccm_chosen&lt;&gt;"Exclude"),(ccm_result="Excluded"))</formula>
    </cfRule>
  </conditionalFormatting>
  <conditionalFormatting sqref="I40:J40">
    <cfRule type="expression" dxfId="2523" priority="583">
      <formula>(sizing_w05_nsxt_model="Shared")</formula>
    </cfRule>
  </conditionalFormatting>
  <conditionalFormatting sqref="I41:J41">
    <cfRule type="expression" dxfId="2522" priority="582">
      <formula>(sizing_w06_nsxt_model="Shared")</formula>
    </cfRule>
  </conditionalFormatting>
  <conditionalFormatting sqref="I42:J42">
    <cfRule type="expression" dxfId="2521" priority="581">
      <formula>(sizing_w07_nsxt_model="Shared")</formula>
    </cfRule>
  </conditionalFormatting>
  <conditionalFormatting sqref="I43:J43">
    <cfRule type="expression" dxfId="2520" priority="580">
      <formula>(sizing_w08_nsxt_model="Shared")</formula>
    </cfRule>
  </conditionalFormatting>
  <conditionalFormatting sqref="I44:J44">
    <cfRule type="expression" dxfId="2519" priority="579">
      <formula>(sizing_w09_nsxt_model="Shared")</formula>
    </cfRule>
  </conditionalFormatting>
  <conditionalFormatting sqref="I45:J45">
    <cfRule type="expression" dxfId="2518" priority="578">
      <formula>(sizing_w10_nsxt_model="Shared")</formula>
    </cfRule>
  </conditionalFormatting>
  <conditionalFormatting sqref="I46:J46">
    <cfRule type="expression" dxfId="2517" priority="577">
      <formula>(sizing_w11_nsxt_model="Shared")</formula>
    </cfRule>
  </conditionalFormatting>
  <conditionalFormatting sqref="I47:J47">
    <cfRule type="expression" dxfId="2516" priority="576">
      <formula>(sizing_w12_nsxt_model="Shared")</formula>
    </cfRule>
  </conditionalFormatting>
  <conditionalFormatting sqref="I48:J48">
    <cfRule type="expression" dxfId="2515" priority="575">
      <formula>(sizing_w13_nsxt_model="Shared")</formula>
    </cfRule>
  </conditionalFormatting>
  <conditionalFormatting sqref="I49:J49">
    <cfRule type="expression" dxfId="2514" priority="574">
      <formula>(sizing_w14_nsxt_model="Shared")</formula>
    </cfRule>
  </conditionalFormatting>
  <conditionalFormatting sqref="I63:J63">
    <cfRule type="expression" dxfId="2513" priority="206">
      <formula>(spr_chosen="Exclude")</formula>
    </cfRule>
    <cfRule type="expression" dxfId="2512" priority="207">
      <formula>AND((spr_chosen&lt;&gt;"Exclude"),(spr_result="Excluded"))</formula>
    </cfRule>
    <cfRule type="expression" dxfId="2511" priority="208">
      <formula>AND((spr_chosen&lt;&gt;"Exclude"),(spr_result="Included"))</formula>
    </cfRule>
  </conditionalFormatting>
  <conditionalFormatting sqref="I37:K37">
    <cfRule type="expression" dxfId="2510" priority="710">
      <formula>(sizing_w02_nsxt_model="Shared")</formula>
    </cfRule>
  </conditionalFormatting>
  <conditionalFormatting sqref="I38:K38">
    <cfRule type="expression" dxfId="2509" priority="585">
      <formula>(sizing_w03_nsxt_model="Shared")</formula>
    </cfRule>
  </conditionalFormatting>
  <conditionalFormatting sqref="I39:K39">
    <cfRule type="expression" dxfId="2508" priority="584">
      <formula>(sizing_w04_nsxt_model="Shared")</formula>
    </cfRule>
  </conditionalFormatting>
  <conditionalFormatting sqref="I65:K65">
    <cfRule type="expression" dxfId="2507" priority="220">
      <formula>(cbr_chosen="Exclude")</formula>
    </cfRule>
  </conditionalFormatting>
  <conditionalFormatting sqref="I66:K66">
    <cfRule type="expression" dxfId="2506" priority="222">
      <formula>AND((ccm_chosen&lt;&gt;"Exclude"),(ccm_result="Included"))</formula>
    </cfRule>
  </conditionalFormatting>
  <conditionalFormatting sqref="J65:K65">
    <cfRule type="expression" dxfId="2505" priority="226">
      <formula>AND((cbr_chosen&lt;&gt;"Exclude"),(cbr_result="Included"))</formula>
    </cfRule>
    <cfRule type="expression" dxfId="2504" priority="221">
      <formula>AND((cbr_chosen&lt;&gt;"Exclude"),(cbr_result="Excluded"))</formula>
    </cfRule>
  </conditionalFormatting>
  <conditionalFormatting sqref="J66:K66">
    <cfRule type="expression" dxfId="2503" priority="234" stopIfTrue="1">
      <formula>(ccm_chosen="Exclude")</formula>
    </cfRule>
    <cfRule type="expression" dxfId="2502" priority="233">
      <formula>AND((ccm_chosen&lt;&gt;"Exclude"),(ccm_result="Excluded"))</formula>
    </cfRule>
  </conditionalFormatting>
  <conditionalFormatting sqref="L32:M32">
    <cfRule type="expression" dxfId="2501" priority="96">
      <formula>sizing_m01_nsxt_edge_size="Excluded"</formula>
    </cfRule>
  </conditionalFormatting>
  <conditionalFormatting sqref="L37:M37">
    <cfRule type="expression" dxfId="2500" priority="709">
      <formula>(sizing_w02_gm_result&lt;&gt;"Excluded")</formula>
    </cfRule>
  </conditionalFormatting>
  <conditionalFormatting sqref="L36:N36 S36:T36 C36:J36 P36:Q36">
    <cfRule type="expression" dxfId="2499" priority="718">
      <formula>(sizing_w01_chosen="Included")</formula>
    </cfRule>
  </conditionalFormatting>
  <conditionalFormatting sqref="L36:N36">
    <cfRule type="expression" dxfId="2498" priority="714">
      <formula>(sizing_w01_gm_chosen="Excluded")</formula>
    </cfRule>
    <cfRule type="expression" dxfId="2497" priority="717">
      <formula>(sizing_w01_gm_chosen&lt;&gt;"Excluded")</formula>
    </cfRule>
  </conditionalFormatting>
  <conditionalFormatting sqref="L38:N38">
    <cfRule type="expression" dxfId="2496" priority="706">
      <formula>(sizing_w03_gm_chosen&lt;&gt;"Excluded")</formula>
    </cfRule>
    <cfRule type="expression" dxfId="2495" priority="562">
      <formula>(sizing_w03_gm_chosen="Excluded")</formula>
    </cfRule>
  </conditionalFormatting>
  <conditionalFormatting sqref="L39:N39">
    <cfRule type="expression" dxfId="2494" priority="699">
      <formula>(sizing_w04_gm_chosen&lt;&gt;"Excluded")</formula>
    </cfRule>
    <cfRule type="expression" dxfId="2493" priority="563">
      <formula>(sizing_w04_gm_chosen="Excluded")</formula>
    </cfRule>
  </conditionalFormatting>
  <conditionalFormatting sqref="L40:N40">
    <cfRule type="expression" dxfId="2492" priority="698">
      <formula>(sizing_w05_gm_chosen&lt;&gt;"Excluded")</formula>
    </cfRule>
    <cfRule type="expression" dxfId="2491" priority="564">
      <formula>(sizing_w05_gm_chosen="Excluded")</formula>
    </cfRule>
  </conditionalFormatting>
  <conditionalFormatting sqref="L41:N41">
    <cfRule type="expression" dxfId="2490" priority="565">
      <formula>(sizing_w06_gm_chosen="Excluded")</formula>
    </cfRule>
    <cfRule type="expression" dxfId="2489" priority="696">
      <formula>(sizing_w06_gm_chosen&lt;&gt;"Excluded")</formula>
    </cfRule>
  </conditionalFormatting>
  <conditionalFormatting sqref="L42:N42">
    <cfRule type="expression" dxfId="2488" priority="566">
      <formula>(sizing_w07_gm_chosen="Excluded")</formula>
    </cfRule>
    <cfRule type="expression" dxfId="2487" priority="694">
      <formula>(sizing_w07_gm_chosen&lt;&gt;"Excluded")</formula>
    </cfRule>
  </conditionalFormatting>
  <conditionalFormatting sqref="L43:N43">
    <cfRule type="expression" dxfId="2486" priority="651">
      <formula>(sizing_w08_gm_chosen="Excluded")</formula>
    </cfRule>
    <cfRule type="expression" dxfId="2485" priority="680">
      <formula>(sizing_w08_gm_chosen&lt;&gt;"Excluded")</formula>
    </cfRule>
  </conditionalFormatting>
  <conditionalFormatting sqref="L44:N44">
    <cfRule type="expression" dxfId="2484" priority="676" stopIfTrue="1">
      <formula>(sizing_w09_gm_chosen&lt;&gt;"Excluded")</formula>
    </cfRule>
    <cfRule type="expression" dxfId="2483" priority="567">
      <formula>(sizing_w09_gm_chosen="Excluded")</formula>
    </cfRule>
  </conditionalFormatting>
  <conditionalFormatting sqref="L45:N45">
    <cfRule type="expression" dxfId="2482" priority="652">
      <formula>(sizing_w10_gm_chosen="Excluded")</formula>
    </cfRule>
    <cfRule type="expression" dxfId="2481" priority="674">
      <formula>(sizing_w10_gm_chosen&lt;&gt;"Excluded")</formula>
    </cfRule>
  </conditionalFormatting>
  <conditionalFormatting sqref="L46:N46">
    <cfRule type="expression" dxfId="2480" priority="653">
      <formula>(sizing_w11_gm_chosen="Excluded")</formula>
    </cfRule>
    <cfRule type="expression" dxfId="2479" priority="673">
      <formula>(sizing_w11_gm_chosen&lt;&gt;"Excluded")</formula>
    </cfRule>
  </conditionalFormatting>
  <conditionalFormatting sqref="L47:N47">
    <cfRule type="expression" dxfId="2478" priority="671">
      <formula>(sizing_w12_gm_chosen&lt;&gt;"Excluded")</formula>
    </cfRule>
    <cfRule type="expression" dxfId="2477" priority="654">
      <formula>(sizing_w12_gm_chosen="Excluded")</formula>
    </cfRule>
  </conditionalFormatting>
  <conditionalFormatting sqref="L48:N48">
    <cfRule type="expression" dxfId="2476" priority="655">
      <formula>(sizing_w13_gm_chosen="Excluded")</formula>
    </cfRule>
  </conditionalFormatting>
  <conditionalFormatting sqref="L49:N49">
    <cfRule type="expression" dxfId="2475" priority="668">
      <formula>(sizing_w14_gm_chosen&lt;&gt;"Excluded")</formula>
    </cfRule>
    <cfRule type="expression" dxfId="2474" priority="656">
      <formula>(sizing_w14_gm_chosen="Excluded")</formula>
    </cfRule>
  </conditionalFormatting>
  <conditionalFormatting sqref="L50:N50">
    <cfRule type="expression" dxfId="2473" priority="657">
      <formula>(sizing_w15_gm_chosen="Excluded")</formula>
    </cfRule>
    <cfRule type="expression" dxfId="2472" priority="667">
      <formula>(sizing_w15_gm_chosen&lt;&gt;"Excluded")</formula>
    </cfRule>
  </conditionalFormatting>
  <conditionalFormatting sqref="L51:N51">
    <cfRule type="expression" dxfId="2471" priority="509">
      <formula>(sizing_w16_gm_chosen="Excluded")</formula>
    </cfRule>
    <cfRule type="expression" dxfId="2470" priority="664">
      <formula>(sizing_w16_gm_chosen&lt;&gt;"Excluded")</formula>
    </cfRule>
  </conditionalFormatting>
  <conditionalFormatting sqref="L52:N52">
    <cfRule type="expression" dxfId="2469" priority="665">
      <formula>(sizing_w17_gm_chosen&lt;&gt;"Excluded")</formula>
    </cfRule>
    <cfRule type="expression" dxfId="2468" priority="510">
      <formula>(sizing_w17_gm_chosen="Excluded")</formula>
    </cfRule>
  </conditionalFormatting>
  <conditionalFormatting sqref="L53:N53">
    <cfRule type="expression" dxfId="2467" priority="666">
      <formula>(sizing_w18_gm_chosen&lt;&gt;"Excluded")</formula>
    </cfRule>
    <cfRule type="expression" dxfId="2466" priority="511">
      <formula>(sizing_w18_gm_chosen="Excluded")</formula>
    </cfRule>
  </conditionalFormatting>
  <conditionalFormatting sqref="L54:N54">
    <cfRule type="expression" dxfId="2465" priority="663">
      <formula>(sizing_w19_gm_chosen&lt;&gt;"Excluded")</formula>
    </cfRule>
    <cfRule type="expression" dxfId="2464" priority="512">
      <formula>(sizing_w19_gm_chosen="Excluded")</formula>
    </cfRule>
  </conditionalFormatting>
  <conditionalFormatting sqref="L55:N55">
    <cfRule type="expression" dxfId="2463" priority="662">
      <formula>(sizing_w20_gm_chosen&lt;&gt;"Excluded")</formula>
    </cfRule>
    <cfRule type="expression" dxfId="2462" priority="513">
      <formula>(sizing_w20_gm_chosen="Excluded")</formula>
    </cfRule>
  </conditionalFormatting>
  <conditionalFormatting sqref="L56:N56">
    <cfRule type="expression" dxfId="2461" priority="514">
      <formula>(sizing_w21_gm_chosen="Excluded")</formula>
    </cfRule>
    <cfRule type="expression" dxfId="2460" priority="661">
      <formula>(sizing_w21_gm_chosen&lt;&gt;"Excluded")</formula>
    </cfRule>
  </conditionalFormatting>
  <conditionalFormatting sqref="L57:N57">
    <cfRule type="expression" dxfId="2459" priority="515">
      <formula>(sizing_w22_gm_chosen="Excluded")</formula>
    </cfRule>
    <cfRule type="expression" dxfId="2458" priority="660">
      <formula>(sizing_w22_gm_chosen&lt;&gt;"Excluded")</formula>
    </cfRule>
  </conditionalFormatting>
  <conditionalFormatting sqref="L58:N58">
    <cfRule type="expression" dxfId="2457" priority="516">
      <formula>(sizing_w23_gm_chosen="Excluded")</formula>
    </cfRule>
    <cfRule type="expression" dxfId="2456" priority="659">
      <formula>(sizing_w23_gm_chosen&lt;&gt;"Excluded")</formula>
    </cfRule>
  </conditionalFormatting>
  <conditionalFormatting sqref="L59:N59">
    <cfRule type="expression" dxfId="2455" priority="538">
      <formula>(sizing_w24_gm_chosen="Excluded")</formula>
    </cfRule>
    <cfRule type="expression" dxfId="2454" priority="658">
      <formula>(sizing_w24_gm_chosen&lt;&gt;"Excluded")</formula>
    </cfRule>
  </conditionalFormatting>
  <conditionalFormatting sqref="L37:O37">
    <cfRule type="expression" dxfId="2453" priority="712">
      <formula>(sizing_w02_gm_chosen&lt;&gt;"Excluded")</formula>
    </cfRule>
    <cfRule type="expression" dxfId="2452" priority="702">
      <formula>(sizing_w02_gm_chosen="Excluded")</formula>
    </cfRule>
  </conditionalFormatting>
  <conditionalFormatting sqref="M36:N36">
    <cfRule type="expression" dxfId="2451" priority="716">
      <formula>(sizing_w01_gm_result="Included")</formula>
    </cfRule>
    <cfRule type="expression" dxfId="2450" priority="192" stopIfTrue="1">
      <formula>(sizing_w01_gm_result&lt;&gt;"Included")</formula>
    </cfRule>
    <cfRule type="expression" dxfId="2449" priority="713">
      <formula>(sizing_w01_gm_chosen="Connect Instance")</formula>
    </cfRule>
  </conditionalFormatting>
  <conditionalFormatting sqref="M38:N38">
    <cfRule type="expression" dxfId="2448" priority="649">
      <formula>(sizing_w03_gm_result&lt;&gt;"Excluded")</formula>
    </cfRule>
    <cfRule type="expression" dxfId="2447" priority="346">
      <formula>(sizing_w03_gm_chosen="Connect Instance")</formula>
    </cfRule>
  </conditionalFormatting>
  <conditionalFormatting sqref="M39:N39">
    <cfRule type="expression" dxfId="2446" priority="238">
      <formula>(sizing_w04_gm_chosen="Connect Instance")</formula>
    </cfRule>
    <cfRule type="expression" dxfId="2445" priority="647">
      <formula>(sizing_w04_gm_result&lt;&gt;"Excluded")</formula>
    </cfRule>
  </conditionalFormatting>
  <conditionalFormatting sqref="M40:N40">
    <cfRule type="expression" dxfId="2444" priority="279">
      <formula>(sizing_w05_gm_chosen="Connect Instance")</formula>
    </cfRule>
    <cfRule type="expression" dxfId="2443" priority="645">
      <formula>(sizing_w05_gm_result&lt;&gt;"Excluded")</formula>
    </cfRule>
  </conditionalFormatting>
  <conditionalFormatting sqref="M41:N41">
    <cfRule type="expression" dxfId="2442" priority="643">
      <formula>(sizing_w06_gm_result&lt;&gt;"Excluded")</formula>
    </cfRule>
    <cfRule type="expression" dxfId="2441" priority="278">
      <formula>(sizing_w06_gm_chosen="Connect Instance")</formula>
    </cfRule>
  </conditionalFormatting>
  <conditionalFormatting sqref="M42:N42">
    <cfRule type="expression" dxfId="2440" priority="300">
      <formula>(sizing_w07_gm_chosen="Connect Instance")</formula>
    </cfRule>
    <cfRule type="expression" dxfId="2439" priority="640">
      <formula>(sizing_w07_gm_result&lt;&gt;"Excluded")</formula>
    </cfRule>
  </conditionalFormatting>
  <conditionalFormatting sqref="M43:N43">
    <cfRule type="expression" dxfId="2438" priority="639">
      <formula>(sizing_w08_gm_result&lt;&gt;"Excluded")</formula>
    </cfRule>
    <cfRule type="expression" dxfId="2437" priority="277">
      <formula>(sizing_w08_gm_chosen="Connect Instance")</formula>
    </cfRule>
  </conditionalFormatting>
  <conditionalFormatting sqref="M44:N44">
    <cfRule type="expression" dxfId="2436" priority="276">
      <formula>(sizing_w09_gm_chosen="Connect Instance")</formula>
    </cfRule>
    <cfRule type="expression" dxfId="2435" priority="636">
      <formula>(sizing_w09_gm_result&lt;&gt;"Excluded")</formula>
    </cfRule>
  </conditionalFormatting>
  <conditionalFormatting sqref="M45:N45">
    <cfRule type="expression" dxfId="2434" priority="275">
      <formula>(sizing_w10_gm_chosen="Connect Instance")</formula>
    </cfRule>
    <cfRule type="expression" dxfId="2433" priority="634">
      <formula>(sizing_w10_gm_result&lt;&gt;"Excluded")</formula>
    </cfRule>
  </conditionalFormatting>
  <conditionalFormatting sqref="M46:N46">
    <cfRule type="expression" dxfId="2432" priority="632">
      <formula>(sizing_w11_gm_result&lt;&gt;"Excluded")</formula>
    </cfRule>
    <cfRule type="expression" dxfId="2431" priority="274">
      <formula>(sizing_w11_gm_chosen="Connect Instance")</formula>
    </cfRule>
  </conditionalFormatting>
  <conditionalFormatting sqref="M47:N47">
    <cfRule type="expression" dxfId="2430" priority="628">
      <formula>(sizing_w12_gm_result&lt;&gt;"Excluded")</formula>
    </cfRule>
    <cfRule type="expression" dxfId="2429" priority="273">
      <formula>(sizing_w12_gm_chosen="Connect Instance")</formula>
    </cfRule>
  </conditionalFormatting>
  <conditionalFormatting sqref="M48:N48">
    <cfRule type="expression" dxfId="2428" priority="75">
      <formula>(sizing_w13_gm_chosen="Connect Instance")</formula>
    </cfRule>
    <cfRule type="expression" dxfId="2427" priority="626">
      <formula>(sizing_w13_gm_result&lt;&gt;"Excluded")</formula>
    </cfRule>
  </conditionalFormatting>
  <conditionalFormatting sqref="M49:N49 L48:N48">
    <cfRule type="expression" dxfId="2426" priority="669">
      <formula>(sizing_w13_gm_chosen&lt;&gt;"Excluded")</formula>
    </cfRule>
  </conditionalFormatting>
  <conditionalFormatting sqref="M49:N49">
    <cfRule type="expression" dxfId="2425" priority="624">
      <formula>(sizing_w14_gm_result&lt;&gt;"Excluded")</formula>
    </cfRule>
    <cfRule type="expression" dxfId="2424" priority="271">
      <formula>(sizing_w14_gm_chosen="Connect Instance")</formula>
    </cfRule>
  </conditionalFormatting>
  <conditionalFormatting sqref="M50:N50">
    <cfRule type="expression" dxfId="2423" priority="270">
      <formula>(sizing_w15_gm_chosen="Connect Instance")</formula>
    </cfRule>
  </conditionalFormatting>
  <conditionalFormatting sqref="M51:N51">
    <cfRule type="expression" dxfId="2422" priority="72">
      <formula>(sizing_w16_gm_chosen="Connect Instance")</formula>
    </cfRule>
  </conditionalFormatting>
  <conditionalFormatting sqref="M52:N52">
    <cfRule type="expression" dxfId="2421" priority="268">
      <formula>(sizing_w17_gm_chosen="Connect Instance")</formula>
    </cfRule>
  </conditionalFormatting>
  <conditionalFormatting sqref="M53:N53">
    <cfRule type="expression" dxfId="2420" priority="267">
      <formula>(sizing_w18_gm_chosen="Connect Instance")</formula>
    </cfRule>
  </conditionalFormatting>
  <conditionalFormatting sqref="M54:N54">
    <cfRule type="expression" dxfId="2419" priority="266">
      <formula>(sizing_w19_gm_chosen="Connect Instance")</formula>
    </cfRule>
  </conditionalFormatting>
  <conditionalFormatting sqref="M55:N55">
    <cfRule type="expression" dxfId="2418" priority="265">
      <formula>(sizing_w20_gm_chosen="Connect Instance")</formula>
    </cfRule>
  </conditionalFormatting>
  <conditionalFormatting sqref="M56:N56">
    <cfRule type="expression" dxfId="2417" priority="264">
      <formula>(sizing_w21_gm_chosen="Connect Instance")</formula>
    </cfRule>
  </conditionalFormatting>
  <conditionalFormatting sqref="M57:N57">
    <cfRule type="expression" dxfId="2416" priority="263">
      <formula>(sizing_w22_gm_chosen="Connect Instance")</formula>
    </cfRule>
  </conditionalFormatting>
  <conditionalFormatting sqref="M58:N58">
    <cfRule type="expression" dxfId="2415" priority="262">
      <formula>(sizing_w23_gm_chosen="Connect Instance")</formula>
    </cfRule>
  </conditionalFormatting>
  <conditionalFormatting sqref="M59:N59">
    <cfRule type="expression" dxfId="2414" priority="64">
      <formula>(sizing_w14_gm_chosen="Connect Instance")</formula>
    </cfRule>
  </conditionalFormatting>
  <conditionalFormatting sqref="M37:O37">
    <cfRule type="expression" dxfId="2413" priority="348">
      <formula>(sizing_w02_gm_chosen="Connect Instance")</formula>
    </cfRule>
  </conditionalFormatting>
  <conditionalFormatting sqref="O32:P32">
    <cfRule type="expression" dxfId="2412" priority="95">
      <formula>sizing_m01_nsxt_gm_appliance_size="Excluded"</formula>
    </cfRule>
  </conditionalFormatting>
  <conditionalFormatting sqref="P36:Q36">
    <cfRule type="expression" dxfId="2411" priority="381">
      <formula>(sizing_w01_spr_chosen="Exclude")</formula>
    </cfRule>
    <cfRule type="expression" dxfId="2410" priority="715">
      <formula>(sizing_w01_spr_chosen="Include")</formula>
    </cfRule>
  </conditionalFormatting>
  <conditionalFormatting sqref="P37:Q37">
    <cfRule type="expression" dxfId="2409" priority="705">
      <formula>(sizing_w02_spr_chosen="Include")</formula>
    </cfRule>
    <cfRule type="expression" dxfId="2408" priority="703">
      <formula>(sizing_w02_spr_chosen="Exclude")</formula>
    </cfRule>
  </conditionalFormatting>
  <conditionalFormatting sqref="P38:Q38">
    <cfRule type="expression" dxfId="2407" priority="622">
      <formula>(sizing_w03_spr_chosen="Exclude")</formula>
    </cfRule>
    <cfRule type="expression" dxfId="2406" priority="623">
      <formula>(sizing_w03_spr_chosen="Include")</formula>
    </cfRule>
  </conditionalFormatting>
  <conditionalFormatting sqref="P39:Q39">
    <cfRule type="expression" dxfId="2405" priority="620">
      <formula>(sizing_w04_spr_chosen="Include")</formula>
    </cfRule>
    <cfRule type="expression" dxfId="2404" priority="619">
      <formula>(sizing_w04_spr_chosen="Exclude")</formula>
    </cfRule>
  </conditionalFormatting>
  <conditionalFormatting sqref="P40:Q40">
    <cfRule type="expression" dxfId="2403" priority="615">
      <formula>(sizing_w05_result="Excluded")</formula>
    </cfRule>
    <cfRule type="expression" dxfId="2402" priority="617" stopIfTrue="1">
      <formula>(sizing_w05_spr_chosen="Include")</formula>
    </cfRule>
    <cfRule type="expression" dxfId="2401" priority="616">
      <formula>(sizing_w05_spr_chosen="Exclude")</formula>
    </cfRule>
  </conditionalFormatting>
  <conditionalFormatting sqref="P41:Q41">
    <cfRule type="expression" dxfId="2400" priority="612">
      <formula>(sizing_w06_result="Excluded")</formula>
    </cfRule>
    <cfRule type="expression" dxfId="2399" priority="613">
      <formula>(sizing_w06_spr_chosen="Exclude")</formula>
    </cfRule>
    <cfRule type="expression" dxfId="2398" priority="614">
      <formula>(sizing_w06_spr_chosen="Include")</formula>
    </cfRule>
  </conditionalFormatting>
  <conditionalFormatting sqref="P42:Q42">
    <cfRule type="expression" dxfId="2397" priority="610">
      <formula>(sizing_w07_spr_chosen="Exclude")</formula>
    </cfRule>
    <cfRule type="expression" dxfId="2396" priority="611">
      <formula>(sizing_w07_spr_chosen="Include")</formula>
    </cfRule>
  </conditionalFormatting>
  <conditionalFormatting sqref="P43:Q43">
    <cfRule type="expression" dxfId="2395" priority="608">
      <formula>(sizing_w08_spr_chosen="Exclude")</formula>
    </cfRule>
    <cfRule type="expression" dxfId="2394" priority="606">
      <formula>(sizing_w08_spr_chosen="Include")</formula>
    </cfRule>
  </conditionalFormatting>
  <conditionalFormatting sqref="P44:Q44">
    <cfRule type="expression" dxfId="2393" priority="604">
      <formula>(sizing_w09_spr_chosen="Exclude")</formula>
    </cfRule>
    <cfRule type="expression" dxfId="2392" priority="605">
      <formula>(sizing_w09_spr_chosen="Include")</formula>
    </cfRule>
  </conditionalFormatting>
  <conditionalFormatting sqref="P45:Q45">
    <cfRule type="expression" dxfId="2391" priority="602">
      <formula>(sizing_w10_spr_chosen="Include")</formula>
    </cfRule>
    <cfRule type="expression" dxfId="2390" priority="601">
      <formula>(sizing_w10_spr_chosen="Exclude")</formula>
    </cfRule>
  </conditionalFormatting>
  <conditionalFormatting sqref="P46:Q46">
    <cfRule type="expression" dxfId="2389" priority="598">
      <formula>(sizing_w11_spr_chosen="Exclude")</formula>
    </cfRule>
    <cfRule type="expression" dxfId="2388" priority="599">
      <formula>(sizing_w11_spr_chosen="Include")</formula>
    </cfRule>
  </conditionalFormatting>
  <conditionalFormatting sqref="P47:Q47">
    <cfRule type="expression" dxfId="2387" priority="593">
      <formula>(sizing_w12_spr_chosen="Exclude")</formula>
    </cfRule>
    <cfRule type="expression" dxfId="2386" priority="595">
      <formula>(sizing_w12_spr_chosen="Include")</formula>
    </cfRule>
  </conditionalFormatting>
  <conditionalFormatting sqref="P48:Q48">
    <cfRule type="expression" dxfId="2385" priority="590">
      <formula>(sizing_w13_spr_chosen="Exclude")</formula>
    </cfRule>
    <cfRule type="expression" dxfId="2384" priority="591">
      <formula>(sizing_w13_spr_chosen="Include")</formula>
    </cfRule>
  </conditionalFormatting>
  <conditionalFormatting sqref="P49:Q49">
    <cfRule type="expression" dxfId="2383" priority="588">
      <formula>(sizing_w14_spr_chosen="Include")</formula>
    </cfRule>
    <cfRule type="expression" dxfId="2382" priority="587">
      <formula>(sizing_w14_spr_chosen="Exclude")</formula>
    </cfRule>
  </conditionalFormatting>
  <conditionalFormatting sqref="P50:Q50">
    <cfRule type="expression" dxfId="2381" priority="537">
      <formula>(sizing_w15_spr_chosen="Exclude")</formula>
    </cfRule>
    <cfRule type="expression" dxfId="2380" priority="558">
      <formula>(sizing_w15_spr_chosen="Include")</formula>
    </cfRule>
  </conditionalFormatting>
  <conditionalFormatting sqref="P51:Q51">
    <cfRule type="expression" dxfId="2379" priority="536">
      <formula>(sizing_w16_spr_chosen="Include")</formula>
    </cfRule>
    <cfRule type="expression" dxfId="2378" priority="526">
      <formula>(sizing_w16_spr_chosen="Exclude")</formula>
    </cfRule>
  </conditionalFormatting>
  <conditionalFormatting sqref="P52:Q52">
    <cfRule type="expression" dxfId="2377" priority="535">
      <formula>(sizing_w17_spr_chosen="Include")</formula>
    </cfRule>
    <cfRule type="expression" dxfId="2376" priority="525">
      <formula>(sizing_w17_spr_chosen="Exclude")</formula>
    </cfRule>
  </conditionalFormatting>
  <conditionalFormatting sqref="P53:Q53">
    <cfRule type="expression" dxfId="2375" priority="534">
      <formula>(sizing_w18_spr_chosen="Include")</formula>
    </cfRule>
    <cfRule type="expression" dxfId="2374" priority="501">
      <formula>(sizing_w18_spr_chosen="Exclude")</formula>
    </cfRule>
  </conditionalFormatting>
  <conditionalFormatting sqref="P54:Q54">
    <cfRule type="expression" dxfId="2373" priority="533">
      <formula>(sizing_w19_spr_chosen="Include")</formula>
    </cfRule>
    <cfRule type="expression" dxfId="2372" priority="523">
      <formula>(sizing_w19_spr_chosen="Exclude")</formula>
    </cfRule>
  </conditionalFormatting>
  <conditionalFormatting sqref="P55:Q55">
    <cfRule type="expression" dxfId="2371" priority="522">
      <formula>(sizing_w20_spr_chosen="Exclude")</formula>
    </cfRule>
    <cfRule type="expression" dxfId="2370" priority="532">
      <formula>(sizing_w20_spr_chosen="Include")</formula>
    </cfRule>
  </conditionalFormatting>
  <conditionalFormatting sqref="P56:Q56">
    <cfRule type="expression" dxfId="2369" priority="531">
      <formula>(sizing_w21_spr_chosen="Include")</formula>
    </cfRule>
    <cfRule type="expression" dxfId="2368" priority="521">
      <formula>(sizing_w21_spr_chosen="Exclude")</formula>
    </cfRule>
  </conditionalFormatting>
  <conditionalFormatting sqref="P57:Q57">
    <cfRule type="expression" dxfId="2367" priority="530">
      <formula>(sizing_w22_spr_chosen="Include")</formula>
    </cfRule>
    <cfRule type="expression" dxfId="2366" priority="520">
      <formula>(sizing_w22_spr_chosen="Exclude")</formula>
    </cfRule>
  </conditionalFormatting>
  <conditionalFormatting sqref="P58:Q58">
    <cfRule type="expression" dxfId="2365" priority="529">
      <formula>(sizing_w23_spr_chosen="Include")</formula>
    </cfRule>
    <cfRule type="expression" dxfId="2364" priority="519">
      <formula>(sizing_w23_spr_chosen="Exclude")</formula>
    </cfRule>
  </conditionalFormatting>
  <conditionalFormatting sqref="P59:Q59">
    <cfRule type="expression" dxfId="2363" priority="528">
      <formula>(sizing_w24_spr_chosen="Include")</formula>
    </cfRule>
    <cfRule type="expression" dxfId="2362" priority="518">
      <formula>(sizing_w24_spr_chosen="Exclude")</formula>
    </cfRule>
  </conditionalFormatting>
  <conditionalFormatting sqref="Q32:R32">
    <cfRule type="expression" dxfId="2361" priority="384" stopIfTrue="1">
      <formula>sizing_mgmt_avi_lb_appliance_size="Excluded"</formula>
    </cfRule>
  </conditionalFormatting>
  <conditionalFormatting sqref="R18:S19 R21:S21">
    <cfRule type="expression" dxfId="2360" priority="1">
      <formula>OR((sizing_storage_type="FC"),(sizing_storage_type="NFS"))</formula>
    </cfRule>
  </conditionalFormatting>
  <conditionalFormatting sqref="S36:T36">
    <cfRule type="expression" dxfId="2359" priority="707">
      <formula>sizing_w01_avi_appliance_size="Excluded"</formula>
    </cfRule>
  </conditionalFormatting>
  <conditionalFormatting sqref="S37:T37">
    <cfRule type="expression" dxfId="2358" priority="1104">
      <formula>(sizing_w02_avi_appliance_size&lt;&gt;"Excluded")</formula>
    </cfRule>
    <cfRule type="expression" dxfId="2357" priority="362">
      <formula>OR((sizing_w02_spr_chosen&lt;&gt;"Exclude"),(sizing_w02_gm_chosen&lt;&gt;"Excluded"))</formula>
    </cfRule>
    <cfRule type="expression" dxfId="2356" priority="561">
      <formula>(sizing_w02_avi_appliance_size="Excluded")</formula>
    </cfRule>
  </conditionalFormatting>
  <conditionalFormatting sqref="S38:T38">
    <cfRule type="expression" dxfId="2355" priority="692">
      <formula>sizing_w03_avi_appliance_size&lt;&gt;"Excluded"</formula>
    </cfRule>
    <cfRule type="expression" dxfId="2354" priority="357" stopIfTrue="1">
      <formula>sizing_w03_spr_chosen&lt;&gt;"Exclude"</formula>
    </cfRule>
    <cfRule type="expression" dxfId="2353" priority="546">
      <formula>sizing_w03_avi_appliance_size="Excluded"</formula>
    </cfRule>
  </conditionalFormatting>
  <conditionalFormatting sqref="S39:T39">
    <cfRule type="expression" dxfId="2352" priority="280">
      <formula>sizing_w04_spr_chosen&lt;&gt;"Exclude"</formula>
    </cfRule>
    <cfRule type="expression" dxfId="2351" priority="547" stopIfTrue="1">
      <formula>(sizing_w04_avi_appliance_size&lt;&gt;"Excluded")</formula>
    </cfRule>
    <cfRule type="expression" dxfId="2350" priority="303" stopIfTrue="1">
      <formula>(sizing_w04_avi_appliance_size="Excluded")</formula>
    </cfRule>
  </conditionalFormatting>
  <conditionalFormatting sqref="S40:T40">
    <cfRule type="expression" dxfId="2349" priority="548">
      <formula>(sizing_w05_avi_appliance_size&lt;&gt;"Excluded")</formula>
    </cfRule>
    <cfRule type="expression" dxfId="2348" priority="302">
      <formula>sizing_w05_spr_chosen&lt;&gt;"Exclude"</formula>
    </cfRule>
    <cfRule type="expression" dxfId="2347" priority="343">
      <formula>(sizing_w05_avi_appliance_size="Excluded")</formula>
    </cfRule>
  </conditionalFormatting>
  <conditionalFormatting sqref="S41:T41">
    <cfRule type="expression" dxfId="2346" priority="364" stopIfTrue="1">
      <formula>sizing_w06_avi_appliance_size="Excluded"</formula>
    </cfRule>
    <cfRule type="expression" dxfId="2345" priority="301">
      <formula>sizing_w06_spr_chosen&lt;&gt;"Exclude"</formula>
    </cfRule>
    <cfRule type="expression" dxfId="2344" priority="549">
      <formula>(sizing_w06_avi_appliance_size&lt;&gt;"Excluded")</formula>
    </cfRule>
  </conditionalFormatting>
  <conditionalFormatting sqref="S42:T42">
    <cfRule type="expression" dxfId="2343" priority="1103">
      <formula>(sizing_w07_avi_appliance_size&lt;&gt;"Excluded")</formula>
    </cfRule>
    <cfRule type="expression" dxfId="2342" priority="550">
      <formula>sizing_w07_avi_appliance_size="Excluded"</formula>
    </cfRule>
    <cfRule type="expression" dxfId="2341" priority="341" stopIfTrue="1">
      <formula>sizing_w07_spr_chosen&lt;&gt;"Exclude"</formula>
    </cfRule>
  </conditionalFormatting>
  <conditionalFormatting sqref="S43:T43">
    <cfRule type="expression" dxfId="2340" priority="551">
      <formula>(sizing_w08_avi_appliance_size&lt;&gt;"Excluded")</formula>
    </cfRule>
    <cfRule type="expression" dxfId="2339" priority="299" stopIfTrue="1">
      <formula>sizing_w08_spr_chosen&lt;&gt;"Exclude"</formula>
    </cfRule>
    <cfRule type="expression" dxfId="2338" priority="488">
      <formula>(sizing_w08_avi_appliance_size="Excluded")</formula>
    </cfRule>
  </conditionalFormatting>
  <conditionalFormatting sqref="S44:T44">
    <cfRule type="expression" dxfId="2337" priority="489">
      <formula>(sizing_w09_avi_appliance_size="Excluded")</formula>
    </cfRule>
    <cfRule type="expression" dxfId="2336" priority="552">
      <formula>(sizing_w09_avi_appliance_size&lt;&gt;"Excluded")</formula>
    </cfRule>
    <cfRule type="expression" dxfId="2335" priority="298" stopIfTrue="1">
      <formula>sizing_w09_spr_chosen&lt;&gt;"Exclude"</formula>
    </cfRule>
  </conditionalFormatting>
  <conditionalFormatting sqref="S45:T45">
    <cfRule type="expression" dxfId="2334" priority="490">
      <formula>(sizing_w10_avi_appliance_size="Excluded")</formula>
    </cfRule>
    <cfRule type="expression" dxfId="2333" priority="553">
      <formula>(sizing_w10_avi_appliance_size&lt;&gt;"Excluded")</formula>
    </cfRule>
    <cfRule type="expression" dxfId="2332" priority="297">
      <formula>sizing_w10_spr_chosen&lt;&gt;"Exclude"</formula>
    </cfRule>
  </conditionalFormatting>
  <conditionalFormatting sqref="S46:T46">
    <cfRule type="expression" dxfId="2331" priority="333">
      <formula>sizing_w11_spr_chosen&lt;&gt;"Exclude"</formula>
    </cfRule>
    <cfRule type="expression" dxfId="2330" priority="554">
      <formula>(sizing_w11_avi_appliance_size&lt;&gt;"Excluded")</formula>
    </cfRule>
    <cfRule type="expression" dxfId="2329" priority="492">
      <formula>(sizing_w11_avi_appliance_size="Excluded")</formula>
    </cfRule>
  </conditionalFormatting>
  <conditionalFormatting sqref="S47:T47">
    <cfRule type="expression" dxfId="2328" priority="295">
      <formula>sizing_w12_spr_chosen&lt;&gt;"Exclude"</formula>
    </cfRule>
    <cfRule type="expression" dxfId="2327" priority="555">
      <formula>(sizing_w12_avi_appliance_size&lt;&gt;"Excluded")</formula>
    </cfRule>
    <cfRule type="expression" dxfId="2326" priority="493">
      <formula>(sizing_w12_avi_appliance_size="Excluded")</formula>
    </cfRule>
  </conditionalFormatting>
  <conditionalFormatting sqref="S48:T48">
    <cfRule type="expression" dxfId="2325" priority="494">
      <formula>(sizing_w13_avi_appliance_size="Excluded")</formula>
    </cfRule>
    <cfRule type="expression" dxfId="2324" priority="294">
      <formula>sizing_w13_spr_chosen&lt;&gt;"Exclude"</formula>
    </cfRule>
    <cfRule type="expression" dxfId="2323" priority="556">
      <formula>(sizing_w13_avi_appliance_size&lt;&gt;"Excluded")</formula>
    </cfRule>
  </conditionalFormatting>
  <conditionalFormatting sqref="S49:T49">
    <cfRule type="expression" dxfId="2322" priority="327">
      <formula>sizing_w14_spr_chosen&lt;&gt;"Exclude"</formula>
    </cfRule>
    <cfRule type="expression" dxfId="2321" priority="495">
      <formula>(sizing_w14_avi_appliance_size="Excluded")</formula>
    </cfRule>
    <cfRule type="expression" dxfId="2320" priority="557">
      <formula>(sizing_w14_avi_appliance_size&lt;&gt;"Excluded")</formula>
    </cfRule>
  </conditionalFormatting>
  <conditionalFormatting sqref="S50:T50">
    <cfRule type="expression" dxfId="2319" priority="496" stopIfTrue="1">
      <formula>(sizing_w15_avi_appliance_size="Excluded")</formula>
    </cfRule>
    <cfRule type="expression" dxfId="2318" priority="292">
      <formula>sizing_w15_spr_chosen&lt;&gt;"Exclude"</formula>
    </cfRule>
    <cfRule type="expression" dxfId="2317" priority="527">
      <formula>(sizing_w15_avi_appliance_size&lt;&gt;"Excluded")</formula>
    </cfRule>
  </conditionalFormatting>
  <conditionalFormatting sqref="S51:T51">
    <cfRule type="expression" dxfId="2316" priority="291">
      <formula>sizing_w16_spr_chosen&lt;&gt;"Exclude"</formula>
    </cfRule>
    <cfRule type="expression" dxfId="2315" priority="497" stopIfTrue="1">
      <formula>(sizing_w16_avi_appliance_size="Excluded")</formula>
    </cfRule>
    <cfRule type="expression" dxfId="2314" priority="499">
      <formula>(sizing_w16_avi_appliance_size&lt;&gt;"Excluded")</formula>
    </cfRule>
  </conditionalFormatting>
  <conditionalFormatting sqref="S52:T52">
    <cfRule type="expression" dxfId="2313" priority="290">
      <formula>sizing_w17_spr_chosen&lt;&gt;"Exclude"</formula>
    </cfRule>
    <cfRule type="expression" dxfId="2312" priority="524">
      <formula>(sizing_w17_avi_appliance_size&lt;&gt;"Excluded")</formula>
    </cfRule>
    <cfRule type="expression" dxfId="2311" priority="500" stopIfTrue="1">
      <formula>(sizing_w17_avi_appliance_size="Excluded")</formula>
    </cfRule>
  </conditionalFormatting>
  <conditionalFormatting sqref="S53:T53">
    <cfRule type="expression" dxfId="2310" priority="282">
      <formula>sizing_w18_spr_chosen&lt;&gt;"Exclude"</formula>
    </cfRule>
    <cfRule type="expression" dxfId="2309" priority="289">
      <formula>(sizing_w18_avi_appliance_size="Excluded")</formula>
    </cfRule>
    <cfRule type="expression" dxfId="2308" priority="491">
      <formula>(sizing_w18_avi_appliance_size&lt;&gt;"Excluded")</formula>
    </cfRule>
  </conditionalFormatting>
  <conditionalFormatting sqref="S54:T54">
    <cfRule type="expression" dxfId="2307" priority="502">
      <formula>(sizing_w19_avi_appliance_size="Excluded")</formula>
    </cfRule>
    <cfRule type="expression" dxfId="2306" priority="589">
      <formula>(sizing_w19_avi_appliance_size&lt;&gt;"Excluded")</formula>
    </cfRule>
    <cfRule type="expression" dxfId="2305" priority="288">
      <formula>sizing_w19_spr_chosen&lt;&gt;"Exclude"</formula>
    </cfRule>
  </conditionalFormatting>
  <conditionalFormatting sqref="S55:T55">
    <cfRule type="expression" dxfId="2304" priority="503" stopIfTrue="1">
      <formula>(sizing_w20_avi_appliance_size="Excluded")</formula>
    </cfRule>
    <cfRule type="expression" dxfId="2303" priority="316">
      <formula>sizing_w20_spr_chosen&lt;&gt;"Exclude"</formula>
    </cfRule>
    <cfRule type="expression" dxfId="2302" priority="592">
      <formula>(sizing_w20_avi_appliance_size&lt;&gt;"Excluded")</formula>
    </cfRule>
  </conditionalFormatting>
  <conditionalFormatting sqref="S56:T56">
    <cfRule type="expression" dxfId="2301" priority="504" stopIfTrue="1">
      <formula>(sizing_w21_avi_appliance_size="Excluded")</formula>
    </cfRule>
    <cfRule type="expression" dxfId="2300" priority="314">
      <formula>sizing_w21_spr_chosen&lt;&gt;"Exclude"</formula>
    </cfRule>
    <cfRule type="expression" dxfId="2299" priority="597">
      <formula>(sizing_w21_avi_appliance_size&lt;&gt;"Excluded")</formula>
    </cfRule>
  </conditionalFormatting>
  <conditionalFormatting sqref="S57:T57">
    <cfRule type="expression" dxfId="2298" priority="505">
      <formula>(sizing_w22_avi_appliance_size="Excluded")</formula>
    </cfRule>
    <cfRule type="expression" dxfId="2297" priority="311">
      <formula>sizing_w22_spr_chosen&lt;&gt;"Exclude"</formula>
    </cfRule>
    <cfRule type="expression" dxfId="2296" priority="600">
      <formula>(sizing_w22_avi_appliance_size&lt;&gt;"Excluded")</formula>
    </cfRule>
  </conditionalFormatting>
  <conditionalFormatting sqref="S58:T58">
    <cfRule type="expression" dxfId="2295" priority="507">
      <formula>(sizing_w23_avi_appliance_size="Excluded")</formula>
    </cfRule>
    <cfRule type="expression" dxfId="2294" priority="603">
      <formula>(sizing_w23_avi_appliance_size&lt;&gt;"Excluded")</formula>
    </cfRule>
    <cfRule type="expression" dxfId="2293" priority="284">
      <formula>sizing_w23_spr_chosen&lt;&gt;"Exclude"</formula>
    </cfRule>
  </conditionalFormatting>
  <conditionalFormatting sqref="S59:T59">
    <cfRule type="expression" dxfId="2292" priority="607">
      <formula>(sizing_w24_avi_appliance_size&lt;&gt;"Excluded")</formula>
    </cfRule>
    <cfRule type="expression" dxfId="2291" priority="283">
      <formula>sizing_w24_spr_chosen&lt;&gt;"Exclude"</formula>
    </cfRule>
    <cfRule type="expression" dxfId="2290" priority="508">
      <formula>(sizing_w24_avi_appliance_size="Excluded")</formula>
    </cfRule>
  </conditionalFormatting>
  <conditionalFormatting sqref="S36:U36">
    <cfRule type="expression" dxfId="2289" priority="87">
      <formula>OR((sizing_w01_spr_chosen&lt;&gt;"Exclude"),(sizing_w01_gm_chosen&lt;&gt;"Excluded"))</formula>
    </cfRule>
  </conditionalFormatting>
  <conditionalFormatting sqref="T37">
    <cfRule type="notContainsBlanks" dxfId="2288" priority="1101">
      <formula>LEN(TRIM(T37))&gt;0</formula>
    </cfRule>
  </conditionalFormatting>
  <conditionalFormatting sqref="U32:W32">
    <cfRule type="expression" dxfId="2287" priority="2">
      <formula>sizing_m01_ssp_chosen&lt;&gt;"Excluded"</formula>
    </cfRule>
    <cfRule type="expression" dxfId="2286" priority="3">
      <formula>sizing_m01_ssp_chosen="Excluded"</formula>
    </cfRule>
  </conditionalFormatting>
  <conditionalFormatting sqref="V36:W36">
    <cfRule type="expression" dxfId="2285" priority="6">
      <formula>sizing_w01_ssp_chosen="Excluded"</formula>
    </cfRule>
    <cfRule type="expression" dxfId="2284" priority="5">
      <formula>sizing_w01_ssp_chosen&lt;&gt;"Excluded"</formula>
    </cfRule>
  </conditionalFormatting>
  <conditionalFormatting sqref="V37:W37">
    <cfRule type="expression" dxfId="2283" priority="42">
      <formula>sizing_w02_ssp_chosen&lt;&gt;"Excluded"</formula>
    </cfRule>
    <cfRule type="expression" dxfId="2282" priority="86">
      <formula>sizing_w02_ssp_chosen="Excluded"</formula>
    </cfRule>
  </conditionalFormatting>
  <conditionalFormatting sqref="V38:W38">
    <cfRule type="expression" dxfId="2281" priority="85">
      <formula>sizing_w03_ssp_chosen="Excluded"</formula>
    </cfRule>
    <cfRule type="expression" dxfId="2280" priority="41">
      <formula>sizing_w03_ssp_chosen&lt;&gt;"Excluded"</formula>
    </cfRule>
  </conditionalFormatting>
  <conditionalFormatting sqref="V39:W39">
    <cfRule type="expression" dxfId="2279" priority="84">
      <formula>sizing_w04_ssp_chosen="Excluded"</formula>
    </cfRule>
    <cfRule type="expression" dxfId="2278" priority="40">
      <formula>sizing_w04_ssp_chosen&lt;&gt;"Excluded"</formula>
    </cfRule>
  </conditionalFormatting>
  <conditionalFormatting sqref="V40:W40">
    <cfRule type="expression" dxfId="2277" priority="83">
      <formula>sizing_w05_ssp_chosen="Excluded"</formula>
    </cfRule>
    <cfRule type="expression" dxfId="2276" priority="39">
      <formula>sizing_w05_ssp_chosen&lt;&gt;"Excluded"</formula>
    </cfRule>
  </conditionalFormatting>
  <conditionalFormatting sqref="V41:W41">
    <cfRule type="expression" dxfId="2275" priority="82">
      <formula>sizing_w06_ssp_chosen="Excluded"</formula>
    </cfRule>
    <cfRule type="expression" dxfId="2274" priority="38">
      <formula>sizing_w06_ssp_chosen&lt;&gt;"Excluded"</formula>
    </cfRule>
  </conditionalFormatting>
  <conditionalFormatting sqref="V42:W42">
    <cfRule type="expression" dxfId="2273" priority="81">
      <formula>sizing_w07_ssp_chosen="Excluded"</formula>
    </cfRule>
    <cfRule type="expression" dxfId="2272" priority="37">
      <formula>sizing_w07_ssp_chosen&lt;&gt;"Excluded"</formula>
    </cfRule>
  </conditionalFormatting>
  <conditionalFormatting sqref="V43:W43">
    <cfRule type="expression" dxfId="2271" priority="80">
      <formula>sizing_w08_ssp_chosen="Excluded"</formula>
    </cfRule>
    <cfRule type="expression" dxfId="2270" priority="36">
      <formula>sizing_w08_ssp_chosen&lt;&gt;"Excluded"</formula>
    </cfRule>
  </conditionalFormatting>
  <conditionalFormatting sqref="V44:W44">
    <cfRule type="expression" dxfId="2269" priority="35">
      <formula>sizing_w09_ssp_chosen&lt;&gt;"Excluded"</formula>
    </cfRule>
    <cfRule type="expression" dxfId="2268" priority="79">
      <formula>sizing_w09_ssp_chosen="Excluded"</formula>
    </cfRule>
  </conditionalFormatting>
  <conditionalFormatting sqref="V45:W45">
    <cfRule type="expression" dxfId="2267" priority="78">
      <formula>sizing_w10_ssp_chosen="Excluded"</formula>
    </cfRule>
    <cfRule type="expression" dxfId="2266" priority="34">
      <formula>sizing_w10_ssp_chosen&lt;&gt;"Excluded"</formula>
    </cfRule>
  </conditionalFormatting>
  <conditionalFormatting sqref="V46:W46">
    <cfRule type="expression" dxfId="2265" priority="77">
      <formula>sizing_w11_ssp_chosen="Excluded"</formula>
    </cfRule>
    <cfRule type="expression" dxfId="2264" priority="33">
      <formula>sizing_w11_ssp_chosen&lt;&gt;"Excluded"</formula>
    </cfRule>
  </conditionalFormatting>
  <conditionalFormatting sqref="V47:W47">
    <cfRule type="expression" dxfId="2263" priority="74">
      <formula>sizing_w12_ssp_chosen="Excluded"</formula>
    </cfRule>
    <cfRule type="expression" dxfId="2262" priority="31">
      <formula>sizing_w12_ssp_chosen&lt;&gt;"Excluded"</formula>
    </cfRule>
  </conditionalFormatting>
  <conditionalFormatting sqref="V48:W48">
    <cfRule type="expression" dxfId="2261" priority="76">
      <formula>sizing_w13_ssp_chosen="Excluded"</formula>
    </cfRule>
    <cfRule type="expression" dxfId="2260" priority="29">
      <formula>sizing_w13_ssp_chosen&lt;&gt;"Excluded"</formula>
    </cfRule>
  </conditionalFormatting>
  <conditionalFormatting sqref="V49:W49">
    <cfRule type="expression" dxfId="2259" priority="73">
      <formula>sizing_w14_ssp_chosen="Excluded"</formula>
    </cfRule>
    <cfRule type="expression" dxfId="2258" priority="28">
      <formula>sizing_w14_ssp_chosen&lt;&gt;"Excluded"</formula>
    </cfRule>
  </conditionalFormatting>
  <conditionalFormatting sqref="V50:W50">
    <cfRule type="expression" dxfId="2257" priority="272">
      <formula>sizing_w15_ssp_chosen="Excluded"</formula>
    </cfRule>
    <cfRule type="expression" dxfId="2256" priority="32">
      <formula>sizing_w15_ssp_chosen&lt;&gt;"Excluded"</formula>
    </cfRule>
  </conditionalFormatting>
  <conditionalFormatting sqref="V51:W51">
    <cfRule type="expression" dxfId="2255" priority="269">
      <formula>sizing_w16_ssp_chosen="Excluded"</formula>
    </cfRule>
    <cfRule type="expression" dxfId="2254" priority="43">
      <formula>sizing_w16_ssp_chosen&lt;&gt;"Excluded"</formula>
    </cfRule>
  </conditionalFormatting>
  <conditionalFormatting sqref="V52:W52">
    <cfRule type="expression" dxfId="2253" priority="44">
      <formula>sizing_w17_ssp_chosen&lt;&gt;"Excluded"</formula>
    </cfRule>
    <cfRule type="expression" dxfId="2252" priority="71">
      <formula>sizing_w17_ssp_chosen="Excluded"</formula>
    </cfRule>
  </conditionalFormatting>
  <conditionalFormatting sqref="V53:W53">
    <cfRule type="expression" dxfId="2251" priority="45">
      <formula>sizing_w18_ssp_chosen&lt;&gt;"Excluded"</formula>
    </cfRule>
    <cfRule type="expression" dxfId="2250" priority="70">
      <formula>sizing_w18_ssp_chosen="Excluded"</formula>
    </cfRule>
  </conditionalFormatting>
  <conditionalFormatting sqref="V54:W54">
    <cfRule type="expression" dxfId="2249" priority="46">
      <formula>sizing_w19_ssp_chosen&lt;&gt;"Excluded"</formula>
    </cfRule>
    <cfRule type="expression" dxfId="2248" priority="69">
      <formula>sizing_w19_ssp_chosen="Excluded"</formula>
    </cfRule>
  </conditionalFormatting>
  <conditionalFormatting sqref="V55:W55">
    <cfRule type="expression" dxfId="2247" priority="47">
      <formula>sizing_w20_ssp_chosen&lt;&gt;"Excluded"</formula>
    </cfRule>
    <cfRule type="expression" dxfId="2246" priority="68">
      <formula>sizing_w20_ssp_chosen="Excluded"</formula>
    </cfRule>
  </conditionalFormatting>
  <conditionalFormatting sqref="V56:W56">
    <cfRule type="expression" dxfId="2245" priority="48">
      <formula>sizing_w21_ssp_chosen&lt;&gt;"Excluded"</formula>
    </cfRule>
    <cfRule type="expression" dxfId="2244" priority="67">
      <formula>sizing_w21_ssp_chosen="Excluded"</formula>
    </cfRule>
  </conditionalFormatting>
  <conditionalFormatting sqref="V57:W57">
    <cfRule type="expression" dxfId="2243" priority="50">
      <formula>sizing_w22_ssp_chosen&lt;&gt;"Excluded"</formula>
    </cfRule>
    <cfRule type="expression" dxfId="2242" priority="66">
      <formula>sizing_w22_ssp_chosen="Excluded"</formula>
    </cfRule>
  </conditionalFormatting>
  <conditionalFormatting sqref="V58:W58">
    <cfRule type="expression" dxfId="2241" priority="65">
      <formula>sizing_w23_ssp_chosen="Excluded"</formula>
    </cfRule>
    <cfRule type="expression" dxfId="2240" priority="51">
      <formula>sizing_w23_ssp_chosen&lt;&gt;"Excluded"</formula>
    </cfRule>
  </conditionalFormatting>
  <conditionalFormatting sqref="V59:W59">
    <cfRule type="expression" dxfId="2239" priority="261">
      <formula>sizing_w24_ssp_chosen="Excluded"</formula>
    </cfRule>
    <cfRule type="expression" dxfId="2238" priority="52">
      <formula>sizing_w24_ssp_chosen&lt;&gt;"Excluded"</formula>
    </cfRule>
  </conditionalFormatting>
  <dataValidations count="46">
    <dataValidation type="list" allowBlank="1" showInputMessage="1" showErrorMessage="1" sqref="D36:D59 D32" xr:uid="{14357478-74C3-7843-A370-D40D3EBF3D4A}">
      <formula1>sizing_vcenter_appliance_size_list</formula1>
    </dataValidation>
    <dataValidation type="list" allowBlank="1" showInputMessage="1" showErrorMessage="1" sqref="F36:F59 F32" xr:uid="{8B9FC74C-01BD-3B4C-A2CA-80E3E74E6273}">
      <formula1>sizing_vcenter_storage_size_list</formula1>
    </dataValidation>
    <dataValidation type="list" allowBlank="1" showInputMessage="1" showErrorMessage="1" sqref="I36:I59 M36:M59 I32" xr:uid="{00F9908E-9DC1-FA44-97C3-626F106238A4}">
      <formula1>sizing_nsxt_manager_size_list</formula1>
    </dataValidation>
    <dataValidation type="list" allowBlank="1" showInputMessage="1" showErrorMessage="1" sqref="L32" xr:uid="{2D4C7AF1-8E6E-5444-BE95-1DA7C0856F3E}">
      <formula1>sizing_nsxt_edge_sizing_list</formula1>
    </dataValidation>
    <dataValidation type="list" allowBlank="1" showInputMessage="1" showErrorMessage="1" sqref="C36:C59" xr:uid="{850C76AA-40C6-2549-812B-8C66BBC265F7}">
      <formula1>"Excluded,Included"</formula1>
    </dataValidation>
    <dataValidation type="list" allowBlank="1" showInputMessage="1" showErrorMessage="1" sqref="E15:E16" xr:uid="{11BFD4F2-A4DF-254B-BD3F-F35436314266}">
      <formula1>"1,1.5,2"</formula1>
    </dataValidation>
    <dataValidation type="list" allowBlank="1" showInputMessage="1" showErrorMessage="1" sqref="H37:H59" xr:uid="{D48F9B03-DF1B-4E4B-A4FE-17B5F238C2EF}">
      <formula1>table_nsxt_deployment_model</formula1>
    </dataValidation>
    <dataValidation type="list" allowBlank="1" showInputMessage="1" showErrorMessage="1" sqref="P36:P59 B65:D66" xr:uid="{212DB531-E8A7-4742-A595-AAF977392A52}">
      <formula1>"Exclude,Include"</formula1>
    </dataValidation>
    <dataValidation type="list" allowBlank="1" showInputMessage="1" showErrorMessage="1" sqref="L36:L59" xr:uid="{7B474D8E-6BA7-904A-B132-9114AC58EF81}">
      <formula1>"Excluded, Active GM, Standby GM, Connect Instance"</formula1>
    </dataValidation>
    <dataValidation type="list" allowBlank="1" showInputMessage="1" showErrorMessage="1" sqref="H36 H32" xr:uid="{F8E4E1C5-1067-5C4B-82B0-140AB6879141}">
      <formula1>"Mandatory - HA Cluster,Mandatory - Single Node"</formula1>
    </dataValidation>
    <dataValidation type="list" allowBlank="1" showInputMessage="1" showErrorMessage="1" sqref="O32" xr:uid="{9BBEDE2B-8768-3C44-A272-EAFD748ABF7A}">
      <formula1>"Excluded,Small,Medium, Large,X-Large"</formula1>
    </dataValidation>
    <dataValidation type="list" allowBlank="1" showInputMessage="1" showErrorMessage="1" sqref="B64:D64" xr:uid="{47CF29FA-F268-A142-9187-981C8A61D907}">
      <formula1>"Include,Exclude"</formula1>
    </dataValidation>
    <dataValidation type="list" allowBlank="1" showInputMessage="1" showErrorMessage="1" sqref="E21" xr:uid="{DCA6B571-534A-B047-BAD7-9F21F00461CB}">
      <formula1>"Exclude,Extra Small,Small,Medium,Large,Extra Large"</formula1>
    </dataValidation>
    <dataValidation type="list" allowBlank="1" showInputMessage="1" showErrorMessage="1" sqref="E20" xr:uid="{CF436D50-012E-214D-A86B-0BB51C5694A0}">
      <formula1>"Deploy HA,Deploy Simple"</formula1>
    </dataValidation>
    <dataValidation type="list" allowBlank="1" showInputMessage="1" showErrorMessage="1" sqref="B63:D63" xr:uid="{7572D7C9-76E2-3A40-B4E6-7D17DB23D20E}">
      <formula1>"Exclude,Management Only, VI Workload Only, Management &amp; VI Workload"</formula1>
    </dataValidation>
    <dataValidation type="list" allowBlank="1" showInputMessage="1" showErrorMessage="1" sqref="E23:E24" xr:uid="{A12D4704-2CEF-B745-9660-BA1426847E4E}">
      <formula1>"Exclude,Small,Medium,Large"</formula1>
    </dataValidation>
    <dataValidation type="list" allowBlank="1" showInputMessage="1" showErrorMessage="1" sqref="E25" xr:uid="{BE08F27C-7D1C-4F48-BDBD-461E3F916674}">
      <formula1>"Exclude,Small,Medium,Large, Extra Large, Extra Extra Large"</formula1>
    </dataValidation>
    <dataValidation type="list" allowBlank="1" showInputMessage="1" showErrorMessage="1" sqref="E27" xr:uid="{32A009D1-7E55-CC4D-ACDB-2476FAF4CB9A}">
      <formula1>"Exclude,Embedded,Deploy HA"</formula1>
    </dataValidation>
    <dataValidation type="list" allowBlank="1" showInputMessage="1" showErrorMessage="1" sqref="E22" xr:uid="{5C79C430-9F1C-0A4E-807E-3A2F7B7183AE}">
      <formula1>"Exclude,Small,Standard"</formula1>
    </dataValidation>
    <dataValidation type="list" allowBlank="1" showInputMessage="1" showErrorMessage="1" sqref="E26" xr:uid="{96AEF04D-C4B5-3F4E-9707-58C143AA03F4}">
      <formula1>"Exclude,Small,Medium,Large,Extra Large,Extra Extra Large"</formula1>
    </dataValidation>
    <dataValidation type="list" allowBlank="1" showInputMessage="1" showErrorMessage="1" sqref="S36:S59 Q32" xr:uid="{250C7E69-7098-E346-A736-9BB578F21885}">
      <formula1>"Excluded,Small,Large,X-Large"</formula1>
    </dataValidation>
    <dataValidation type="list" allowBlank="1" showInputMessage="1" showErrorMessage="1" sqref="V59" xr:uid="{34789007-E672-AB45-A92C-37B9AE562D78}">
      <formula1>IF(sizing_w24_nsxt_model="Shared",vcf_pnp_result_excluded,table_ssp_sizes)</formula1>
    </dataValidation>
    <dataValidation type="list" allowBlank="1" showInputMessage="1" showErrorMessage="1" sqref="V36 U32" xr:uid="{A69987EB-AB95-7444-9F57-D895F8801CF9}">
      <formula1>table_ssp_sizes</formula1>
    </dataValidation>
    <dataValidation type="list" allowBlank="1" showInputMessage="1" showErrorMessage="1" sqref="V37" xr:uid="{F162FB1B-3B74-EB43-9CFE-DF0E981449A4}">
      <formula1>IF(sizing_w02_nsxt_model="Shared",vcf_pnp_result_excluded,table_ssp_sizes)</formula1>
    </dataValidation>
    <dataValidation type="list" allowBlank="1" showInputMessage="1" showErrorMessage="1" sqref="V38" xr:uid="{140A259D-D110-F34C-85DD-80895995DBDC}">
      <formula1>IF(sizing_w03_nsxt_model="Shared",vcf_pnp_result_excluded,table_ssp_sizes)</formula1>
    </dataValidation>
    <dataValidation type="list" allowBlank="1" showInputMessage="1" showErrorMessage="1" sqref="V39" xr:uid="{7AEB54F1-B131-344A-9817-4066201603F3}">
      <formula1>IF(sizing_w04_nsxt_model="Shared",vcf_pnp_result_excluded,table_ssp_sizes)</formula1>
    </dataValidation>
    <dataValidation type="list" allowBlank="1" showInputMessage="1" showErrorMessage="1" sqref="V40" xr:uid="{52BF8EA8-D84B-3B4F-ACEE-57AD506B4D41}">
      <formula1>IF(sizing_w05_nsxt_model="Shared",vcf_pnp_result_excluded,table_ssp_sizes)</formula1>
    </dataValidation>
    <dataValidation type="list" allowBlank="1" showInputMessage="1" showErrorMessage="1" sqref="V41" xr:uid="{2271A7B8-8EDA-6244-807A-9F4C40660503}">
      <formula1>IF(sizing_w06_nsxt_model="Shared",vcf_pnp_result_excluded,table_ssp_sizes)</formula1>
    </dataValidation>
    <dataValidation type="list" allowBlank="1" showInputMessage="1" showErrorMessage="1" sqref="V42" xr:uid="{C56FA170-11E4-CC4B-AB03-762A206BC179}">
      <formula1>IF(sizing_w07_nsxt_model="Shared",vcf_pnp_result_excluded,table_ssp_sizes)</formula1>
    </dataValidation>
    <dataValidation type="list" allowBlank="1" showInputMessage="1" showErrorMessage="1" sqref="V43" xr:uid="{253EC62D-D70C-4940-9388-898813A2ECFB}">
      <formula1>IF(sizing_w08_nsxt_model="Shared",vcf_pnp_result_excluded,table_ssp_sizes)</formula1>
    </dataValidation>
    <dataValidation type="list" allowBlank="1" showInputMessage="1" showErrorMessage="1" sqref="V44" xr:uid="{992D7515-2B68-3B46-9439-6CEF3A41C9B3}">
      <formula1>IF(sizing_w09_nsxt_model="Shared",vcf_pnp_result_excluded,table_ssp_sizes)</formula1>
    </dataValidation>
    <dataValidation type="list" allowBlank="1" showInputMessage="1" showErrorMessage="1" sqref="V45" xr:uid="{CE7B262D-2494-B942-9AD6-DD1BFE14F94D}">
      <formula1>IF(sizing_w10_nsxt_model="Shared",vcf_pnp_result_excluded,table_ssp_sizes)</formula1>
    </dataValidation>
    <dataValidation type="list" allowBlank="1" showInputMessage="1" showErrorMessage="1" sqref="V46" xr:uid="{EF715655-CCFD-2742-B5EB-DD30A728C492}">
      <formula1>IF(sizing_w11_nsxt_model="Shared",vcf_pnp_result_excluded,table_ssp_sizes)</formula1>
    </dataValidation>
    <dataValidation type="list" allowBlank="1" showInputMessage="1" showErrorMessage="1" sqref="V47" xr:uid="{9DD504C9-CA3A-1A45-B959-F70F12442F6A}">
      <formula1>IF(sizing_w12_nsxt_model="Shared",vcf_pnp_result_excluded,table_ssp_sizes)</formula1>
    </dataValidation>
    <dataValidation type="list" allowBlank="1" showInputMessage="1" showErrorMessage="1" sqref="V48" xr:uid="{A86F70B1-AFA1-5147-9618-CB112D30FD80}">
      <formula1>IF(sizing_w13_nsxt_model="Shared",vcf_pnp_result_excluded,table_ssp_sizes)</formula1>
    </dataValidation>
    <dataValidation type="list" allowBlank="1" showInputMessage="1" showErrorMessage="1" sqref="V49" xr:uid="{D6927AA3-0DE8-0342-9D58-05B466970361}">
      <formula1>IF(sizing_w14_nsxt_model="Shared",vcf_pnp_result_excluded,table_ssp_sizes)</formula1>
    </dataValidation>
    <dataValidation type="list" allowBlank="1" showInputMessage="1" showErrorMessage="1" sqref="V50" xr:uid="{9FDB5DED-51EF-8B44-AD41-06A407015F55}">
      <formula1>IF(sizing_w15_nsxt_model="Shared",vcf_pnp_result_excluded,table_ssp_sizes)</formula1>
    </dataValidation>
    <dataValidation type="list" allowBlank="1" showInputMessage="1" showErrorMessage="1" sqref="V51" xr:uid="{8B095D39-3211-8744-A964-94DF3418D65C}">
      <formula1>IF(sizing_w16_nsxt_model="Shared",vcf_pnp_result_excluded,table_ssp_sizes)</formula1>
    </dataValidation>
    <dataValidation type="list" allowBlank="1" showInputMessage="1" showErrorMessage="1" sqref="V52" xr:uid="{86F57C74-3F18-604F-89DC-EA8DD72347A8}">
      <formula1>IF(sizing_w17_nsxt_model="Shared",vcf_pnp_result_excluded,table_ssp_sizes)</formula1>
    </dataValidation>
    <dataValidation type="list" allowBlank="1" showInputMessage="1" showErrorMessage="1" sqref="V53" xr:uid="{6D47918D-93F4-5643-8644-89BE547CC405}">
      <formula1>IF(sizing_w18_nsxt_model="Shared",vcf_pnp_result_excluded,table_ssp_sizes)</formula1>
    </dataValidation>
    <dataValidation type="list" allowBlank="1" showInputMessage="1" showErrorMessage="1" sqref="V54" xr:uid="{DE1B6F85-3642-CD44-9725-2EABC5887CC6}">
      <formula1>IF(sizing_w19_nsxt_model="Shared",vcf_pnp_result_excluded,table_ssp_sizes)</formula1>
    </dataValidation>
    <dataValidation type="list" allowBlank="1" showInputMessage="1" showErrorMessage="1" sqref="V55" xr:uid="{BFA87470-0692-6144-B87D-D1D0E1407C9A}">
      <formula1>IF(sizing_w20_nsxt_model="Shared",vcf_pnp_result_excluded,table_ssp_sizes)</formula1>
    </dataValidation>
    <dataValidation type="list" allowBlank="1" showInputMessage="1" showErrorMessage="1" sqref="V56" xr:uid="{71D6C944-2F2B-1A49-AB33-EF6679F94E0F}">
      <formula1>IF(sizing_w21_nsxt_model="Shared",vcf_pnp_result_excluded,table_ssp_sizes)</formula1>
    </dataValidation>
    <dataValidation type="list" allowBlank="1" showInputMessage="1" showErrorMessage="1" sqref="V57" xr:uid="{C8DF3384-B6C7-4D47-8B8A-08A91399F0ED}">
      <formula1>IF(sizing_w22_nsxt_model="Shared",vcf_pnp_result_excluded,table_ssp_sizes)</formula1>
    </dataValidation>
    <dataValidation type="list" allowBlank="1" showInputMessage="1" showErrorMessage="1" sqref="V58" xr:uid="{9F3B38D4-9B39-FE4C-B905-845F0C1E7098}">
      <formula1>IF(sizing_w23_nsxt_model="Shared",vcf_pnp_result_excluded,table_ssp_sizes)</formula1>
    </dataValidation>
    <dataValidation type="list" allowBlank="1" showInputMessage="1" showErrorMessage="1" sqref="R13:S13" xr:uid="{0946D42E-9096-CE4F-B282-8EEC98399D0B}">
      <formula1>"vSAN-ESA,vSAN-OSA,NFS,FC"</formula1>
    </dataValidation>
  </dataValidations>
  <hyperlinks>
    <hyperlink ref="E63" r:id="rId1" xr:uid="{00000000-0004-0000-0200-000000000000}"/>
    <hyperlink ref="E64" r:id="rId2" xr:uid="{00000000-0004-0000-0200-000001000000}"/>
    <hyperlink ref="E66" r:id="rId3" xr:uid="{00000000-0004-0000-0200-000002000000}"/>
  </hyperlinks>
  <pageMargins left="0.7" right="0.7" top="0.75" bottom="0.75" header="0.3" footer="0.3"/>
  <pageSetup paperSize="9"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023"/>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7" customWidth="1"/>
    <col min="2" max="2" width="1.83203125" style="7" customWidth="1"/>
    <col min="3" max="3" width="2.33203125" style="7" customWidth="1"/>
    <col min="4" max="4" width="1.83203125" style="7" customWidth="1"/>
    <col min="5" max="5" width="25.83203125" style="2" customWidth="1"/>
    <col min="6" max="6" width="1.83203125" style="2" customWidth="1"/>
    <col min="7" max="7" width="2.83203125" style="2" customWidth="1"/>
    <col min="8" max="8" width="1.83203125" style="2" customWidth="1"/>
    <col min="9" max="9" width="2.83203125" style="2" customWidth="1"/>
    <col min="10" max="10" width="75.33203125" style="8" bestFit="1" customWidth="1"/>
    <col min="11" max="11" width="80.83203125" style="2" customWidth="1"/>
    <col min="12" max="12" width="80.83203125" style="8" customWidth="1"/>
    <col min="13" max="13" width="104.6640625" style="2" customWidth="1"/>
    <col min="14" max="14" width="10.83203125" style="8" customWidth="1"/>
    <col min="15" max="22" width="11" style="8" customWidth="1"/>
    <col min="23" max="16384" width="11" style="8"/>
  </cols>
  <sheetData>
    <row r="1" spans="1:23" s="2" customFormat="1" ht="16" customHeight="1" x14ac:dyDescent="0.2">
      <c r="A1" s="39"/>
      <c r="B1" s="7"/>
      <c r="C1" s="7"/>
      <c r="D1" s="7"/>
      <c r="E1" s="7"/>
      <c r="F1" s="7"/>
      <c r="G1" s="7"/>
      <c r="H1" s="7"/>
      <c r="I1" s="7"/>
      <c r="N1" s="8"/>
      <c r="O1" s="8"/>
      <c r="P1" s="8"/>
      <c r="Q1" s="8"/>
      <c r="R1" s="8"/>
    </row>
    <row r="2" spans="1:23" s="2" customFormat="1" ht="54" customHeight="1" x14ac:dyDescent="0.2">
      <c r="A2" s="7"/>
      <c r="B2" s="501" t="s">
        <v>3792</v>
      </c>
      <c r="C2" s="501"/>
      <c r="D2" s="501"/>
      <c r="E2" s="501"/>
      <c r="F2" s="501"/>
      <c r="G2" s="501"/>
      <c r="H2" s="501"/>
      <c r="I2" s="501"/>
      <c r="J2" s="501"/>
      <c r="K2" s="501"/>
      <c r="L2" s="501"/>
      <c r="M2" s="502"/>
      <c r="N2" s="8"/>
      <c r="O2" s="8"/>
      <c r="P2" s="8"/>
      <c r="Q2" s="8"/>
      <c r="R2" s="8"/>
    </row>
    <row r="3" spans="1:23" s="2" customFormat="1" ht="20" customHeight="1" x14ac:dyDescent="0.2">
      <c r="A3" s="7"/>
      <c r="B3" s="503" t="s">
        <v>3793</v>
      </c>
      <c r="C3" s="503"/>
      <c r="D3" s="503"/>
      <c r="E3" s="503"/>
      <c r="F3" s="503"/>
      <c r="G3" s="503"/>
      <c r="H3" s="503"/>
      <c r="I3" s="503"/>
      <c r="J3" s="503"/>
      <c r="K3" s="503"/>
      <c r="L3" s="503"/>
      <c r="M3" s="504"/>
      <c r="N3" s="8"/>
      <c r="O3" s="8"/>
      <c r="P3" s="8"/>
      <c r="Q3" s="8"/>
      <c r="R3" s="8"/>
    </row>
    <row r="4" spans="1:23" s="2" customFormat="1" x14ac:dyDescent="0.2">
      <c r="A4" s="7"/>
      <c r="B4" s="7"/>
      <c r="C4" s="7"/>
      <c r="D4" s="7"/>
      <c r="E4" s="7"/>
      <c r="F4" s="7"/>
      <c r="G4" s="7"/>
      <c r="H4" s="7"/>
      <c r="I4" s="40"/>
      <c r="L4" s="10"/>
      <c r="M4" s="3"/>
      <c r="N4" s="3"/>
    </row>
    <row r="5" spans="1:23" ht="16" customHeight="1" x14ac:dyDescent="0.2">
      <c r="E5" s="7"/>
      <c r="F5" s="7"/>
      <c r="G5" s="7"/>
      <c r="H5" s="7"/>
      <c r="I5" s="7"/>
    </row>
    <row r="6" spans="1:23" ht="34" customHeight="1" x14ac:dyDescent="0.2">
      <c r="B6" s="8"/>
      <c r="C6" s="8"/>
      <c r="D6" s="8"/>
      <c r="E6" s="8"/>
      <c r="F6" s="8"/>
      <c r="G6" s="8"/>
      <c r="H6" s="8"/>
      <c r="I6" s="8"/>
      <c r="J6" s="425" t="s">
        <v>3794</v>
      </c>
      <c r="K6" s="426"/>
      <c r="L6" s="426"/>
      <c r="M6" s="427"/>
      <c r="N6" s="41"/>
      <c r="O6" s="41"/>
      <c r="P6" s="41"/>
      <c r="Q6" s="41"/>
      <c r="R6" s="41"/>
    </row>
    <row r="7" spans="1:23" ht="20" customHeight="1" x14ac:dyDescent="0.2">
      <c r="B7" s="8"/>
      <c r="C7" s="8"/>
      <c r="D7" s="8"/>
      <c r="E7" s="8"/>
      <c r="F7" s="8"/>
      <c r="G7" s="8"/>
      <c r="H7" s="8"/>
      <c r="I7" s="8"/>
      <c r="J7" s="492" t="s">
        <v>3795</v>
      </c>
      <c r="K7" s="493"/>
      <c r="L7" s="493"/>
      <c r="M7" s="494"/>
      <c r="N7" s="42"/>
      <c r="O7" s="42"/>
      <c r="P7" s="42"/>
      <c r="Q7" s="42"/>
      <c r="R7" s="42"/>
      <c r="S7" s="42"/>
      <c r="T7" s="42"/>
      <c r="U7" s="42"/>
      <c r="V7" s="42"/>
      <c r="W7" s="42"/>
    </row>
    <row r="8" spans="1:23" ht="20" customHeight="1" x14ac:dyDescent="0.2">
      <c r="J8" s="43" t="s">
        <v>17</v>
      </c>
      <c r="K8" s="346" t="s">
        <v>18</v>
      </c>
      <c r="L8" s="346" t="s">
        <v>19</v>
      </c>
      <c r="M8" s="346" t="s">
        <v>20</v>
      </c>
      <c r="N8" s="42"/>
      <c r="O8" s="42"/>
      <c r="P8" s="42"/>
      <c r="Q8" s="42"/>
      <c r="R8" s="42"/>
      <c r="S8" s="42"/>
      <c r="T8" s="42"/>
      <c r="U8" s="42"/>
      <c r="V8" s="42"/>
      <c r="W8" s="42"/>
    </row>
    <row r="9" spans="1:23" ht="20" customHeight="1" x14ac:dyDescent="0.2">
      <c r="J9" s="398" t="s">
        <v>3796</v>
      </c>
      <c r="K9" s="362" t="s">
        <v>3797</v>
      </c>
      <c r="L9" s="347" t="s">
        <v>3797</v>
      </c>
      <c r="M9" s="337"/>
      <c r="N9" s="42"/>
      <c r="O9" s="42"/>
      <c r="P9" s="42"/>
      <c r="Q9" s="42"/>
      <c r="R9" s="42"/>
      <c r="S9" s="42"/>
      <c r="T9" s="42"/>
      <c r="U9" s="42"/>
      <c r="V9" s="42"/>
      <c r="W9" s="42"/>
    </row>
    <row r="10" spans="1:23" ht="20" customHeight="1" x14ac:dyDescent="0.2">
      <c r="J10" s="351" t="s">
        <v>3798</v>
      </c>
      <c r="K10" s="362" t="s">
        <v>3799</v>
      </c>
      <c r="L10" s="399"/>
      <c r="M10" s="337" t="str">
        <f>IF(mgmt_offline_depot_chosen="Online", "Input is masked out and only required if using offline depot","")</f>
        <v>Input is masked out and only required if using offline depot</v>
      </c>
    </row>
    <row r="11" spans="1:23" ht="20" customHeight="1" x14ac:dyDescent="0.2">
      <c r="J11" s="351" t="s">
        <v>3800</v>
      </c>
      <c r="K11" s="362">
        <v>443</v>
      </c>
      <c r="L11" s="399"/>
      <c r="M11" s="337"/>
    </row>
    <row r="12" spans="1:23" ht="20" customHeight="1" x14ac:dyDescent="0.2">
      <c r="J12" s="351" t="s">
        <v>3801</v>
      </c>
      <c r="K12" s="362" t="s">
        <v>3802</v>
      </c>
      <c r="L12" s="399"/>
      <c r="M12" s="337"/>
    </row>
    <row r="13" spans="1:23" ht="20" customHeight="1" x14ac:dyDescent="0.2">
      <c r="B13" s="44"/>
      <c r="C13" s="44"/>
      <c r="D13" s="44"/>
      <c r="E13" s="44"/>
      <c r="F13" s="44"/>
      <c r="G13" s="44"/>
      <c r="H13" s="44"/>
      <c r="J13" s="351" t="s">
        <v>3803</v>
      </c>
      <c r="K13" s="362" t="s">
        <v>145</v>
      </c>
      <c r="L13" s="399" t="s">
        <v>145</v>
      </c>
      <c r="M13" s="337"/>
    </row>
    <row r="14" spans="1:23" ht="20" customHeight="1" x14ac:dyDescent="0.2">
      <c r="A14" s="45"/>
      <c r="B14" s="19"/>
      <c r="C14" s="46" t="s">
        <v>3804</v>
      </c>
      <c r="D14" s="19"/>
      <c r="E14" s="19"/>
      <c r="F14" s="19"/>
      <c r="G14" s="19"/>
      <c r="H14" s="47"/>
      <c r="I14" s="40"/>
      <c r="J14" s="351" t="s">
        <v>1279</v>
      </c>
      <c r="K14" s="362" t="s">
        <v>3805</v>
      </c>
      <c r="L14" s="399" t="s">
        <v>3805</v>
      </c>
      <c r="M14" s="337" t="str">
        <f>IF(mgmt_internet_proxy_chosen="Unselected", "Input is masked out and only required if using Proxy Server for depot connectivity","")</f>
        <v>Input is masked out and only required if using Proxy Server for depot connectivity</v>
      </c>
    </row>
    <row r="15" spans="1:23" ht="20" customHeight="1" x14ac:dyDescent="0.2">
      <c r="A15" s="45"/>
      <c r="B15" s="46"/>
      <c r="C15" s="48"/>
      <c r="D15" s="49"/>
      <c r="E15" s="49"/>
      <c r="F15" s="49"/>
      <c r="G15" s="49"/>
      <c r="H15" s="50"/>
      <c r="I15" s="40"/>
      <c r="J15" s="351" t="s">
        <v>1282</v>
      </c>
      <c r="K15" s="362" t="s">
        <v>3806</v>
      </c>
      <c r="L15" s="399"/>
      <c r="M15" s="337"/>
    </row>
    <row r="16" spans="1:23" ht="20" customHeight="1" x14ac:dyDescent="0.2">
      <c r="A16" s="45"/>
      <c r="B16" s="51"/>
      <c r="C16" s="52" t="s">
        <v>1344</v>
      </c>
      <c r="D16" s="53"/>
      <c r="E16" s="53"/>
      <c r="F16" s="53"/>
      <c r="G16" s="54"/>
      <c r="H16" s="50"/>
      <c r="I16" s="40"/>
      <c r="J16" s="351" t="s">
        <v>1284</v>
      </c>
      <c r="K16" s="362">
        <v>443</v>
      </c>
      <c r="L16" s="399"/>
      <c r="M16" s="337"/>
    </row>
    <row r="17" spans="1:13" ht="20" customHeight="1" x14ac:dyDescent="0.2">
      <c r="A17" s="45"/>
      <c r="B17" s="51"/>
      <c r="C17" s="52" t="s">
        <v>3807</v>
      </c>
      <c r="D17" s="53"/>
      <c r="E17" s="53"/>
      <c r="F17" s="53"/>
      <c r="G17" s="54"/>
      <c r="H17" s="50"/>
      <c r="I17" s="40"/>
      <c r="J17" s="351" t="s">
        <v>3808</v>
      </c>
      <c r="K17" s="362" t="s">
        <v>145</v>
      </c>
      <c r="L17" s="347" t="s">
        <v>145</v>
      </c>
      <c r="M17" s="345"/>
    </row>
    <row r="18" spans="1:13" ht="20" customHeight="1" x14ac:dyDescent="0.2">
      <c r="A18" s="45"/>
      <c r="B18" s="19"/>
      <c r="C18" s="55"/>
      <c r="D18" s="55"/>
      <c r="E18" s="55"/>
      <c r="F18" s="55"/>
      <c r="G18" s="55"/>
      <c r="H18" s="50"/>
      <c r="I18" s="40"/>
      <c r="J18" s="351" t="s">
        <v>27</v>
      </c>
      <c r="K18" s="362" t="s">
        <v>3809</v>
      </c>
      <c r="L18" s="347"/>
      <c r="M18" s="345" t="str">
        <f>IF(mgmt_internet_proxy_auth_chosen="Unselected", "Input is masked out and only required if using Proxy Server that required authentication","")</f>
        <v>Input is masked out and only required if using Proxy Server that required authentication</v>
      </c>
    </row>
    <row r="19" spans="1:13" ht="20" customHeight="1" x14ac:dyDescent="0.2">
      <c r="A19" s="45"/>
      <c r="B19" s="19"/>
      <c r="C19" s="252" t="str">
        <f>CONCATENATE(mgmt_domain_deployment_type_chosen, " Instance")</f>
        <v>VMware Cloud Foundation Instance</v>
      </c>
      <c r="D19" s="46"/>
      <c r="E19" s="46"/>
      <c r="F19" s="19"/>
      <c r="G19" s="57"/>
      <c r="H19" s="50"/>
      <c r="I19" s="40"/>
      <c r="J19" s="351" t="s">
        <v>29</v>
      </c>
      <c r="K19" s="362" t="s">
        <v>141</v>
      </c>
      <c r="L19" s="347"/>
      <c r="M19" s="345"/>
    </row>
    <row r="20" spans="1:13" ht="20" customHeight="1" x14ac:dyDescent="0.2">
      <c r="A20" s="45"/>
      <c r="B20" s="19"/>
      <c r="C20" s="58"/>
      <c r="D20" s="59"/>
      <c r="E20" s="59"/>
      <c r="F20" s="59"/>
      <c r="G20" s="57"/>
      <c r="H20" s="50"/>
      <c r="I20" s="40"/>
    </row>
    <row r="21" spans="1:13" ht="34" customHeight="1" x14ac:dyDescent="0.2">
      <c r="A21" s="45"/>
      <c r="B21" s="19"/>
      <c r="C21" s="58"/>
      <c r="D21" s="60"/>
      <c r="E21" s="46" t="str">
        <f>IF(mgmt_domain_deployment_type_chosen="VCF","Management Domain","Components")</f>
        <v>Components</v>
      </c>
      <c r="F21" s="61"/>
      <c r="G21" s="57"/>
      <c r="H21" s="50"/>
      <c r="I21" s="7"/>
      <c r="J21" s="425" t="s">
        <v>3810</v>
      </c>
      <c r="K21" s="426"/>
      <c r="L21" s="426"/>
      <c r="M21" s="427"/>
    </row>
    <row r="22" spans="1:13" ht="20" customHeight="1" x14ac:dyDescent="0.2">
      <c r="A22" s="45"/>
      <c r="B22" s="19"/>
      <c r="C22" s="58"/>
      <c r="D22" s="60"/>
      <c r="E22" s="49"/>
      <c r="F22" s="61"/>
      <c r="G22" s="57"/>
      <c r="H22" s="50"/>
      <c r="I22" s="7"/>
      <c r="J22" s="498"/>
      <c r="K22" s="499"/>
      <c r="L22" s="499"/>
      <c r="M22" s="500"/>
    </row>
    <row r="23" spans="1:13" ht="20" customHeight="1" x14ac:dyDescent="0.2">
      <c r="A23" s="45"/>
      <c r="B23" s="19"/>
      <c r="C23" s="58"/>
      <c r="D23" s="62"/>
      <c r="E23" s="63" t="s">
        <v>814</v>
      </c>
      <c r="F23" s="61"/>
      <c r="G23" s="57"/>
      <c r="H23" s="50"/>
      <c r="I23" s="7"/>
      <c r="J23" s="346" t="s">
        <v>17</v>
      </c>
      <c r="K23" s="346" t="s">
        <v>18</v>
      </c>
      <c r="L23" s="346" t="s">
        <v>19</v>
      </c>
      <c r="M23" s="346" t="s">
        <v>20</v>
      </c>
    </row>
    <row r="24" spans="1:13" ht="20" customHeight="1" x14ac:dyDescent="0.2">
      <c r="A24" s="45"/>
      <c r="B24" s="19"/>
      <c r="C24" s="58"/>
      <c r="D24" s="62"/>
      <c r="E24" s="63" t="s">
        <v>778</v>
      </c>
      <c r="F24" s="61"/>
      <c r="G24" s="57"/>
      <c r="H24" s="50"/>
      <c r="I24" s="7"/>
      <c r="J24" s="4" t="s">
        <v>3811</v>
      </c>
      <c r="K24" s="362" t="s">
        <v>3683</v>
      </c>
      <c r="L24" s="337" t="str">
        <f>mgmt_domain_deployment_type_chosen</f>
        <v>VMware Cloud Foundation</v>
      </c>
      <c r="M24" s="337"/>
    </row>
    <row r="25" spans="1:13" ht="20" customHeight="1" x14ac:dyDescent="0.2">
      <c r="A25" s="45"/>
      <c r="B25" s="19"/>
      <c r="C25" s="58"/>
      <c r="D25" s="62"/>
      <c r="E25" s="64" t="s">
        <v>96</v>
      </c>
      <c r="F25" s="61"/>
      <c r="G25" s="57"/>
      <c r="H25" s="50"/>
      <c r="I25" s="7"/>
      <c r="J25" s="4" t="s">
        <v>1306</v>
      </c>
      <c r="K25" s="362" t="s">
        <v>2486</v>
      </c>
      <c r="L25" s="337" t="str">
        <f>IF(vcf_granular_option_chosen="Deploy a new VCF fleet","Deploy a new VCF fleet",IF(vcf_granular_option_chosen="Deploy a VCF Instance in an existing VCF fleet","Deploy a VCF Instance in an existing VCF fleet",""))</f>
        <v>Deploy a new VCF fleet</v>
      </c>
      <c r="M25" s="286" t="s">
        <v>3812</v>
      </c>
    </row>
    <row r="26" spans="1:13" ht="20" customHeight="1" x14ac:dyDescent="0.2">
      <c r="A26" s="45"/>
      <c r="B26" s="19"/>
      <c r="C26" s="58"/>
      <c r="D26" s="62"/>
      <c r="E26" s="65" t="s">
        <v>1664</v>
      </c>
      <c r="F26" s="61"/>
      <c r="G26" s="57"/>
      <c r="H26" s="50"/>
      <c r="I26" s="7"/>
      <c r="J26" s="69"/>
      <c r="M26" s="306"/>
    </row>
    <row r="27" spans="1:13" ht="34" customHeight="1" x14ac:dyDescent="0.2">
      <c r="A27" s="45"/>
      <c r="B27" s="19"/>
      <c r="C27" s="58"/>
      <c r="D27" s="67"/>
      <c r="E27" s="59"/>
      <c r="F27" s="68"/>
      <c r="G27" s="57"/>
      <c r="H27" s="50"/>
      <c r="I27" s="7"/>
      <c r="J27" s="425" t="s">
        <v>3813</v>
      </c>
      <c r="K27" s="426"/>
      <c r="L27" s="426"/>
      <c r="M27" s="427"/>
    </row>
    <row r="28" spans="1:13" ht="20" customHeight="1" x14ac:dyDescent="0.2">
      <c r="A28" s="45"/>
      <c r="B28" s="19"/>
      <c r="C28" s="70"/>
      <c r="D28" s="55"/>
      <c r="E28" s="55"/>
      <c r="F28" s="55"/>
      <c r="G28" s="71"/>
      <c r="H28" s="50"/>
      <c r="I28" s="7"/>
      <c r="J28" s="492" t="s">
        <v>3814</v>
      </c>
      <c r="K28" s="493"/>
      <c r="L28" s="493"/>
      <c r="M28" s="494"/>
    </row>
    <row r="29" spans="1:13" ht="20" customHeight="1" x14ac:dyDescent="0.2">
      <c r="A29" s="45"/>
      <c r="B29" s="49"/>
      <c r="C29" s="49"/>
      <c r="D29" s="49"/>
      <c r="E29" s="49"/>
      <c r="F29" s="49"/>
      <c r="G29" s="49"/>
      <c r="H29" s="72"/>
      <c r="I29" s="7"/>
      <c r="J29" s="346" t="s">
        <v>17</v>
      </c>
      <c r="K29" s="346" t="s">
        <v>18</v>
      </c>
      <c r="L29" s="346" t="s">
        <v>19</v>
      </c>
      <c r="M29" s="346" t="s">
        <v>20</v>
      </c>
    </row>
    <row r="30" spans="1:13" ht="20" customHeight="1" x14ac:dyDescent="0.2">
      <c r="E30" s="73"/>
      <c r="F30" s="73"/>
      <c r="G30" s="73"/>
      <c r="H30" s="73"/>
      <c r="I30" s="7"/>
      <c r="J30" s="4" t="s">
        <v>1344</v>
      </c>
      <c r="K30" s="362" t="s">
        <v>145</v>
      </c>
      <c r="L30" s="347" t="s">
        <v>145</v>
      </c>
      <c r="M30" s="186"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1" spans="1:13" ht="20" customHeight="1" x14ac:dyDescent="0.2">
      <c r="E31" s="73"/>
      <c r="F31" s="73"/>
      <c r="G31" s="73"/>
      <c r="H31" s="73"/>
      <c r="I31" s="7"/>
      <c r="J31" s="74" t="s">
        <v>3815</v>
      </c>
      <c r="K31" s="362" t="s">
        <v>145</v>
      </c>
      <c r="L31" s="347" t="s">
        <v>145</v>
      </c>
      <c r="M31" s="186" t="s">
        <v>3816</v>
      </c>
    </row>
    <row r="32" spans="1:13" ht="20" customHeight="1" x14ac:dyDescent="0.2">
      <c r="I32" s="7"/>
      <c r="J32" s="4" t="s">
        <v>3817</v>
      </c>
      <c r="K32" s="362" t="s">
        <v>145</v>
      </c>
      <c r="L32" s="75" t="s">
        <v>145</v>
      </c>
      <c r="M32" s="186" t="str">
        <f>IF(mgmt_domain_existing_vcenter_chosen="Selected","Use the NSX Manager connected to this vCenter as the management domain NSX Manager.","Input is masked out and only required if you are importing a vCenter with an NSX Manager connected to it")</f>
        <v>Input is masked out and only required if you are importing a vCenter with an NSX Manager connected to it</v>
      </c>
    </row>
    <row r="33" spans="5:13" ht="20" customHeight="1" x14ac:dyDescent="0.2">
      <c r="I33" s="7"/>
      <c r="J33" s="372"/>
      <c r="K33" s="344"/>
      <c r="L33" s="76"/>
      <c r="M33" s="344"/>
    </row>
    <row r="34" spans="5:13" ht="34" customHeight="1" x14ac:dyDescent="0.2">
      <c r="J34" s="425" t="s">
        <v>808</v>
      </c>
      <c r="K34" s="426"/>
      <c r="L34" s="426"/>
      <c r="M34" s="427"/>
    </row>
    <row r="35" spans="5:13" ht="20" customHeight="1" x14ac:dyDescent="0.2">
      <c r="J35" s="492" t="s">
        <v>768</v>
      </c>
      <c r="K35" s="493"/>
      <c r="L35" s="493"/>
      <c r="M35" s="494"/>
    </row>
    <row r="36" spans="5:13" ht="20" customHeight="1" x14ac:dyDescent="0.2">
      <c r="J36" s="346" t="s">
        <v>17</v>
      </c>
      <c r="K36" s="346" t="s">
        <v>18</v>
      </c>
      <c r="L36" s="346" t="s">
        <v>19</v>
      </c>
      <c r="M36" s="346" t="s">
        <v>20</v>
      </c>
    </row>
    <row r="37" spans="5:13" ht="20" customHeight="1" x14ac:dyDescent="0.2">
      <c r="J37" s="4" t="s">
        <v>195</v>
      </c>
      <c r="K37" s="362" t="str">
        <f>vcf_version_chosen</f>
        <v>9.0.2.0</v>
      </c>
      <c r="L37" s="77" t="str">
        <f>vcf_version_chosen</f>
        <v>9.0.2.0</v>
      </c>
      <c r="M37" s="337"/>
    </row>
    <row r="38" spans="5:13" ht="20" customHeight="1" x14ac:dyDescent="0.2">
      <c r="J38" s="4" t="s">
        <v>1994</v>
      </c>
      <c r="K38" s="78" t="str">
        <f>IF(mgmt_domain_chosen="First Instance","San Francisco","Los Angeles")</f>
        <v>San Francisco</v>
      </c>
      <c r="L38" s="79"/>
      <c r="M38" s="337" t="s">
        <v>3818</v>
      </c>
    </row>
    <row r="39" spans="5:13" ht="20" customHeight="1" x14ac:dyDescent="0.2">
      <c r="J39" s="4" t="s">
        <v>3819</v>
      </c>
      <c r="K39" s="362" t="str">
        <f>CONCATENATE(this_instance,"-m01")</f>
        <v>sfo-m01</v>
      </c>
      <c r="L39" s="347"/>
      <c r="M39" s="337"/>
    </row>
    <row r="40" spans="5:13" ht="20" customHeight="1" x14ac:dyDescent="0.2">
      <c r="J40" s="4" t="s">
        <v>3820</v>
      </c>
      <c r="K40" s="362" t="s">
        <v>145</v>
      </c>
      <c r="L40" s="347" t="s">
        <v>145</v>
      </c>
      <c r="M40" s="186"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row>
    <row r="41" spans="5:13" ht="20" customHeight="1" x14ac:dyDescent="0.2">
      <c r="J41" s="4" t="s">
        <v>3821</v>
      </c>
      <c r="K41" s="362" t="s">
        <v>3822</v>
      </c>
      <c r="L41" s="347" t="s">
        <v>3822</v>
      </c>
      <c r="M41" s="186" t="s">
        <v>3823</v>
      </c>
    </row>
    <row r="42" spans="5:13" ht="20" customHeight="1" x14ac:dyDescent="0.2">
      <c r="J42" s="492" t="s">
        <v>1313</v>
      </c>
      <c r="K42" s="493"/>
      <c r="L42" s="493"/>
      <c r="M42" s="494"/>
    </row>
    <row r="43" spans="5:13" ht="20" customHeight="1" x14ac:dyDescent="0.2">
      <c r="J43" s="4" t="s">
        <v>3824</v>
      </c>
      <c r="K43" s="362" t="s">
        <v>1625</v>
      </c>
      <c r="L43" s="347"/>
      <c r="M43" s="337" t="str">
        <f>IF(mgmt_domain_existing_vcenter_chosen="Selected","Inputs are masked out as you are importing a vCenter. DNS inputs will be captured from vCenter during import","")</f>
        <v/>
      </c>
    </row>
    <row r="44" spans="5:13" ht="20" customHeight="1" x14ac:dyDescent="0.2">
      <c r="J44" s="4" t="s">
        <v>1315</v>
      </c>
      <c r="K44" s="362" t="str">
        <f>IF(mgmt_dpg_reuse_result="Included",CONCATENATE(prefix_mgmt_az1_cidr,"10.4"),CONCATENATE(prefix_mgmt_az1_cidr,"11.4"))</f>
        <v>10.11.10.4</v>
      </c>
      <c r="L44" s="347"/>
      <c r="M44" s="337" t="str">
        <f>IF(mgmt_domain_existing_vcenter_chosen="Selected","Inputs are masked out as you are importing a vCenter. DNS inputs will be captured from vCenter during import","")</f>
        <v/>
      </c>
    </row>
    <row r="45" spans="5:13" ht="20" customHeight="1" x14ac:dyDescent="0.2">
      <c r="J45" s="4" t="s">
        <v>1316</v>
      </c>
      <c r="K45" s="362" t="str">
        <f>IF(mgmt_dpg_reuse_result="Included",CONCATENATE(prefix_mgmt_az1_cidr,"10.5"),CONCATENATE(prefix_mgmt_az1_cidr,"11.5"))</f>
        <v>10.11.10.5</v>
      </c>
      <c r="L45" s="347"/>
      <c r="M45" s="337" t="str">
        <f>IF(mgmt_domain_existing_vcenter_chosen="Selected","Inputs are masked out as you are importing a vCenter. DNS inputs will be captured from vCenter during import","")</f>
        <v/>
      </c>
    </row>
    <row r="46" spans="5:13" ht="20" customHeight="1" x14ac:dyDescent="0.2">
      <c r="E46" s="73"/>
      <c r="F46" s="73"/>
      <c r="G46" s="73"/>
      <c r="H46" s="73"/>
      <c r="J46" s="492" t="s">
        <v>1326</v>
      </c>
      <c r="K46" s="493"/>
      <c r="L46" s="493"/>
      <c r="M46" s="494"/>
    </row>
    <row r="47" spans="5:13" ht="20" customHeight="1" x14ac:dyDescent="0.2">
      <c r="E47" s="73"/>
      <c r="F47" s="73"/>
      <c r="G47" s="73"/>
      <c r="H47" s="73"/>
      <c r="J47" s="4" t="s">
        <v>1315</v>
      </c>
      <c r="K47" s="362" t="str">
        <f>CONCATENATE("ntp0.",this_instance,".rainpole.io")</f>
        <v>ntp0.sfo.rainpole.io</v>
      </c>
      <c r="L47" s="347"/>
      <c r="M47" s="337" t="str">
        <f>IF(mgmt_domain_existing_vcenter_chosen="Selected","Inputs are masked out as you are importing a vCenter. NTP inputs will be captured from vCenter during import","")</f>
        <v/>
      </c>
    </row>
    <row r="48" spans="5:13" ht="20" customHeight="1" x14ac:dyDescent="0.2">
      <c r="E48" s="73"/>
      <c r="F48" s="73"/>
      <c r="G48" s="73"/>
      <c r="H48" s="73"/>
      <c r="I48" s="7"/>
      <c r="J48" s="4" t="s">
        <v>1316</v>
      </c>
      <c r="K48" s="362" t="str">
        <f>CONCATENATE("ntp1.",this_instance,".rainpole.io")</f>
        <v>ntp1.sfo.rainpole.io</v>
      </c>
      <c r="L48" s="347"/>
      <c r="M48" s="337" t="str">
        <f>IF(mgmt_domain_existing_vcenter_chosen="Selected","Inputs are masked out as you are importing a vCenter. NTP inputs will be captured from vCenter during import","")</f>
        <v/>
      </c>
    </row>
    <row r="49" spans="5:13" ht="19" customHeight="1" x14ac:dyDescent="0.2">
      <c r="E49" s="7"/>
      <c r="F49" s="7"/>
      <c r="G49" s="7"/>
      <c r="H49" s="7"/>
      <c r="I49" s="7"/>
      <c r="J49" s="4" t="s">
        <v>3825</v>
      </c>
      <c r="K49" s="362" t="s">
        <v>145</v>
      </c>
      <c r="L49" s="347" t="s">
        <v>145</v>
      </c>
      <c r="M49" s="337"/>
    </row>
    <row r="50" spans="5:13" ht="20" customHeight="1" x14ac:dyDescent="0.2">
      <c r="J50" s="4" t="s">
        <v>1328</v>
      </c>
      <c r="K50" s="362" t="s">
        <v>159</v>
      </c>
      <c r="L50" s="347" t="s">
        <v>159</v>
      </c>
      <c r="M50" s="337"/>
    </row>
    <row r="51" spans="5:13" ht="20" customHeight="1" x14ac:dyDescent="0.2">
      <c r="E51" s="7"/>
      <c r="F51" s="7"/>
      <c r="G51" s="7"/>
      <c r="H51" s="7"/>
      <c r="I51" s="7"/>
      <c r="J51" s="372"/>
      <c r="K51" s="344"/>
      <c r="L51" s="344"/>
      <c r="M51" s="344"/>
    </row>
    <row r="52" spans="5:13" ht="34" customHeight="1" x14ac:dyDescent="0.2">
      <c r="E52" s="7"/>
      <c r="F52" s="7"/>
      <c r="G52" s="7"/>
      <c r="H52" s="7"/>
      <c r="I52" s="7"/>
      <c r="J52" s="425" t="s">
        <v>1344</v>
      </c>
      <c r="K52" s="426"/>
      <c r="L52" s="426"/>
      <c r="M52" s="427"/>
    </row>
    <row r="53" spans="5:13" ht="20" customHeight="1" x14ac:dyDescent="0.2">
      <c r="E53" s="7"/>
      <c r="F53" s="7"/>
      <c r="G53" s="7"/>
      <c r="H53" s="7"/>
      <c r="I53" s="7"/>
      <c r="J53" s="492" t="s">
        <v>3826</v>
      </c>
      <c r="K53" s="493"/>
      <c r="L53" s="493"/>
      <c r="M53" s="494"/>
    </row>
    <row r="54" spans="5:13" ht="20" customHeight="1" x14ac:dyDescent="0.2">
      <c r="E54" s="7"/>
      <c r="F54" s="7"/>
      <c r="G54" s="7"/>
      <c r="H54" s="7"/>
      <c r="I54" s="7"/>
      <c r="J54" s="346" t="s">
        <v>17</v>
      </c>
      <c r="K54" s="346" t="s">
        <v>18</v>
      </c>
      <c r="L54" s="346" t="s">
        <v>19</v>
      </c>
      <c r="M54" s="346" t="s">
        <v>20</v>
      </c>
    </row>
    <row r="55" spans="5:13" ht="20" customHeight="1" x14ac:dyDescent="0.2">
      <c r="E55" s="7"/>
      <c r="F55" s="7"/>
      <c r="G55" s="7"/>
      <c r="H55" s="7"/>
      <c r="I55" s="7"/>
      <c r="J55" s="492" t="s">
        <v>1344</v>
      </c>
      <c r="K55" s="493"/>
      <c r="L55" s="493"/>
      <c r="M55" s="494"/>
    </row>
    <row r="56" spans="5:13" ht="20" customHeight="1" x14ac:dyDescent="0.2">
      <c r="E56" s="7"/>
      <c r="F56" s="7"/>
      <c r="G56" s="7"/>
      <c r="H56" s="7"/>
      <c r="I56" s="7"/>
      <c r="J56" s="4" t="s">
        <v>3827</v>
      </c>
      <c r="K56" s="362" t="s">
        <v>93</v>
      </c>
      <c r="L56" s="347" t="s">
        <v>93</v>
      </c>
      <c r="M56" s="337" t="str">
        <f>IF(mgmt_domain_ops_automation_later_chosen="Selected","Inputs are masked out as you have opted to deploy VCF Ops and Automation post MGMT Domain deployment",CONCATENATE(IF(mgmt_vcfops_appliance_size_chosen="Extra Small","2 vCPU, 8GB RAM, 274 GB Storage",
IF(mgmt_vcfops_appliance_size_chosen="Small","4 vCPU, 16GB RAM, 274 GB Storage",
IF(mgmt_vcfops_appliance_size_chosen="Medium","8 vCPU, 32GB RAM, 274 GB Storage",
IF(mgmt_vcfops_appliance_size_chosen="Large","16 vCPU, 48GB RAM, 274 GB Storage",
IF(mgmt_vcfops_appliance_size_chosen="Extra Large","24 vCPU, 128GB RAM, 274 GB Storage",
)))))," Per Appliance"))</f>
        <v>8 vCPU, 32GB RAM, 274 GB Storage Per Appliance</v>
      </c>
    </row>
    <row r="57" spans="5:13" ht="20" customHeight="1" x14ac:dyDescent="0.2">
      <c r="E57" s="7"/>
      <c r="F57" s="7"/>
      <c r="G57" s="7"/>
      <c r="H57" s="7"/>
      <c r="I57" s="7"/>
      <c r="J57" s="4" t="s">
        <v>553</v>
      </c>
      <c r="K57" s="80" t="str">
        <f>CONCATENATE(prefix_portable_component,"-ops01a.",sample_parent_dns_zone)</f>
        <v>flt-ops01a.rainpole.io</v>
      </c>
      <c r="L57" s="347"/>
      <c r="M57" s="337"/>
    </row>
    <row r="58" spans="5:13" ht="20" customHeight="1" x14ac:dyDescent="0.2">
      <c r="E58" s="7"/>
      <c r="F58" s="7"/>
      <c r="G58" s="7"/>
      <c r="H58" s="7"/>
      <c r="I58" s="7"/>
      <c r="J58" s="4" t="s">
        <v>554</v>
      </c>
      <c r="K58" s="80" t="str">
        <f>CONCATENATE(prefix_portable_component,"-ops01b.",sample_parent_dns_zone)</f>
        <v>flt-ops01b.rainpole.io</v>
      </c>
      <c r="L58" s="347"/>
      <c r="M58" s="337"/>
    </row>
    <row r="59" spans="5:13" ht="20" customHeight="1" x14ac:dyDescent="0.2">
      <c r="E59" s="7"/>
      <c r="F59" s="7"/>
      <c r="G59" s="7"/>
      <c r="H59" s="7"/>
      <c r="I59" s="7"/>
      <c r="J59" s="4" t="s">
        <v>555</v>
      </c>
      <c r="K59" s="362" t="str">
        <f>CONCATENATE(prefix_portable_component,"-ops01c.",sample_parent_dns_zone)</f>
        <v>flt-ops01c.rainpole.io</v>
      </c>
      <c r="L59" s="347"/>
      <c r="M59" s="337"/>
    </row>
    <row r="60" spans="5:13" ht="20" customHeight="1" x14ac:dyDescent="0.2">
      <c r="E60" s="7"/>
      <c r="F60" s="7"/>
      <c r="G60" s="7"/>
      <c r="H60" s="7"/>
      <c r="I60" s="7"/>
      <c r="J60" s="74" t="s">
        <v>3828</v>
      </c>
      <c r="K60" s="81" t="s">
        <v>141</v>
      </c>
      <c r="L60" s="82"/>
      <c r="M60" s="186" t="str">
        <f>IF(mgmt_domain_password_creation_chosen="Selected","Inputs are masked out as you have opted to deploy with system generated passwords","Minimum 15 Characters, 1 Uppercase, 1 Special")</f>
        <v>Minimum 15 Characters, 1 Uppercase, 1 Special</v>
      </c>
    </row>
    <row r="61" spans="5:13" ht="20" customHeight="1" x14ac:dyDescent="0.2">
      <c r="E61" s="7"/>
      <c r="F61" s="7"/>
      <c r="G61" s="7"/>
      <c r="H61" s="7"/>
      <c r="I61" s="7"/>
      <c r="J61" s="4" t="s">
        <v>562</v>
      </c>
      <c r="K61" s="362" t="s">
        <v>141</v>
      </c>
      <c r="L61" s="83"/>
      <c r="M61" s="337" t="str">
        <f>IF(mgmt_domain_password_creation_chosen="Selected","Inputs are masked out as you have opted to deploy with system generated passwords","Minimum 15 Characters, 1 Uppercase, 1 Special")</f>
        <v>Minimum 15 Characters, 1 Uppercase, 1 Special</v>
      </c>
    </row>
    <row r="62" spans="5:13" ht="20" customHeight="1" x14ac:dyDescent="0.2">
      <c r="E62" s="7"/>
      <c r="F62" s="7"/>
      <c r="G62" s="7"/>
      <c r="H62" s="7"/>
      <c r="I62" s="7"/>
      <c r="J62" s="492" t="s">
        <v>2754</v>
      </c>
      <c r="K62" s="493"/>
      <c r="L62" s="493"/>
      <c r="M62" s="494"/>
    </row>
    <row r="63" spans="5:13" ht="20" customHeight="1" x14ac:dyDescent="0.2">
      <c r="E63" s="7"/>
      <c r="F63" s="7"/>
      <c r="G63" s="7"/>
      <c r="H63" s="7"/>
      <c r="I63" s="7"/>
      <c r="J63" s="4" t="s">
        <v>3829</v>
      </c>
      <c r="K63" s="80" t="str">
        <f>CONCATENATE(prefix_portable_component,"-ops01.",sample_parent_dns_zone)</f>
        <v>flt-ops01.rainpole.io</v>
      </c>
      <c r="L63" s="347"/>
      <c r="M63" s="337" t="s">
        <v>557</v>
      </c>
    </row>
    <row r="64" spans="5:13" ht="20" customHeight="1" x14ac:dyDescent="0.2">
      <c r="E64" s="7"/>
      <c r="F64" s="7"/>
      <c r="G64" s="7"/>
      <c r="H64" s="7"/>
      <c r="I64" s="7"/>
      <c r="J64" s="492" t="s">
        <v>3830</v>
      </c>
      <c r="K64" s="493"/>
      <c r="L64" s="493"/>
      <c r="M64" s="494"/>
    </row>
    <row r="65" spans="5:13" ht="20" customHeight="1" x14ac:dyDescent="0.2">
      <c r="E65" s="7"/>
      <c r="F65" s="7"/>
      <c r="G65" s="7"/>
      <c r="H65" s="7"/>
      <c r="I65" s="7"/>
      <c r="J65" s="4" t="s">
        <v>3831</v>
      </c>
      <c r="K65" s="362" t="str">
        <f>CONCATENATE(prefix_portable_component,"-fm01.",sample_parent_dns_zone)</f>
        <v>flt-fm01.rainpole.io</v>
      </c>
      <c r="L65" s="347"/>
      <c r="M65" s="331" t="str">
        <f>IF(mgmt_domain_ops_automation_later_chosen="Selected","Inputs are masked out as you have opted to deploy VCF Ops and Automation post MGMT Domain deployment","4 vCPU, 12GB RAM, 194GB Storage")</f>
        <v>4 vCPU, 12GB RAM, 194GB Storage</v>
      </c>
    </row>
    <row r="66" spans="5:13" ht="20" customHeight="1" x14ac:dyDescent="0.2">
      <c r="E66" s="7"/>
      <c r="F66" s="7"/>
      <c r="G66" s="7"/>
      <c r="H66" s="7"/>
      <c r="I66" s="7"/>
      <c r="J66" s="4" t="s">
        <v>3832</v>
      </c>
      <c r="K66" s="362" t="s">
        <v>145</v>
      </c>
      <c r="L66" s="347" t="s">
        <v>145</v>
      </c>
      <c r="M66" s="337" t="str">
        <f>IF(mgmt_domain_password_creation_chosen="Selected","Inputs are masked out as you have opted to deploy with system generated passwords","")</f>
        <v/>
      </c>
    </row>
    <row r="67" spans="5:13" ht="20" customHeight="1" x14ac:dyDescent="0.2">
      <c r="E67" s="7"/>
      <c r="F67" s="7"/>
      <c r="G67" s="7"/>
      <c r="H67" s="7"/>
      <c r="I67" s="7"/>
      <c r="J67" s="4" t="s">
        <v>3828</v>
      </c>
      <c r="K67" s="362" t="s">
        <v>141</v>
      </c>
      <c r="L67" s="347"/>
      <c r="M67" s="337" t="str">
        <f>IF(mgmt_domain_password_creation_chosen="Selected","Inputs are masked out as you have opted to deploy with system generated passwords","Minimum 15 Characters, 1 Uppercase, 1 Special")</f>
        <v>Minimum 15 Characters, 1 Uppercase, 1 Special</v>
      </c>
    </row>
    <row r="68" spans="5:13" ht="20" customHeight="1" x14ac:dyDescent="0.2">
      <c r="E68" s="7"/>
      <c r="F68" s="7"/>
      <c r="G68" s="7"/>
      <c r="H68" s="7"/>
      <c r="I68" s="7"/>
      <c r="J68" s="351" t="s">
        <v>282</v>
      </c>
      <c r="K68" s="84" t="s">
        <v>141</v>
      </c>
      <c r="L68" s="347"/>
      <c r="M68" s="153" t="str">
        <f>IF(mgmt_domain_password_creation_chosen="Selected","Inputs are masked out as you have opted to deploy with system generated passwords","Minimum 15 Characters, 1 Uppercase, 1 Special")</f>
        <v>Minimum 15 Characters, 1 Uppercase, 1 Special</v>
      </c>
    </row>
    <row r="69" spans="5:13" ht="20" customHeight="1" x14ac:dyDescent="0.2">
      <c r="E69" s="7"/>
      <c r="F69" s="7"/>
      <c r="G69" s="7"/>
      <c r="H69" s="7"/>
      <c r="I69" s="7"/>
      <c r="J69" s="492" t="s">
        <v>1972</v>
      </c>
      <c r="K69" s="493"/>
      <c r="L69" s="493"/>
      <c r="M69" s="494"/>
    </row>
    <row r="70" spans="5:13" ht="20" customHeight="1" x14ac:dyDescent="0.2">
      <c r="E70" s="7"/>
      <c r="F70" s="7"/>
      <c r="G70" s="7"/>
      <c r="H70" s="7"/>
      <c r="I70" s="7"/>
      <c r="J70" s="4" t="s">
        <v>3831</v>
      </c>
      <c r="K70" s="85" t="str">
        <f>CONCATENATE(this_instance,"-cp01.",sample_child_dns_zone)</f>
        <v>sfo-cp01.sfo.rainpole.io</v>
      </c>
      <c r="L70" s="347"/>
      <c r="M70" s="4"/>
    </row>
    <row r="71" spans="5:13" ht="20" customHeight="1" x14ac:dyDescent="0.2">
      <c r="E71" s="7"/>
      <c r="F71" s="7"/>
      <c r="G71" s="7"/>
      <c r="H71" s="7"/>
      <c r="I71" s="7"/>
      <c r="J71" s="4" t="s">
        <v>3832</v>
      </c>
      <c r="K71" s="362" t="s">
        <v>145</v>
      </c>
      <c r="L71" s="347" t="s">
        <v>145</v>
      </c>
      <c r="M71" s="4"/>
    </row>
    <row r="72" spans="5:13" ht="20" customHeight="1" x14ac:dyDescent="0.2">
      <c r="E72" s="7"/>
      <c r="F72" s="7"/>
      <c r="G72" s="7"/>
      <c r="H72" s="7"/>
      <c r="I72" s="7"/>
      <c r="J72" s="4" t="s">
        <v>562</v>
      </c>
      <c r="K72" s="362" t="s">
        <v>141</v>
      </c>
      <c r="L72" s="347"/>
      <c r="M72" s="337" t="s">
        <v>3833</v>
      </c>
    </row>
    <row r="73" spans="5:13" ht="20" customHeight="1" x14ac:dyDescent="0.2">
      <c r="E73" s="7"/>
      <c r="F73" s="7"/>
      <c r="G73" s="7"/>
      <c r="H73" s="7"/>
      <c r="I73" s="7"/>
      <c r="J73" s="372"/>
      <c r="K73" s="372"/>
      <c r="L73" s="372"/>
      <c r="M73" s="372"/>
    </row>
    <row r="74" spans="5:13" ht="34" customHeight="1" x14ac:dyDescent="0.2">
      <c r="E74" s="7"/>
      <c r="F74" s="7"/>
      <c r="G74" s="7"/>
      <c r="H74" s="7"/>
      <c r="I74" s="7"/>
      <c r="J74" s="425" t="s">
        <v>3807</v>
      </c>
      <c r="K74" s="426"/>
      <c r="L74" s="426"/>
      <c r="M74" s="427"/>
    </row>
    <row r="75" spans="5:13" ht="20" customHeight="1" x14ac:dyDescent="0.2">
      <c r="E75" s="7"/>
      <c r="F75" s="7"/>
      <c r="G75" s="7"/>
      <c r="H75" s="7"/>
      <c r="I75" s="7"/>
      <c r="J75" s="492" t="s">
        <v>3834</v>
      </c>
      <c r="K75" s="493"/>
      <c r="L75" s="493"/>
      <c r="M75" s="494"/>
    </row>
    <row r="76" spans="5:13" ht="20" customHeight="1" x14ac:dyDescent="0.2">
      <c r="E76" s="7"/>
      <c r="F76" s="7"/>
      <c r="G76" s="7"/>
      <c r="H76" s="7"/>
      <c r="I76" s="7"/>
      <c r="J76" s="346" t="s">
        <v>17</v>
      </c>
      <c r="K76" s="346" t="s">
        <v>18</v>
      </c>
      <c r="L76" s="346" t="s">
        <v>19</v>
      </c>
      <c r="M76" s="346" t="s">
        <v>20</v>
      </c>
    </row>
    <row r="77" spans="5:13" ht="20" customHeight="1" x14ac:dyDescent="0.2">
      <c r="E77" s="7"/>
      <c r="F77" s="7"/>
      <c r="G77" s="7"/>
      <c r="H77" s="7"/>
      <c r="I77" s="7"/>
      <c r="J77" s="4" t="s">
        <v>3835</v>
      </c>
      <c r="K77" s="362" t="s">
        <v>145</v>
      </c>
      <c r="L77" s="347" t="s">
        <v>145</v>
      </c>
      <c r="M77" s="337" t="str">
        <f>IF(mgmt_domain_ops_automation_later_chosen="Selected","Inputs are masked out as you have opted to deploy VCF Ops and Automation post MGMT Domain deployment","Select to use VCF Operations to import or install VCF Automation once VCF installer is complete.")</f>
        <v>Select to use VCF Operations to import or install VCF Automation once VCF installer is complete.</v>
      </c>
    </row>
    <row r="78" spans="5:13" ht="20" customHeight="1" x14ac:dyDescent="0.2">
      <c r="E78" s="7"/>
      <c r="F78" s="7"/>
      <c r="G78" s="7"/>
      <c r="H78" s="7"/>
      <c r="I78" s="7"/>
      <c r="J78" s="4" t="s">
        <v>3831</v>
      </c>
      <c r="K78" s="362" t="str">
        <f>CONCATENATE(prefix_portable_component,"-auto01.",sample_parent_dns_zone)</f>
        <v>flt-auto01.rainpole.io</v>
      </c>
      <c r="L78" s="347"/>
      <c r="M78" s="337" t="str">
        <f>IF(OR(mgmt_domain_ops_automation_later_chosen="Selected",mgmt_domain_vcf_automation_later_chosen="Selected"),"Inputs are masked out as you have opted to deploy or import VCF Automation post MGMT Domain deployment","24 vCPU, 96GB RAM, 599GB Storage Per Appliance")</f>
        <v>24 vCPU, 96GB RAM, 599GB Storage Per Appliance</v>
      </c>
    </row>
    <row r="79" spans="5:13" ht="20" customHeight="1" x14ac:dyDescent="0.2">
      <c r="E79" s="7"/>
      <c r="F79" s="7"/>
      <c r="G79" s="7"/>
      <c r="H79" s="7"/>
      <c r="I79" s="7"/>
      <c r="J79" s="4" t="s">
        <v>3828</v>
      </c>
      <c r="K79" s="362" t="s">
        <v>141</v>
      </c>
      <c r="L79" s="347"/>
      <c r="M79" s="337"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Minimum 15 Characters, 1 Uppercase, 1 Special</v>
      </c>
    </row>
    <row r="80" spans="5:13" ht="20" customHeight="1" x14ac:dyDescent="0.2">
      <c r="E80" s="7"/>
      <c r="F80" s="7"/>
      <c r="G80" s="7"/>
      <c r="H80" s="7"/>
      <c r="I80" s="7"/>
      <c r="J80" s="4" t="s">
        <v>3836</v>
      </c>
      <c r="K80" s="80" t="str">
        <f>IF(mgmt_vcf_management_network_chosen="Use VM management network",IF(mgmt_dpg_reuse_result="Included",CONCATENATE(prefix_mgmt_az1_cidr,"10.46"),CONCATENATE(prefix_mgmt_az1_cidr,"11.46")),CONCATENATE(prefix_flt_shared_cidr,".46"))</f>
        <v>10.11.10.46</v>
      </c>
      <c r="L80" s="347"/>
      <c r="M80"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1" spans="5:13" ht="20" customHeight="1" x14ac:dyDescent="0.2">
      <c r="E81" s="7"/>
      <c r="F81" s="7"/>
      <c r="G81" s="7"/>
      <c r="H81" s="7"/>
      <c r="I81" s="7"/>
      <c r="J81" s="4" t="s">
        <v>3837</v>
      </c>
      <c r="K81" s="80" t="str">
        <f>IF(mgmt_vcf_management_network_chosen="Use VM management network",IF(mgmt_dpg_reuse_result="Included",CONCATENATE(prefix_mgmt_az1_cidr,"10.47"),CONCATENATE(prefix_mgmt_az1_cidr,"11.47")),CONCATENATE(prefix_flt_shared_cidr,".47"))</f>
        <v>10.11.10.47</v>
      </c>
      <c r="L81" s="347"/>
      <c r="M81"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2" spans="5:13" ht="20" customHeight="1" x14ac:dyDescent="0.2">
      <c r="E82" s="7"/>
      <c r="F82" s="7"/>
      <c r="G82" s="7"/>
      <c r="H82" s="7"/>
      <c r="I82" s="7"/>
      <c r="J82" s="4" t="s">
        <v>3838</v>
      </c>
      <c r="K82" s="135" t="str">
        <f>IF(mgmt_vcf_management_network_chosen="Use VM management network",IF(mgmt_dpg_reuse_result="Included",CONCATENATE(prefix_mgmt_az1_cidr,"10.48"),CONCATENATE(prefix_mgmt_az1_cidr,"11.48")),CONCATENATE(prefix_flt_shared_cidr,".48"))</f>
        <v>10.11.10.48</v>
      </c>
      <c r="L82" s="86"/>
      <c r="M82"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3" spans="5:13" ht="20" customHeight="1" x14ac:dyDescent="0.2">
      <c r="E83" s="7"/>
      <c r="F83" s="7"/>
      <c r="G83" s="7"/>
      <c r="H83" s="7"/>
      <c r="I83" s="7"/>
      <c r="J83" s="4" t="s">
        <v>3839</v>
      </c>
      <c r="K83" s="330" t="str">
        <f>IF(mgmt_vcf_management_network_chosen="Use VM management network",IF(mgmt_dpg_reuse_result="Included",CONCATENATE(prefix_mgmt_az1_cidr,"10.49"),CONCATENATE(prefix_mgmt_az1_cidr,"11.49")),CONCATENATE(prefix_flt_shared_cidr,".49"))</f>
        <v>10.11.10.49</v>
      </c>
      <c r="L83" s="88"/>
      <c r="M83"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4" spans="5:13" ht="20" customHeight="1" x14ac:dyDescent="0.2">
      <c r="E84" s="7"/>
      <c r="F84" s="7"/>
      <c r="G84" s="7"/>
      <c r="H84" s="7"/>
      <c r="I84" s="7"/>
      <c r="J84" s="4" t="s">
        <v>3840</v>
      </c>
      <c r="K84" s="80" t="str">
        <f>CONCATENATE(prefix_portable_component,"-auto")</f>
        <v>flt-auto</v>
      </c>
      <c r="L84" s="347"/>
      <c r="M84" s="337" t="str">
        <f>IF(OR(mgmt_domain_ops_automation_later_chosen="Selected",mgmt_domain_vcf_automation_later_chosen="Selected"),"Inputs are masked out as you have opted to deploy or import VCF Automation post MGMT Domain deployment","VCF Automation virtual machines will be deployed with Node Name Prefix&lt;generated id&gt;")</f>
        <v>VCF Automation virtual machines will be deployed with Node Name Prefix&lt;generated id&gt;</v>
      </c>
    </row>
    <row r="85" spans="5:13" ht="20" customHeight="1" x14ac:dyDescent="0.2">
      <c r="E85" s="7"/>
      <c r="F85" s="7"/>
      <c r="G85" s="7"/>
      <c r="H85" s="7"/>
      <c r="I85" s="7"/>
      <c r="J85" s="4" t="s">
        <v>629</v>
      </c>
      <c r="K85" s="80" t="s">
        <v>574</v>
      </c>
      <c r="L85" s="347" t="s">
        <v>574</v>
      </c>
      <c r="M85" s="337" t="str">
        <f>IF(OR(mgmt_domain_ops_automation_later_chosen="Selected",mgmt_domain_vcf_automation_later_chosen="Selected"),"Inputs are masked out as you have opted to deploy or import VCF Automation post MGMT Domain deployment","The CIDR used for pods running the internal Kubernetes cluster")</f>
        <v>The CIDR used for pods running the internal Kubernetes cluster</v>
      </c>
    </row>
    <row r="86" spans="5:13" ht="20" customHeight="1" x14ac:dyDescent="0.2">
      <c r="E86" s="7"/>
      <c r="F86" s="7"/>
      <c r="G86" s="7"/>
      <c r="H86" s="7"/>
      <c r="I86" s="7"/>
      <c r="J86" s="372"/>
      <c r="K86" s="372"/>
      <c r="L86" s="344"/>
      <c r="M86" s="372"/>
    </row>
    <row r="87" spans="5:13" ht="34" customHeight="1" x14ac:dyDescent="0.2">
      <c r="E87" s="7"/>
      <c r="F87" s="7"/>
      <c r="G87" s="7"/>
      <c r="H87" s="7"/>
      <c r="I87" s="7"/>
      <c r="J87" s="425" t="s">
        <v>814</v>
      </c>
      <c r="K87" s="426"/>
      <c r="L87" s="426"/>
      <c r="M87" s="427"/>
    </row>
    <row r="88" spans="5:13" ht="20" customHeight="1" x14ac:dyDescent="0.2">
      <c r="E88" s="7"/>
      <c r="F88" s="7"/>
      <c r="G88" s="7"/>
      <c r="H88" s="7"/>
      <c r="I88" s="7"/>
      <c r="J88" s="492" t="s">
        <v>3841</v>
      </c>
      <c r="K88" s="493"/>
      <c r="L88" s="493"/>
      <c r="M88" s="494"/>
    </row>
    <row r="89" spans="5:13" ht="20" customHeight="1" x14ac:dyDescent="0.2">
      <c r="E89" s="7"/>
      <c r="F89" s="7"/>
      <c r="G89" s="7"/>
      <c r="H89" s="7"/>
      <c r="I89" s="7"/>
      <c r="J89" s="346" t="s">
        <v>17</v>
      </c>
      <c r="K89" s="346" t="s">
        <v>18</v>
      </c>
      <c r="L89" s="346" t="s">
        <v>19</v>
      </c>
      <c r="M89" s="346" t="s">
        <v>20</v>
      </c>
    </row>
    <row r="90" spans="5:13" ht="20" customHeight="1" x14ac:dyDescent="0.2">
      <c r="E90" s="7"/>
      <c r="F90" s="7"/>
      <c r="G90" s="7"/>
      <c r="H90" s="7"/>
      <c r="I90" s="7"/>
      <c r="J90" s="4" t="s">
        <v>3831</v>
      </c>
      <c r="K90" s="89" t="str">
        <f>CONCATENATE(this_instance,"-m01-vc01.",sample_child_dns_zone)</f>
        <v>sfo-m01-vc01.sfo.rainpole.io</v>
      </c>
      <c r="L90" s="347"/>
      <c r="M90" s="337"/>
    </row>
    <row r="91" spans="5:13" ht="20" customHeight="1" x14ac:dyDescent="0.2">
      <c r="E91" s="7"/>
      <c r="F91" s="7"/>
      <c r="G91" s="7"/>
      <c r="H91" s="7"/>
      <c r="I91" s="7"/>
      <c r="J91" s="4" t="s">
        <v>784</v>
      </c>
      <c r="K91" s="362" t="s">
        <v>581</v>
      </c>
      <c r="L91" s="347" t="s">
        <v>581</v>
      </c>
      <c r="M91" s="337" t="str">
        <f>IF(mgmt_domain_existing_vcenter_chosen="Selected","Inputs are masked out as you have opted to import an existing vCenter Server",
IF(mgmt_vcenter_appliance_size_chosen="Tiny","2 vCPU, 10GB RAM",
IF(mgmt_vcenter_appliance_size_chosen="Small","4 vCPU, 21GB RAM",
IF(mgmt_vcenter_appliance_size_chosen="Medium","8 vCPU, 30GB RAM",
IF(mgmt_vcenter_appliance_size_chosen="Large","16 vCPU, 39GB RAM",
IF(mgmt_vcenter_appliance_size_chosen="Extra Large","24 vCPU, 58GB  RAM",
))))))</f>
        <v>4 vCPU, 21GB RAM</v>
      </c>
    </row>
    <row r="92" spans="5:13" ht="20" customHeight="1" x14ac:dyDescent="0.2">
      <c r="E92" s="7"/>
      <c r="F92" s="7"/>
      <c r="G92" s="7"/>
      <c r="H92" s="7"/>
      <c r="I92" s="7"/>
      <c r="J92" s="74" t="s">
        <v>1329</v>
      </c>
      <c r="K92" s="362" t="s">
        <v>852</v>
      </c>
      <c r="L92" s="347" t="s">
        <v>852</v>
      </c>
      <c r="M92" s="337" t="str">
        <f>IF(mgmt_domain_existing_vcenter_chosen="Selected","Inputs are masked out as you have opted to import an existing vCenter Server",
CONCATENATE(VLOOKUP(CONCATENATE(mgmt_vcenter_appliance_size_chosen,sizing_m01_vcenter_storage_size_chosen),table_vcenter_disk_gb,2,FALSE)," GB"))</f>
        <v>694 GB</v>
      </c>
    </row>
    <row r="93" spans="5:13" ht="20" customHeight="1" x14ac:dyDescent="0.2">
      <c r="E93" s="7"/>
      <c r="F93" s="7"/>
      <c r="G93" s="7"/>
      <c r="H93" s="7"/>
      <c r="I93" s="7"/>
      <c r="J93" s="4" t="s">
        <v>1945</v>
      </c>
      <c r="K93" s="362" t="str">
        <f>CONCATENATE(this_instance,"-m01-dc01")</f>
        <v>sfo-m01-dc01</v>
      </c>
      <c r="L93" s="347"/>
      <c r="M93" s="337" t="str">
        <f>IF(mgmt_domain_existing_vcenter_chosen="Selected","Inputs are masked out as you have opted to import an existing vCenter Server","")</f>
        <v/>
      </c>
    </row>
    <row r="94" spans="5:13" ht="20" customHeight="1" x14ac:dyDescent="0.2">
      <c r="E94" s="7"/>
      <c r="F94" s="7"/>
      <c r="G94" s="7"/>
      <c r="H94" s="7"/>
      <c r="I94" s="7"/>
      <c r="J94" s="4" t="s">
        <v>210</v>
      </c>
      <c r="K94" s="362" t="str">
        <f>CONCATENATE(this_instance,"-m01-cl01")</f>
        <v>sfo-m01-cl01</v>
      </c>
      <c r="L94" s="347"/>
      <c r="M94" s="337" t="str">
        <f>IF(mgmt_domain_existing_vcenter_chosen="Selected","Inputs are masked out as you have opted to import an existing vCenter Server","")</f>
        <v/>
      </c>
    </row>
    <row r="95" spans="5:13" ht="20" customHeight="1" x14ac:dyDescent="0.2">
      <c r="E95" s="7"/>
      <c r="F95" s="7"/>
      <c r="G95" s="7"/>
      <c r="H95" s="7"/>
      <c r="I95" s="7"/>
      <c r="J95" s="4" t="s">
        <v>606</v>
      </c>
      <c r="K95" s="362" t="s">
        <v>3017</v>
      </c>
      <c r="L95" s="347"/>
      <c r="M95" s="337" t="str">
        <f>IF(mgmt_domain_existing_vcenter_chosen="Selected","Inputs are masked out as you have opted to import an existing vCenter Server","")</f>
        <v/>
      </c>
    </row>
    <row r="96" spans="5:13" ht="20" customHeight="1" x14ac:dyDescent="0.2">
      <c r="E96" s="7"/>
      <c r="F96" s="7"/>
      <c r="G96" s="7"/>
      <c r="H96" s="7"/>
      <c r="I96" s="7"/>
      <c r="J96" s="4" t="s">
        <v>3842</v>
      </c>
      <c r="K96" s="362" t="s">
        <v>1844</v>
      </c>
      <c r="L96" s="347"/>
      <c r="M96" s="337" t="str">
        <f>IF(mgmt_domain_existing_vcenter_chosen="Unselected", "Input is masked out and only required if importing an existing vCenter","")</f>
        <v>Input is masked out and only required if importing an existing vCenter</v>
      </c>
    </row>
    <row r="97" spans="5:13" ht="20" customHeight="1" x14ac:dyDescent="0.2">
      <c r="E97" s="7"/>
      <c r="F97" s="7"/>
      <c r="G97" s="7"/>
      <c r="H97" s="7"/>
      <c r="I97" s="7"/>
      <c r="J97" s="4" t="s">
        <v>3828</v>
      </c>
      <c r="K97" s="362" t="s">
        <v>141</v>
      </c>
      <c r="L97" s="347"/>
      <c r="M97" s="337" t="str">
        <f>IF(mgmt_domain_existing_vcenter_chosen="Selected","",IF(mgmt_domain_password_creation_chosen="Selected","Inputs are masked out as you have opted deploy with system generated passwords","Minimum 15 Characters, 1 Uppercase, 1 Special"))</f>
        <v>Minimum 15 Characters, 1 Uppercase, 1 Special</v>
      </c>
    </row>
    <row r="98" spans="5:13" ht="20" customHeight="1" x14ac:dyDescent="0.2">
      <c r="E98" s="7"/>
      <c r="F98" s="7"/>
      <c r="G98" s="7"/>
      <c r="H98" s="7"/>
      <c r="I98" s="7"/>
      <c r="J98" s="4" t="s">
        <v>562</v>
      </c>
      <c r="K98" s="362" t="s">
        <v>141</v>
      </c>
      <c r="L98" s="347"/>
      <c r="M98" s="337" t="str">
        <f>IF(mgmt_domain_existing_vcenter_chosen="Selected","",IF(mgmt_domain_password_creation_chosen="Selected","Inputs are masked out as you have opted deploy with system generated passwords","Minimum 15 Characters, 1 Uppercase, 1 Special"))</f>
        <v>Minimum 15 Characters, 1 Uppercase, 1 Special</v>
      </c>
    </row>
    <row r="99" spans="5:13" ht="20" customHeight="1" x14ac:dyDescent="0.2">
      <c r="E99" s="7"/>
      <c r="F99" s="7"/>
      <c r="G99" s="7"/>
      <c r="H99" s="7"/>
      <c r="I99" s="7"/>
      <c r="J99" s="90"/>
      <c r="K99" s="90"/>
      <c r="L99" s="90"/>
      <c r="M99" s="90"/>
    </row>
    <row r="100" spans="5:13" ht="34" customHeight="1" x14ac:dyDescent="0.2">
      <c r="E100" s="7"/>
      <c r="F100" s="7"/>
      <c r="G100" s="7"/>
      <c r="H100" s="7"/>
      <c r="I100" s="7"/>
      <c r="J100" s="425" t="s">
        <v>778</v>
      </c>
      <c r="K100" s="426"/>
      <c r="L100" s="426"/>
      <c r="M100" s="427"/>
    </row>
    <row r="101" spans="5:13" ht="20" customHeight="1" x14ac:dyDescent="0.2">
      <c r="E101" s="7"/>
      <c r="F101" s="7"/>
      <c r="G101" s="7"/>
      <c r="H101" s="7"/>
      <c r="I101" s="7"/>
      <c r="J101" s="492" t="s">
        <v>3843</v>
      </c>
      <c r="K101" s="493"/>
      <c r="L101" s="493"/>
      <c r="M101" s="494"/>
    </row>
    <row r="102" spans="5:13" ht="20" customHeight="1" x14ac:dyDescent="0.2">
      <c r="E102" s="7"/>
      <c r="F102" s="7"/>
      <c r="G102" s="7"/>
      <c r="H102" s="7"/>
      <c r="I102" s="7"/>
      <c r="J102" s="346" t="s">
        <v>17</v>
      </c>
      <c r="K102" s="346" t="s">
        <v>18</v>
      </c>
      <c r="L102" s="346" t="s">
        <v>19</v>
      </c>
      <c r="M102" s="346" t="s">
        <v>20</v>
      </c>
    </row>
    <row r="103" spans="5:13" ht="20" customHeight="1" x14ac:dyDescent="0.2">
      <c r="E103" s="7"/>
      <c r="F103" s="7"/>
      <c r="G103" s="7"/>
      <c r="H103" s="7"/>
      <c r="I103" s="7"/>
      <c r="J103" s="4" t="s">
        <v>784</v>
      </c>
      <c r="K103" s="362" t="s">
        <v>93</v>
      </c>
      <c r="L103" s="347" t="s">
        <v>93</v>
      </c>
      <c r="M103" s="337" t="str">
        <f>IF(mgmt_domain_existing_nsx_manager_chosen="Selected","Inputs are masked out as you have opted to import with an existing NSX Cluster",
IF(mgmt_nsxt_appliance_size_chosen="Extra Small","2 vCPU, 8GB, 300GB Storage - Only supported via API. Use VCF.JSONGenerator to generate the JSON File once PnP is complete",
IF(mgmt_nsxt_appliance_size_chosen="Small","4 vCPU, 16GB, 300GB Storage",
IF(mgmt_nsxt_appliance_size_chosen="Medium","6 vCPU, 24GB, 300GB Storage",
IF(mgmt_nsxt_appliance_size_chosen="Large","12 vCPU, 48GB, 400GB Storage",
IF(mgmt_nsxt_appliance_size_chosen="XLarge","24 vCPU, 96GB, 400GB Storage Only supported via API. Use VCF.JSONGenerator to generate the JSON File once PnP is complete",
))))))</f>
        <v>6 vCPU, 24GB, 300GB Storage</v>
      </c>
    </row>
    <row r="104" spans="5:13" ht="20" customHeight="1" x14ac:dyDescent="0.2">
      <c r="E104" s="7"/>
      <c r="F104" s="7"/>
      <c r="G104" s="7"/>
      <c r="H104" s="7"/>
      <c r="I104" s="7"/>
      <c r="J104" s="4" t="s">
        <v>209</v>
      </c>
      <c r="K104" s="89" t="str">
        <f>CONCATENATE(this_instance,"-m01-nsx01",".",sample_child_dns_zone)</f>
        <v>sfo-m01-nsx01.sfo.rainpole.io</v>
      </c>
      <c r="L104" s="79"/>
      <c r="M104" s="337"/>
    </row>
    <row r="105" spans="5:13" ht="20" customHeight="1" x14ac:dyDescent="0.2">
      <c r="E105" s="7"/>
      <c r="F105" s="7"/>
      <c r="G105" s="7"/>
      <c r="H105" s="7"/>
      <c r="I105" s="7"/>
      <c r="J105" s="4" t="s">
        <v>785</v>
      </c>
      <c r="K105" s="89" t="str">
        <f>CONCATENATE(this_instance,"-m01-nsx01a",".",sample_child_dns_zone)</f>
        <v>sfo-m01-nsx01a.sfo.rainpole.io</v>
      </c>
      <c r="L105" s="347"/>
      <c r="M105" s="337" t="str">
        <f>IF(mgmt_domain_existing_nsx_manager_chosen="Selected","Inputs are masked out as you have opted to deploy with an existing NSX Cluster","")</f>
        <v/>
      </c>
    </row>
    <row r="106" spans="5:13" ht="20" customHeight="1" x14ac:dyDescent="0.2">
      <c r="E106" s="7"/>
      <c r="F106" s="7"/>
      <c r="G106" s="7"/>
      <c r="H106" s="7"/>
      <c r="I106" s="7"/>
      <c r="J106" s="4" t="s">
        <v>1341</v>
      </c>
      <c r="K106" s="89" t="str">
        <f>CONCATENATE(this_instance,"-m01-nsx01b",".",sample_child_dns_zone)</f>
        <v>sfo-m01-nsx01b.sfo.rainpole.io</v>
      </c>
      <c r="L106" s="347"/>
      <c r="M106" s="337" t="str">
        <f>IF(mgmt_domain_existing_nsx_manager_chosen="Selected","Inputs are masked out as you have opted to deploy with an existing NSX Cluster","")</f>
        <v/>
      </c>
    </row>
    <row r="107" spans="5:13" ht="20" customHeight="1" x14ac:dyDescent="0.2">
      <c r="E107" s="7"/>
      <c r="F107" s="7"/>
      <c r="G107" s="7"/>
      <c r="H107" s="7"/>
      <c r="I107" s="7"/>
      <c r="J107" s="4" t="s">
        <v>1342</v>
      </c>
      <c r="K107" s="89" t="str">
        <f>CONCATENATE(this_instance,"-m01-nsx01c",".",sample_child_dns_zone)</f>
        <v>sfo-m01-nsx01c.sfo.rainpole.io</v>
      </c>
      <c r="L107" s="347"/>
      <c r="M107" s="337" t="str">
        <f>IF(mgmt_domain_existing_nsx_manager_chosen="Selected","Inputs are masked out as you have opted to deploy with an existing NSX Cluster","")</f>
        <v/>
      </c>
    </row>
    <row r="108" spans="5:13" ht="20" customHeight="1" x14ac:dyDescent="0.2">
      <c r="E108" s="7"/>
      <c r="F108" s="7"/>
      <c r="G108" s="7"/>
      <c r="H108" s="7"/>
      <c r="I108" s="7"/>
      <c r="J108" s="4" t="s">
        <v>3828</v>
      </c>
      <c r="K108" s="362" t="s">
        <v>141</v>
      </c>
      <c r="L108" s="347"/>
      <c r="M108" s="337" t="str">
        <f>IF(mgmt_domain_password_creation_chosen="Selected","Inputs are masked out as you have opted to deploy with system generated passwords","Minimum 12 Characters, 1 Uppercase, 1 Special")</f>
        <v>Minimum 12 Characters, 1 Uppercase, 1 Special</v>
      </c>
    </row>
    <row r="109" spans="5:13" ht="20" customHeight="1" x14ac:dyDescent="0.2">
      <c r="E109" s="7"/>
      <c r="F109" s="7"/>
      <c r="G109" s="7"/>
      <c r="H109" s="7"/>
      <c r="I109" s="7"/>
      <c r="J109" s="4" t="s">
        <v>562</v>
      </c>
      <c r="K109" s="362" t="s">
        <v>141</v>
      </c>
      <c r="L109" s="347"/>
      <c r="M109" s="337" t="str">
        <f>IF(mgmt_domain_password_creation_chosen="Selected","Inputs are masked out as you have opted to deploy with system generated passwords","Minimum 12 Characters, 1 Uppercase, 1 Special")</f>
        <v>Minimum 12 Characters, 1 Uppercase, 1 Special</v>
      </c>
    </row>
    <row r="110" spans="5:13" ht="20" customHeight="1" x14ac:dyDescent="0.2">
      <c r="E110" s="7"/>
      <c r="F110" s="7"/>
      <c r="G110" s="7"/>
      <c r="H110" s="7"/>
      <c r="I110" s="7"/>
      <c r="J110" s="4" t="s">
        <v>828</v>
      </c>
      <c r="K110" s="362" t="s">
        <v>141</v>
      </c>
      <c r="L110" s="347"/>
      <c r="M110" s="337" t="str">
        <f>IF(mgmt_domain_password_creation_chosen="Selected","Inputs are masked out as you have opted to deploy with system generated passwords","Minimum 12 Characters, 1 Uppercase, 1 Special")</f>
        <v>Minimum 12 Characters, 1 Uppercase, 1 Special</v>
      </c>
    </row>
    <row r="111" spans="5:13" ht="20" customHeight="1" x14ac:dyDescent="0.2">
      <c r="E111" s="7"/>
      <c r="F111" s="7"/>
      <c r="G111" s="7"/>
      <c r="H111" s="7"/>
      <c r="I111" s="7"/>
      <c r="J111" s="4" t="s">
        <v>793</v>
      </c>
      <c r="K111" s="362" t="s">
        <v>145</v>
      </c>
      <c r="L111" s="347" t="s">
        <v>145</v>
      </c>
      <c r="M111" s="337" t="str">
        <f>IF(mgmt_domain_existing_nsx_manager_chosen="Unselected","Input is masked out and only required if importing an NSX Instance","")</f>
        <v>Input is masked out and only required if importing an NSX Instance</v>
      </c>
    </row>
    <row r="112" spans="5:13" ht="20" customHeight="1" x14ac:dyDescent="0.2">
      <c r="E112" s="7"/>
      <c r="F112" s="7"/>
      <c r="G112" s="7"/>
      <c r="H112" s="7"/>
      <c r="I112" s="7"/>
      <c r="J112" s="372"/>
      <c r="K112" s="372"/>
      <c r="L112" s="372"/>
      <c r="M112" s="372"/>
    </row>
    <row r="113" spans="5:13" ht="34" customHeight="1" x14ac:dyDescent="0.2">
      <c r="E113" s="7"/>
      <c r="F113" s="7"/>
      <c r="G113" s="7"/>
      <c r="H113" s="7"/>
      <c r="I113" s="7"/>
      <c r="J113" s="425" t="s">
        <v>834</v>
      </c>
      <c r="K113" s="426"/>
      <c r="L113" s="426"/>
      <c r="M113" s="427"/>
    </row>
    <row r="114" spans="5:13" ht="20" customHeight="1" x14ac:dyDescent="0.2">
      <c r="E114" s="7"/>
      <c r="F114" s="7"/>
      <c r="G114" s="7"/>
      <c r="H114" s="7"/>
      <c r="I114" s="7"/>
      <c r="J114" s="492" t="s">
        <v>3844</v>
      </c>
      <c r="K114" s="493"/>
      <c r="L114" s="493"/>
      <c r="M114" s="494"/>
    </row>
    <row r="115" spans="5:13" ht="20" customHeight="1" x14ac:dyDescent="0.2">
      <c r="E115" s="7"/>
      <c r="F115" s="7"/>
      <c r="G115" s="7"/>
      <c r="H115" s="7"/>
      <c r="I115" s="7"/>
      <c r="J115" s="346" t="s">
        <v>17</v>
      </c>
      <c r="K115" s="346" t="s">
        <v>18</v>
      </c>
      <c r="L115" s="346" t="s">
        <v>19</v>
      </c>
      <c r="M115" s="346" t="s">
        <v>20</v>
      </c>
    </row>
    <row r="116" spans="5:13" ht="20" customHeight="1" x14ac:dyDescent="0.2">
      <c r="E116" s="7"/>
      <c r="F116" s="7"/>
      <c r="G116" s="7"/>
      <c r="H116" s="7"/>
      <c r="I116" s="7"/>
      <c r="J116" s="4" t="s">
        <v>3845</v>
      </c>
      <c r="K116" s="362" t="s">
        <v>762</v>
      </c>
      <c r="L116" s="347" t="s">
        <v>762</v>
      </c>
      <c r="M116" s="337" t="str">
        <f>IF(mgmt_domain_existing_vcenter_chosen="Selected","Inputs are masked out as you have opted to import an existing vCenter Server","")</f>
        <v/>
      </c>
    </row>
    <row r="117" spans="5:13" ht="20" customHeight="1" x14ac:dyDescent="0.2">
      <c r="E117" s="7"/>
      <c r="F117" s="7"/>
      <c r="G117" s="7"/>
      <c r="H117" s="7"/>
      <c r="I117" s="7"/>
      <c r="J117" s="4" t="s">
        <v>3846</v>
      </c>
      <c r="K117" s="362" t="str">
        <f>IF(mgmt_principal_storage_chosen="VMFS on Fibre Channel (FC)",CONCATENATE(this_instance,"-m01-cl01-ds-vmfs01"),IF(mgmt_principal_storage_chosen="NFSv3",CONCATENATE(this_instance,"-m01-cl01-ds-nfs01"),CONCATENATE(this_instance,"-m01-cl01-ds-vsan01")))</f>
        <v>sfo-m01-cl01-ds-vsan01</v>
      </c>
      <c r="L117" s="347"/>
      <c r="M117" s="337" t="str">
        <f>IF(mgmt_domain_existing_vcenter_chosen="Selected","Inputs are masked out as you have opted to import an existing vCenter Server","")</f>
        <v/>
      </c>
    </row>
    <row r="118" spans="5:13" ht="20" customHeight="1" x14ac:dyDescent="0.2">
      <c r="E118" s="7"/>
      <c r="F118" s="7"/>
      <c r="G118" s="7"/>
      <c r="H118" s="7"/>
      <c r="I118" s="7"/>
      <c r="J118" s="74" t="s">
        <v>3847</v>
      </c>
      <c r="K118" s="362">
        <v>1</v>
      </c>
      <c r="L118" s="86" t="s">
        <v>842</v>
      </c>
      <c r="M118" s="337" t="str">
        <f>IF(mgmt_principal_storage_chosen&lt;&gt;"vSAN-OSA","Input is masked out and only required if configuring vSAN-OSA","")</f>
        <v>Input is masked out and only required if configuring vSAN-OSA</v>
      </c>
    </row>
    <row r="119" spans="5:13" ht="20" customHeight="1" x14ac:dyDescent="0.2">
      <c r="E119" s="7"/>
      <c r="F119" s="7"/>
      <c r="G119" s="7"/>
      <c r="H119" s="7"/>
      <c r="I119" s="7"/>
      <c r="J119" s="74" t="s">
        <v>3848</v>
      </c>
      <c r="K119" s="362" t="s">
        <v>145</v>
      </c>
      <c r="L119" s="86" t="s">
        <v>145</v>
      </c>
      <c r="M119" s="337" t="str">
        <f>IF(mgmt_principal_storage_chosen&lt;&gt;"vSAN-OSA","Input is masked out and only required if configuring vSAN-OSA","")</f>
        <v>Input is masked out and only required if configuring vSAN-OSA</v>
      </c>
    </row>
    <row r="120" spans="5:13" ht="20" customHeight="1" x14ac:dyDescent="0.2">
      <c r="E120" s="7"/>
      <c r="F120" s="7"/>
      <c r="G120" s="7"/>
      <c r="H120" s="7"/>
      <c r="I120" s="7"/>
      <c r="J120" s="74" t="s">
        <v>3849</v>
      </c>
      <c r="K120" s="81" t="str">
        <f>CONCATENATE("/share/",this_instance,"-m01-cl01-ds-nfs01")</f>
        <v>/share/sfo-m01-cl01-ds-nfs01</v>
      </c>
      <c r="L120" s="91"/>
      <c r="M120" s="186" t="str">
        <f>IF(mgmt_principal_storage_chosen&lt;&gt;"NFSv3","Input is masked out and only required if configuring NFS Storage","")</f>
        <v>Input is masked out and only required if configuring NFS Storage</v>
      </c>
    </row>
    <row r="121" spans="5:13" ht="20" customHeight="1" x14ac:dyDescent="0.2">
      <c r="E121" s="7"/>
      <c r="F121" s="7"/>
      <c r="G121" s="7"/>
      <c r="H121" s="7"/>
      <c r="I121" s="7"/>
      <c r="J121" s="74" t="s">
        <v>3850</v>
      </c>
      <c r="K121" s="81" t="str">
        <f>CONCATENATE(prefix_mgmt_az1_cidr,"15.200")</f>
        <v>10.11.15.200</v>
      </c>
      <c r="L121" s="91"/>
      <c r="M121" s="186" t="str">
        <f>IF(mgmt_principal_storage_chosen&lt;&gt;"NFSv3","Input is masked out and only required if configuring NFS Storage","")</f>
        <v>Input is masked out and only required if configuring NFS Storage</v>
      </c>
    </row>
    <row r="122" spans="5:13" ht="20" customHeight="1" x14ac:dyDescent="0.2">
      <c r="E122" s="7"/>
      <c r="F122" s="7"/>
      <c r="G122" s="7"/>
      <c r="H122" s="7"/>
      <c r="I122" s="7"/>
      <c r="J122" s="74" t="s">
        <v>3851</v>
      </c>
      <c r="K122" s="81" t="s">
        <v>159</v>
      </c>
      <c r="L122" s="86" t="s">
        <v>159</v>
      </c>
      <c r="M122" s="186" t="str">
        <f>IF(mgmt_principal_storage_chosen&lt;&gt;"NFSv3","Input is masked out and only required if configuring NFS Storage","")</f>
        <v>Input is masked out and only required if configuring NFS Storage</v>
      </c>
    </row>
    <row r="123" spans="5:13" ht="20" customHeight="1" x14ac:dyDescent="0.2">
      <c r="E123" s="7"/>
      <c r="F123" s="7"/>
      <c r="G123" s="7"/>
      <c r="H123" s="7"/>
      <c r="I123" s="7"/>
      <c r="J123" s="372"/>
      <c r="K123" s="344"/>
      <c r="L123" s="344"/>
      <c r="M123" s="344"/>
    </row>
    <row r="124" spans="5:13" ht="34" customHeight="1" x14ac:dyDescent="0.2">
      <c r="E124" s="7"/>
      <c r="F124" s="7"/>
      <c r="G124" s="7"/>
      <c r="H124" s="7"/>
      <c r="I124" s="7"/>
      <c r="J124" s="425" t="s">
        <v>3852</v>
      </c>
      <c r="K124" s="426"/>
      <c r="L124" s="426"/>
      <c r="M124" s="427"/>
    </row>
    <row r="125" spans="5:13" ht="20" customHeight="1" x14ac:dyDescent="0.2">
      <c r="E125" s="7"/>
      <c r="F125" s="7"/>
      <c r="G125" s="7"/>
      <c r="H125" s="7"/>
      <c r="I125" s="7"/>
      <c r="J125" s="492" t="s">
        <v>3853</v>
      </c>
      <c r="K125" s="493"/>
      <c r="L125" s="493"/>
      <c r="M125" s="494"/>
    </row>
    <row r="126" spans="5:13" ht="20" customHeight="1" x14ac:dyDescent="0.2">
      <c r="E126" s="7"/>
      <c r="F126" s="7"/>
      <c r="G126" s="7"/>
      <c r="H126" s="7"/>
      <c r="I126" s="7"/>
      <c r="J126" s="346" t="s">
        <v>17</v>
      </c>
      <c r="K126" s="346" t="s">
        <v>18</v>
      </c>
      <c r="L126" s="346" t="s">
        <v>19</v>
      </c>
      <c r="M126" s="346" t="s">
        <v>20</v>
      </c>
    </row>
    <row r="127" spans="5:13" ht="20" customHeight="1" x14ac:dyDescent="0.2">
      <c r="E127" s="7"/>
      <c r="F127" s="7"/>
      <c r="G127" s="7"/>
      <c r="H127" s="7"/>
      <c r="I127" s="7"/>
      <c r="J127" s="4" t="s">
        <v>2369</v>
      </c>
      <c r="K127" s="362" t="s">
        <v>30</v>
      </c>
      <c r="L127" s="347"/>
      <c r="M127" s="337" t="str">
        <f>IF(mgmt_domain_existing_vcenter_chosen="Selected","Inputs are masked out as you have opted to import an existing vCenter Server","")</f>
        <v/>
      </c>
    </row>
    <row r="128" spans="5:13" ht="20" customHeight="1" x14ac:dyDescent="0.2">
      <c r="E128" s="7"/>
      <c r="F128" s="7"/>
      <c r="G128" s="7"/>
      <c r="H128" s="7"/>
      <c r="I128" s="7"/>
      <c r="J128" s="4" t="s">
        <v>3854</v>
      </c>
      <c r="K128" s="362" t="str">
        <f>CONCATENATE(this_instance,"01-m01-r01-esx01",".",sample_child_dns_zone)</f>
        <v>sfo01-m01-r01-esx01.sfo.rainpole.io</v>
      </c>
      <c r="L128" s="347"/>
      <c r="M128" s="337"/>
    </row>
    <row r="129" spans="5:13" ht="20" customHeight="1" x14ac:dyDescent="0.2">
      <c r="E129" s="7"/>
      <c r="F129" s="7"/>
      <c r="G129" s="7"/>
      <c r="H129" s="7"/>
      <c r="I129" s="7"/>
      <c r="J129" s="4" t="s">
        <v>3855</v>
      </c>
      <c r="K129" s="362" t="str">
        <f>CONCATENATE(this_instance,"01-m01-r01-esx02",".",sample_child_dns_zone)</f>
        <v>sfo01-m01-r01-esx02.sfo.rainpole.io</v>
      </c>
      <c r="L129" s="347"/>
      <c r="M129" s="337"/>
    </row>
    <row r="130" spans="5:13" ht="20" customHeight="1" x14ac:dyDescent="0.2">
      <c r="E130" s="7"/>
      <c r="F130" s="7"/>
      <c r="G130" s="7"/>
      <c r="H130" s="7"/>
      <c r="I130" s="7"/>
      <c r="J130" s="4" t="s">
        <v>3856</v>
      </c>
      <c r="K130" s="362" t="str">
        <f>CONCATENATE(this_instance,"01-m01-r01-esx03",".",sample_child_dns_zone)</f>
        <v>sfo01-m01-r01-esx03.sfo.rainpole.io</v>
      </c>
      <c r="L130" s="347"/>
      <c r="M130" s="337"/>
    </row>
    <row r="131" spans="5:13" ht="20" customHeight="1" x14ac:dyDescent="0.2">
      <c r="E131" s="7"/>
      <c r="F131" s="7"/>
      <c r="G131" s="7"/>
      <c r="H131" s="7"/>
      <c r="I131" s="7"/>
      <c r="J131" s="4" t="s">
        <v>3857</v>
      </c>
      <c r="K131" s="362" t="str">
        <f>CONCATENATE(this_instance,"01-m01-r01-esx04",".",sample_child_dns_zone)</f>
        <v>sfo01-m01-r01-esx04.sfo.rainpole.io</v>
      </c>
      <c r="L131" s="347"/>
      <c r="M131" s="337"/>
    </row>
    <row r="132" spans="5:13" ht="20" customHeight="1" x14ac:dyDescent="0.2">
      <c r="E132" s="7"/>
      <c r="F132" s="7"/>
      <c r="G132" s="7"/>
      <c r="H132" s="7"/>
      <c r="I132" s="7"/>
      <c r="J132" s="4" t="s">
        <v>3858</v>
      </c>
      <c r="K132" s="89" t="str">
        <f>CONCATENATE(this_instance,"01-m01-r01-esx05",".",sample_child_dns_zone)</f>
        <v>sfo01-m01-r01-esx05.sfo.rainpole.io</v>
      </c>
      <c r="L132" s="347"/>
      <c r="M132" s="337"/>
    </row>
    <row r="133" spans="5:13" ht="20" customHeight="1" x14ac:dyDescent="0.2">
      <c r="E133" s="7"/>
      <c r="F133" s="7"/>
      <c r="G133" s="7"/>
      <c r="H133" s="7"/>
      <c r="I133" s="7"/>
      <c r="J133" s="4" t="s">
        <v>3859</v>
      </c>
      <c r="K133" s="89" t="str">
        <f>CONCATENATE(this_instance,"01-m01-r01-esx06",".",sample_child_dns_zone)</f>
        <v>sfo01-m01-r01-esx06.sfo.rainpole.io</v>
      </c>
      <c r="L133" s="347"/>
      <c r="M133" s="337"/>
    </row>
    <row r="134" spans="5:13" ht="20" customHeight="1" x14ac:dyDescent="0.2">
      <c r="E134" s="7"/>
      <c r="F134" s="7"/>
      <c r="G134" s="7"/>
      <c r="H134" s="7"/>
      <c r="I134" s="7"/>
      <c r="J134" s="4" t="s">
        <v>3860</v>
      </c>
      <c r="K134" s="89" t="str">
        <f>CONCATENATE(this_instance,"01-m01-r01-esx07",".",sample_child_dns_zone)</f>
        <v>sfo01-m01-r01-esx07.sfo.rainpole.io</v>
      </c>
      <c r="L134" s="347"/>
      <c r="M134" s="337"/>
    </row>
    <row r="135" spans="5:13" ht="20" customHeight="1" x14ac:dyDescent="0.2">
      <c r="E135" s="7"/>
      <c r="F135" s="7"/>
      <c r="G135" s="7"/>
      <c r="H135" s="7"/>
      <c r="I135" s="7"/>
      <c r="J135" s="4" t="s">
        <v>3861</v>
      </c>
      <c r="K135" s="89" t="str">
        <f>CONCATENATE(this_instance,"01-m01-r01-esx08",".",sample_child_dns_zone)</f>
        <v>sfo01-m01-r01-esx08.sfo.rainpole.io</v>
      </c>
      <c r="L135" s="347"/>
      <c r="M135" s="337"/>
    </row>
    <row r="136" spans="5:13" ht="20" customHeight="1" x14ac:dyDescent="0.2">
      <c r="E136" s="7"/>
      <c r="F136" s="7"/>
      <c r="G136" s="7"/>
      <c r="H136" s="7"/>
      <c r="I136" s="7"/>
      <c r="J136" s="4" t="s">
        <v>3862</v>
      </c>
      <c r="K136" s="89" t="str">
        <f>CONCATENATE(this_instance,"01-m01-r01-esx09",".",sample_child_dns_zone)</f>
        <v>sfo01-m01-r01-esx09.sfo.rainpole.io</v>
      </c>
      <c r="L136" s="347"/>
      <c r="M136" s="337"/>
    </row>
    <row r="137" spans="5:13" ht="20" customHeight="1" x14ac:dyDescent="0.2">
      <c r="E137" s="7"/>
      <c r="F137" s="7"/>
      <c r="G137" s="7"/>
      <c r="H137" s="7"/>
      <c r="I137" s="7"/>
      <c r="J137" s="4" t="s">
        <v>3863</v>
      </c>
      <c r="K137" s="89" t="str">
        <f>CONCATENATE(this_instance,"01-m01-r01-esx10",".",sample_child_dns_zone)</f>
        <v>sfo01-m01-r01-esx10.sfo.rainpole.io</v>
      </c>
      <c r="L137" s="347"/>
      <c r="M137" s="337"/>
    </row>
    <row r="138" spans="5:13" ht="20" customHeight="1" x14ac:dyDescent="0.2">
      <c r="E138" s="7"/>
      <c r="F138" s="7"/>
      <c r="G138" s="7"/>
      <c r="H138" s="7"/>
      <c r="I138" s="7"/>
      <c r="J138" s="4" t="s">
        <v>3864</v>
      </c>
      <c r="K138" s="89" t="str">
        <f>CONCATENATE(this_instance,"01-m01-r01-esx11",".",sample_child_dns_zone)</f>
        <v>sfo01-m01-r01-esx11.sfo.rainpole.io</v>
      </c>
      <c r="L138" s="347"/>
      <c r="M138" s="337"/>
    </row>
    <row r="139" spans="5:13" ht="20" customHeight="1" x14ac:dyDescent="0.2">
      <c r="E139" s="7"/>
      <c r="F139" s="7"/>
      <c r="G139" s="7"/>
      <c r="H139" s="7"/>
      <c r="I139" s="7"/>
      <c r="J139" s="4" t="s">
        <v>3865</v>
      </c>
      <c r="K139" s="89" t="str">
        <f>CONCATENATE(this_instance,"01-m01-r01-esx12",".",sample_child_dns_zone)</f>
        <v>sfo01-m01-r01-esx12.sfo.rainpole.io</v>
      </c>
      <c r="L139" s="347"/>
      <c r="M139" s="337"/>
    </row>
    <row r="140" spans="5:13" ht="20" customHeight="1" x14ac:dyDescent="0.2">
      <c r="E140" s="7"/>
      <c r="F140" s="7"/>
      <c r="G140" s="7"/>
      <c r="H140" s="7"/>
      <c r="I140" s="7"/>
      <c r="J140" s="4" t="s">
        <v>3866</v>
      </c>
      <c r="K140" s="89" t="str">
        <f>CONCATENATE(this_instance,"01-m01-r01-esx13",".",sample_child_dns_zone)</f>
        <v>sfo01-m01-r01-esx13.sfo.rainpole.io</v>
      </c>
      <c r="L140" s="347"/>
      <c r="M140" s="337"/>
    </row>
    <row r="141" spans="5:13" ht="20" customHeight="1" x14ac:dyDescent="0.2">
      <c r="E141" s="7"/>
      <c r="F141" s="7"/>
      <c r="G141" s="7"/>
      <c r="H141" s="7"/>
      <c r="I141" s="7"/>
      <c r="J141" s="4" t="s">
        <v>3867</v>
      </c>
      <c r="K141" s="89" t="str">
        <f>CONCATENATE(this_instance,"01-m01-r01-esx14",".",sample_child_dns_zone)</f>
        <v>sfo01-m01-r01-esx14.sfo.rainpole.io</v>
      </c>
      <c r="L141" s="347"/>
      <c r="M141" s="337"/>
    </row>
    <row r="142" spans="5:13" ht="20" customHeight="1" x14ac:dyDescent="0.2">
      <c r="E142" s="7"/>
      <c r="F142" s="7"/>
      <c r="G142" s="7"/>
      <c r="H142" s="7"/>
      <c r="I142" s="7"/>
      <c r="J142" s="4" t="s">
        <v>3868</v>
      </c>
      <c r="K142" s="89" t="str">
        <f>CONCATENATE(this_instance,"01-m01-r01-esx15",".",sample_child_dns_zone)</f>
        <v>sfo01-m01-r01-esx15.sfo.rainpole.io</v>
      </c>
      <c r="L142" s="347"/>
      <c r="M142" s="337"/>
    </row>
    <row r="143" spans="5:13" ht="20" customHeight="1" x14ac:dyDescent="0.2">
      <c r="E143" s="7"/>
      <c r="F143" s="7"/>
      <c r="G143" s="7"/>
      <c r="H143" s="7"/>
      <c r="I143" s="7"/>
      <c r="J143" s="4" t="s">
        <v>3869</v>
      </c>
      <c r="K143" s="89" t="str">
        <f>CONCATENATE(this_instance,"01-m01-r01-esx16",".",sample_child_dns_zone)</f>
        <v>sfo01-m01-r01-esx16.sfo.rainpole.io</v>
      </c>
      <c r="L143" s="347"/>
      <c r="M143" s="337"/>
    </row>
    <row r="144" spans="5:13" ht="20" customHeight="1" x14ac:dyDescent="0.2">
      <c r="E144" s="7"/>
      <c r="F144" s="7"/>
      <c r="G144" s="7"/>
      <c r="H144" s="7"/>
      <c r="I144" s="7"/>
      <c r="J144" s="372"/>
      <c r="K144" s="344"/>
      <c r="L144" s="76"/>
      <c r="M144" s="344"/>
    </row>
    <row r="145" spans="1:13" ht="34" customHeight="1" x14ac:dyDescent="0.2">
      <c r="E145" s="7"/>
      <c r="F145" s="7"/>
      <c r="G145" s="7"/>
      <c r="H145" s="7"/>
      <c r="I145" s="7"/>
      <c r="J145" s="425" t="s">
        <v>3870</v>
      </c>
      <c r="K145" s="426"/>
      <c r="L145" s="426"/>
      <c r="M145" s="427"/>
    </row>
    <row r="146" spans="1:13" ht="20" customHeight="1" x14ac:dyDescent="0.2">
      <c r="E146" s="7"/>
      <c r="F146" s="7"/>
      <c r="G146" s="7"/>
      <c r="H146" s="7"/>
      <c r="I146" s="7"/>
      <c r="J146" s="492" t="s">
        <v>213</v>
      </c>
      <c r="K146" s="493"/>
      <c r="L146" s="493"/>
      <c r="M146" s="494"/>
    </row>
    <row r="147" spans="1:13" ht="20" customHeight="1" x14ac:dyDescent="0.2">
      <c r="E147" s="7"/>
      <c r="F147" s="7"/>
      <c r="G147" s="7"/>
      <c r="H147" s="7"/>
      <c r="I147" s="7"/>
      <c r="J147" s="346" t="s">
        <v>17</v>
      </c>
      <c r="K147" s="346" t="s">
        <v>18</v>
      </c>
      <c r="L147" s="346" t="s">
        <v>19</v>
      </c>
      <c r="M147" s="346" t="s">
        <v>20</v>
      </c>
    </row>
    <row r="148" spans="1:13" ht="20" customHeight="1" x14ac:dyDescent="0.2">
      <c r="E148" s="7"/>
      <c r="F148" s="7"/>
      <c r="G148" s="7"/>
      <c r="H148" s="7"/>
      <c r="I148" s="7"/>
      <c r="J148" s="4" t="s">
        <v>85</v>
      </c>
      <c r="K148" s="80" t="str">
        <f>CONCATENATE(prefix_mgmt_az1_vlan,"11")</f>
        <v>1111</v>
      </c>
      <c r="L148" s="347"/>
      <c r="M148" s="337" t="str">
        <f>IF(mgmt_domain_existing_vcenter_chosen="Selected","Inputs are masked out as you have opted to import an existing vCenter Server","")</f>
        <v/>
      </c>
    </row>
    <row r="149" spans="1:13" ht="20" customHeight="1" x14ac:dyDescent="0.2">
      <c r="E149" s="7"/>
      <c r="F149" s="7"/>
      <c r="G149" s="7"/>
      <c r="H149" s="7"/>
      <c r="I149" s="7"/>
      <c r="J149" s="4" t="s">
        <v>187</v>
      </c>
      <c r="K149" s="80" t="str">
        <f>CONCATENATE(prefix_mgmt_az1_cidr,"11.1")</f>
        <v>10.11.11.1</v>
      </c>
      <c r="L149" s="347"/>
      <c r="M149" s="337" t="str">
        <f>IF(AND(mgmt_stretched_cluster_result="Included",mgmt_dpg_reuse_result="Excluded"),"Stretched L2","")</f>
        <v/>
      </c>
    </row>
    <row r="150" spans="1:13" ht="20" customHeight="1" x14ac:dyDescent="0.2">
      <c r="E150" s="7"/>
      <c r="F150" s="7"/>
      <c r="G150" s="7"/>
      <c r="H150" s="7"/>
      <c r="I150" s="7"/>
      <c r="J150" s="4" t="s">
        <v>188</v>
      </c>
      <c r="K150" s="80" t="str">
        <f>CONCATENATE(prefix_mgmt_az1_cidr,"11.0/24")</f>
        <v>10.11.11.0/24</v>
      </c>
      <c r="L150" s="347"/>
      <c r="M150" s="337"/>
    </row>
    <row r="151" spans="1:13" ht="20" customHeight="1" x14ac:dyDescent="0.2">
      <c r="E151" s="7"/>
      <c r="F151" s="7"/>
      <c r="G151" s="7"/>
      <c r="H151" s="7"/>
      <c r="I151" s="7"/>
      <c r="J151" s="4" t="s">
        <v>160</v>
      </c>
      <c r="K151" s="80">
        <v>1500</v>
      </c>
      <c r="L151" s="347"/>
      <c r="M151" s="337"/>
    </row>
    <row r="152" spans="1:13" ht="20" customHeight="1" x14ac:dyDescent="0.2">
      <c r="E152" s="7"/>
      <c r="F152" s="7"/>
      <c r="G152" s="7"/>
      <c r="H152" s="7"/>
      <c r="I152" s="7"/>
      <c r="J152" s="492" t="s">
        <v>932</v>
      </c>
      <c r="K152" s="493"/>
      <c r="L152" s="493"/>
      <c r="M152" s="494"/>
    </row>
    <row r="153" spans="1:13" s="92" customFormat="1" ht="20" customHeight="1" x14ac:dyDescent="0.2">
      <c r="A153" s="7"/>
      <c r="B153" s="7"/>
      <c r="C153" s="7"/>
      <c r="D153" s="7"/>
      <c r="E153" s="7"/>
      <c r="F153" s="7"/>
      <c r="G153" s="7"/>
      <c r="H153" s="7"/>
      <c r="I153" s="7"/>
      <c r="J153" s="4" t="s">
        <v>3871</v>
      </c>
      <c r="K153" s="362" t="s">
        <v>145</v>
      </c>
      <c r="L153" s="347" t="s">
        <v>145</v>
      </c>
      <c r="M153" s="337" t="str">
        <f>IF(mgmt_domain_existing_vcenter_chosen="Selected","Inputs are masked out as you have opted to import an existing vCenter Server","")</f>
        <v/>
      </c>
    </row>
    <row r="154" spans="1:13" s="92" customFormat="1" ht="20" customHeight="1" x14ac:dyDescent="0.2">
      <c r="A154" s="7"/>
      <c r="B154" s="7"/>
      <c r="C154" s="7"/>
      <c r="D154" s="7"/>
      <c r="E154" s="7"/>
      <c r="F154" s="7"/>
      <c r="G154" s="7"/>
      <c r="H154" s="7"/>
      <c r="I154" s="7"/>
      <c r="J154" s="4" t="s">
        <v>85</v>
      </c>
      <c r="K154" s="89" t="str">
        <f>IF(mgmt_dpg_reuse_result="Included",(CONCATENATE(prefix_mgmt_az1_vlan,"10")),(CONCATENATE(prefix_mgmt_az1_vlan,"11")))</f>
        <v>1110</v>
      </c>
      <c r="L154" s="347"/>
      <c r="M154" s="337"/>
    </row>
    <row r="155" spans="1:13" s="92" customFormat="1" ht="20" customHeight="1" x14ac:dyDescent="0.2">
      <c r="A155" s="7"/>
      <c r="B155" s="7"/>
      <c r="C155" s="7"/>
      <c r="D155" s="7"/>
      <c r="E155" s="7"/>
      <c r="F155" s="7"/>
      <c r="G155" s="7"/>
      <c r="H155" s="7"/>
      <c r="I155" s="7"/>
      <c r="J155" s="4" t="s">
        <v>187</v>
      </c>
      <c r="K155" s="80" t="str">
        <f>IF(mgmt_dpg_reuse_result="Included",CONCATENATE(prefix_mgmt_az1_cidr,"10.1"),CONCATENATE(prefix_mgmt_az1_cidr,"11.1"))</f>
        <v>10.11.10.1</v>
      </c>
      <c r="L155" s="347"/>
      <c r="M155" s="337"/>
    </row>
    <row r="156" spans="1:13" s="92" customFormat="1" ht="20" customHeight="1" x14ac:dyDescent="0.2">
      <c r="A156" s="7"/>
      <c r="B156" s="7"/>
      <c r="C156" s="7"/>
      <c r="D156" s="7"/>
      <c r="E156" s="7"/>
      <c r="F156" s="7"/>
      <c r="G156" s="7"/>
      <c r="H156" s="7"/>
      <c r="I156" s="7"/>
      <c r="J156" s="4" t="s">
        <v>188</v>
      </c>
      <c r="K156" s="80" t="str">
        <f>IF(mgmt_dpg_reuse_result="Included",CONCATENATE(prefix_mgmt_az1_cidr,"10.0/24"),CONCATENATE(prefix_mgmt_az1_cidr,"11.0/24"))</f>
        <v>10.11.10.0/24</v>
      </c>
      <c r="L156" s="347"/>
      <c r="M156" s="337"/>
    </row>
    <row r="157" spans="1:13" s="92" customFormat="1" ht="20" customHeight="1" x14ac:dyDescent="0.2">
      <c r="A157" s="7"/>
      <c r="B157" s="7"/>
      <c r="C157" s="7"/>
      <c r="D157" s="7"/>
      <c r="E157" s="7"/>
      <c r="F157" s="7"/>
      <c r="G157" s="7"/>
      <c r="H157" s="7"/>
      <c r="I157" s="7"/>
      <c r="J157" s="4" t="s">
        <v>160</v>
      </c>
      <c r="K157" s="80">
        <v>1500</v>
      </c>
      <c r="L157" s="347"/>
      <c r="M157" s="337"/>
    </row>
    <row r="158" spans="1:13" ht="20" customHeight="1" x14ac:dyDescent="0.2">
      <c r="E158" s="7"/>
      <c r="F158" s="7"/>
      <c r="G158" s="7"/>
      <c r="H158" s="7"/>
      <c r="I158" s="7"/>
      <c r="J158" s="492" t="s">
        <v>251</v>
      </c>
      <c r="K158" s="493"/>
      <c r="L158" s="493"/>
      <c r="M158" s="494"/>
    </row>
    <row r="159" spans="1:13" ht="20" customHeight="1" x14ac:dyDescent="0.2">
      <c r="E159" s="7"/>
      <c r="F159" s="7"/>
      <c r="G159" s="7"/>
      <c r="H159" s="7"/>
      <c r="I159" s="7"/>
      <c r="J159" s="4" t="s">
        <v>85</v>
      </c>
      <c r="K159" s="80" t="str">
        <f>CONCATENATE(prefix_mgmt_az1_vlan,"12")</f>
        <v>1112</v>
      </c>
      <c r="L159" s="347"/>
      <c r="M159" s="337" t="str">
        <f>IF(mgmt_domain_existing_vcenter_chosen="Selected","Inputs are masked out as you have opted to import an existing vCenter Server","")</f>
        <v/>
      </c>
    </row>
    <row r="160" spans="1:13" ht="20" customHeight="1" x14ac:dyDescent="0.2">
      <c r="E160" s="7"/>
      <c r="F160" s="7"/>
      <c r="G160" s="7"/>
      <c r="H160" s="7"/>
      <c r="I160" s="7"/>
      <c r="J160" s="4" t="s">
        <v>187</v>
      </c>
      <c r="K160" s="80" t="str">
        <f>CONCATENATE(prefix_mgmt_az1_cidr,"12.1")</f>
        <v>10.11.12.1</v>
      </c>
      <c r="L160" s="347"/>
      <c r="M160" s="337"/>
    </row>
    <row r="161" spans="5:13" ht="20" customHeight="1" x14ac:dyDescent="0.2">
      <c r="E161" s="7"/>
      <c r="F161" s="7"/>
      <c r="G161" s="7"/>
      <c r="H161" s="7"/>
      <c r="I161" s="7"/>
      <c r="J161" s="4" t="s">
        <v>188</v>
      </c>
      <c r="K161" s="80" t="str">
        <f>CONCATENATE(prefix_mgmt_az1_cidr,"12.0/24")</f>
        <v>10.11.12.0/24</v>
      </c>
      <c r="L161" s="347"/>
      <c r="M161" s="337"/>
    </row>
    <row r="162" spans="5:13" ht="20" customHeight="1" x14ac:dyDescent="0.2">
      <c r="E162" s="7"/>
      <c r="F162" s="7"/>
      <c r="G162" s="7"/>
      <c r="H162" s="7"/>
      <c r="I162" s="7"/>
      <c r="J162" s="4" t="s">
        <v>160</v>
      </c>
      <c r="K162" s="80">
        <v>9000</v>
      </c>
      <c r="L162" s="347"/>
      <c r="M162" s="337"/>
    </row>
    <row r="163" spans="5:13" ht="20" customHeight="1" x14ac:dyDescent="0.2">
      <c r="E163" s="7"/>
      <c r="F163" s="7"/>
      <c r="G163" s="7"/>
      <c r="H163" s="7"/>
      <c r="I163" s="7"/>
      <c r="J163" s="4" t="s">
        <v>3872</v>
      </c>
      <c r="K163" s="80" t="str">
        <f>CONCATENATE(prefix_mgmt_az1_cidr,"12.101")</f>
        <v>10.11.12.101</v>
      </c>
      <c r="L163" s="347"/>
      <c r="M163" s="337"/>
    </row>
    <row r="164" spans="5:13" ht="20" customHeight="1" x14ac:dyDescent="0.2">
      <c r="E164" s="7"/>
      <c r="F164" s="7"/>
      <c r="G164" s="7"/>
      <c r="H164" s="7"/>
      <c r="I164" s="7"/>
      <c r="J164" s="4" t="s">
        <v>3873</v>
      </c>
      <c r="K164" s="80" t="str">
        <f>CONCATENATE(prefix_mgmt_az1_cidr,"12.116")</f>
        <v>10.11.12.116</v>
      </c>
      <c r="L164" s="347"/>
      <c r="M164" s="337"/>
    </row>
    <row r="165" spans="5:13" ht="20" customHeight="1" x14ac:dyDescent="0.2">
      <c r="E165" s="7"/>
      <c r="F165" s="7"/>
      <c r="G165" s="7"/>
      <c r="H165" s="7"/>
      <c r="I165" s="7"/>
      <c r="J165" s="492" t="s">
        <v>257</v>
      </c>
      <c r="K165" s="493"/>
      <c r="L165" s="493"/>
      <c r="M165" s="494"/>
    </row>
    <row r="166" spans="5:13" ht="20" customHeight="1" x14ac:dyDescent="0.2">
      <c r="E166" s="7"/>
      <c r="F166" s="7"/>
      <c r="G166" s="7"/>
      <c r="H166" s="7"/>
      <c r="I166" s="7"/>
      <c r="J166" s="4" t="s">
        <v>85</v>
      </c>
      <c r="K166" s="80" t="str">
        <f>CONCATENATE(prefix_mgmt_az1_vlan,"13")</f>
        <v>1113</v>
      </c>
      <c r="L166" s="347"/>
      <c r="M166" s="143" t="str">
        <f>IF(mgmt_domain_existing_vcenter_chosen="Selected","Inputs are masked out as you have opted to import an existing vCenter Server","")</f>
        <v/>
      </c>
    </row>
    <row r="167" spans="5:13" ht="20" customHeight="1" x14ac:dyDescent="0.2">
      <c r="E167" s="7"/>
      <c r="F167" s="7"/>
      <c r="G167" s="7"/>
      <c r="H167" s="7"/>
      <c r="I167" s="7"/>
      <c r="J167" s="4" t="s">
        <v>187</v>
      </c>
      <c r="K167" s="80" t="str">
        <f>CONCATENATE(prefix_mgmt_az1_cidr,"13.1")</f>
        <v>10.11.13.1</v>
      </c>
      <c r="L167" s="347"/>
      <c r="M167" s="337"/>
    </row>
    <row r="168" spans="5:13" ht="20" customHeight="1" x14ac:dyDescent="0.2">
      <c r="E168" s="7"/>
      <c r="F168" s="7"/>
      <c r="G168" s="7"/>
      <c r="H168" s="7"/>
      <c r="I168" s="7"/>
      <c r="J168" s="4" t="s">
        <v>188</v>
      </c>
      <c r="K168" s="80" t="str">
        <f>CONCATENATE(prefix_mgmt_az1_cidr,"13.0/24")</f>
        <v>10.11.13.0/24</v>
      </c>
      <c r="L168" s="347"/>
      <c r="M168" s="337"/>
    </row>
    <row r="169" spans="5:13" ht="20" customHeight="1" x14ac:dyDescent="0.2">
      <c r="E169" s="7"/>
      <c r="F169" s="7"/>
      <c r="G169" s="7"/>
      <c r="H169" s="7"/>
      <c r="I169" s="7"/>
      <c r="J169" s="4" t="s">
        <v>160</v>
      </c>
      <c r="K169" s="80">
        <v>9000</v>
      </c>
      <c r="L169" s="347"/>
      <c r="M169" s="337"/>
    </row>
    <row r="170" spans="5:13" ht="20" customHeight="1" x14ac:dyDescent="0.2">
      <c r="E170" s="7"/>
      <c r="F170" s="7"/>
      <c r="G170" s="7"/>
      <c r="H170" s="7"/>
      <c r="I170" s="7"/>
      <c r="J170" s="4" t="s">
        <v>3874</v>
      </c>
      <c r="K170" s="80" t="str">
        <f>CONCATENATE(prefix_mgmt_az1_cidr,"13.101")</f>
        <v>10.11.13.101</v>
      </c>
      <c r="L170" s="347"/>
      <c r="M170" s="337"/>
    </row>
    <row r="171" spans="5:13" ht="20" customHeight="1" x14ac:dyDescent="0.2">
      <c r="E171" s="7"/>
      <c r="F171" s="7"/>
      <c r="G171" s="7"/>
      <c r="H171" s="7"/>
      <c r="I171" s="7"/>
      <c r="J171" s="4" t="s">
        <v>3875</v>
      </c>
      <c r="K171" s="80" t="str">
        <f>CONCATENATE(prefix_mgmt_az1_cidr,"13.116")</f>
        <v>10.11.13.116</v>
      </c>
      <c r="L171" s="347"/>
      <c r="M171" s="337"/>
    </row>
    <row r="172" spans="5:13" ht="20" customHeight="1" x14ac:dyDescent="0.2">
      <c r="E172" s="7"/>
      <c r="F172" s="7"/>
      <c r="G172" s="7"/>
      <c r="H172" s="7"/>
      <c r="I172" s="7"/>
      <c r="J172" s="492" t="s">
        <v>258</v>
      </c>
      <c r="K172" s="493"/>
      <c r="L172" s="493"/>
      <c r="M172" s="494"/>
    </row>
    <row r="173" spans="5:13" ht="20" customHeight="1" x14ac:dyDescent="0.2">
      <c r="E173" s="7"/>
      <c r="F173" s="7"/>
      <c r="G173" s="7"/>
      <c r="H173" s="7"/>
      <c r="I173" s="7"/>
      <c r="J173" s="4" t="s">
        <v>85</v>
      </c>
      <c r="K173" s="80" t="str">
        <f>CONCATENATE(prefix_mgmt_az1_vlan,"15")</f>
        <v>1115</v>
      </c>
      <c r="L173" s="347"/>
      <c r="M173" s="143"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174" spans="5:13" ht="20" customHeight="1" x14ac:dyDescent="0.2">
      <c r="E174" s="7"/>
      <c r="F174" s="7"/>
      <c r="G174" s="7"/>
      <c r="H174" s="7"/>
      <c r="I174" s="7"/>
      <c r="J174" s="4" t="s">
        <v>187</v>
      </c>
      <c r="K174" s="80" t="str">
        <f>CONCATENATE(prefix_mgmt_az1_cidr,"15.1")</f>
        <v>10.11.15.1</v>
      </c>
      <c r="L174" s="347"/>
      <c r="M174" s="143"/>
    </row>
    <row r="175" spans="5:13" ht="20" customHeight="1" x14ac:dyDescent="0.2">
      <c r="E175" s="7"/>
      <c r="F175" s="7"/>
      <c r="G175" s="7"/>
      <c r="H175" s="7"/>
      <c r="I175" s="7"/>
      <c r="J175" s="4" t="s">
        <v>188</v>
      </c>
      <c r="K175" s="80" t="str">
        <f>CONCATENATE(prefix_mgmt_az1_cidr,"15.0/24")</f>
        <v>10.11.15.0/24</v>
      </c>
      <c r="L175" s="347"/>
      <c r="M175" s="143"/>
    </row>
    <row r="176" spans="5:13" ht="20" customHeight="1" x14ac:dyDescent="0.2">
      <c r="E176" s="7"/>
      <c r="F176" s="7"/>
      <c r="G176" s="7"/>
      <c r="H176" s="7"/>
      <c r="I176" s="7"/>
      <c r="J176" s="4" t="s">
        <v>160</v>
      </c>
      <c r="K176" s="80">
        <v>9000</v>
      </c>
      <c r="L176" s="347"/>
      <c r="M176" s="143"/>
    </row>
    <row r="177" spans="5:13" ht="20" customHeight="1" x14ac:dyDescent="0.2">
      <c r="E177" s="7"/>
      <c r="F177" s="7"/>
      <c r="G177" s="7"/>
      <c r="H177" s="7"/>
      <c r="I177" s="7"/>
      <c r="J177" s="4" t="s">
        <v>3876</v>
      </c>
      <c r="K177" s="80" t="str">
        <f>CONCATENATE(prefix_mgmt_az1_cidr,"15.101")</f>
        <v>10.11.15.101</v>
      </c>
      <c r="L177" s="347"/>
      <c r="M177" s="143"/>
    </row>
    <row r="178" spans="5:13" ht="20" customHeight="1" x14ac:dyDescent="0.2">
      <c r="E178" s="7"/>
      <c r="F178" s="7"/>
      <c r="G178" s="7"/>
      <c r="H178" s="7"/>
      <c r="I178" s="7"/>
      <c r="J178" s="4" t="s">
        <v>3877</v>
      </c>
      <c r="K178" s="80" t="str">
        <f>CONCATENATE(prefix_mgmt_az1_cidr,"15.116")</f>
        <v>10.11.15.116</v>
      </c>
      <c r="L178" s="347"/>
      <c r="M178" s="143"/>
    </row>
    <row r="179" spans="5:13" ht="20" customHeight="1" x14ac:dyDescent="0.2">
      <c r="E179" s="7"/>
      <c r="F179" s="7"/>
      <c r="G179" s="7"/>
      <c r="H179" s="7"/>
      <c r="I179" s="7"/>
      <c r="J179" s="372"/>
      <c r="K179" s="344"/>
      <c r="L179" s="344"/>
      <c r="M179" s="344"/>
    </row>
    <row r="180" spans="5:13" ht="34" customHeight="1" x14ac:dyDescent="0.2">
      <c r="E180" s="7"/>
      <c r="F180" s="7"/>
      <c r="G180" s="7"/>
      <c r="H180" s="7"/>
      <c r="I180" s="7"/>
      <c r="J180" s="425" t="s">
        <v>849</v>
      </c>
      <c r="K180" s="426"/>
      <c r="L180" s="426"/>
      <c r="M180" s="427"/>
    </row>
    <row r="181" spans="5:13" ht="20" customHeight="1" x14ac:dyDescent="0.2">
      <c r="E181" s="7"/>
      <c r="F181" s="7"/>
      <c r="G181" s="7"/>
      <c r="H181" s="7"/>
      <c r="I181" s="7"/>
      <c r="J181" s="492" t="s">
        <v>3878</v>
      </c>
      <c r="K181" s="493"/>
      <c r="L181" s="493"/>
      <c r="M181" s="494"/>
    </row>
    <row r="182" spans="5:13" ht="20" customHeight="1" x14ac:dyDescent="0.2">
      <c r="E182" s="7"/>
      <c r="F182" s="7"/>
      <c r="G182" s="7"/>
      <c r="H182" s="7"/>
      <c r="I182" s="7"/>
      <c r="J182" s="346" t="s">
        <v>17</v>
      </c>
      <c r="K182" s="346" t="s">
        <v>18</v>
      </c>
      <c r="L182" s="346" t="s">
        <v>19</v>
      </c>
      <c r="M182" s="346" t="s">
        <v>20</v>
      </c>
    </row>
    <row r="183" spans="5:13" ht="20" customHeight="1" x14ac:dyDescent="0.2">
      <c r="E183" s="7"/>
      <c r="F183" s="7"/>
      <c r="G183" s="7"/>
      <c r="H183" s="7"/>
      <c r="I183" s="7"/>
      <c r="J183" s="4" t="s">
        <v>851</v>
      </c>
      <c r="K183" s="362" t="s">
        <v>852</v>
      </c>
      <c r="L183" s="347" t="s">
        <v>852</v>
      </c>
      <c r="M183" s="99" t="str">
        <f>IF(mgmt_domain_existing_vcenter_chosen="Selected","Inputs are masked out as you have opted to import an existing vCenter Server","")</f>
        <v/>
      </c>
    </row>
    <row r="184" spans="5:13" ht="20" customHeight="1" x14ac:dyDescent="0.2">
      <c r="E184" s="7"/>
      <c r="F184" s="7"/>
      <c r="G184" s="7"/>
      <c r="H184" s="7"/>
      <c r="I184" s="7"/>
      <c r="J184" s="372"/>
      <c r="K184" s="344"/>
      <c r="L184" s="76"/>
      <c r="M184" s="344"/>
    </row>
    <row r="185" spans="5:13" ht="34" customHeight="1" x14ac:dyDescent="0.2">
      <c r="E185" s="7"/>
      <c r="F185" s="7"/>
      <c r="G185" s="7"/>
      <c r="H185" s="7"/>
      <c r="I185" s="7"/>
      <c r="J185" s="340" t="s">
        <v>855</v>
      </c>
      <c r="K185" s="341"/>
      <c r="L185" s="341"/>
      <c r="M185" s="342"/>
    </row>
    <row r="186" spans="5:13" ht="20" customHeight="1" x14ac:dyDescent="0.2">
      <c r="E186" s="7"/>
      <c r="F186" s="7"/>
      <c r="G186" s="7"/>
      <c r="H186" s="7"/>
      <c r="I186" s="7"/>
      <c r="J186" s="363" t="s">
        <v>3879</v>
      </c>
      <c r="K186" s="364"/>
      <c r="L186" s="364"/>
      <c r="M186" s="365"/>
    </row>
    <row r="187" spans="5:13" ht="20" customHeight="1" x14ac:dyDescent="0.2">
      <c r="E187" s="7"/>
      <c r="F187" s="7"/>
      <c r="G187" s="7"/>
      <c r="H187" s="7"/>
      <c r="I187" s="7"/>
      <c r="J187" s="346" t="s">
        <v>17</v>
      </c>
      <c r="K187" s="346" t="s">
        <v>18</v>
      </c>
      <c r="L187" s="346" t="s">
        <v>19</v>
      </c>
      <c r="M187" s="346" t="s">
        <v>20</v>
      </c>
    </row>
    <row r="188" spans="5:13" ht="20" customHeight="1" x14ac:dyDescent="0.2">
      <c r="E188" s="7"/>
      <c r="F188" s="7"/>
      <c r="G188" s="7"/>
      <c r="H188" s="7"/>
      <c r="I188" s="7"/>
      <c r="J188" s="4" t="s">
        <v>3880</v>
      </c>
      <c r="K188" s="362" t="str">
        <f>CONCATENATE(this_instance,"-m01-cl01-vds01")</f>
        <v>sfo-m01-cl01-vds01</v>
      </c>
      <c r="L188" s="94"/>
      <c r="M188" s="337" t="str">
        <f>IF(mgmt_domain_existing_vcenter_chosen="Selected","Inputs are masked out as you have opted to import an existing vCenter Server","")</f>
        <v/>
      </c>
    </row>
    <row r="189" spans="5:13" ht="20" customHeight="1" x14ac:dyDescent="0.2">
      <c r="E189" s="7"/>
      <c r="F189" s="7"/>
      <c r="G189" s="7"/>
      <c r="H189" s="7"/>
      <c r="I189" s="7"/>
      <c r="J189" s="4" t="s">
        <v>160</v>
      </c>
      <c r="K189" s="362">
        <v>9000</v>
      </c>
      <c r="L189" s="347"/>
      <c r="M189" s="337"/>
    </row>
    <row r="190" spans="5:13" ht="20" customHeight="1" x14ac:dyDescent="0.2">
      <c r="E190" s="7"/>
      <c r="F190" s="7"/>
      <c r="G190" s="7"/>
      <c r="H190" s="7"/>
      <c r="I190" s="7"/>
      <c r="J190" s="4" t="s">
        <v>858</v>
      </c>
      <c r="K190" s="362" t="s">
        <v>859</v>
      </c>
      <c r="L190" s="347" t="s">
        <v>859</v>
      </c>
      <c r="M190" s="337" t="str">
        <f>IF(AND(mgmt_cl01_vds_profile_chosen="NSX Traffic Separation",mgmt_cl01_vds01_link_type_chosen="VDS LAG"),"VDS LAG / LACP is not supported on this VDS with the chosen VDS profile",
IF(AND(mgmt_cl01_vds_profile_chosen="Storage Traffic and NSX Traffic separation",mgmt_cl01_vds01_link_type_chosen="VDS LAG"),"VDS LAG / LACP is not supported on this VDS with the chosen VDS profile",
IF(mgmt_cl01_vds01_link_type_chosen="VDS Lag","Only supported via API. Use VCF.JSONGenerator to generate the JSON File once PnP is complete","Option is not visible VCF installer UI")))</f>
        <v>Option is not visible VCF installer UI</v>
      </c>
    </row>
    <row r="191" spans="5:13" ht="20" customHeight="1" x14ac:dyDescent="0.2">
      <c r="E191" s="7"/>
      <c r="F191" s="7"/>
      <c r="G191" s="7"/>
      <c r="H191" s="7"/>
      <c r="I191" s="7"/>
      <c r="J191" s="4" t="s">
        <v>860</v>
      </c>
      <c r="K191" s="362" t="str">
        <f>CONCATENATE("m01-cl01-vds1-lg")</f>
        <v>m01-cl01-vds1-lg</v>
      </c>
      <c r="L191" s="347"/>
      <c r="M191" s="337" t="str">
        <f>IF(mgmt_cl01_vds01_link_type_chosen="VDS Uplinks","This input is masked out as you have chosen to configure VDS Uplinks","Option is not visible in VCF Operations UI. There is a 16 Character Limit for LAG Name")</f>
        <v>This input is masked out as you have chosen to configure VDS Uplinks</v>
      </c>
    </row>
    <row r="192" spans="5:13" ht="20" customHeight="1" x14ac:dyDescent="0.2">
      <c r="E192" s="7"/>
      <c r="F192" s="7"/>
      <c r="G192" s="7"/>
      <c r="H192" s="7"/>
      <c r="I192" s="7"/>
      <c r="J192" s="4" t="s">
        <v>861</v>
      </c>
      <c r="K192" s="362" t="s">
        <v>862</v>
      </c>
      <c r="L192" s="347" t="s">
        <v>862</v>
      </c>
      <c r="M192" s="337" t="str">
        <f>IF(mgmt_cl01_vds01_link_type_chosen="VDS Uplinks","This input is masked out as you have chosen to configure VDS Uplinks","Option is not visible in VCF Installer UI")</f>
        <v>This input is masked out as you have chosen to configure VDS Uplinks</v>
      </c>
    </row>
    <row r="193" spans="5:13" ht="20" customHeight="1" x14ac:dyDescent="0.2">
      <c r="E193" s="7"/>
      <c r="F193" s="7"/>
      <c r="G193" s="7"/>
      <c r="H193" s="7"/>
      <c r="I193" s="7"/>
      <c r="J193" s="4" t="s">
        <v>863</v>
      </c>
      <c r="K193" s="362" t="s">
        <v>864</v>
      </c>
      <c r="L193" s="347" t="s">
        <v>864</v>
      </c>
      <c r="M193" s="337" t="str">
        <f>IF(mgmt_cl01_vds01_link_type_chosen="VDS Uplinks","This input is masked out as you have chosen to configure VDS Uplinks","Option is not visible in VCF Installer UI")</f>
        <v>This input is masked out as you have chosen to configure VDS Uplinks</v>
      </c>
    </row>
    <row r="194" spans="5:13" ht="20" customHeight="1" x14ac:dyDescent="0.2">
      <c r="E194" s="7"/>
      <c r="F194" s="7"/>
      <c r="G194" s="7"/>
      <c r="H194" s="7"/>
      <c r="I194" s="7"/>
      <c r="J194" s="4" t="s">
        <v>865</v>
      </c>
      <c r="K194" s="362" t="s">
        <v>866</v>
      </c>
      <c r="L194" s="347" t="s">
        <v>866</v>
      </c>
      <c r="M194" s="337" t="str">
        <f>IF(mgmt_cl01_vds01_link_type_chosen="VDS Uplinks","This input is masked out as you have chosen to configure VDS Uplinks","Option is not visible in VCF Installer UI")</f>
        <v>This input is masked out as you have chosen to configure VDS Uplinks</v>
      </c>
    </row>
    <row r="195" spans="5:13" ht="20" customHeight="1" x14ac:dyDescent="0.2">
      <c r="E195" s="7"/>
      <c r="F195" s="7"/>
      <c r="G195" s="7"/>
      <c r="H195" s="7"/>
      <c r="I195" s="7"/>
      <c r="J195" s="4" t="s">
        <v>867</v>
      </c>
      <c r="K195" s="362">
        <v>2</v>
      </c>
      <c r="L195" s="347"/>
      <c r="M195" s="337"/>
    </row>
    <row r="196" spans="5:13" ht="20" customHeight="1" x14ac:dyDescent="0.2">
      <c r="E196" s="7"/>
      <c r="F196" s="7"/>
      <c r="G196" s="7"/>
      <c r="H196" s="7"/>
      <c r="I196" s="7"/>
      <c r="J196" s="4" t="str">
        <f>IF(mgmt_cl01_vds01_link_type_chosen="VDS LAG",IF(mgmt_cl01_vds01_lag_name="Value Missing","lag-0",CONCATENATE(mgmt_cl01_vds01_lag_name,"-0")),"uplink1")</f>
        <v>uplink1</v>
      </c>
      <c r="K196" s="362" t="s">
        <v>1044</v>
      </c>
      <c r="L196" s="347"/>
      <c r="M196" s="337"/>
    </row>
    <row r="197" spans="5:13" ht="20" customHeight="1" x14ac:dyDescent="0.2">
      <c r="E197" s="7"/>
      <c r="F197" s="7"/>
      <c r="G197" s="7"/>
      <c r="H197" s="7"/>
      <c r="I197" s="7"/>
      <c r="J197" s="4" t="str">
        <f>IF(mgmt_cl01_vds01_link_type_chosen="VDS LAG",IF(mgmt_cl01_vds01_lag_name="Value Missing","lag-1",CONCATENATE(mgmt_cl01_vds01_lag_name,"-1")),"uplink2")</f>
        <v>uplink2</v>
      </c>
      <c r="K197" s="362" t="s">
        <v>1045</v>
      </c>
      <c r="L197" s="347"/>
      <c r="M197" s="337"/>
    </row>
    <row r="198" spans="5:13" ht="20" customHeight="1" x14ac:dyDescent="0.2">
      <c r="E198" s="7"/>
      <c r="F198" s="7"/>
      <c r="G198" s="7"/>
      <c r="H198" s="7"/>
      <c r="I198" s="7"/>
      <c r="J198" s="492" t="s">
        <v>872</v>
      </c>
      <c r="K198" s="493"/>
      <c r="L198" s="493"/>
      <c r="M198" s="494"/>
    </row>
    <row r="199" spans="5:13" ht="20" customHeight="1" x14ac:dyDescent="0.2">
      <c r="E199" s="7"/>
      <c r="F199" s="7"/>
      <c r="G199" s="7"/>
      <c r="H199" s="7"/>
      <c r="I199" s="7"/>
      <c r="J199" s="4" t="s">
        <v>3880</v>
      </c>
      <c r="K199" s="362" t="str">
        <f>CONCATENATE(this_instance,"-m01-cl01-vds02")</f>
        <v>sfo-m01-cl01-vds02</v>
      </c>
      <c r="L199" s="347"/>
      <c r="M199" s="337" t="str">
        <f>IF(mgmt_domain_existing_vcenter_chosen="Selected","Inputs are masked out as you have opted to import an existing vCenter Server",IF(mgmt_cl01_vds_profile_chosen="Default","This input is masked out due to VDS Profile selected",""))</f>
        <v>This input is masked out due to VDS Profile selected</v>
      </c>
    </row>
    <row r="200" spans="5:13" ht="20" customHeight="1" x14ac:dyDescent="0.2">
      <c r="E200" s="7"/>
      <c r="F200" s="7"/>
      <c r="G200" s="7"/>
      <c r="H200" s="7"/>
      <c r="I200" s="7"/>
      <c r="J200" s="4" t="s">
        <v>160</v>
      </c>
      <c r="K200" s="362">
        <v>9000</v>
      </c>
      <c r="L200" s="347"/>
      <c r="M200" s="337" t="str">
        <f>IF(mgmt_cl01_vds_profile_chosen="Default","This input is masked out due to VDS Profile selected","")</f>
        <v>This input is masked out due to VDS Profile selected</v>
      </c>
    </row>
    <row r="201" spans="5:13" ht="20" customHeight="1" x14ac:dyDescent="0.2">
      <c r="E201" s="7"/>
      <c r="F201" s="7"/>
      <c r="G201" s="7"/>
      <c r="H201" s="7"/>
      <c r="I201" s="7"/>
      <c r="J201" s="4" t="s">
        <v>858</v>
      </c>
      <c r="K201" s="362" t="s">
        <v>859</v>
      </c>
      <c r="L201" s="347" t="s">
        <v>859</v>
      </c>
      <c r="M201" s="337" t="str">
        <f>IF(AND(mgmt_cl01_vds_profile_chosen="Storage Traffic Separation",mgmt_cl01_vds01_link_type_chosen="VDS LAG",mgmt_cl01_vds02_link_type_chosen="VDS LAG",vcf_version&lt;&gt;"9.0.2.0"),"VDS LAG / LACP is not supported on this VDS with the chosen VDS profile and Primary VDS Lag configuration",
IF(AND(mgmt_cl01_vds_profile_chosen="Storage Traffic and NSX Traffic separation",mgmt_cl01_vds02_link_type_chosen="VDS LAG",vcf_version&lt;&gt;"9.0.2.0"),"VDS LAG / LACP is not supported on this VDS with the chosen VDS profile",
IF(mgmt_cl01_vds_profile_chosen="Default","This input is masked out due to VDS Profile selected",IF(mgmt_cl01_vds02_link_type_chosen="VDS Lag","Only supported via API. Use VCF.JSONGenerator to generate the JSON File once PnP is complete","Option is not visible VCF installer UI"))))</f>
        <v>This input is masked out due to VDS Profile selected</v>
      </c>
    </row>
    <row r="202" spans="5:13" ht="20" customHeight="1" x14ac:dyDescent="0.2">
      <c r="E202" s="7"/>
      <c r="F202" s="7"/>
      <c r="G202" s="7"/>
      <c r="H202" s="7"/>
      <c r="I202" s="7"/>
      <c r="J202" s="4" t="s">
        <v>860</v>
      </c>
      <c r="K202" s="362" t="str">
        <f>CONCATENATE("m01-cl01-vds2-lg")</f>
        <v>m01-cl01-vds2-lg</v>
      </c>
      <c r="L202" s="347"/>
      <c r="M202" s="337" t="str">
        <f>IF(mgmt_cl01_vds_profile_chosen="Default","This input is masked out due to VDS Profile selected",IF(mgmt_cl01_vds02_link_type_chosen="VDS Uplinks","This input is masked out as you have chosen to configure VDS Uplinks","Option is not visible in VCF Operations UI. There is a 16 Character Limit for LAG Name"))</f>
        <v>This input is masked out due to VDS Profile selected</v>
      </c>
    </row>
    <row r="203" spans="5:13" ht="20" customHeight="1" x14ac:dyDescent="0.2">
      <c r="E203" s="7"/>
      <c r="F203" s="7"/>
      <c r="G203" s="7"/>
      <c r="H203" s="7"/>
      <c r="I203" s="7"/>
      <c r="J203" s="4" t="s">
        <v>861</v>
      </c>
      <c r="K203" s="362" t="s">
        <v>862</v>
      </c>
      <c r="L203" s="347" t="s">
        <v>862</v>
      </c>
      <c r="M203"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due to VDS Profile selected</v>
      </c>
    </row>
    <row r="204" spans="5:13" ht="20" customHeight="1" x14ac:dyDescent="0.2">
      <c r="E204" s="7"/>
      <c r="F204" s="7"/>
      <c r="G204" s="7"/>
      <c r="H204" s="7"/>
      <c r="I204" s="7"/>
      <c r="J204" s="4" t="s">
        <v>863</v>
      </c>
      <c r="K204" s="362" t="s">
        <v>864</v>
      </c>
      <c r="L204" s="347" t="s">
        <v>864</v>
      </c>
      <c r="M204"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due to VDS Profile selected</v>
      </c>
    </row>
    <row r="205" spans="5:13" ht="20" customHeight="1" x14ac:dyDescent="0.2">
      <c r="E205" s="7"/>
      <c r="F205" s="7"/>
      <c r="G205" s="7"/>
      <c r="H205" s="7"/>
      <c r="I205" s="7"/>
      <c r="J205" s="4" t="s">
        <v>865</v>
      </c>
      <c r="K205" s="362" t="s">
        <v>866</v>
      </c>
      <c r="L205" s="347" t="s">
        <v>866</v>
      </c>
      <c r="M205"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due to VDS Profile selected</v>
      </c>
    </row>
    <row r="206" spans="5:13" ht="20" customHeight="1" x14ac:dyDescent="0.2">
      <c r="E206" s="7"/>
      <c r="F206" s="7"/>
      <c r="G206" s="7"/>
      <c r="H206" s="7"/>
      <c r="I206" s="7"/>
      <c r="J206" s="4" t="s">
        <v>867</v>
      </c>
      <c r="K206" s="362">
        <v>2</v>
      </c>
      <c r="L206" s="347"/>
      <c r="M206" s="337" t="str">
        <f>IF(mgmt_cl01_vds_profile_chosen="Default","This input is masked out due to VDS Profile selected","")</f>
        <v>This input is masked out due to VDS Profile selected</v>
      </c>
    </row>
    <row r="207" spans="5:13" ht="20" customHeight="1" x14ac:dyDescent="0.2">
      <c r="E207" s="7"/>
      <c r="F207" s="7"/>
      <c r="G207" s="7"/>
      <c r="H207" s="7"/>
      <c r="I207" s="7"/>
      <c r="J207" s="4" t="str">
        <f>IF(mgmt_cl01_vds02_link_type_chosen="VDS LAG",IF(mgmt_cl01_vds02_lag_name="Value Missing","lag-0",CONCATENATE(mgmt_cl01_vds02_lag_name,"-0")),"uplink1")</f>
        <v>uplink1</v>
      </c>
      <c r="K207" s="362" t="s">
        <v>3881</v>
      </c>
      <c r="L207" s="347"/>
      <c r="M207" s="337" t="str">
        <f>IF(mgmt_cl01_vds_profile_chosen="Default","This input is masked out due to VDS Profile selected","")</f>
        <v>This input is masked out due to VDS Profile selected</v>
      </c>
    </row>
    <row r="208" spans="5:13" ht="20" customHeight="1" x14ac:dyDescent="0.2">
      <c r="E208" s="7"/>
      <c r="F208" s="7"/>
      <c r="G208" s="7"/>
      <c r="H208" s="7"/>
      <c r="I208" s="7"/>
      <c r="J208" s="4" t="str">
        <f>IF(mgmt_cl01_vds02_link_type_chosen="VDS LAG",IF(mgmt_cl01_vds02_lag_name="Value Missing","lag-1",CONCATENATE(mgmt_cl01_vds02_lag_name,"-1")),"uplink2")</f>
        <v>uplink2</v>
      </c>
      <c r="K208" s="362" t="s">
        <v>3882</v>
      </c>
      <c r="L208" s="347"/>
      <c r="M208" s="337" t="str">
        <f>IF(mgmt_cl01_vds_profile_chosen="Default","This input is masked out due to VDS Profile selected","")</f>
        <v>This input is masked out due to VDS Profile selected</v>
      </c>
    </row>
    <row r="209" spans="5:13" ht="20" customHeight="1" x14ac:dyDescent="0.2">
      <c r="E209" s="7"/>
      <c r="F209" s="7"/>
      <c r="G209" s="7"/>
      <c r="H209" s="7"/>
      <c r="I209" s="7"/>
      <c r="J209" s="492" t="s">
        <v>875</v>
      </c>
      <c r="K209" s="493"/>
      <c r="L209" s="493"/>
      <c r="M209" s="494"/>
    </row>
    <row r="210" spans="5:13" ht="20" customHeight="1" x14ac:dyDescent="0.2">
      <c r="E210" s="7"/>
      <c r="F210" s="7"/>
      <c r="G210" s="7"/>
      <c r="H210" s="7"/>
      <c r="I210" s="7"/>
      <c r="J210" s="4" t="s">
        <v>3880</v>
      </c>
      <c r="K210" s="362" t="str">
        <f>CONCATENATE(this_instance,"-m01-cl01-vds03")</f>
        <v>sfo-m01-cl01-vds03</v>
      </c>
      <c r="L210" s="347"/>
      <c r="M210" s="337"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11" spans="5:13" ht="20" customHeight="1" x14ac:dyDescent="0.2">
      <c r="E211" s="7"/>
      <c r="F211" s="7"/>
      <c r="G211" s="7"/>
      <c r="H211" s="7"/>
      <c r="I211" s="7"/>
      <c r="J211" s="4" t="s">
        <v>858</v>
      </c>
      <c r="K211" s="362" t="s">
        <v>859</v>
      </c>
      <c r="L211" s="347" t="s">
        <v>859</v>
      </c>
      <c r="M211" s="337" t="str">
        <f>IF(mgmt_cl01_vds_profile_chosen="Default","This input is masked out due to VDS Profile selected",IF(mgmt_cl01_vds03_link_type_chosen="VDS Lag","Only supported via API. Use VCF.JSONGenerator to generate the JSON File once PnP is complete","Option is not visible VCF installer UI"))</f>
        <v>This input is masked out due to VDS Profile selected</v>
      </c>
    </row>
    <row r="212" spans="5:13" ht="20" customHeight="1" x14ac:dyDescent="0.2">
      <c r="E212" s="7"/>
      <c r="F212" s="7"/>
      <c r="G212" s="7"/>
      <c r="H212" s="7"/>
      <c r="I212" s="7"/>
      <c r="J212" s="4" t="s">
        <v>160</v>
      </c>
      <c r="K212" s="362">
        <v>9000</v>
      </c>
      <c r="L212" s="347"/>
      <c r="M212" s="337" t="str">
        <f>IF(mgmt_cl01_vds_profile_chosen="Default","This input is masked out due to VDS Profile selected","")</f>
        <v>This input is masked out due to VDS Profile selected</v>
      </c>
    </row>
    <row r="213" spans="5:13" ht="20" customHeight="1" x14ac:dyDescent="0.2">
      <c r="E213" s="7"/>
      <c r="F213" s="7"/>
      <c r="G213" s="7"/>
      <c r="H213" s="7"/>
      <c r="I213" s="7"/>
      <c r="J213" s="4" t="s">
        <v>860</v>
      </c>
      <c r="K213" s="362" t="str">
        <f>CONCATENATE("m01-cl01-vds3-lg")</f>
        <v>m01-cl01-vds3-lg</v>
      </c>
      <c r="L213" s="347"/>
      <c r="M213"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Operations UI. There is a 16 Character Limit for LAG Name"))</f>
        <v>This input is masked out due to VDS Profile selected</v>
      </c>
    </row>
    <row r="214" spans="5:13" ht="20" customHeight="1" x14ac:dyDescent="0.2">
      <c r="E214" s="7"/>
      <c r="F214" s="7"/>
      <c r="G214" s="7"/>
      <c r="H214" s="7"/>
      <c r="I214" s="7"/>
      <c r="J214" s="4" t="s">
        <v>861</v>
      </c>
      <c r="K214" s="362" t="s">
        <v>862</v>
      </c>
      <c r="L214" s="347" t="s">
        <v>862</v>
      </c>
      <c r="M214"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5" spans="5:13" ht="20" customHeight="1" x14ac:dyDescent="0.2">
      <c r="E215" s="7"/>
      <c r="F215" s="7"/>
      <c r="G215" s="7"/>
      <c r="H215" s="7"/>
      <c r="I215" s="7"/>
      <c r="J215" s="4" t="s">
        <v>863</v>
      </c>
      <c r="K215" s="362" t="s">
        <v>864</v>
      </c>
      <c r="L215" s="347" t="s">
        <v>864</v>
      </c>
      <c r="M215"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6" spans="5:13" ht="20" customHeight="1" x14ac:dyDescent="0.2">
      <c r="E216" s="7"/>
      <c r="F216" s="7"/>
      <c r="G216" s="7"/>
      <c r="H216" s="7"/>
      <c r="I216" s="7"/>
      <c r="J216" s="4" t="s">
        <v>865</v>
      </c>
      <c r="K216" s="362" t="s">
        <v>866</v>
      </c>
      <c r="L216" s="347" t="s">
        <v>866</v>
      </c>
      <c r="M216"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7" spans="5:13" ht="20" customHeight="1" x14ac:dyDescent="0.2">
      <c r="E217" s="7"/>
      <c r="F217" s="7"/>
      <c r="G217" s="7"/>
      <c r="H217" s="7"/>
      <c r="I217" s="7"/>
      <c r="J217" s="4" t="s">
        <v>867</v>
      </c>
      <c r="K217" s="362">
        <v>2</v>
      </c>
      <c r="L217" s="347"/>
      <c r="M217" s="337" t="str">
        <f>IF(mgmt_cl01_vds_profile_chosen="Default","This input is masked out due to VDS Profile selected","")</f>
        <v>This input is masked out due to VDS Profile selected</v>
      </c>
    </row>
    <row r="218" spans="5:13" ht="20" customHeight="1" x14ac:dyDescent="0.2">
      <c r="E218" s="7"/>
      <c r="F218" s="7"/>
      <c r="G218" s="7"/>
      <c r="H218" s="7"/>
      <c r="I218" s="7"/>
      <c r="J218" s="4" t="str">
        <f>IF(mgmt_cl01_vds02_link_type_chosen="VDS LAG",IF(mgmt_cl01_vds03_lag_name="Value Missing","lag-0",CONCATENATE(mgmt_cl01_vds03_lag_name,"-0")),"uplink1")</f>
        <v>uplink1</v>
      </c>
      <c r="K218" s="362" t="s">
        <v>3883</v>
      </c>
      <c r="L218" s="347"/>
      <c r="M218" s="337" t="str">
        <f>IF(mgmt_cl01_vds_profile_chosen="Default","This input is masked out due to VDS Profile selected","")</f>
        <v>This input is masked out due to VDS Profile selected</v>
      </c>
    </row>
    <row r="219" spans="5:13" ht="20" customHeight="1" x14ac:dyDescent="0.2">
      <c r="E219" s="7"/>
      <c r="F219" s="7"/>
      <c r="G219" s="7"/>
      <c r="H219" s="7"/>
      <c r="I219" s="7"/>
      <c r="J219" s="4" t="str">
        <f>IF(mgmt_cl01_vds02_link_type_chosen="VDS LAG",IF(mgmt_cl01_vds03_lag_name="Value Missing","lag-1",CONCATENATE(mgmt_cl01_vds03_lag_name,"-1")),"uplink2")</f>
        <v>uplink2</v>
      </c>
      <c r="K219" s="362" t="s">
        <v>3884</v>
      </c>
      <c r="L219" s="347"/>
      <c r="M219" s="337" t="str">
        <f>IF(mgmt_cl01_vds_profile_chosen="Default","This input is masked out due to VDS Profile selected","")</f>
        <v>This input is masked out due to VDS Profile selected</v>
      </c>
    </row>
    <row r="220" spans="5:13" ht="20" customHeight="1" x14ac:dyDescent="0.2">
      <c r="E220" s="7"/>
      <c r="F220" s="7"/>
      <c r="G220" s="7"/>
      <c r="H220" s="7"/>
      <c r="I220" s="7"/>
      <c r="J220" s="363" t="s">
        <v>3885</v>
      </c>
      <c r="K220" s="364"/>
      <c r="L220" s="364"/>
      <c r="M220" s="365"/>
    </row>
    <row r="221" spans="5:13" ht="20" customHeight="1" x14ac:dyDescent="0.2">
      <c r="E221" s="7"/>
      <c r="F221" s="7"/>
      <c r="G221" s="7"/>
      <c r="H221" s="7"/>
      <c r="I221" s="7"/>
      <c r="J221" s="4" t="s">
        <v>185</v>
      </c>
      <c r="K221" s="362" t="str">
        <f>CONCATENATE(this_instance,"-m01-cl01-vds01-pg-mgmt")</f>
        <v>sfo-m01-cl01-vds01-pg-mgmt</v>
      </c>
      <c r="L221" s="95"/>
      <c r="M221" s="337" t="str">
        <f>IF(mgmt_domain_existing_vcenter_chosen="Selected","Inputs are masked out as you have opted to import an existing vCenter Server","Portgroup will be created on Primary Distributed Switch")</f>
        <v>Portgroup will be created on Primary Distributed Switch</v>
      </c>
    </row>
    <row r="222" spans="5:13" ht="20" customHeight="1" x14ac:dyDescent="0.2">
      <c r="E222" s="7"/>
      <c r="F222" s="7"/>
      <c r="G222" s="7"/>
      <c r="H222" s="7"/>
      <c r="I222" s="7"/>
      <c r="J222" s="4" t="s">
        <v>882</v>
      </c>
      <c r="K222" s="362" t="s">
        <v>883</v>
      </c>
      <c r="L222" s="347" t="s">
        <v>883</v>
      </c>
      <c r="M222" s="337" t="str">
        <f>IF(mgmt_cl01_vds01_link_type_chosen="VDS Lag","This input is masked out as you have chosen to configure VDS LAG","")</f>
        <v/>
      </c>
    </row>
    <row r="223" spans="5:13" ht="20" customHeight="1" x14ac:dyDescent="0.2">
      <c r="E223" s="7"/>
      <c r="F223" s="7"/>
      <c r="G223" s="7"/>
      <c r="H223" s="7"/>
      <c r="I223" s="7"/>
      <c r="J223" s="4" t="s">
        <v>884</v>
      </c>
      <c r="K223" s="362" t="s">
        <v>862</v>
      </c>
      <c r="L223" s="347" t="s">
        <v>862</v>
      </c>
      <c r="M223" s="337" t="str">
        <f>IF(mgmt_cl01_vds01_link_type_chosen="VDS Lag","This input is masked out as you have chosen to configure VDS LAG","")</f>
        <v/>
      </c>
    </row>
    <row r="224" spans="5:13" ht="20" customHeight="1" x14ac:dyDescent="0.2">
      <c r="E224" s="7"/>
      <c r="F224" s="7"/>
      <c r="G224" s="7"/>
      <c r="H224" s="7"/>
      <c r="I224" s="7"/>
      <c r="J224" s="4" t="s">
        <v>885</v>
      </c>
      <c r="K224" s="362" t="s">
        <v>862</v>
      </c>
      <c r="L224" s="347" t="s">
        <v>862</v>
      </c>
      <c r="M224" s="337" t="str">
        <f>IF(mgmt_cl01_vds01_link_type_chosen="VDS Lag","This input is masked out as you have chosen to configure VDS LAG","")</f>
        <v/>
      </c>
    </row>
    <row r="225" spans="5:13" ht="20" customHeight="1" x14ac:dyDescent="0.2">
      <c r="E225" s="7"/>
      <c r="F225" s="7"/>
      <c r="G225" s="7"/>
      <c r="H225" s="7"/>
      <c r="I225" s="7"/>
      <c r="J225" s="363" t="s">
        <v>886</v>
      </c>
      <c r="K225" s="364"/>
      <c r="L225" s="364"/>
      <c r="M225" s="365"/>
    </row>
    <row r="226" spans="5:13" ht="20" customHeight="1" x14ac:dyDescent="0.2">
      <c r="E226" s="7"/>
      <c r="F226" s="7"/>
      <c r="G226" s="7"/>
      <c r="H226" s="7"/>
      <c r="I226" s="7"/>
      <c r="J226" s="4" t="s">
        <v>185</v>
      </c>
      <c r="K226" s="362" t="str">
        <f>CONCATENATE(this_instance,"-m01-cl01-vds01-pg-vm-mgmt")</f>
        <v>sfo-m01-cl01-vds01-pg-vm-mgmt</v>
      </c>
      <c r="L226" s="95"/>
      <c r="M226" s="337" t="str">
        <f>IF(mgmt_domain_existing_vcenter_chosen="Selected","Inputs are masked out as you have opted to import an existing vCenter Server","Portgroup will be created on Primary Distributed Switch")</f>
        <v>Portgroup will be created on Primary Distributed Switch</v>
      </c>
    </row>
    <row r="227" spans="5:13" ht="20" customHeight="1" x14ac:dyDescent="0.2">
      <c r="E227" s="7"/>
      <c r="F227" s="7"/>
      <c r="G227" s="7"/>
      <c r="H227" s="7"/>
      <c r="I227" s="7"/>
      <c r="J227" s="4" t="s">
        <v>882</v>
      </c>
      <c r="K227" s="362" t="s">
        <v>883</v>
      </c>
      <c r="L227" s="347" t="s">
        <v>883</v>
      </c>
      <c r="M227" s="337" t="str">
        <f>IF(mgmt_cl01_vds01_link_type_chosen="VDS Lag","This input is masked out as you have chosen to configure VDS LAG","")</f>
        <v/>
      </c>
    </row>
    <row r="228" spans="5:13" ht="20" customHeight="1" x14ac:dyDescent="0.2">
      <c r="E228" s="7"/>
      <c r="F228" s="7"/>
      <c r="G228" s="7"/>
      <c r="H228" s="7"/>
      <c r="I228" s="7"/>
      <c r="J228" s="4" t="s">
        <v>884</v>
      </c>
      <c r="K228" s="362" t="s">
        <v>862</v>
      </c>
      <c r="L228" s="347" t="s">
        <v>862</v>
      </c>
      <c r="M228" s="337" t="str">
        <f>IF(mgmt_cl01_vds01_link_type_chosen="VDS Lag","This input is masked out as you have chosen to configure VDS LAG","")</f>
        <v/>
      </c>
    </row>
    <row r="229" spans="5:13" ht="20" customHeight="1" x14ac:dyDescent="0.2">
      <c r="E229" s="7"/>
      <c r="F229" s="7"/>
      <c r="G229" s="7"/>
      <c r="H229" s="7"/>
      <c r="I229" s="7"/>
      <c r="J229" s="4" t="s">
        <v>885</v>
      </c>
      <c r="K229" s="362" t="s">
        <v>862</v>
      </c>
      <c r="L229" s="347" t="s">
        <v>862</v>
      </c>
      <c r="M229" s="337" t="str">
        <f>IF(mgmt_cl01_vds01_link_type_chosen="VDS Lag","This input is masked out as you have chosen to configure VDS LAG","")</f>
        <v/>
      </c>
    </row>
    <row r="230" spans="5:13" ht="20" customHeight="1" x14ac:dyDescent="0.2">
      <c r="E230" s="7"/>
      <c r="F230" s="7"/>
      <c r="G230" s="7"/>
      <c r="H230" s="7"/>
      <c r="I230" s="7"/>
      <c r="J230" s="363" t="s">
        <v>888</v>
      </c>
      <c r="K230" s="364"/>
      <c r="L230" s="364"/>
      <c r="M230" s="365"/>
    </row>
    <row r="231" spans="5:13" ht="20" customHeight="1" x14ac:dyDescent="0.2">
      <c r="E231" s="7"/>
      <c r="F231" s="7"/>
      <c r="G231" s="7"/>
      <c r="H231" s="7"/>
      <c r="I231" s="7"/>
      <c r="J231" s="4" t="s">
        <v>185</v>
      </c>
      <c r="K231" s="362" t="str">
        <f>CONCATENATE(this_instance,"-m01-cl01-vds01-pg-vmotion")</f>
        <v>sfo-m01-cl01-vds01-pg-vmotion</v>
      </c>
      <c r="L231" s="347"/>
      <c r="M231" s="337" t="str">
        <f>IF(mgmt_domain_existing_vcenter_chosen="Selected","Inputs are masked out as you have opted to import an existing vCenter Server","Portgroup will be created on Primary Distributed Switch")</f>
        <v>Portgroup will be created on Primary Distributed Switch</v>
      </c>
    </row>
    <row r="232" spans="5:13" ht="20" customHeight="1" x14ac:dyDescent="0.2">
      <c r="E232" s="7"/>
      <c r="F232" s="7"/>
      <c r="G232" s="7"/>
      <c r="H232" s="7"/>
      <c r="I232" s="7"/>
      <c r="J232" s="4" t="s">
        <v>882</v>
      </c>
      <c r="K232" s="362" t="s">
        <v>883</v>
      </c>
      <c r="L232" s="347" t="s">
        <v>883</v>
      </c>
      <c r="M232" s="337" t="str">
        <f>IF(mgmt_cl01_vds01_link_type_chosen="VDS Lag","This input is masked out as you have chosen to configure VDS LAG","")</f>
        <v/>
      </c>
    </row>
    <row r="233" spans="5:13" ht="20" customHeight="1" x14ac:dyDescent="0.2">
      <c r="E233" s="7"/>
      <c r="F233" s="7"/>
      <c r="G233" s="7"/>
      <c r="H233" s="7"/>
      <c r="I233" s="7"/>
      <c r="J233" s="4" t="s">
        <v>884</v>
      </c>
      <c r="K233" s="362" t="s">
        <v>862</v>
      </c>
      <c r="L233" s="347" t="s">
        <v>862</v>
      </c>
      <c r="M233" s="337" t="str">
        <f>IF(mgmt_cl01_vds01_link_type_chosen="VDS Lag","This input is masked out as you have chosen to configure VDS LAG","")</f>
        <v/>
      </c>
    </row>
    <row r="234" spans="5:13" ht="20" customHeight="1" x14ac:dyDescent="0.2">
      <c r="E234" s="7"/>
      <c r="F234" s="7"/>
      <c r="G234" s="7"/>
      <c r="H234" s="7"/>
      <c r="I234" s="7"/>
      <c r="J234" s="4" t="s">
        <v>885</v>
      </c>
      <c r="K234" s="362" t="s">
        <v>862</v>
      </c>
      <c r="L234" s="347" t="s">
        <v>862</v>
      </c>
      <c r="M234" s="337" t="str">
        <f>IF(mgmt_cl01_vds01_link_type_chosen="VDS Lag","This input is masked out as you have chosen to configure VDS LAG","")</f>
        <v/>
      </c>
    </row>
    <row r="235" spans="5:13" ht="20" customHeight="1" x14ac:dyDescent="0.2">
      <c r="E235" s="7"/>
      <c r="F235" s="7"/>
      <c r="G235" s="7"/>
      <c r="H235" s="7"/>
      <c r="I235" s="7"/>
      <c r="J235" s="363" t="s">
        <v>3886</v>
      </c>
      <c r="K235" s="364"/>
      <c r="L235" s="364"/>
      <c r="M235" s="365"/>
    </row>
    <row r="236" spans="5:13" ht="20" customHeight="1" x14ac:dyDescent="0.2">
      <c r="E236" s="7"/>
      <c r="F236" s="7"/>
      <c r="G236" s="7"/>
      <c r="H236" s="7"/>
      <c r="I236" s="7"/>
      <c r="J236" s="4" t="s">
        <v>185</v>
      </c>
      <c r="K236" s="362" t="str">
        <f>CONCATENATE(this_instance,"-m01-cl01-vds01-pg-vsan")</f>
        <v>sfo-m01-cl01-vds01-pg-vsan</v>
      </c>
      <c r="L236" s="347"/>
      <c r="M236" s="337"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Primary Distributed Switch</v>
      </c>
    </row>
    <row r="237" spans="5:13" ht="20" customHeight="1" x14ac:dyDescent="0.2">
      <c r="E237" s="7"/>
      <c r="F237" s="7"/>
      <c r="G237" s="7"/>
      <c r="H237" s="7"/>
      <c r="I237" s="7"/>
      <c r="J237" s="4" t="s">
        <v>882</v>
      </c>
      <c r="K237" s="362" t="s">
        <v>883</v>
      </c>
      <c r="L237" s="347" t="s">
        <v>883</v>
      </c>
      <c r="M237"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38" spans="5:13" ht="20" customHeight="1" x14ac:dyDescent="0.2">
      <c r="E238" s="7"/>
      <c r="F238" s="7"/>
      <c r="G238" s="7"/>
      <c r="H238" s="7"/>
      <c r="I238" s="7"/>
      <c r="J238" s="4" t="s">
        <v>884</v>
      </c>
      <c r="K238" s="362" t="s">
        <v>862</v>
      </c>
      <c r="L238" s="347" t="s">
        <v>862</v>
      </c>
      <c r="M238"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39" spans="5:13" ht="20" customHeight="1" x14ac:dyDescent="0.2">
      <c r="E239" s="7"/>
      <c r="F239" s="7"/>
      <c r="G239" s="7"/>
      <c r="H239" s="7"/>
      <c r="I239" s="7"/>
      <c r="J239" s="4" t="s">
        <v>885</v>
      </c>
      <c r="K239" s="362" t="s">
        <v>862</v>
      </c>
      <c r="L239" s="347" t="s">
        <v>862</v>
      </c>
      <c r="M239"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40" spans="5:13" ht="20" customHeight="1" x14ac:dyDescent="0.2">
      <c r="E240" s="7"/>
      <c r="F240" s="7"/>
      <c r="G240" s="7"/>
      <c r="H240" s="7"/>
      <c r="I240" s="7"/>
      <c r="J240" s="363" t="s">
        <v>3887</v>
      </c>
      <c r="K240" s="364"/>
      <c r="L240" s="364"/>
      <c r="M240" s="365"/>
    </row>
    <row r="241" spans="5:13" ht="20" customHeight="1" x14ac:dyDescent="0.2">
      <c r="E241" s="7"/>
      <c r="F241" s="7"/>
      <c r="G241" s="7"/>
      <c r="H241" s="7"/>
      <c r="I241" s="7"/>
      <c r="J241" s="4" t="s">
        <v>185</v>
      </c>
      <c r="K241" s="362" t="str">
        <f>CONCATENATE(this_instance,"-m01-cl01-vds01-pg-nfs")</f>
        <v>sfo-m01-cl01-vds01-pg-nfs</v>
      </c>
      <c r="L241" s="347"/>
      <c r="M241" s="337"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This input is masked out and only required if configuring NFS Storage</v>
      </c>
    </row>
    <row r="242" spans="5:13" ht="20" customHeight="1" x14ac:dyDescent="0.2">
      <c r="E242" s="7"/>
      <c r="F242" s="7"/>
      <c r="G242" s="7"/>
      <c r="H242" s="7"/>
      <c r="I242" s="7"/>
      <c r="J242" s="4" t="s">
        <v>882</v>
      </c>
      <c r="K242" s="362" t="s">
        <v>883</v>
      </c>
      <c r="L242" s="347" t="s">
        <v>883</v>
      </c>
      <c r="M242" s="337"/>
    </row>
    <row r="243" spans="5:13" ht="20" customHeight="1" x14ac:dyDescent="0.2">
      <c r="E243" s="7"/>
      <c r="F243" s="7"/>
      <c r="G243" s="7"/>
      <c r="H243" s="7"/>
      <c r="I243" s="7"/>
      <c r="J243" s="4" t="s">
        <v>884</v>
      </c>
      <c r="K243" s="362" t="s">
        <v>862</v>
      </c>
      <c r="L243" s="347" t="s">
        <v>862</v>
      </c>
      <c r="M243" s="337"/>
    </row>
    <row r="244" spans="5:13" ht="20" customHeight="1" x14ac:dyDescent="0.2">
      <c r="E244" s="7"/>
      <c r="F244" s="7"/>
      <c r="G244" s="7"/>
      <c r="H244" s="7"/>
      <c r="I244" s="7"/>
      <c r="J244" s="4" t="s">
        <v>885</v>
      </c>
      <c r="K244" s="362" t="s">
        <v>862</v>
      </c>
      <c r="L244" s="347" t="s">
        <v>862</v>
      </c>
      <c r="M244" s="337"/>
    </row>
    <row r="245" spans="5:13" ht="20" customHeight="1" x14ac:dyDescent="0.2">
      <c r="E245" s="7"/>
      <c r="F245" s="7"/>
      <c r="G245" s="7"/>
      <c r="H245" s="7"/>
      <c r="I245" s="7"/>
      <c r="J245" s="492" t="s">
        <v>890</v>
      </c>
      <c r="K245" s="493"/>
      <c r="L245" s="493"/>
      <c r="M245" s="494"/>
    </row>
    <row r="246" spans="5:13" ht="20" customHeight="1" x14ac:dyDescent="0.2">
      <c r="E246" s="7"/>
      <c r="F246" s="7"/>
      <c r="G246" s="7"/>
      <c r="H246" s="7"/>
      <c r="I246" s="7"/>
      <c r="J246" s="4" t="s">
        <v>891</v>
      </c>
      <c r="K246" s="362" t="s">
        <v>159</v>
      </c>
      <c r="L246" s="347" t="s">
        <v>159</v>
      </c>
      <c r="M246" s="337" t="s">
        <v>3888</v>
      </c>
    </row>
    <row r="247" spans="5:13" ht="20" customHeight="1" x14ac:dyDescent="0.2">
      <c r="E247" s="7"/>
      <c r="F247" s="7"/>
      <c r="G247" s="7"/>
      <c r="H247" s="7"/>
      <c r="I247" s="7"/>
      <c r="J247" s="4" t="s">
        <v>3889</v>
      </c>
      <c r="K247" s="362" t="s">
        <v>3890</v>
      </c>
      <c r="L247" s="347" t="s">
        <v>3890</v>
      </c>
      <c r="M247" s="337" t="str">
        <f>IF(mgmt_nsx_default_operation_mode_chosen="Selected","Inputs are masked out as you have opted to apply the default operational mode in NSX","")</f>
        <v>Inputs are masked out as you have opted to apply the default operational mode in NSX</v>
      </c>
    </row>
    <row r="248" spans="5:13" ht="20" customHeight="1" x14ac:dyDescent="0.2">
      <c r="E248" s="7"/>
      <c r="F248" s="7"/>
      <c r="G248" s="7"/>
      <c r="H248" s="7"/>
      <c r="I248" s="7"/>
      <c r="J248" s="4" t="s">
        <v>882</v>
      </c>
      <c r="K248" s="362" t="s">
        <v>3891</v>
      </c>
      <c r="L248" s="347" t="s">
        <v>3891</v>
      </c>
      <c r="M248"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49" spans="5:13" ht="20" customHeight="1" x14ac:dyDescent="0.2">
      <c r="E249" s="7"/>
      <c r="F249" s="7"/>
      <c r="G249" s="7"/>
      <c r="H249" s="7"/>
      <c r="I249" s="7"/>
      <c r="J249" s="4" t="s">
        <v>884</v>
      </c>
      <c r="K249" s="362" t="s">
        <v>862</v>
      </c>
      <c r="L249" s="347" t="s">
        <v>862</v>
      </c>
      <c r="M249"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50" spans="5:13" ht="20" customHeight="1" x14ac:dyDescent="0.2">
      <c r="E250" s="7"/>
      <c r="F250" s="7"/>
      <c r="G250" s="7"/>
      <c r="H250" s="7"/>
      <c r="I250" s="7"/>
      <c r="J250" s="4" t="s">
        <v>885</v>
      </c>
      <c r="K250" s="362" t="s">
        <v>862</v>
      </c>
      <c r="L250" s="347" t="s">
        <v>862</v>
      </c>
      <c r="M250"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51" spans="5:13" ht="20" customHeight="1" x14ac:dyDescent="0.2">
      <c r="E251" s="7"/>
      <c r="F251" s="7"/>
      <c r="G251" s="7"/>
      <c r="H251" s="7"/>
      <c r="I251" s="7"/>
      <c r="J251" s="492" t="s">
        <v>894</v>
      </c>
      <c r="K251" s="493"/>
      <c r="L251" s="493"/>
      <c r="M251" s="494"/>
    </row>
    <row r="252" spans="5:13" ht="20" customHeight="1" x14ac:dyDescent="0.2">
      <c r="E252" s="7"/>
      <c r="F252" s="7"/>
      <c r="G252" s="7"/>
      <c r="H252" s="7"/>
      <c r="I252" s="7"/>
      <c r="J252" s="4" t="s">
        <v>895</v>
      </c>
      <c r="K252" s="362" t="str">
        <f>CONCATENATE("overlay-tz-",this_instance,"-m01-nsx01")</f>
        <v>overlay-tz-sfo-m01-nsx01</v>
      </c>
      <c r="L252" s="347"/>
      <c r="M252" s="337"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Primary Distributed Switch</v>
      </c>
    </row>
    <row r="253" spans="5:13" ht="20" customHeight="1" x14ac:dyDescent="0.2">
      <c r="E253" s="7"/>
      <c r="F253" s="7"/>
      <c r="G253" s="7"/>
      <c r="H253" s="7"/>
      <c r="I253" s="7"/>
      <c r="J253" s="4" t="s">
        <v>85</v>
      </c>
      <c r="K253" s="80" t="str">
        <f>CONCATENATE(prefix_mgmt_az1_vlan,"14")</f>
        <v>1114</v>
      </c>
      <c r="L253" s="347"/>
      <c r="M253" s="337"/>
    </row>
    <row r="254" spans="5:13" ht="20" customHeight="1" x14ac:dyDescent="0.2">
      <c r="E254" s="7"/>
      <c r="F254" s="7"/>
      <c r="G254" s="7"/>
      <c r="H254" s="7"/>
      <c r="I254" s="7"/>
      <c r="J254" s="4" t="s">
        <v>896</v>
      </c>
      <c r="K254" s="362" t="s">
        <v>3892</v>
      </c>
      <c r="L254" s="355" t="s">
        <v>3892</v>
      </c>
      <c r="M254" s="337"/>
    </row>
    <row r="255" spans="5:13" ht="20" customHeight="1" x14ac:dyDescent="0.2">
      <c r="E255" s="7"/>
      <c r="F255" s="7"/>
      <c r="G255" s="7"/>
      <c r="H255" s="7"/>
      <c r="I255" s="7"/>
      <c r="J255" s="4" t="s">
        <v>898</v>
      </c>
      <c r="K255" s="89" t="str">
        <f>CONCATENATE(this_instance,"01-m01","-r01-ip-pool01-host")</f>
        <v>sfo01-m01-r01-ip-pool01-host</v>
      </c>
      <c r="L255" s="347"/>
      <c r="M255" s="4" t="str">
        <f t="shared" ref="M255:M260" si="0">IF(mgmt_host_overlay_addressing_chosen&lt;&gt;"IP Pool","This input is masked out and only required if configuring IP Pools for Host Overlay","")</f>
        <v/>
      </c>
    </row>
    <row r="256" spans="5:13" ht="20" customHeight="1" x14ac:dyDescent="0.2">
      <c r="E256" s="7"/>
      <c r="F256" s="7"/>
      <c r="G256" s="7"/>
      <c r="H256" s="7"/>
      <c r="I256" s="7"/>
      <c r="J256" s="4" t="s">
        <v>263</v>
      </c>
      <c r="K256" s="80" t="s">
        <v>899</v>
      </c>
      <c r="L256" s="347"/>
      <c r="M256" s="4" t="str">
        <f t="shared" si="0"/>
        <v/>
      </c>
    </row>
    <row r="257" spans="1:13" ht="20" customHeight="1" x14ac:dyDescent="0.2">
      <c r="E257" s="7"/>
      <c r="F257" s="7"/>
      <c r="G257" s="7"/>
      <c r="H257" s="7"/>
      <c r="I257" s="7"/>
      <c r="J257" s="4" t="s">
        <v>460</v>
      </c>
      <c r="K257" s="80" t="str">
        <f>CONCATENATE(prefix_mgmt_az1_cidr,"14.0/24")</f>
        <v>10.11.14.0/24</v>
      </c>
      <c r="L257" s="347"/>
      <c r="M257" s="4" t="str">
        <f t="shared" si="0"/>
        <v/>
      </c>
    </row>
    <row r="258" spans="1:13" ht="20" customHeight="1" x14ac:dyDescent="0.2">
      <c r="E258" s="7"/>
      <c r="F258" s="7"/>
      <c r="G258" s="7"/>
      <c r="H258" s="7"/>
      <c r="I258" s="7"/>
      <c r="J258" s="4" t="s">
        <v>255</v>
      </c>
      <c r="K258" s="80" t="str">
        <f>CONCATENATE(prefix_mgmt_az1_cidr,"14.101")</f>
        <v>10.11.14.101</v>
      </c>
      <c r="L258" s="347"/>
      <c r="M258" s="4" t="str">
        <f t="shared" si="0"/>
        <v/>
      </c>
    </row>
    <row r="259" spans="1:13" ht="20" customHeight="1" x14ac:dyDescent="0.2">
      <c r="E259" s="7"/>
      <c r="F259" s="7"/>
      <c r="G259" s="7"/>
      <c r="H259" s="7"/>
      <c r="I259" s="7"/>
      <c r="J259" s="4" t="s">
        <v>256</v>
      </c>
      <c r="K259" s="80" t="str">
        <f>CONCATENATE(prefix_mgmt_az1_cidr,"14.132")</f>
        <v>10.11.14.132</v>
      </c>
      <c r="L259" s="347"/>
      <c r="M259" s="4" t="str">
        <f t="shared" si="0"/>
        <v/>
      </c>
    </row>
    <row r="260" spans="1:13" ht="20" customHeight="1" x14ac:dyDescent="0.2">
      <c r="E260" s="7"/>
      <c r="F260" s="7"/>
      <c r="G260" s="7"/>
      <c r="H260" s="7"/>
      <c r="I260" s="7"/>
      <c r="J260" s="4" t="s">
        <v>187</v>
      </c>
      <c r="K260" s="80" t="str">
        <f>CONCATENATE(prefix_mgmt_az1_cidr,"14.1")</f>
        <v>10.11.14.1</v>
      </c>
      <c r="L260" s="347"/>
      <c r="M260" s="4" t="str">
        <f t="shared" si="0"/>
        <v/>
      </c>
    </row>
    <row r="261" spans="1:13" ht="20" customHeight="1" x14ac:dyDescent="0.2">
      <c r="A261" s="8"/>
      <c r="B261" s="8"/>
      <c r="C261" s="8"/>
      <c r="D261" s="8"/>
      <c r="E261" s="7"/>
      <c r="F261" s="7"/>
      <c r="G261" s="7"/>
      <c r="H261" s="7"/>
      <c r="I261" s="7"/>
      <c r="J261" s="372"/>
      <c r="K261" s="344"/>
      <c r="L261" s="344"/>
      <c r="M261" s="344"/>
    </row>
    <row r="262" spans="1:13" ht="34" customHeight="1" x14ac:dyDescent="0.2">
      <c r="E262" s="7"/>
      <c r="F262" s="7"/>
      <c r="G262" s="7"/>
      <c r="H262" s="7"/>
      <c r="I262" s="7"/>
      <c r="J262" s="425" t="s">
        <v>1664</v>
      </c>
      <c r="K262" s="426"/>
      <c r="L262" s="426"/>
      <c r="M262" s="427"/>
    </row>
    <row r="263" spans="1:13" ht="20" customHeight="1" x14ac:dyDescent="0.2">
      <c r="E263" s="7"/>
      <c r="F263" s="7"/>
      <c r="G263" s="7"/>
      <c r="H263" s="7"/>
      <c r="I263" s="7"/>
      <c r="J263" s="492" t="s">
        <v>3893</v>
      </c>
      <c r="K263" s="493"/>
      <c r="L263" s="493"/>
      <c r="M263" s="494"/>
    </row>
    <row r="264" spans="1:13" ht="20" customHeight="1" x14ac:dyDescent="0.2">
      <c r="E264" s="7"/>
      <c r="F264" s="7"/>
      <c r="G264" s="7"/>
      <c r="H264" s="7"/>
      <c r="I264" s="7"/>
      <c r="J264" s="346" t="s">
        <v>17</v>
      </c>
      <c r="K264" s="346" t="s">
        <v>18</v>
      </c>
      <c r="L264" s="346" t="s">
        <v>19</v>
      </c>
      <c r="M264" s="346" t="s">
        <v>20</v>
      </c>
    </row>
    <row r="265" spans="1:13" ht="20" customHeight="1" x14ac:dyDescent="0.2">
      <c r="E265" s="7"/>
      <c r="F265" s="7"/>
      <c r="G265" s="7"/>
      <c r="H265" s="7"/>
      <c r="I265" s="7"/>
      <c r="J265" s="4" t="s">
        <v>3894</v>
      </c>
      <c r="K265" s="89" t="s">
        <v>3895</v>
      </c>
      <c r="L265" s="347" t="s">
        <v>3895</v>
      </c>
      <c r="M265" s="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row>
    <row r="266" spans="1:13" ht="20" customHeight="1" x14ac:dyDescent="0.2">
      <c r="E266" s="7"/>
      <c r="F266" s="7"/>
      <c r="G266" s="7"/>
      <c r="H266" s="7"/>
      <c r="I266" s="7"/>
      <c r="J266" s="4" t="s">
        <v>3831</v>
      </c>
      <c r="K266" s="89" t="str">
        <f>CONCATENATE(this_instance,"-vcf01",".",sample_child_dns_zone)</f>
        <v>sfo-vcf01.sfo.rainpole.io</v>
      </c>
      <c r="L266" s="347"/>
      <c r="M266" s="5" t="str">
        <f>IF(mgmt_vcf_installer_location_chosen="Deployed outside management domain","","Ensure this FQDN is used when setting the VCF Installer FQDN")</f>
        <v>Ensure this FQDN is used when setting the VCF Installer FQDN</v>
      </c>
    </row>
    <row r="267" spans="1:13" ht="20" customHeight="1" x14ac:dyDescent="0.2">
      <c r="E267" s="7"/>
      <c r="F267" s="7"/>
      <c r="G267" s="7"/>
      <c r="H267" s="7"/>
      <c r="I267" s="7"/>
      <c r="J267" s="4" t="s">
        <v>562</v>
      </c>
      <c r="K267" s="362" t="s">
        <v>141</v>
      </c>
      <c r="L267" s="347"/>
      <c r="M267" s="337" t="str">
        <f>IF(mgmt_domain_password_creation_chosen="Selected","Inputs are masked out as you have opted to deploy with system generated passwords","Minimum 12 Characters, 1 Uppercase, 1 Special")</f>
        <v>Minimum 12 Characters, 1 Uppercase, 1 Special</v>
      </c>
    </row>
    <row r="268" spans="1:13" ht="20" customHeight="1" x14ac:dyDescent="0.2">
      <c r="E268" s="7"/>
      <c r="F268" s="7"/>
      <c r="G268" s="7"/>
      <c r="H268" s="7"/>
      <c r="I268" s="7"/>
      <c r="J268" s="4" t="s">
        <v>3896</v>
      </c>
      <c r="K268" s="362" t="s">
        <v>141</v>
      </c>
      <c r="L268" s="347"/>
      <c r="M268" s="337" t="str">
        <f>IF(mgmt_domain_password_creation_chosen="Selected","Inputs are masked out as you have opted to deploy with system generated passwords","Minimum 12 Characters, 1 Uppercase, 1 Special")</f>
        <v>Minimum 12 Characters, 1 Uppercase, 1 Special</v>
      </c>
    </row>
    <row r="269" spans="1:13" ht="20" customHeight="1" x14ac:dyDescent="0.2">
      <c r="E269" s="7"/>
      <c r="F269" s="7"/>
      <c r="G269" s="7"/>
      <c r="H269" s="7"/>
      <c r="I269" s="7"/>
      <c r="J269" s="4" t="s">
        <v>3828</v>
      </c>
      <c r="K269" s="362" t="s">
        <v>141</v>
      </c>
      <c r="L269" s="347"/>
      <c r="M269" s="337" t="str">
        <f>IF(mgmt_domain_password_creation_chosen="Selected","Inputs are masked out as you have opted to deploy with system generated passwords","Minimum 12 Characters, 1 Uppercase, 1 Special")</f>
        <v>Minimum 12 Characters, 1 Uppercase, 1 Special</v>
      </c>
    </row>
    <row r="270" spans="1:13" ht="16" customHeight="1" x14ac:dyDescent="0.2">
      <c r="E270" s="7"/>
      <c r="F270" s="7"/>
      <c r="G270" s="7"/>
      <c r="H270" s="7"/>
      <c r="I270" s="7"/>
    </row>
    <row r="271" spans="1:13" ht="34" customHeight="1" x14ac:dyDescent="0.2">
      <c r="E271" s="7"/>
      <c r="F271" s="7"/>
      <c r="G271" s="7"/>
      <c r="H271" s="7"/>
      <c r="I271" s="7"/>
      <c r="J271" s="335" t="s">
        <v>3897</v>
      </c>
      <c r="K271" s="335"/>
      <c r="L271" s="335"/>
      <c r="M271" s="335"/>
    </row>
    <row r="272" spans="1:13" ht="20" customHeight="1" x14ac:dyDescent="0.2">
      <c r="E272" s="7"/>
      <c r="F272" s="7"/>
      <c r="G272" s="7"/>
      <c r="H272" s="7"/>
      <c r="I272" s="7"/>
      <c r="J272" s="346" t="s">
        <v>17</v>
      </c>
      <c r="K272" s="346" t="s">
        <v>18</v>
      </c>
      <c r="L272" s="346" t="s">
        <v>19</v>
      </c>
      <c r="M272" s="346" t="s">
        <v>20</v>
      </c>
    </row>
    <row r="273" spans="5:13" ht="20" customHeight="1" x14ac:dyDescent="0.2">
      <c r="E273" s="7"/>
      <c r="F273" s="7"/>
      <c r="G273" s="7"/>
      <c r="H273" s="7"/>
      <c r="I273" s="7"/>
      <c r="J273" s="492" t="s">
        <v>213</v>
      </c>
      <c r="K273" s="493"/>
      <c r="L273" s="493"/>
      <c r="M273" s="494"/>
    </row>
    <row r="274" spans="5:13" ht="20" customHeight="1" x14ac:dyDescent="0.2">
      <c r="F274" s="7"/>
      <c r="G274" s="7"/>
      <c r="H274" s="7"/>
      <c r="I274" s="7"/>
      <c r="J274" s="128" t="s">
        <v>85</v>
      </c>
      <c r="K274" s="362" t="str">
        <f>sample_mgmt_az1_mgmt_vlan</f>
        <v>1111</v>
      </c>
      <c r="L274" s="163" t="str">
        <f>mgmt_az1_mgmt_vlan</f>
        <v>Value Missing</v>
      </c>
      <c r="M274" s="337"/>
    </row>
    <row r="275" spans="5:13" ht="20" customHeight="1" x14ac:dyDescent="0.2">
      <c r="E275" s="7"/>
      <c r="F275" s="7"/>
      <c r="G275" s="7"/>
      <c r="H275" s="7"/>
      <c r="I275" s="7"/>
      <c r="J275" s="128" t="s">
        <v>187</v>
      </c>
      <c r="K275" s="362" t="str">
        <f>sample_mgmt_az1_mgmt_gateway_ip</f>
        <v>10.11.11.1</v>
      </c>
      <c r="L275" s="163" t="str">
        <f>mgmt_az1_mgmt_gateway_ip</f>
        <v>Value Missing</v>
      </c>
      <c r="M275" s="337"/>
    </row>
    <row r="276" spans="5:13" ht="20" customHeight="1" x14ac:dyDescent="0.2">
      <c r="E276" s="7"/>
      <c r="F276" s="7"/>
      <c r="G276" s="7"/>
      <c r="H276" s="7"/>
      <c r="I276" s="7"/>
      <c r="J276" s="128" t="s">
        <v>188</v>
      </c>
      <c r="K276" s="362" t="str">
        <f>sample_mgmt_az1_mgmt_cidr</f>
        <v>10.11.11.0/24</v>
      </c>
      <c r="L276" s="163" t="str">
        <f>mgmt_az1_mgmt_cidr</f>
        <v>Value Missing</v>
      </c>
      <c r="M276" s="337"/>
    </row>
    <row r="277" spans="5:13" ht="20" customHeight="1" x14ac:dyDescent="0.2">
      <c r="E277" s="7"/>
      <c r="F277" s="7"/>
      <c r="G277" s="7"/>
      <c r="H277" s="7"/>
      <c r="I277" s="7"/>
      <c r="J277" s="4" t="s">
        <v>160</v>
      </c>
      <c r="K277" s="362">
        <f>sample_mgmt_az1_mgmt_mtu</f>
        <v>1500</v>
      </c>
      <c r="L277" s="163" t="str">
        <f>mgmt_az1_mgmt_mtu</f>
        <v>Value Missing</v>
      </c>
      <c r="M277" s="337"/>
    </row>
    <row r="278" spans="5:13" ht="20" customHeight="1" x14ac:dyDescent="0.2">
      <c r="E278" s="7"/>
      <c r="F278" s="7"/>
      <c r="G278" s="7"/>
      <c r="H278" s="7"/>
      <c r="I278" s="7"/>
      <c r="J278" s="495" t="s">
        <v>932</v>
      </c>
      <c r="K278" s="496"/>
      <c r="L278" s="496"/>
      <c r="M278" s="497"/>
    </row>
    <row r="279" spans="5:13" ht="20" customHeight="1" x14ac:dyDescent="0.2">
      <c r="E279" s="7"/>
      <c r="F279" s="7"/>
      <c r="G279" s="7"/>
      <c r="H279" s="7"/>
      <c r="I279" s="7"/>
      <c r="J279" s="128" t="s">
        <v>85</v>
      </c>
      <c r="K279" s="80" t="str">
        <f>sample_mgmt_az1_mgmt_vm_vlan</f>
        <v>1110</v>
      </c>
      <c r="L279" s="337" t="str">
        <f>mgmt_az1_mgmt_vm_vlan</f>
        <v>Value Missing</v>
      </c>
      <c r="M279" s="345"/>
    </row>
    <row r="280" spans="5:13" ht="20" customHeight="1" x14ac:dyDescent="0.2">
      <c r="E280" s="7"/>
      <c r="F280" s="7"/>
      <c r="G280" s="7"/>
      <c r="H280" s="7"/>
      <c r="I280" s="7"/>
      <c r="J280" s="128" t="s">
        <v>187</v>
      </c>
      <c r="K280" s="80" t="str">
        <f>sample_mgmt_az1_mgmt_vm_gateway_ip</f>
        <v>10.11.10.1</v>
      </c>
      <c r="L280" s="337" t="str">
        <f>mgmt_az1_mgmt_vm_gateway_ip</f>
        <v>Value Missing</v>
      </c>
      <c r="M280" s="345"/>
    </row>
    <row r="281" spans="5:13" ht="20" customHeight="1" x14ac:dyDescent="0.2">
      <c r="E281" s="7"/>
      <c r="F281" s="7"/>
      <c r="G281" s="7"/>
      <c r="H281" s="7"/>
      <c r="I281" s="7"/>
      <c r="J281" s="128" t="s">
        <v>188</v>
      </c>
      <c r="K281" s="80" t="str">
        <f>sample_mgmt_az1_mgmt_vm_cidr</f>
        <v>10.11.10.0/24</v>
      </c>
      <c r="L281" s="337" t="str">
        <f>mgmt_az1_mgmt_vm_cidr</f>
        <v>Value Missing</v>
      </c>
      <c r="M281" s="345"/>
    </row>
    <row r="282" spans="5:13" ht="20" customHeight="1" x14ac:dyDescent="0.2">
      <c r="E282" s="7"/>
      <c r="F282" s="7"/>
      <c r="G282" s="7"/>
      <c r="H282" s="7"/>
      <c r="I282" s="7"/>
      <c r="J282" s="4" t="s">
        <v>160</v>
      </c>
      <c r="K282" s="80">
        <f>sample_mgmt_az1_mgmt_vm_mtu</f>
        <v>1500</v>
      </c>
      <c r="L282" s="337" t="str">
        <f>mgmt_az1_mgmt_vm_mtu</f>
        <v>Value Missing</v>
      </c>
      <c r="M282" s="345"/>
    </row>
    <row r="283" spans="5:13" ht="20" customHeight="1" x14ac:dyDescent="0.2">
      <c r="E283" s="7"/>
      <c r="F283" s="7"/>
      <c r="G283" s="7"/>
      <c r="H283" s="7"/>
      <c r="I283" s="7"/>
      <c r="J283" s="492" t="s">
        <v>251</v>
      </c>
      <c r="K283" s="493"/>
      <c r="L283" s="493"/>
      <c r="M283" s="494"/>
    </row>
    <row r="284" spans="5:13" ht="20" customHeight="1" x14ac:dyDescent="0.2">
      <c r="E284" s="7"/>
      <c r="F284" s="7"/>
      <c r="G284" s="7"/>
      <c r="H284" s="7"/>
      <c r="I284" s="7"/>
      <c r="J284" s="4" t="s">
        <v>85</v>
      </c>
      <c r="K284" s="80" t="str">
        <f>sample_mgmt_az1_vmotion_vlan</f>
        <v>1112</v>
      </c>
      <c r="L284" s="163" t="str">
        <f>mgmt_az1_vmotion_vlan</f>
        <v>Value Missing</v>
      </c>
      <c r="M284" s="93"/>
    </row>
    <row r="285" spans="5:13" ht="20" customHeight="1" x14ac:dyDescent="0.2">
      <c r="E285" s="7"/>
      <c r="F285" s="7"/>
      <c r="G285" s="7"/>
      <c r="H285" s="7"/>
      <c r="I285" s="7"/>
      <c r="J285" s="4" t="s">
        <v>187</v>
      </c>
      <c r="K285" s="80" t="str">
        <f>sample_mgmt_az1_vmotion_gateway_ip</f>
        <v>10.11.12.1</v>
      </c>
      <c r="L285" s="163" t="str">
        <f>mgmt_az1_vmotion_gateway_ip</f>
        <v>Value Missing</v>
      </c>
      <c r="M285" s="337"/>
    </row>
    <row r="286" spans="5:13" ht="20" customHeight="1" x14ac:dyDescent="0.2">
      <c r="E286" s="7"/>
      <c r="F286" s="7"/>
      <c r="G286" s="7"/>
      <c r="H286" s="7"/>
      <c r="I286" s="7"/>
      <c r="J286" s="4" t="s">
        <v>188</v>
      </c>
      <c r="K286" s="80" t="str">
        <f>sample_mgmt_az1_vmotion_cidr</f>
        <v>10.11.12.0/24</v>
      </c>
      <c r="L286" s="163" t="str">
        <f>mgmt_az1_vmotion_cidr</f>
        <v>Value Missing</v>
      </c>
      <c r="M286" s="337"/>
    </row>
    <row r="287" spans="5:13" ht="20" customHeight="1" x14ac:dyDescent="0.2">
      <c r="E287" s="7"/>
      <c r="F287" s="7"/>
      <c r="G287" s="7"/>
      <c r="H287" s="7"/>
      <c r="I287" s="7"/>
      <c r="J287" s="4" t="s">
        <v>160</v>
      </c>
      <c r="K287" s="80">
        <f>sample_mgmt_az1_vmotion_mtu</f>
        <v>9000</v>
      </c>
      <c r="L287" s="163" t="str">
        <f>mgmt_az1_vmotion_mtu</f>
        <v>Value Missing</v>
      </c>
      <c r="M287" s="337"/>
    </row>
    <row r="288" spans="5:13" ht="20" customHeight="1" x14ac:dyDescent="0.2">
      <c r="E288" s="7"/>
      <c r="F288" s="7"/>
      <c r="G288" s="7"/>
      <c r="H288" s="7"/>
      <c r="I288" s="7"/>
      <c r="J288" s="17" t="s">
        <v>255</v>
      </c>
      <c r="K288" s="80" t="str">
        <f>sample_mgmt_az1_vmotion_pool_start_ip</f>
        <v>10.11.12.101</v>
      </c>
      <c r="L288" s="163" t="str">
        <f>mgmt_az1_vmotion_pool_start_ip</f>
        <v>Value Missing</v>
      </c>
      <c r="M288" s="337"/>
    </row>
    <row r="289" spans="5:13" ht="20" customHeight="1" x14ac:dyDescent="0.2">
      <c r="E289" s="7"/>
      <c r="F289" s="7"/>
      <c r="G289" s="7"/>
      <c r="H289" s="7"/>
      <c r="I289" s="7"/>
      <c r="J289" s="17" t="s">
        <v>256</v>
      </c>
      <c r="K289" s="80" t="str">
        <f>sample_mgmt_az1_vmotion_pool_end_ip</f>
        <v>10.11.12.116</v>
      </c>
      <c r="L289" s="163" t="str">
        <f>mgmt_az1_vmotion_pool_end_ip</f>
        <v>Value Missing</v>
      </c>
      <c r="M289" s="337"/>
    </row>
    <row r="290" spans="5:13" ht="20" customHeight="1" x14ac:dyDescent="0.2">
      <c r="E290" s="7"/>
      <c r="F290" s="7"/>
      <c r="G290" s="7"/>
      <c r="H290" s="7"/>
      <c r="I290" s="7"/>
      <c r="J290" s="492" t="s">
        <v>257</v>
      </c>
      <c r="K290" s="493"/>
      <c r="L290" s="493"/>
      <c r="M290" s="494"/>
    </row>
    <row r="291" spans="5:13" ht="20" customHeight="1" x14ac:dyDescent="0.2">
      <c r="E291" s="7"/>
      <c r="F291" s="7"/>
      <c r="G291" s="7"/>
      <c r="H291" s="7"/>
      <c r="I291" s="7"/>
      <c r="J291" s="4" t="s">
        <v>85</v>
      </c>
      <c r="K291" s="80" t="str">
        <f>sample_mgmt_az1_vsan_vlan</f>
        <v>1113</v>
      </c>
      <c r="L291" s="163" t="str">
        <f>mgmt_az1_vsan_vlan</f>
        <v>Value Missing</v>
      </c>
      <c r="M291" s="345"/>
    </row>
    <row r="292" spans="5:13" ht="20" customHeight="1" x14ac:dyDescent="0.2">
      <c r="E292" s="7"/>
      <c r="F292" s="7"/>
      <c r="G292" s="7"/>
      <c r="H292" s="7"/>
      <c r="I292" s="7"/>
      <c r="J292" s="4" t="s">
        <v>187</v>
      </c>
      <c r="K292" s="80" t="str">
        <f>sample_mgmt_az1_vsan_gateway_ip</f>
        <v>10.11.13.1</v>
      </c>
      <c r="L292" s="163" t="str">
        <f>mgmt_az1_vsan_gateway_ip</f>
        <v>Value Missing</v>
      </c>
      <c r="M292" s="345" t="str">
        <f>IF(AND(mgmt_stretched_cluster_result="Included",mgmt_dpg_reuse_result="Excluded"),"Stretched L2","")</f>
        <v/>
      </c>
    </row>
    <row r="293" spans="5:13" ht="20" customHeight="1" x14ac:dyDescent="0.2">
      <c r="E293" s="7"/>
      <c r="F293" s="7"/>
      <c r="G293" s="7"/>
      <c r="H293" s="7"/>
      <c r="I293" s="7"/>
      <c r="J293" s="4" t="s">
        <v>188</v>
      </c>
      <c r="K293" s="80" t="str">
        <f>sample_mgmt_az1_vsan_cidr</f>
        <v>10.11.13.0/24</v>
      </c>
      <c r="L293" s="163" t="str">
        <f>mgmt_az1_vsan_cidr</f>
        <v>Value Missing</v>
      </c>
      <c r="M293" s="345"/>
    </row>
    <row r="294" spans="5:13" ht="20" customHeight="1" x14ac:dyDescent="0.2">
      <c r="E294" s="7"/>
      <c r="F294" s="7"/>
      <c r="G294" s="7"/>
      <c r="H294" s="7"/>
      <c r="I294" s="7"/>
      <c r="J294" s="4" t="s">
        <v>160</v>
      </c>
      <c r="K294" s="80">
        <f>sample_mgmt_az1_vsan_mtu</f>
        <v>9000</v>
      </c>
      <c r="L294" s="163" t="str">
        <f>mgmt_az1_vsan_mtu</f>
        <v>Value Missing</v>
      </c>
      <c r="M294" s="345"/>
    </row>
    <row r="295" spans="5:13" ht="20" customHeight="1" x14ac:dyDescent="0.2">
      <c r="E295" s="7"/>
      <c r="F295" s="7"/>
      <c r="G295" s="7"/>
      <c r="H295" s="7"/>
      <c r="I295" s="7"/>
      <c r="J295" s="17" t="s">
        <v>255</v>
      </c>
      <c r="K295" s="80" t="str">
        <f>sample_mgmt_az1_vsan_pool_start_ip</f>
        <v>10.11.13.101</v>
      </c>
      <c r="L295" s="163" t="str">
        <f>mgmt_az1_vsan_pool_start_ip</f>
        <v>Value Missing</v>
      </c>
      <c r="M295" s="345"/>
    </row>
    <row r="296" spans="5:13" ht="20" customHeight="1" x14ac:dyDescent="0.2">
      <c r="E296" s="7"/>
      <c r="F296" s="7"/>
      <c r="G296" s="7"/>
      <c r="H296" s="7"/>
      <c r="I296" s="7"/>
      <c r="J296" s="17" t="s">
        <v>256</v>
      </c>
      <c r="K296" s="80" t="str">
        <f>sample_mgmt_az1_vsan_pool_end_ip</f>
        <v>10.11.13.116</v>
      </c>
      <c r="L296" s="163" t="str">
        <f>mgmt_az1_vsan_pool_end_ip</f>
        <v>Value Missing</v>
      </c>
      <c r="M296" s="345"/>
    </row>
    <row r="297" spans="5:13" ht="20" customHeight="1" x14ac:dyDescent="0.2">
      <c r="E297" s="7"/>
      <c r="F297" s="7"/>
      <c r="G297" s="7"/>
      <c r="H297" s="7"/>
      <c r="I297" s="7"/>
      <c r="J297" s="492" t="s">
        <v>938</v>
      </c>
      <c r="K297" s="493"/>
      <c r="L297" s="493"/>
      <c r="M297" s="494"/>
    </row>
    <row r="298" spans="5:13" ht="20" customHeight="1" x14ac:dyDescent="0.2">
      <c r="E298" s="7"/>
      <c r="F298" s="7"/>
      <c r="G298" s="7"/>
      <c r="H298" s="7"/>
      <c r="I298" s="7"/>
      <c r="J298" s="4" t="s">
        <v>85</v>
      </c>
      <c r="K298" s="80" t="str">
        <f>sample_mgmt_az1_host_overlay_vlan</f>
        <v>1114</v>
      </c>
      <c r="L298" s="163" t="str">
        <f>mgmt_az1_host_overlay_vlan</f>
        <v>Value Missing</v>
      </c>
      <c r="M298" s="337"/>
    </row>
    <row r="299" spans="5:13" ht="20" customHeight="1" x14ac:dyDescent="0.2">
      <c r="E299" s="7"/>
      <c r="F299" s="7"/>
      <c r="G299" s="7"/>
      <c r="H299" s="7"/>
      <c r="I299" s="7"/>
      <c r="J299" s="4" t="s">
        <v>187</v>
      </c>
      <c r="K299" s="80" t="str">
        <f>sample_mgmt_az1_host_overlay_gateway_ip</f>
        <v>10.11.14.1</v>
      </c>
      <c r="L299" s="163" t="str">
        <f>mgmt_az1_host_overlay_gateway_ip</f>
        <v>Value Missing</v>
      </c>
      <c r="M299" s="337"/>
    </row>
    <row r="300" spans="5:13" ht="20" customHeight="1" x14ac:dyDescent="0.2">
      <c r="E300" s="7"/>
      <c r="F300" s="7"/>
      <c r="G300" s="7"/>
      <c r="H300" s="7"/>
      <c r="I300" s="7"/>
      <c r="J300" s="4" t="s">
        <v>188</v>
      </c>
      <c r="K300" s="80" t="str">
        <f>sample_mgmt_az1_host_overlay_cidr</f>
        <v>10.11.14.0/24</v>
      </c>
      <c r="L300" s="163" t="str">
        <f>mgmt_az1_host_overlay_cidr</f>
        <v>Value Missing</v>
      </c>
      <c r="M300" s="337"/>
    </row>
    <row r="301" spans="5:13" ht="20" customHeight="1" x14ac:dyDescent="0.2">
      <c r="E301" s="7"/>
      <c r="F301" s="7"/>
      <c r="G301" s="7"/>
      <c r="H301" s="7"/>
      <c r="I301" s="7"/>
      <c r="J301" s="4" t="s">
        <v>160</v>
      </c>
      <c r="K301" s="80">
        <v>9000</v>
      </c>
      <c r="L301" s="164"/>
      <c r="M301" s="337"/>
    </row>
    <row r="302" spans="5:13" ht="20" customHeight="1" x14ac:dyDescent="0.2">
      <c r="E302" s="7"/>
      <c r="F302" s="7"/>
      <c r="G302" s="7"/>
      <c r="H302" s="7"/>
      <c r="I302" s="7"/>
      <c r="J302" s="17" t="s">
        <v>255</v>
      </c>
      <c r="K302" s="80" t="str">
        <f>sample_mgmt_az1_host_overlay_pool_start_ip</f>
        <v>10.11.14.101</v>
      </c>
      <c r="L302" s="163" t="str">
        <f>mgmt_az1_host_overlay_pool_start_ip</f>
        <v>Value Missing</v>
      </c>
      <c r="M302" s="337"/>
    </row>
    <row r="303" spans="5:13" ht="20" customHeight="1" x14ac:dyDescent="0.2">
      <c r="E303" s="7"/>
      <c r="F303" s="7"/>
      <c r="G303" s="7"/>
      <c r="H303" s="7"/>
      <c r="I303" s="7"/>
      <c r="J303" s="17" t="s">
        <v>256</v>
      </c>
      <c r="K303" s="80" t="str">
        <f>sample_mgmt_az1_host_overlay_pool_end_ip</f>
        <v>10.11.14.132</v>
      </c>
      <c r="L303" s="163" t="str">
        <f>mgmt_az1_host_overlay_pool_end_ip</f>
        <v>Value Missing</v>
      </c>
      <c r="M303" s="337"/>
    </row>
    <row r="304" spans="5:13" ht="20" customHeight="1" x14ac:dyDescent="0.2">
      <c r="E304" s="7"/>
      <c r="F304" s="7"/>
      <c r="G304" s="7"/>
      <c r="H304" s="7"/>
      <c r="I304" s="7"/>
      <c r="J304" s="465" t="s">
        <v>3898</v>
      </c>
      <c r="K304" s="466"/>
      <c r="L304" s="466"/>
      <c r="M304" s="467"/>
    </row>
    <row r="305" spans="5:14" ht="20" customHeight="1" x14ac:dyDescent="0.2">
      <c r="E305" s="7"/>
      <c r="F305" s="7"/>
      <c r="G305" s="7"/>
      <c r="H305" s="7"/>
      <c r="I305" s="7"/>
      <c r="J305" s="96" t="s">
        <v>3899</v>
      </c>
      <c r="K305" s="346" t="s">
        <v>940</v>
      </c>
      <c r="L305" s="97" t="s">
        <v>941</v>
      </c>
      <c r="M305" s="346" t="s">
        <v>20</v>
      </c>
    </row>
    <row r="306" spans="5:14" ht="20" customHeight="1" x14ac:dyDescent="0.2">
      <c r="E306" s="7"/>
      <c r="F306" s="7"/>
      <c r="G306" s="7"/>
      <c r="H306" s="7"/>
      <c r="I306" s="7"/>
      <c r="J306" s="347" t="str">
        <f>xreg_vrslcm_fqdn</f>
        <v>Value Missing</v>
      </c>
      <c r="K306" s="98" t="str">
        <f>IF(mgmt_dpg_reuse_result="Included",CONCATENATE(prefix_mgmt_az1_cidr,"10.28"),CONCATENATE(prefix_mgmt_az1_cidr,"11.28"))</f>
        <v>10.11.10.28</v>
      </c>
      <c r="L306" s="347"/>
      <c r="M306" s="337" t="s">
        <v>3899</v>
      </c>
    </row>
    <row r="307" spans="5:14" ht="20" customHeight="1" x14ac:dyDescent="0.2">
      <c r="E307" s="7"/>
      <c r="F307" s="7"/>
      <c r="G307" s="7"/>
      <c r="H307" s="7"/>
      <c r="I307" s="7"/>
      <c r="J307" s="346" t="s">
        <v>3900</v>
      </c>
      <c r="K307" s="346" t="s">
        <v>940</v>
      </c>
      <c r="L307" s="97" t="s">
        <v>941</v>
      </c>
      <c r="M307" s="346" t="s">
        <v>20</v>
      </c>
    </row>
    <row r="308" spans="5:14" ht="20" customHeight="1" x14ac:dyDescent="0.2">
      <c r="E308" s="7"/>
      <c r="F308" s="7"/>
      <c r="G308" s="7"/>
      <c r="H308" s="7"/>
      <c r="I308" s="7"/>
      <c r="J308" s="347" t="str">
        <f>xreg_vrops_nodea_fqdn</f>
        <v>Value Missing</v>
      </c>
      <c r="K308" s="80" t="str">
        <f>IF(mgmt_vcf_management_network_chosen="Use VM management network",IF(mgmt_dpg_reuse_result="Included",CONCATENATE(prefix_mgmt_az1_cidr,"10.52"),CONCATENATE(prefix_mgmt_az1_cidr,"11.52")),CONCATENATE(prefix_flt_shared_cidr,".52"))</f>
        <v>10.11.10.52</v>
      </c>
      <c r="L308" s="347"/>
      <c r="M308" s="99" t="str">
        <f>IF(mgmt_domain_ops_automation_later_chosen="Selected","Inputs are masked out as you have opted to deploy VCF Ops and Automation post MGMT Domain deployment","Primary node of VCF Operations")</f>
        <v>Primary node of VCF Operations</v>
      </c>
    </row>
    <row r="309" spans="5:14" ht="20" customHeight="1" x14ac:dyDescent="0.2">
      <c r="E309" s="7"/>
      <c r="F309" s="7"/>
      <c r="G309" s="7"/>
      <c r="H309" s="7"/>
      <c r="I309" s="7"/>
      <c r="J309" s="347" t="str">
        <f>xreg_vrops_nodeb_fqdn</f>
        <v>Value Missing</v>
      </c>
      <c r="K309" s="80" t="str">
        <f>IF(mgmt_vcf_management_network_chosen="Use VM management network",IF(mgmt_dpg_reuse_result="Included",CONCATENATE(prefix_mgmt_az1_cidr,"10.53"),CONCATENATE(prefix_mgmt_az1_cidr,"11.53")),CONCATENATE(prefix_flt_shared_cidr,".53"))</f>
        <v>10.11.10.53</v>
      </c>
      <c r="L309" s="347"/>
      <c r="M309" s="99" t="str">
        <f>IF(mgmt_domain_ops_automation_later_chosen="Selected","Inputs are masked out as you have opted to deploy VCF Ops and Automation post MGMT Domain deployment","Primary replica node of VCF Operations")</f>
        <v>Primary replica node of VCF Operations</v>
      </c>
    </row>
    <row r="310" spans="5:14" ht="20" customHeight="1" x14ac:dyDescent="0.2">
      <c r="E310" s="7"/>
      <c r="F310" s="7"/>
      <c r="G310" s="7"/>
      <c r="H310" s="7"/>
      <c r="I310" s="7"/>
      <c r="J310" s="347" t="str">
        <f>xreg_vrops_nodec_fqdn</f>
        <v>Value Missing</v>
      </c>
      <c r="K310" s="80" t="str">
        <f>IF(mgmt_vcf_management_network_chosen="Use VM management network",IF(mgmt_dpg_reuse_result="Included",CONCATENATE(prefix_mgmt_az1_cidr,"10.54"),CONCATENATE(prefix_mgmt_az1_cidr,"11.54")),CONCATENATE(prefix_flt_shared_cidr,".54"))</f>
        <v>10.11.10.54</v>
      </c>
      <c r="L310" s="347"/>
      <c r="M310" s="99" t="str">
        <f>IF(mgmt_domain_ops_automation_later_chosen="Selected","Inputs are masked out as you have opted to deploy VCF Ops and Automation post MGMT Domain deployment","Data node 1 of VCF Operations")</f>
        <v>Data node 1 of VCF Operations</v>
      </c>
    </row>
    <row r="311" spans="5:14" ht="20" customHeight="1" x14ac:dyDescent="0.2">
      <c r="E311" s="7"/>
      <c r="F311" s="7"/>
      <c r="G311" s="7"/>
      <c r="H311" s="7"/>
      <c r="I311" s="7"/>
      <c r="J311" s="347" t="str">
        <f>xreg_vrops_collector_fqdn</f>
        <v>Value Missing</v>
      </c>
      <c r="K311" s="80" t="str">
        <f>IF(mgmt_dpg_reuse_result="Included",CONCATENATE(prefix_mgmt_az1_cidr,"10.12"),CONCATENATE(prefix_mgmt_az1_cidr,"11.12"))</f>
        <v>10.11.10.12</v>
      </c>
      <c r="L311" s="347"/>
      <c r="M311" s="99" t="str">
        <f>IF(mgmt_domain_ops_automation_later_chosen="Selected","Inputs are masked out as you have opted to deploy VCF Ops and Automation post MGMT Domain deployment","Operations Collector Appliance")</f>
        <v>Operations Collector Appliance</v>
      </c>
    </row>
    <row r="312" spans="5:14" ht="20" customHeight="1" x14ac:dyDescent="0.2">
      <c r="E312" s="7"/>
      <c r="F312" s="7"/>
      <c r="G312" s="7"/>
      <c r="H312" s="7"/>
      <c r="I312" s="7"/>
      <c r="J312" s="346" t="s">
        <v>2754</v>
      </c>
      <c r="K312" s="346" t="s">
        <v>940</v>
      </c>
      <c r="L312" s="97" t="s">
        <v>941</v>
      </c>
      <c r="M312" s="346" t="s">
        <v>20</v>
      </c>
    </row>
    <row r="313" spans="5:14" ht="20" customHeight="1" x14ac:dyDescent="0.2">
      <c r="E313" s="7"/>
      <c r="F313" s="7"/>
      <c r="G313" s="7"/>
      <c r="H313" s="7"/>
      <c r="I313" s="7"/>
      <c r="J313" s="347" t="str">
        <f>xreg_vrops_virtual_fqdn</f>
        <v>Value Missing</v>
      </c>
      <c r="K313" s="80" t="str">
        <f>IF(mgmt_vcf_management_network_chosen="Use VM management network",IF(mgmt_dpg_reuse_result="Included",CONCATENATE(prefix_mgmt_az1_cidr,"10.21"),CONCATENATE(prefix_mgmt_az1_cidr,"11.21")),CONCATENATE(prefix_flt_shared_cidr,".21"))</f>
        <v>10.11.10.21</v>
      </c>
      <c r="L313" s="347"/>
      <c r="M313" s="337"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row>
    <row r="314" spans="5:14" ht="20" customHeight="1" x14ac:dyDescent="0.2">
      <c r="E314" s="7"/>
      <c r="F314" s="7"/>
      <c r="G314" s="7"/>
      <c r="H314" s="7"/>
      <c r="I314" s="7"/>
      <c r="J314" s="346" t="s">
        <v>3807</v>
      </c>
      <c r="K314" s="346" t="s">
        <v>940</v>
      </c>
      <c r="L314" s="97" t="s">
        <v>941</v>
      </c>
      <c r="M314" s="346" t="s">
        <v>20</v>
      </c>
    </row>
    <row r="315" spans="5:14" ht="20" customHeight="1" x14ac:dyDescent="0.2">
      <c r="E315" s="7"/>
      <c r="F315" s="7"/>
      <c r="G315" s="7"/>
      <c r="H315" s="7"/>
      <c r="I315" s="7"/>
      <c r="J315" s="347" t="str">
        <f>xreg_vra_virtual_fqdn</f>
        <v>Value Missing</v>
      </c>
      <c r="K315" s="80" t="str">
        <f>IF(mgmt_vcf_management_network_chosen="Use VM management network",IF(mgmt_dpg_reuse_result="Included",CONCATENATE(prefix_mgmt_az1_cidr,"10.25"),CONCATENATE(prefix_mgmt_az1_cidr,"11.25")),CONCATENATE(prefix_flt_shared_cidr,".25"))</f>
        <v>10.11.10.25</v>
      </c>
      <c r="L315" s="347"/>
      <c r="M315" s="99" t="str">
        <f>IF(mgmt_domain_ops_automation_later_chosen="Selected","Inputs are masked out as you have opted to deploy VCF Ops and Automation post MGMT Domain deployment","")</f>
        <v/>
      </c>
    </row>
    <row r="316" spans="5:14" ht="20" customHeight="1" x14ac:dyDescent="0.2">
      <c r="E316" s="7"/>
      <c r="F316" s="7"/>
      <c r="G316" s="7"/>
      <c r="H316" s="7"/>
      <c r="I316" s="7"/>
      <c r="J316" s="347" t="s">
        <v>2729</v>
      </c>
      <c r="K316" s="80" t="str">
        <f>IF(mgmt_vcf_management_network_chosen="Use VM management network",IF(mgmt_dpg_reuse_result="Included",CONCATENATE(prefix_mgmt_az1_cidr,"10.46"),CONCATENATE(prefix_mgmt_az1_cidr,"11.46")),CONCATENATE(prefix_flt_shared_cidr,".46"))</f>
        <v>10.11.10.46</v>
      </c>
      <c r="L316" s="337" t="str">
        <f>IF(ISBLANK(input_xreg_vra_nodea_ip),"Value Missing",input_xreg_vra_nodea_ip)</f>
        <v>Value Missing</v>
      </c>
      <c r="M316" s="99" t="str">
        <f>IF(mgmt_domain_ops_automation_later_chosen="Selected","Inputs are masked out as you have opted to deploy VCF Ops and Automation post MGMT Domain deployment","")</f>
        <v/>
      </c>
    </row>
    <row r="317" spans="5:14" ht="20" customHeight="1" x14ac:dyDescent="0.2">
      <c r="E317" s="7"/>
      <c r="F317" s="7"/>
      <c r="G317" s="7"/>
      <c r="H317" s="7"/>
      <c r="I317" s="7"/>
      <c r="J317" s="347" t="s">
        <v>2729</v>
      </c>
      <c r="K317" s="80" t="str">
        <f>IF(mgmt_vcf_management_network_chosen="Use VM management network",IF(mgmt_dpg_reuse_result="Included",CONCATENATE(prefix_mgmt_az1_cidr,"10.47"),CONCATENATE(prefix_mgmt_az1_cidr,"11.47")),CONCATENATE(prefix_flt_shared_cidr,".47"))</f>
        <v>10.11.10.47</v>
      </c>
      <c r="L317" s="337" t="str">
        <f>IF(ISBLANK(input_xreg_vra_nodeb_ip),"Value Missing",input_xreg_vra_nodeb_ip)</f>
        <v>Value Missing</v>
      </c>
      <c r="M317" s="99" t="str">
        <f>IF(mgmt_domain_ops_automation_later_chosen="Selected","Inputs are masked out as you have opted to deploy VCF Ops and Automation post MGMT Domain deployment","")</f>
        <v/>
      </c>
    </row>
    <row r="318" spans="5:14" ht="20" customHeight="1" x14ac:dyDescent="0.2">
      <c r="E318" s="7"/>
      <c r="F318" s="7"/>
      <c r="G318" s="7"/>
      <c r="H318" s="7"/>
      <c r="I318" s="7"/>
      <c r="J318" s="347" t="s">
        <v>2729</v>
      </c>
      <c r="K318" s="80" t="str">
        <f>IF(mgmt_vcf_management_network_chosen="Use VM management network",IF(mgmt_dpg_reuse_result="Included",CONCATENATE(prefix_mgmt_az1_cidr,"10.48"),CONCATENATE(prefix_mgmt_az1_cidr,"11.48")),CONCATENATE(prefix_flt_shared_cidr,".48"))</f>
        <v>10.11.10.48</v>
      </c>
      <c r="L318" s="337" t="str">
        <f>IF(ISBLANK(input_xreg_vra_nodec_ip),"Value Missing",input_xreg_vra_nodec_ip)</f>
        <v>Value Missing</v>
      </c>
      <c r="M318" s="99" t="str">
        <f>IF(mgmt_domain_ops_automation_later_chosen="Selected","Inputs are masked out as you have opted to deploy VCF Ops and Automation post MGMT Domain deployment","")</f>
        <v/>
      </c>
      <c r="N318" s="35"/>
    </row>
    <row r="319" spans="5:14" ht="20" customHeight="1" x14ac:dyDescent="0.2">
      <c r="E319" s="7"/>
      <c r="F319" s="7"/>
      <c r="G319" s="7"/>
      <c r="H319" s="7"/>
      <c r="I319" s="7"/>
      <c r="J319" s="347" t="s">
        <v>2729</v>
      </c>
      <c r="K319" s="80" t="str">
        <f>IF(mgmt_vcf_management_network_chosen="Use VM management network",IF(mgmt_dpg_reuse_result="Included",CONCATENATE(prefix_mgmt_az1_cidr,"10.49"),CONCATENATE(prefix_mgmt_az1_cidr,"11.49")),CONCATENATE(prefix_flt_shared_cidr,".49"))</f>
        <v>10.11.10.49</v>
      </c>
      <c r="L319" s="337" t="str">
        <f>IF(ISBLANK(input_xreg_vra_noded_ip),"Value Missing",input_xreg_vra_noded_ip)</f>
        <v>Value Missing</v>
      </c>
      <c r="M319" s="99" t="str">
        <f>IF(mgmt_domain_ops_automation_later_chosen="Selected","Inputs are masked out as you have opted to deploy VCF Ops and Automation post MGMT Domain deployment","")</f>
        <v/>
      </c>
      <c r="N319" s="2"/>
    </row>
    <row r="320" spans="5:14" ht="20" customHeight="1" x14ac:dyDescent="0.2">
      <c r="E320" s="7"/>
      <c r="F320" s="7"/>
      <c r="G320" s="7"/>
      <c r="H320" s="7"/>
      <c r="I320" s="7"/>
      <c r="J320" s="346" t="s">
        <v>3901</v>
      </c>
      <c r="K320" s="346" t="s">
        <v>940</v>
      </c>
      <c r="L320" s="97" t="s">
        <v>941</v>
      </c>
      <c r="M320" s="346" t="s">
        <v>20</v>
      </c>
      <c r="N320" s="2"/>
    </row>
    <row r="321" spans="5:14" ht="20" customHeight="1" x14ac:dyDescent="0.2">
      <c r="E321" s="7"/>
      <c r="F321" s="7"/>
      <c r="G321" s="7"/>
      <c r="H321" s="7"/>
      <c r="I321" s="7"/>
      <c r="J321" s="102"/>
      <c r="K321" s="89" t="str">
        <f>IF(mgmt_dpg_reuse_result="Included",CONCATENATE(prefix_mgmt_az1_cidr,"10.9"),CONCATENATE(prefix_mgmt_az1_cidr,"11.9"))</f>
        <v>10.11.10.9</v>
      </c>
      <c r="L321" s="347"/>
      <c r="M321" s="100" t="str">
        <f>IF(mgmt_vcf_installer_location_chosen="Deployed on one of the hosts in the management domain","VCF Installer","")</f>
        <v>VCF Installer</v>
      </c>
      <c r="N321" s="2"/>
    </row>
    <row r="322" spans="5:14" ht="20" customHeight="1" x14ac:dyDescent="0.2">
      <c r="E322" s="7"/>
      <c r="F322" s="7"/>
      <c r="G322" s="7"/>
      <c r="H322" s="7"/>
      <c r="I322" s="7"/>
      <c r="J322" s="331" t="str">
        <f>sddc_mgr_fqdn</f>
        <v>Value Missing</v>
      </c>
      <c r="K322" s="89" t="str">
        <f>IF(mgmt_dpg_reuse_result="Included",CONCATENATE(prefix_mgmt_az1_cidr,"10.13"),CONCATENATE(prefix_mgmt_az1_cidr,"11.13"))</f>
        <v>10.11.10.13</v>
      </c>
      <c r="L322" s="347"/>
      <c r="M322" s="100" t="str">
        <f>IF(mgmt_vcf_installer_location_chosen="Deployed outside management domain","SDDC Manager  Appliance",CONCATENATE("SDDC Manager  / Private Cloud Installer. ","Ensure this FQDN is used when setting the VCF Installer FQDN"))</f>
        <v>SDDC Manager  / Private Cloud Installer. Ensure this FQDN is used when setting the VCF Installer FQDN</v>
      </c>
    </row>
    <row r="323" spans="5:14" ht="20" customHeight="1" x14ac:dyDescent="0.2">
      <c r="E323" s="7"/>
      <c r="F323" s="7"/>
      <c r="G323" s="7"/>
      <c r="H323" s="7"/>
      <c r="I323" s="7"/>
      <c r="J323" s="331" t="str">
        <f>mgmt_vc_fqdn</f>
        <v>Value Missing</v>
      </c>
      <c r="K323" s="89" t="str">
        <f>IF(mgmt_dpg_reuse_result="Included",CONCATENATE(prefix_mgmt_az1_cidr,"10.70"),CONCATENATE(prefix_mgmt_az1_cidr,"11.70"))</f>
        <v>10.11.10.70</v>
      </c>
      <c r="L323" s="347"/>
      <c r="M323" s="100" t="s">
        <v>814</v>
      </c>
    </row>
    <row r="324" spans="5:14" ht="20" customHeight="1" x14ac:dyDescent="0.2">
      <c r="E324" s="7"/>
      <c r="F324" s="7"/>
      <c r="G324" s="7"/>
      <c r="H324" s="7"/>
      <c r="I324" s="7"/>
      <c r="J324" s="346" t="s">
        <v>2226</v>
      </c>
      <c r="K324" s="346" t="s">
        <v>940</v>
      </c>
      <c r="L324" s="97" t="s">
        <v>941</v>
      </c>
      <c r="M324" s="346" t="s">
        <v>20</v>
      </c>
    </row>
    <row r="325" spans="5:14" ht="20" customHeight="1" x14ac:dyDescent="0.2">
      <c r="E325" s="7"/>
      <c r="F325" s="7"/>
      <c r="G325" s="7"/>
      <c r="H325" s="7"/>
      <c r="I325" s="7"/>
      <c r="J325" s="331" t="str">
        <f>mgmt_nsxt_vip_fqdn</f>
        <v>Value Missing</v>
      </c>
      <c r="K325" s="89" t="str">
        <f>IF(mgmt_dpg_reuse_result="Included",CONCATENATE(prefix_mgmt_az1_cidr,"10.71"),CONCATENATE(prefix_mgmt_az1_cidr,"11.71"))</f>
        <v>10.11.10.71</v>
      </c>
      <c r="L325" s="347"/>
      <c r="M325" s="100" t="str">
        <f>IF(mgmt_domain_existing_nsx_manager_chosen="Included","Existing NSX Manager / Local Manager VIP","NSX Manager / Local Manager VIP")</f>
        <v>NSX Manager / Local Manager VIP</v>
      </c>
    </row>
    <row r="326" spans="5:14" ht="20" customHeight="1" x14ac:dyDescent="0.2">
      <c r="E326" s="7"/>
      <c r="F326" s="7"/>
      <c r="G326" s="7"/>
      <c r="H326" s="7"/>
      <c r="I326" s="7"/>
      <c r="J326" s="331" t="str">
        <f>mgmt_nsxt_mgra_fqdn</f>
        <v>Value Missing</v>
      </c>
      <c r="K326" s="89" t="str">
        <f>IF(mgmt_dpg_reuse_result="Included",CONCATENATE(prefix_mgmt_az1_cidr,"10.72"),CONCATENATE(prefix_mgmt_az1_cidr,"11.72"))</f>
        <v>10.11.10.72</v>
      </c>
      <c r="L326" s="347"/>
      <c r="M326" s="100" t="str">
        <f>IF(mgmt_domain_existing_nsx_manager_chosen="Included","Existing NSX Manager / Local Manager Node A","NSX Manager / Local Manager Node A")</f>
        <v>NSX Manager / Local Manager Node A</v>
      </c>
    </row>
    <row r="327" spans="5:14" ht="20" customHeight="1" x14ac:dyDescent="0.2">
      <c r="E327" s="7"/>
      <c r="F327" s="7"/>
      <c r="G327" s="7"/>
      <c r="H327" s="7"/>
      <c r="I327" s="7"/>
      <c r="J327" s="331" t="str">
        <f>mgmt_nsxt_mgrb_fqdn</f>
        <v>Value Missing</v>
      </c>
      <c r="K327" s="89" t="str">
        <f>IF(mgmt_dpg_reuse_result="Included",CONCATENATE(prefix_mgmt_az1_cidr,"10.73"),CONCATENATE(prefix_mgmt_az1_cidr,"11.73"))</f>
        <v>10.11.10.73</v>
      </c>
      <c r="L327" s="347"/>
      <c r="M327" s="100" t="str">
        <f>IF(mgmt_domain_existing_nsx_manager_chosen="Included","Existing NSX Manager / Local Manager Node B","NSX Manager / Local Manager Node B")</f>
        <v>NSX Manager / Local Manager Node B</v>
      </c>
    </row>
    <row r="328" spans="5:14" ht="20" customHeight="1" x14ac:dyDescent="0.2">
      <c r="E328" s="7"/>
      <c r="F328" s="7"/>
      <c r="G328" s="7"/>
      <c r="H328" s="7"/>
      <c r="I328" s="7"/>
      <c r="J328" s="331" t="str">
        <f>mgmt_nsxt_mgrc_fqdn</f>
        <v>Value Missing</v>
      </c>
      <c r="K328" s="89" t="str">
        <f>IF(mgmt_dpg_reuse_result="Included",CONCATENATE(prefix_mgmt_az1_cidr,"10.74"),CONCATENATE(prefix_mgmt_az1_cidr,"11.74"))</f>
        <v>10.11.10.74</v>
      </c>
      <c r="L328" s="347"/>
      <c r="M328" s="100" t="str">
        <f>IF(mgmt_domain_existing_nsx_manager_chosen="Included","Existing NSX Manager / Local Manager Node C","NSX Manager / Local Manager Node C")</f>
        <v>NSX Manager / Local Manager Node C</v>
      </c>
    </row>
    <row r="329" spans="5:14" ht="20" customHeight="1" x14ac:dyDescent="0.2">
      <c r="E329" s="7"/>
      <c r="F329" s="7"/>
      <c r="G329" s="7"/>
      <c r="H329" s="7"/>
      <c r="I329" s="7"/>
      <c r="J329" s="103" t="s">
        <v>214</v>
      </c>
      <c r="K329" s="346" t="s">
        <v>940</v>
      </c>
      <c r="L329" s="97" t="s">
        <v>941</v>
      </c>
      <c r="M329" s="346" t="s">
        <v>20</v>
      </c>
    </row>
    <row r="330" spans="5:14" ht="20" customHeight="1" x14ac:dyDescent="0.2">
      <c r="E330" s="7"/>
      <c r="F330" s="7"/>
      <c r="G330" s="7"/>
      <c r="H330" s="7"/>
      <c r="I330" s="7"/>
      <c r="J330" s="331" t="str">
        <f t="array" ref="J330:J345">mgmt_az1_host_fqdns</f>
        <v>Value Missing</v>
      </c>
      <c r="K330" s="89" t="str">
        <f>CONCATENATE(prefix_mgmt_az1_cidr,"11.101")</f>
        <v>10.11.11.101</v>
      </c>
      <c r="L330" s="347"/>
      <c r="M330" s="100" t="s">
        <v>216</v>
      </c>
    </row>
    <row r="331" spans="5:14" ht="20" customHeight="1" x14ac:dyDescent="0.2">
      <c r="E331" s="7"/>
      <c r="F331" s="7"/>
      <c r="G331" s="7"/>
      <c r="H331" s="7"/>
      <c r="I331" s="7"/>
      <c r="J331" s="331" t="str">
        <v>Value Missing</v>
      </c>
      <c r="K331" s="89" t="str">
        <f>CONCATENATE(prefix_mgmt_az1_cidr,"11.102")</f>
        <v>10.11.11.102</v>
      </c>
      <c r="L331" s="347"/>
      <c r="M331" s="100" t="s">
        <v>218</v>
      </c>
    </row>
    <row r="332" spans="5:14" ht="20" customHeight="1" x14ac:dyDescent="0.2">
      <c r="E332" s="7"/>
      <c r="F332" s="7"/>
      <c r="G332" s="7"/>
      <c r="H332" s="7"/>
      <c r="I332" s="7"/>
      <c r="J332" s="331" t="str">
        <v>Value Missing</v>
      </c>
      <c r="K332" s="89" t="str">
        <f>CONCATENATE(prefix_mgmt_az1_cidr,"11.103")</f>
        <v>10.11.11.103</v>
      </c>
      <c r="L332" s="347"/>
      <c r="M332" s="100" t="s">
        <v>220</v>
      </c>
    </row>
    <row r="333" spans="5:14" ht="20" customHeight="1" x14ac:dyDescent="0.2">
      <c r="E333" s="7"/>
      <c r="F333" s="7"/>
      <c r="G333" s="7"/>
      <c r="H333" s="7"/>
      <c r="I333" s="7"/>
      <c r="J333" s="331" t="str">
        <v>Value Missing</v>
      </c>
      <c r="K333" s="89" t="str">
        <f>CONCATENATE(prefix_mgmt_az1_cidr,"11.104")</f>
        <v>10.11.11.104</v>
      </c>
      <c r="L333" s="347"/>
      <c r="M333" s="100" t="s">
        <v>222</v>
      </c>
    </row>
    <row r="334" spans="5:14" ht="20" customHeight="1" x14ac:dyDescent="0.2">
      <c r="E334" s="7"/>
      <c r="F334" s="7"/>
      <c r="G334" s="7"/>
      <c r="H334" s="7"/>
      <c r="I334" s="7"/>
      <c r="J334" s="331" t="str">
        <v>Value Missing</v>
      </c>
      <c r="K334" s="89" t="str">
        <f>CONCATENATE(prefix_mgmt_az1_cidr,"11.105")</f>
        <v>10.11.11.105</v>
      </c>
      <c r="L334" s="347"/>
      <c r="M334" s="100" t="s">
        <v>224</v>
      </c>
    </row>
    <row r="335" spans="5:14" ht="20" customHeight="1" x14ac:dyDescent="0.2">
      <c r="E335" s="7"/>
      <c r="F335" s="7"/>
      <c r="G335" s="7"/>
      <c r="H335" s="7"/>
      <c r="I335" s="7"/>
      <c r="J335" s="331" t="str">
        <v>Value Missing</v>
      </c>
      <c r="K335" s="89" t="str">
        <f>CONCATENATE(prefix_mgmt_az1_cidr,"11.106")</f>
        <v>10.11.11.106</v>
      </c>
      <c r="L335" s="347"/>
      <c r="M335" s="100" t="s">
        <v>226</v>
      </c>
    </row>
    <row r="336" spans="5:14" ht="20" customHeight="1" x14ac:dyDescent="0.2">
      <c r="E336" s="7"/>
      <c r="F336" s="7"/>
      <c r="G336" s="7"/>
      <c r="H336" s="7"/>
      <c r="I336" s="7"/>
      <c r="J336" s="331" t="str">
        <v>Value Missing</v>
      </c>
      <c r="K336" s="89" t="str">
        <f>CONCATENATE(prefix_mgmt_az1_cidr,"11.107")</f>
        <v>10.11.11.107</v>
      </c>
      <c r="L336" s="347"/>
      <c r="M336" s="100" t="s">
        <v>228</v>
      </c>
    </row>
    <row r="337" spans="5:13" ht="20" customHeight="1" x14ac:dyDescent="0.2">
      <c r="E337" s="7"/>
      <c r="F337" s="7"/>
      <c r="G337" s="7"/>
      <c r="H337" s="7"/>
      <c r="I337" s="7"/>
      <c r="J337" s="331" t="str">
        <v>Value Missing</v>
      </c>
      <c r="K337" s="89" t="str">
        <f>CONCATENATE(prefix_mgmt_az1_cidr,"11.108")</f>
        <v>10.11.11.108</v>
      </c>
      <c r="L337" s="347"/>
      <c r="M337" s="100" t="s">
        <v>230</v>
      </c>
    </row>
    <row r="338" spans="5:13" ht="20" customHeight="1" x14ac:dyDescent="0.2">
      <c r="E338" s="7"/>
      <c r="F338" s="7"/>
      <c r="G338" s="7"/>
      <c r="H338" s="7"/>
      <c r="I338" s="7"/>
      <c r="J338" s="331" t="str">
        <v>Value Missing</v>
      </c>
      <c r="K338" s="89" t="str">
        <f>CONCATENATE(prefix_mgmt_az1_cidr,"11.109")</f>
        <v>10.11.11.109</v>
      </c>
      <c r="L338" s="347"/>
      <c r="M338" s="100" t="s">
        <v>232</v>
      </c>
    </row>
    <row r="339" spans="5:13" ht="20" customHeight="1" x14ac:dyDescent="0.2">
      <c r="E339" s="7"/>
      <c r="F339" s="7"/>
      <c r="G339" s="7"/>
      <c r="H339" s="7"/>
      <c r="I339" s="7"/>
      <c r="J339" s="331" t="str">
        <v>Value Missing</v>
      </c>
      <c r="K339" s="89" t="str">
        <f>CONCATENATE(prefix_mgmt_az1_cidr,"11.110")</f>
        <v>10.11.11.110</v>
      </c>
      <c r="L339" s="347"/>
      <c r="M339" s="100" t="s">
        <v>234</v>
      </c>
    </row>
    <row r="340" spans="5:13" ht="20" customHeight="1" x14ac:dyDescent="0.2">
      <c r="E340" s="7"/>
      <c r="F340" s="7"/>
      <c r="G340" s="7"/>
      <c r="H340" s="7"/>
      <c r="I340" s="7"/>
      <c r="J340" s="331" t="str">
        <v>Value Missing</v>
      </c>
      <c r="K340" s="89" t="str">
        <f>CONCATENATE(prefix_mgmt_az1_cidr,"11.111")</f>
        <v>10.11.11.111</v>
      </c>
      <c r="L340" s="347"/>
      <c r="M340" s="100" t="s">
        <v>236</v>
      </c>
    </row>
    <row r="341" spans="5:13" ht="20" customHeight="1" x14ac:dyDescent="0.2">
      <c r="E341" s="7"/>
      <c r="F341" s="7"/>
      <c r="G341" s="7"/>
      <c r="H341" s="7"/>
      <c r="I341" s="7"/>
      <c r="J341" s="331" t="str">
        <v>Value Missing</v>
      </c>
      <c r="K341" s="89" t="str">
        <f>CONCATENATE(prefix_mgmt_az1_cidr,"11.112")</f>
        <v>10.11.11.112</v>
      </c>
      <c r="L341" s="347"/>
      <c r="M341" s="100" t="s">
        <v>238</v>
      </c>
    </row>
    <row r="342" spans="5:13" ht="20" customHeight="1" x14ac:dyDescent="0.2">
      <c r="E342" s="7"/>
      <c r="F342" s="7"/>
      <c r="G342" s="7"/>
      <c r="H342" s="7"/>
      <c r="I342" s="7"/>
      <c r="J342" s="331" t="str">
        <v>Value Missing</v>
      </c>
      <c r="K342" s="89" t="str">
        <f>CONCATENATE(prefix_mgmt_az1_cidr,"11.113")</f>
        <v>10.11.11.113</v>
      </c>
      <c r="L342" s="347"/>
      <c r="M342" s="100" t="s">
        <v>240</v>
      </c>
    </row>
    <row r="343" spans="5:13" ht="20" customHeight="1" x14ac:dyDescent="0.2">
      <c r="E343" s="7"/>
      <c r="F343" s="7"/>
      <c r="G343" s="7"/>
      <c r="H343" s="7"/>
      <c r="I343" s="7"/>
      <c r="J343" s="331" t="str">
        <v>Value Missing</v>
      </c>
      <c r="K343" s="89" t="str">
        <f>CONCATENATE(prefix_mgmt_az1_cidr,"11.114")</f>
        <v>10.11.11.114</v>
      </c>
      <c r="L343" s="347"/>
      <c r="M343" s="100" t="s">
        <v>242</v>
      </c>
    </row>
    <row r="344" spans="5:13" ht="20" customHeight="1" x14ac:dyDescent="0.2">
      <c r="E344" s="7"/>
      <c r="F344" s="7"/>
      <c r="G344" s="7"/>
      <c r="H344" s="7"/>
      <c r="I344" s="7"/>
      <c r="J344" s="331" t="str">
        <v>Value Missing</v>
      </c>
      <c r="K344" s="89" t="str">
        <f>CONCATENATE(prefix_mgmt_az1_cidr,"11.115")</f>
        <v>10.11.11.115</v>
      </c>
      <c r="L344" s="347"/>
      <c r="M344" s="100" t="s">
        <v>244</v>
      </c>
    </row>
    <row r="345" spans="5:13" ht="20" customHeight="1" x14ac:dyDescent="0.2">
      <c r="E345" s="7"/>
      <c r="F345" s="7"/>
      <c r="G345" s="7"/>
      <c r="H345" s="7"/>
      <c r="I345" s="7"/>
      <c r="J345" s="331" t="str">
        <v>Value Missing</v>
      </c>
      <c r="K345" s="89" t="str">
        <f>CONCATENATE(prefix_mgmt_az1_cidr,"11.116")</f>
        <v>10.11.11.116</v>
      </c>
      <c r="L345" s="347"/>
      <c r="M345" s="100" t="s">
        <v>246</v>
      </c>
    </row>
    <row r="346" spans="5:13" x14ac:dyDescent="0.2">
      <c r="E346" s="7"/>
      <c r="F346" s="7"/>
      <c r="G346" s="7"/>
      <c r="H346" s="7"/>
      <c r="I346" s="7"/>
    </row>
    <row r="347" spans="5:13" ht="18" hidden="1" x14ac:dyDescent="0.2">
      <c r="E347" s="7"/>
      <c r="F347" s="7"/>
      <c r="G347" s="7"/>
      <c r="H347" s="7"/>
      <c r="I347" s="7"/>
      <c r="J347" s="335" t="s">
        <v>3902</v>
      </c>
      <c r="K347" s="335"/>
      <c r="L347" s="335"/>
      <c r="M347" s="335"/>
    </row>
    <row r="348" spans="5:13" hidden="1" x14ac:dyDescent="0.2">
      <c r="E348" s="7"/>
      <c r="F348" s="7"/>
      <c r="G348" s="7"/>
      <c r="H348" s="7"/>
      <c r="I348" s="7"/>
      <c r="J348" s="4" t="s">
        <v>3903</v>
      </c>
      <c r="K348" s="4"/>
      <c r="L348" s="4"/>
      <c r="M348" s="4"/>
    </row>
    <row r="349" spans="5:13" hidden="1" x14ac:dyDescent="0.2">
      <c r="E349" s="7"/>
      <c r="F349" s="7"/>
      <c r="G349" s="7"/>
      <c r="H349" s="7"/>
      <c r="I349" s="7"/>
      <c r="J349" s="4" t="s">
        <v>1953</v>
      </c>
      <c r="K349" s="491" t="s">
        <v>632</v>
      </c>
      <c r="L349" s="491"/>
      <c r="M349" s="347" t="s">
        <v>632</v>
      </c>
    </row>
    <row r="350" spans="5:13" hidden="1" x14ac:dyDescent="0.2">
      <c r="E350" s="7"/>
      <c r="F350" s="7"/>
      <c r="G350" s="7"/>
      <c r="H350" s="7"/>
      <c r="I350" s="7"/>
      <c r="J350" s="4" t="s">
        <v>1958</v>
      </c>
      <c r="K350" s="491" t="str">
        <f>CONCATENATE(this_instance,"-m01-cl01-rp-sddc-mgmt")</f>
        <v>sfo-m01-cl01-rp-sddc-mgmt</v>
      </c>
      <c r="L350" s="491"/>
      <c r="M350" s="347"/>
    </row>
    <row r="351" spans="5:13" hidden="1" x14ac:dyDescent="0.2">
      <c r="E351" s="7"/>
      <c r="F351" s="7"/>
      <c r="G351" s="7"/>
      <c r="H351" s="7"/>
      <c r="I351" s="7"/>
      <c r="J351" s="4" t="s">
        <v>1964</v>
      </c>
      <c r="K351" s="491" t="str">
        <f>CONCATENATE(this_instance,"-m01-cl01-rp-sddc-edge")</f>
        <v>sfo-m01-cl01-rp-sddc-edge</v>
      </c>
      <c r="L351" s="491"/>
      <c r="M351" s="347"/>
    </row>
    <row r="352" spans="5:13" hidden="1" x14ac:dyDescent="0.2">
      <c r="E352" s="7"/>
      <c r="F352" s="7"/>
      <c r="G352" s="7"/>
      <c r="H352" s="7"/>
      <c r="I352" s="7"/>
      <c r="J352" s="4" t="s">
        <v>1970</v>
      </c>
      <c r="K352" s="491" t="str">
        <f>CONCATENATE(this_instance,"-m01-cl01-rp-user-edge")</f>
        <v>sfo-m01-cl01-rp-user-edge</v>
      </c>
      <c r="L352" s="491"/>
      <c r="M352" s="347"/>
    </row>
    <row r="353" spans="5:13" hidden="1" x14ac:dyDescent="0.2">
      <c r="E353" s="7"/>
      <c r="F353" s="7"/>
      <c r="G353" s="7"/>
      <c r="H353" s="7"/>
      <c r="I353" s="7"/>
      <c r="J353" s="4" t="s">
        <v>1975</v>
      </c>
      <c r="K353" s="491" t="str">
        <f>CONCATENATE(this_instance,"-m01-cl01-rp-user-vm")</f>
        <v>sfo-m01-cl01-rp-user-vm</v>
      </c>
      <c r="L353" s="491"/>
      <c r="M353" s="347"/>
    </row>
    <row r="354" spans="5:13" x14ac:dyDescent="0.2">
      <c r="E354" s="7"/>
      <c r="F354" s="7"/>
      <c r="G354" s="7"/>
      <c r="H354" s="7"/>
      <c r="I354" s="7"/>
    </row>
    <row r="355" spans="5:13" x14ac:dyDescent="0.2">
      <c r="E355" s="7"/>
      <c r="F355" s="7"/>
      <c r="G355" s="7"/>
      <c r="H355" s="7"/>
      <c r="I355" s="7"/>
    </row>
    <row r="356" spans="5:13" x14ac:dyDescent="0.2">
      <c r="E356" s="7"/>
      <c r="F356" s="7"/>
      <c r="G356" s="7"/>
      <c r="H356" s="7"/>
      <c r="I356" s="7"/>
    </row>
    <row r="357" spans="5:13" x14ac:dyDescent="0.2">
      <c r="E357" s="7"/>
      <c r="F357" s="7"/>
      <c r="G357" s="7"/>
      <c r="H357" s="7"/>
      <c r="I357" s="7"/>
    </row>
    <row r="358" spans="5:13" x14ac:dyDescent="0.2">
      <c r="E358" s="7"/>
      <c r="F358" s="7"/>
      <c r="G358" s="7"/>
      <c r="H358" s="7"/>
      <c r="I358" s="7"/>
    </row>
    <row r="359" spans="5:13" x14ac:dyDescent="0.2">
      <c r="E359" s="7"/>
      <c r="F359" s="7"/>
      <c r="G359" s="7"/>
      <c r="H359" s="7"/>
      <c r="I359" s="7"/>
    </row>
    <row r="360" spans="5:13" x14ac:dyDescent="0.2">
      <c r="E360" s="7"/>
      <c r="F360" s="7"/>
      <c r="G360" s="7"/>
      <c r="H360" s="7"/>
      <c r="I360" s="7"/>
    </row>
    <row r="361" spans="5:13" x14ac:dyDescent="0.2">
      <c r="E361" s="7"/>
      <c r="F361" s="7"/>
      <c r="G361" s="7"/>
      <c r="H361" s="7"/>
      <c r="I361" s="7"/>
    </row>
    <row r="362" spans="5:13" x14ac:dyDescent="0.2">
      <c r="E362" s="7"/>
      <c r="F362" s="7"/>
      <c r="G362" s="7"/>
      <c r="H362" s="7"/>
      <c r="I362" s="7"/>
    </row>
    <row r="363" spans="5:13" x14ac:dyDescent="0.2">
      <c r="E363" s="7"/>
      <c r="F363" s="7"/>
      <c r="G363" s="7"/>
      <c r="H363" s="7"/>
      <c r="I363" s="7"/>
    </row>
    <row r="364" spans="5:13" x14ac:dyDescent="0.2">
      <c r="E364" s="7"/>
      <c r="F364" s="7"/>
      <c r="G364" s="7"/>
      <c r="H364" s="7"/>
      <c r="I364" s="7"/>
    </row>
    <row r="365" spans="5:13" x14ac:dyDescent="0.2">
      <c r="E365" s="7"/>
      <c r="F365" s="7"/>
      <c r="G365" s="7"/>
      <c r="H365" s="7"/>
      <c r="I365" s="7"/>
    </row>
    <row r="366" spans="5:13" x14ac:dyDescent="0.2">
      <c r="E366" s="7"/>
      <c r="F366" s="7"/>
      <c r="G366" s="7"/>
      <c r="H366" s="7"/>
      <c r="I366" s="7"/>
    </row>
    <row r="367" spans="5:13" x14ac:dyDescent="0.2">
      <c r="E367" s="7"/>
      <c r="F367" s="7"/>
      <c r="G367" s="7"/>
      <c r="H367" s="7"/>
      <c r="I367" s="7"/>
    </row>
    <row r="368" spans="5:13" x14ac:dyDescent="0.2">
      <c r="E368" s="7"/>
      <c r="F368" s="7"/>
      <c r="G368" s="7"/>
      <c r="H368" s="7"/>
      <c r="I368" s="7"/>
    </row>
    <row r="369" spans="5:12" x14ac:dyDescent="0.2">
      <c r="E369" s="7"/>
      <c r="F369" s="7"/>
      <c r="G369" s="7"/>
      <c r="H369" s="7"/>
      <c r="I369" s="7"/>
    </row>
    <row r="370" spans="5:12" x14ac:dyDescent="0.2">
      <c r="E370" s="7"/>
      <c r="F370" s="7"/>
      <c r="G370" s="7"/>
      <c r="H370" s="7"/>
      <c r="I370" s="7"/>
    </row>
    <row r="371" spans="5:12" x14ac:dyDescent="0.2">
      <c r="E371" s="7"/>
      <c r="F371" s="7"/>
      <c r="G371" s="7"/>
      <c r="H371" s="7"/>
      <c r="I371" s="7"/>
    </row>
    <row r="372" spans="5:12" x14ac:dyDescent="0.2">
      <c r="E372" s="7"/>
      <c r="F372" s="7"/>
      <c r="G372" s="7"/>
      <c r="H372" s="7"/>
      <c r="I372" s="7"/>
    </row>
    <row r="373" spans="5:12" x14ac:dyDescent="0.2">
      <c r="E373" s="7"/>
      <c r="F373" s="7"/>
      <c r="G373" s="7"/>
      <c r="H373" s="7"/>
      <c r="I373" s="7"/>
    </row>
    <row r="374" spans="5:12" x14ac:dyDescent="0.2">
      <c r="E374" s="7"/>
      <c r="F374" s="7"/>
      <c r="G374" s="7"/>
      <c r="H374" s="7"/>
      <c r="I374" s="7"/>
    </row>
    <row r="375" spans="5:12" x14ac:dyDescent="0.2">
      <c r="E375" s="7"/>
      <c r="F375" s="7"/>
      <c r="G375" s="7"/>
      <c r="H375" s="7"/>
      <c r="I375" s="7"/>
    </row>
    <row r="376" spans="5:12" x14ac:dyDescent="0.2">
      <c r="E376" s="7"/>
      <c r="F376" s="7"/>
      <c r="G376" s="7"/>
      <c r="H376" s="7"/>
      <c r="I376" s="7"/>
    </row>
    <row r="377" spans="5:12" x14ac:dyDescent="0.2">
      <c r="E377" s="7"/>
      <c r="F377" s="7"/>
      <c r="G377" s="7"/>
      <c r="H377" s="7"/>
      <c r="I377" s="7"/>
    </row>
    <row r="378" spans="5:12" x14ac:dyDescent="0.2">
      <c r="E378" s="7"/>
      <c r="F378" s="7"/>
      <c r="G378" s="7"/>
      <c r="H378" s="7"/>
      <c r="I378" s="7"/>
      <c r="L378" s="8">
        <v>1</v>
      </c>
    </row>
    <row r="379" spans="5:12" x14ac:dyDescent="0.2">
      <c r="E379" s="7"/>
      <c r="F379" s="7"/>
      <c r="G379" s="7"/>
      <c r="H379" s="7"/>
      <c r="I379" s="7"/>
    </row>
    <row r="380" spans="5:12" x14ac:dyDescent="0.2">
      <c r="E380" s="7"/>
      <c r="F380" s="7"/>
      <c r="G380" s="7"/>
      <c r="H380" s="7"/>
      <c r="I380" s="7"/>
    </row>
    <row r="381" spans="5:12" x14ac:dyDescent="0.2">
      <c r="E381" s="7"/>
      <c r="F381" s="7"/>
      <c r="G381" s="7"/>
      <c r="H381" s="7"/>
      <c r="I381" s="7"/>
    </row>
    <row r="382" spans="5:12" x14ac:dyDescent="0.2">
      <c r="E382" s="7"/>
      <c r="F382" s="7"/>
      <c r="G382" s="7"/>
      <c r="H382" s="7"/>
      <c r="I382" s="7"/>
    </row>
    <row r="383" spans="5:12" x14ac:dyDescent="0.2">
      <c r="E383" s="7"/>
      <c r="F383" s="7"/>
      <c r="G383" s="7"/>
      <c r="H383" s="7"/>
      <c r="I383" s="7"/>
    </row>
    <row r="384" spans="5:12" x14ac:dyDescent="0.2">
      <c r="E384" s="7"/>
      <c r="F384" s="7"/>
      <c r="G384" s="7"/>
      <c r="H384" s="7"/>
      <c r="I384" s="7"/>
    </row>
    <row r="385" spans="5:9" x14ac:dyDescent="0.2">
      <c r="E385" s="7"/>
      <c r="F385" s="7"/>
      <c r="G385" s="7"/>
      <c r="H385" s="7"/>
      <c r="I385" s="7"/>
    </row>
    <row r="386" spans="5:9" x14ac:dyDescent="0.2">
      <c r="E386" s="7"/>
      <c r="F386" s="7"/>
      <c r="G386" s="7"/>
      <c r="H386" s="7"/>
      <c r="I386" s="7"/>
    </row>
    <row r="387" spans="5:9" x14ac:dyDescent="0.2">
      <c r="E387" s="7"/>
      <c r="F387" s="7"/>
      <c r="G387" s="7"/>
      <c r="H387" s="7"/>
      <c r="I387" s="7"/>
    </row>
    <row r="388" spans="5:9" x14ac:dyDescent="0.2">
      <c r="E388" s="7"/>
      <c r="F388" s="7"/>
      <c r="G388" s="7"/>
      <c r="H388" s="7"/>
      <c r="I388" s="7"/>
    </row>
    <row r="389" spans="5:9" x14ac:dyDescent="0.2">
      <c r="E389" s="7"/>
      <c r="F389" s="7"/>
      <c r="G389" s="7"/>
      <c r="H389" s="7"/>
      <c r="I389" s="7"/>
    </row>
    <row r="390" spans="5:9" x14ac:dyDescent="0.2">
      <c r="E390" s="7"/>
      <c r="F390" s="7"/>
      <c r="G390" s="7"/>
      <c r="H390" s="7"/>
      <c r="I390" s="7"/>
    </row>
    <row r="391" spans="5:9" x14ac:dyDescent="0.2">
      <c r="E391" s="7"/>
      <c r="F391" s="7"/>
      <c r="G391" s="7"/>
      <c r="H391" s="7"/>
      <c r="I391" s="7"/>
    </row>
    <row r="392" spans="5:9" x14ac:dyDescent="0.2">
      <c r="E392" s="7"/>
      <c r="F392" s="7"/>
      <c r="G392" s="7"/>
      <c r="H392" s="7"/>
      <c r="I392" s="7"/>
    </row>
    <row r="393" spans="5:9" x14ac:dyDescent="0.2">
      <c r="E393" s="7"/>
      <c r="F393" s="7"/>
      <c r="G393" s="7"/>
      <c r="H393" s="7"/>
      <c r="I393" s="7"/>
    </row>
    <row r="394" spans="5:9" x14ac:dyDescent="0.2">
      <c r="E394" s="7"/>
      <c r="F394" s="7"/>
      <c r="G394" s="7"/>
      <c r="H394" s="7"/>
      <c r="I394" s="7"/>
    </row>
    <row r="395" spans="5:9" x14ac:dyDescent="0.2">
      <c r="E395" s="7"/>
      <c r="F395" s="7"/>
      <c r="G395" s="7"/>
      <c r="H395" s="7"/>
      <c r="I395" s="7"/>
    </row>
    <row r="396" spans="5:9" x14ac:dyDescent="0.2">
      <c r="E396" s="7"/>
      <c r="F396" s="7"/>
      <c r="G396" s="7"/>
      <c r="H396" s="7"/>
      <c r="I396" s="7"/>
    </row>
    <row r="397" spans="5:9" x14ac:dyDescent="0.2">
      <c r="E397" s="7"/>
      <c r="F397" s="7"/>
      <c r="G397" s="7"/>
      <c r="H397" s="7"/>
      <c r="I397" s="7"/>
    </row>
    <row r="398" spans="5:9" x14ac:dyDescent="0.2">
      <c r="E398" s="7"/>
      <c r="F398" s="7"/>
      <c r="G398" s="7"/>
      <c r="H398" s="7"/>
      <c r="I398" s="7"/>
    </row>
    <row r="399" spans="5:9" x14ac:dyDescent="0.2">
      <c r="E399" s="7"/>
      <c r="F399" s="7"/>
      <c r="G399" s="7"/>
      <c r="H399" s="7"/>
      <c r="I399" s="7"/>
    </row>
    <row r="400" spans="5:9" x14ac:dyDescent="0.2">
      <c r="E400" s="7"/>
      <c r="F400" s="7"/>
      <c r="G400" s="7"/>
      <c r="H400" s="7"/>
      <c r="I400" s="7"/>
    </row>
    <row r="401" spans="5:9" x14ac:dyDescent="0.2">
      <c r="E401" s="7"/>
      <c r="F401" s="7"/>
      <c r="G401" s="7"/>
      <c r="H401" s="7"/>
      <c r="I401" s="7"/>
    </row>
    <row r="402" spans="5:9" x14ac:dyDescent="0.2">
      <c r="E402" s="7"/>
      <c r="F402" s="7"/>
      <c r="G402" s="7"/>
      <c r="H402" s="7"/>
      <c r="I402" s="7"/>
    </row>
    <row r="403" spans="5:9" x14ac:dyDescent="0.2">
      <c r="E403" s="7"/>
      <c r="F403" s="7"/>
      <c r="G403" s="7"/>
      <c r="H403" s="7"/>
      <c r="I403" s="7"/>
    </row>
    <row r="404" spans="5:9" x14ac:dyDescent="0.2">
      <c r="E404" s="7"/>
      <c r="F404" s="7"/>
      <c r="G404" s="7"/>
      <c r="H404" s="7"/>
      <c r="I404" s="7"/>
    </row>
    <row r="405" spans="5:9" x14ac:dyDescent="0.2">
      <c r="E405" s="7"/>
      <c r="F405" s="7"/>
      <c r="G405" s="7"/>
      <c r="H405" s="7"/>
      <c r="I405" s="7"/>
    </row>
    <row r="406" spans="5:9" x14ac:dyDescent="0.2">
      <c r="E406" s="7"/>
      <c r="F406" s="7"/>
      <c r="G406" s="7"/>
      <c r="H406" s="7"/>
      <c r="I406" s="7"/>
    </row>
    <row r="407" spans="5:9" x14ac:dyDescent="0.2">
      <c r="E407" s="7"/>
      <c r="F407" s="7"/>
      <c r="G407" s="7"/>
      <c r="H407" s="7"/>
      <c r="I407" s="7"/>
    </row>
    <row r="408" spans="5:9" x14ac:dyDescent="0.2">
      <c r="E408" s="7"/>
      <c r="F408" s="7"/>
      <c r="G408" s="7"/>
      <c r="H408" s="7"/>
      <c r="I408" s="7"/>
    </row>
    <row r="409" spans="5:9" x14ac:dyDescent="0.2">
      <c r="E409" s="7"/>
      <c r="F409" s="7"/>
      <c r="G409" s="7"/>
      <c r="H409" s="7"/>
      <c r="I409" s="7"/>
    </row>
    <row r="410" spans="5:9" x14ac:dyDescent="0.2">
      <c r="E410" s="7"/>
      <c r="F410" s="7"/>
      <c r="G410" s="7"/>
      <c r="H410" s="7"/>
      <c r="I410" s="7"/>
    </row>
    <row r="411" spans="5:9" x14ac:dyDescent="0.2">
      <c r="E411" s="7"/>
      <c r="F411" s="7"/>
      <c r="G411" s="7"/>
      <c r="H411" s="7"/>
      <c r="I411" s="7"/>
    </row>
    <row r="412" spans="5:9" x14ac:dyDescent="0.2">
      <c r="E412" s="7"/>
      <c r="F412" s="7"/>
      <c r="G412" s="7"/>
      <c r="H412" s="7"/>
      <c r="I412" s="7"/>
    </row>
    <row r="413" spans="5:9" x14ac:dyDescent="0.2">
      <c r="E413" s="7"/>
      <c r="F413" s="7"/>
      <c r="G413" s="7"/>
      <c r="H413" s="7"/>
      <c r="I413" s="7"/>
    </row>
    <row r="414" spans="5:9" x14ac:dyDescent="0.2">
      <c r="E414" s="7"/>
      <c r="F414" s="7"/>
      <c r="G414" s="7"/>
      <c r="H414" s="7"/>
      <c r="I414" s="7"/>
    </row>
    <row r="415" spans="5:9" x14ac:dyDescent="0.2">
      <c r="E415" s="7"/>
      <c r="F415" s="7"/>
      <c r="G415" s="7"/>
      <c r="H415" s="7"/>
      <c r="I415" s="7"/>
    </row>
    <row r="416" spans="5:9" x14ac:dyDescent="0.2">
      <c r="E416" s="7"/>
      <c r="F416" s="7"/>
      <c r="G416" s="7"/>
      <c r="H416" s="7"/>
      <c r="I416" s="7"/>
    </row>
    <row r="417" spans="5:9" x14ac:dyDescent="0.2">
      <c r="E417" s="7"/>
      <c r="F417" s="7"/>
      <c r="G417" s="7"/>
      <c r="H417" s="7"/>
      <c r="I417" s="7"/>
    </row>
    <row r="418" spans="5:9" x14ac:dyDescent="0.2">
      <c r="E418" s="7"/>
      <c r="F418" s="7"/>
      <c r="G418" s="7"/>
      <c r="H418" s="7"/>
      <c r="I418" s="7"/>
    </row>
    <row r="419" spans="5:9" x14ac:dyDescent="0.2">
      <c r="E419" s="7"/>
      <c r="F419" s="7"/>
      <c r="G419" s="7"/>
      <c r="H419" s="7"/>
      <c r="I419" s="7"/>
    </row>
    <row r="420" spans="5:9" x14ac:dyDescent="0.2">
      <c r="E420" s="7"/>
      <c r="F420" s="7"/>
      <c r="G420" s="7"/>
      <c r="H420" s="7"/>
      <c r="I420" s="7"/>
    </row>
    <row r="421" spans="5:9" x14ac:dyDescent="0.2">
      <c r="E421" s="7"/>
      <c r="F421" s="7"/>
      <c r="G421" s="7"/>
      <c r="H421" s="7"/>
      <c r="I421" s="7"/>
    </row>
    <row r="422" spans="5:9" x14ac:dyDescent="0.2">
      <c r="E422" s="7"/>
      <c r="F422" s="7"/>
      <c r="G422" s="7"/>
      <c r="H422" s="7"/>
      <c r="I422" s="7"/>
    </row>
    <row r="423" spans="5:9" x14ac:dyDescent="0.2">
      <c r="E423" s="7"/>
      <c r="F423" s="7"/>
      <c r="G423" s="7"/>
      <c r="H423" s="7"/>
      <c r="I423" s="7"/>
    </row>
    <row r="424" spans="5:9" x14ac:dyDescent="0.2">
      <c r="E424" s="7"/>
      <c r="F424" s="7"/>
      <c r="G424" s="7"/>
      <c r="H424" s="7"/>
      <c r="I424" s="7"/>
    </row>
    <row r="425" spans="5:9" x14ac:dyDescent="0.2">
      <c r="E425" s="7"/>
      <c r="F425" s="7"/>
      <c r="G425" s="7"/>
      <c r="H425" s="7"/>
      <c r="I425" s="7"/>
    </row>
    <row r="426" spans="5:9" x14ac:dyDescent="0.2">
      <c r="E426" s="7"/>
      <c r="F426" s="7"/>
      <c r="G426" s="7"/>
      <c r="H426" s="7"/>
      <c r="I426" s="7"/>
    </row>
    <row r="427" spans="5:9" x14ac:dyDescent="0.2">
      <c r="E427" s="7"/>
      <c r="F427" s="7"/>
      <c r="G427" s="7"/>
      <c r="H427" s="7"/>
      <c r="I427" s="7"/>
    </row>
    <row r="428" spans="5:9" x14ac:dyDescent="0.2">
      <c r="E428" s="7"/>
      <c r="F428" s="7"/>
      <c r="G428" s="7"/>
      <c r="H428" s="7"/>
      <c r="I428" s="7"/>
    </row>
    <row r="429" spans="5:9" x14ac:dyDescent="0.2">
      <c r="E429" s="7"/>
      <c r="F429" s="7"/>
      <c r="G429" s="7"/>
      <c r="H429" s="7"/>
      <c r="I429" s="7"/>
    </row>
    <row r="430" spans="5:9" x14ac:dyDescent="0.2">
      <c r="E430" s="7"/>
      <c r="F430" s="7"/>
      <c r="G430" s="7"/>
      <c r="H430" s="7"/>
      <c r="I430" s="7"/>
    </row>
    <row r="431" spans="5:9" x14ac:dyDescent="0.2">
      <c r="E431" s="7"/>
      <c r="F431" s="7"/>
      <c r="G431" s="7"/>
      <c r="H431" s="7"/>
      <c r="I431" s="7"/>
    </row>
    <row r="432" spans="5:9" x14ac:dyDescent="0.2">
      <c r="E432" s="7"/>
      <c r="F432" s="7"/>
      <c r="G432" s="7"/>
      <c r="H432" s="7"/>
      <c r="I432" s="7"/>
    </row>
    <row r="433" spans="5:9" x14ac:dyDescent="0.2">
      <c r="E433" s="7"/>
      <c r="F433" s="7"/>
      <c r="G433" s="7"/>
      <c r="H433" s="7"/>
      <c r="I433" s="7"/>
    </row>
    <row r="434" spans="5:9" x14ac:dyDescent="0.2">
      <c r="E434" s="7"/>
      <c r="F434" s="7"/>
      <c r="G434" s="7"/>
      <c r="H434" s="7"/>
      <c r="I434" s="7"/>
    </row>
    <row r="435" spans="5:9" x14ac:dyDescent="0.2">
      <c r="E435" s="7"/>
      <c r="F435" s="7"/>
      <c r="G435" s="7"/>
      <c r="H435" s="7"/>
      <c r="I435" s="7"/>
    </row>
    <row r="436" spans="5:9" x14ac:dyDescent="0.2">
      <c r="E436" s="7"/>
      <c r="F436" s="7"/>
      <c r="G436" s="7"/>
      <c r="H436" s="7"/>
      <c r="I436" s="7"/>
    </row>
    <row r="437" spans="5:9" x14ac:dyDescent="0.2">
      <c r="E437" s="7"/>
      <c r="F437" s="7"/>
      <c r="G437" s="7"/>
      <c r="H437" s="7"/>
      <c r="I437" s="7"/>
    </row>
    <row r="438" spans="5:9" x14ac:dyDescent="0.2">
      <c r="E438" s="7"/>
      <c r="F438" s="7"/>
      <c r="G438" s="7"/>
      <c r="H438" s="7"/>
      <c r="I438" s="7"/>
    </row>
    <row r="439" spans="5:9" x14ac:dyDescent="0.2">
      <c r="E439" s="7"/>
      <c r="F439" s="7"/>
      <c r="G439" s="7"/>
      <c r="H439" s="7"/>
      <c r="I439" s="7"/>
    </row>
    <row r="440" spans="5:9" x14ac:dyDescent="0.2">
      <c r="E440" s="7"/>
      <c r="F440" s="7"/>
      <c r="G440" s="7"/>
      <c r="H440" s="7"/>
      <c r="I440" s="7"/>
    </row>
    <row r="441" spans="5:9" x14ac:dyDescent="0.2">
      <c r="E441" s="7"/>
      <c r="F441" s="7"/>
      <c r="G441" s="7"/>
      <c r="H441" s="7"/>
      <c r="I441" s="7"/>
    </row>
    <row r="442" spans="5:9" x14ac:dyDescent="0.2">
      <c r="E442" s="7"/>
      <c r="F442" s="7"/>
      <c r="G442" s="7"/>
      <c r="H442" s="7"/>
      <c r="I442" s="7"/>
    </row>
    <row r="443" spans="5:9" x14ac:dyDescent="0.2">
      <c r="E443" s="7"/>
      <c r="F443" s="7"/>
      <c r="G443" s="7"/>
      <c r="H443" s="7"/>
      <c r="I443" s="7"/>
    </row>
    <row r="444" spans="5:9" x14ac:dyDescent="0.2">
      <c r="E444" s="7"/>
      <c r="F444" s="7"/>
      <c r="G444" s="7"/>
      <c r="H444" s="7"/>
      <c r="I444" s="7"/>
    </row>
    <row r="445" spans="5:9" x14ac:dyDescent="0.2">
      <c r="E445" s="7"/>
      <c r="F445" s="7"/>
      <c r="G445" s="7"/>
      <c r="H445" s="7"/>
      <c r="I445" s="7"/>
    </row>
    <row r="446" spans="5:9" x14ac:dyDescent="0.2">
      <c r="E446" s="7"/>
      <c r="F446" s="7"/>
      <c r="G446" s="7"/>
      <c r="H446" s="7"/>
      <c r="I446" s="7"/>
    </row>
    <row r="447" spans="5:9" x14ac:dyDescent="0.2">
      <c r="E447" s="7"/>
      <c r="F447" s="7"/>
      <c r="G447" s="7"/>
      <c r="H447" s="7"/>
      <c r="I447" s="7"/>
    </row>
    <row r="448" spans="5:9" x14ac:dyDescent="0.2">
      <c r="E448" s="7"/>
      <c r="F448" s="7"/>
      <c r="G448" s="7"/>
      <c r="H448" s="7"/>
      <c r="I448" s="7"/>
    </row>
    <row r="449" spans="5:9" x14ac:dyDescent="0.2">
      <c r="E449" s="7"/>
      <c r="F449" s="7"/>
      <c r="G449" s="7"/>
      <c r="H449" s="7"/>
      <c r="I449" s="7"/>
    </row>
    <row r="450" spans="5:9" x14ac:dyDescent="0.2">
      <c r="E450" s="7"/>
      <c r="F450" s="7"/>
      <c r="G450" s="7"/>
      <c r="H450" s="7"/>
      <c r="I450" s="7"/>
    </row>
    <row r="451" spans="5:9" x14ac:dyDescent="0.2">
      <c r="E451" s="7"/>
      <c r="F451" s="7"/>
      <c r="G451" s="7"/>
      <c r="H451" s="7"/>
      <c r="I451" s="7"/>
    </row>
    <row r="452" spans="5:9" x14ac:dyDescent="0.2">
      <c r="E452" s="7"/>
      <c r="F452" s="7"/>
      <c r="G452" s="7"/>
      <c r="H452" s="7"/>
      <c r="I452" s="7"/>
    </row>
    <row r="453" spans="5:9" x14ac:dyDescent="0.2">
      <c r="E453" s="7"/>
      <c r="F453" s="7"/>
      <c r="G453" s="7"/>
      <c r="H453" s="7"/>
      <c r="I453" s="7"/>
    </row>
    <row r="454" spans="5:9" x14ac:dyDescent="0.2">
      <c r="E454" s="7"/>
      <c r="F454" s="7"/>
      <c r="G454" s="7"/>
      <c r="H454" s="7"/>
      <c r="I454" s="7"/>
    </row>
    <row r="455" spans="5:9" x14ac:dyDescent="0.2">
      <c r="E455" s="7"/>
      <c r="F455" s="7"/>
      <c r="G455" s="7"/>
      <c r="H455" s="7"/>
      <c r="I455" s="7"/>
    </row>
    <row r="456" spans="5:9" x14ac:dyDescent="0.2">
      <c r="E456" s="7"/>
      <c r="F456" s="7"/>
      <c r="G456" s="7"/>
      <c r="H456" s="7"/>
      <c r="I456" s="7"/>
    </row>
    <row r="457" spans="5:9" x14ac:dyDescent="0.2">
      <c r="E457" s="7"/>
      <c r="F457" s="7"/>
      <c r="G457" s="7"/>
      <c r="H457" s="7"/>
      <c r="I457" s="7"/>
    </row>
    <row r="458" spans="5:9" x14ac:dyDescent="0.2">
      <c r="E458" s="7"/>
      <c r="F458" s="7"/>
      <c r="G458" s="7"/>
      <c r="H458" s="7"/>
      <c r="I458" s="7"/>
    </row>
    <row r="459" spans="5:9" x14ac:dyDescent="0.2">
      <c r="E459" s="7"/>
      <c r="F459" s="7"/>
      <c r="G459" s="7"/>
      <c r="H459" s="7"/>
      <c r="I459" s="7"/>
    </row>
    <row r="460" spans="5:9" x14ac:dyDescent="0.2">
      <c r="E460" s="7"/>
      <c r="F460" s="7"/>
      <c r="G460" s="7"/>
      <c r="H460" s="7"/>
      <c r="I460" s="7"/>
    </row>
    <row r="461" spans="5:9" x14ac:dyDescent="0.2">
      <c r="E461" s="7"/>
      <c r="F461" s="7"/>
      <c r="G461" s="7"/>
      <c r="H461" s="7"/>
      <c r="I461" s="7"/>
    </row>
    <row r="462" spans="5:9" x14ac:dyDescent="0.2">
      <c r="E462" s="7"/>
      <c r="F462" s="7"/>
      <c r="G462" s="7"/>
      <c r="H462" s="7"/>
      <c r="I462" s="7"/>
    </row>
    <row r="463" spans="5:9" x14ac:dyDescent="0.2">
      <c r="E463" s="7"/>
      <c r="F463" s="7"/>
      <c r="G463" s="7"/>
      <c r="H463" s="7"/>
      <c r="I463" s="7"/>
    </row>
    <row r="464" spans="5:9" x14ac:dyDescent="0.2">
      <c r="E464" s="7"/>
      <c r="F464" s="7"/>
      <c r="G464" s="7"/>
      <c r="H464" s="7"/>
      <c r="I464" s="7"/>
    </row>
    <row r="465" spans="5:9" x14ac:dyDescent="0.2">
      <c r="E465" s="7"/>
      <c r="F465" s="7"/>
      <c r="G465" s="7"/>
      <c r="H465" s="7"/>
      <c r="I465" s="7"/>
    </row>
    <row r="466" spans="5:9" x14ac:dyDescent="0.2">
      <c r="E466" s="7"/>
      <c r="F466" s="7"/>
      <c r="G466" s="7"/>
      <c r="H466" s="7"/>
      <c r="I466" s="7"/>
    </row>
    <row r="467" spans="5:9" x14ac:dyDescent="0.2">
      <c r="E467" s="7"/>
      <c r="F467" s="7"/>
      <c r="G467" s="7"/>
      <c r="H467" s="7"/>
      <c r="I467" s="7"/>
    </row>
    <row r="468" spans="5:9" x14ac:dyDescent="0.2">
      <c r="E468" s="7"/>
      <c r="F468" s="7"/>
      <c r="G468" s="7"/>
      <c r="H468" s="7"/>
      <c r="I468" s="7"/>
    </row>
    <row r="469" spans="5:9" x14ac:dyDescent="0.2">
      <c r="E469" s="7"/>
      <c r="F469" s="7"/>
      <c r="G469" s="7"/>
      <c r="H469" s="7"/>
      <c r="I469" s="7"/>
    </row>
    <row r="470" spans="5:9" x14ac:dyDescent="0.2">
      <c r="E470" s="7"/>
      <c r="F470" s="7"/>
      <c r="G470" s="7"/>
      <c r="H470" s="7"/>
      <c r="I470" s="7"/>
    </row>
    <row r="471" spans="5:9" x14ac:dyDescent="0.2">
      <c r="E471" s="7"/>
      <c r="F471" s="7"/>
      <c r="G471" s="7"/>
      <c r="H471" s="7"/>
      <c r="I471" s="7"/>
    </row>
    <row r="472" spans="5:9" x14ac:dyDescent="0.2">
      <c r="E472" s="7"/>
      <c r="F472" s="7"/>
      <c r="G472" s="7"/>
      <c r="H472" s="7"/>
      <c r="I472" s="7"/>
    </row>
    <row r="473" spans="5:9" x14ac:dyDescent="0.2">
      <c r="E473" s="7"/>
      <c r="F473" s="7"/>
      <c r="G473" s="7"/>
      <c r="H473" s="7"/>
      <c r="I473" s="7"/>
    </row>
    <row r="474" spans="5:9" x14ac:dyDescent="0.2">
      <c r="E474" s="7"/>
      <c r="F474" s="7"/>
      <c r="G474" s="7"/>
      <c r="H474" s="7"/>
      <c r="I474" s="7"/>
    </row>
    <row r="475" spans="5:9" x14ac:dyDescent="0.2">
      <c r="E475" s="7"/>
      <c r="F475" s="7"/>
      <c r="G475" s="7"/>
      <c r="H475" s="7"/>
      <c r="I475" s="7"/>
    </row>
    <row r="476" spans="5:9" x14ac:dyDescent="0.2">
      <c r="E476" s="7"/>
      <c r="F476" s="7"/>
      <c r="G476" s="7"/>
      <c r="H476" s="7"/>
      <c r="I476" s="7"/>
    </row>
    <row r="477" spans="5:9" x14ac:dyDescent="0.2">
      <c r="E477" s="7"/>
      <c r="F477" s="7"/>
      <c r="G477" s="7"/>
      <c r="H477" s="7"/>
      <c r="I477" s="7"/>
    </row>
    <row r="478" spans="5:9" x14ac:dyDescent="0.2">
      <c r="E478" s="7"/>
      <c r="F478" s="7"/>
      <c r="G478" s="7"/>
      <c r="H478" s="7"/>
      <c r="I478" s="7"/>
    </row>
    <row r="479" spans="5:9" x14ac:dyDescent="0.2">
      <c r="E479" s="7"/>
      <c r="F479" s="7"/>
      <c r="G479" s="7"/>
      <c r="H479" s="7"/>
      <c r="I479" s="7"/>
    </row>
    <row r="480" spans="5:9" x14ac:dyDescent="0.2">
      <c r="E480" s="7"/>
      <c r="F480" s="7"/>
      <c r="G480" s="7"/>
      <c r="H480" s="7"/>
      <c r="I480" s="7"/>
    </row>
    <row r="481" spans="5:9" x14ac:dyDescent="0.2">
      <c r="E481" s="7"/>
      <c r="F481" s="7"/>
      <c r="G481" s="7"/>
      <c r="H481" s="7"/>
      <c r="I481" s="7"/>
    </row>
    <row r="482" spans="5:9" x14ac:dyDescent="0.2">
      <c r="E482" s="7"/>
      <c r="F482" s="7"/>
      <c r="G482" s="7"/>
      <c r="H482" s="7"/>
      <c r="I482" s="7"/>
    </row>
    <row r="483" spans="5:9" x14ac:dyDescent="0.2">
      <c r="E483" s="7"/>
      <c r="F483" s="7"/>
      <c r="G483" s="7"/>
      <c r="H483" s="7"/>
      <c r="I483" s="7"/>
    </row>
    <row r="484" spans="5:9" x14ac:dyDescent="0.2">
      <c r="E484" s="7"/>
      <c r="F484" s="7"/>
      <c r="G484" s="7"/>
      <c r="H484" s="7"/>
      <c r="I484" s="7"/>
    </row>
    <row r="485" spans="5:9" x14ac:dyDescent="0.2">
      <c r="E485" s="7"/>
      <c r="F485" s="7"/>
      <c r="G485" s="7"/>
      <c r="H485" s="7"/>
      <c r="I485" s="7"/>
    </row>
    <row r="486" spans="5:9" x14ac:dyDescent="0.2">
      <c r="E486" s="7"/>
      <c r="F486" s="7"/>
      <c r="G486" s="7"/>
      <c r="H486" s="7"/>
      <c r="I486" s="7"/>
    </row>
    <row r="487" spans="5:9" x14ac:dyDescent="0.2">
      <c r="E487" s="7"/>
      <c r="F487" s="7"/>
      <c r="G487" s="7"/>
      <c r="H487" s="7"/>
      <c r="I487" s="7"/>
    </row>
    <row r="488" spans="5:9" x14ac:dyDescent="0.2">
      <c r="E488" s="7"/>
      <c r="F488" s="7"/>
      <c r="G488" s="7"/>
      <c r="H488" s="7"/>
      <c r="I488" s="7"/>
    </row>
    <row r="489" spans="5:9" x14ac:dyDescent="0.2">
      <c r="E489" s="7"/>
      <c r="F489" s="7"/>
      <c r="G489" s="7"/>
      <c r="H489" s="7"/>
      <c r="I489" s="7"/>
    </row>
    <row r="490" spans="5:9" x14ac:dyDescent="0.2">
      <c r="E490" s="7"/>
      <c r="F490" s="7"/>
      <c r="G490" s="7"/>
      <c r="H490" s="7"/>
      <c r="I490" s="7"/>
    </row>
    <row r="491" spans="5:9" x14ac:dyDescent="0.2">
      <c r="E491" s="7"/>
      <c r="F491" s="7"/>
      <c r="G491" s="7"/>
      <c r="H491" s="7"/>
      <c r="I491" s="7"/>
    </row>
    <row r="492" spans="5:9" x14ac:dyDescent="0.2">
      <c r="E492" s="7"/>
      <c r="F492" s="7"/>
      <c r="G492" s="7"/>
      <c r="H492" s="7"/>
      <c r="I492" s="7"/>
    </row>
    <row r="493" spans="5:9" x14ac:dyDescent="0.2">
      <c r="E493" s="7"/>
      <c r="F493" s="7"/>
      <c r="G493" s="7"/>
      <c r="H493" s="7"/>
      <c r="I493" s="7"/>
    </row>
    <row r="494" spans="5:9" x14ac:dyDescent="0.2">
      <c r="E494" s="7"/>
      <c r="F494" s="7"/>
      <c r="G494" s="7"/>
      <c r="H494" s="7"/>
      <c r="I494" s="7"/>
    </row>
    <row r="495" spans="5:9" x14ac:dyDescent="0.2">
      <c r="E495" s="7"/>
      <c r="F495" s="7"/>
      <c r="G495" s="7"/>
      <c r="H495" s="7"/>
      <c r="I495" s="7"/>
    </row>
    <row r="496" spans="5:9" x14ac:dyDescent="0.2">
      <c r="E496" s="7"/>
      <c r="F496" s="7"/>
      <c r="G496" s="7"/>
      <c r="H496" s="7"/>
      <c r="I496" s="7"/>
    </row>
    <row r="497" spans="5:9" x14ac:dyDescent="0.2">
      <c r="E497" s="7"/>
      <c r="F497" s="7"/>
      <c r="G497" s="7"/>
      <c r="H497" s="7"/>
      <c r="I497" s="7"/>
    </row>
    <row r="498" spans="5:9" x14ac:dyDescent="0.2">
      <c r="E498" s="7"/>
      <c r="F498" s="7"/>
      <c r="G498" s="7"/>
      <c r="H498" s="7"/>
      <c r="I498" s="7"/>
    </row>
    <row r="499" spans="5:9" x14ac:dyDescent="0.2">
      <c r="E499" s="7"/>
      <c r="F499" s="7"/>
      <c r="G499" s="7"/>
      <c r="H499" s="7"/>
      <c r="I499" s="7"/>
    </row>
    <row r="500" spans="5:9" x14ac:dyDescent="0.2">
      <c r="E500" s="7"/>
      <c r="F500" s="7"/>
      <c r="G500" s="7"/>
      <c r="H500" s="7"/>
      <c r="I500" s="7"/>
    </row>
    <row r="501" spans="5:9" x14ac:dyDescent="0.2">
      <c r="E501" s="7"/>
      <c r="F501" s="7"/>
      <c r="G501" s="7"/>
      <c r="H501" s="7"/>
      <c r="I501" s="7"/>
    </row>
    <row r="502" spans="5:9" x14ac:dyDescent="0.2">
      <c r="E502" s="7"/>
      <c r="F502" s="7"/>
      <c r="G502" s="7"/>
      <c r="H502" s="7"/>
      <c r="I502" s="7"/>
    </row>
    <row r="503" spans="5:9" x14ac:dyDescent="0.2">
      <c r="E503" s="7"/>
      <c r="F503" s="7"/>
      <c r="G503" s="7"/>
      <c r="H503" s="7"/>
      <c r="I503" s="7"/>
    </row>
    <row r="504" spans="5:9" x14ac:dyDescent="0.2">
      <c r="E504" s="7"/>
      <c r="F504" s="7"/>
      <c r="G504" s="7"/>
      <c r="H504" s="7"/>
      <c r="I504" s="7"/>
    </row>
    <row r="505" spans="5:9" x14ac:dyDescent="0.2">
      <c r="E505" s="7"/>
      <c r="F505" s="7"/>
      <c r="G505" s="7"/>
      <c r="H505" s="7"/>
      <c r="I505" s="7"/>
    </row>
    <row r="506" spans="5:9" x14ac:dyDescent="0.2">
      <c r="E506" s="7"/>
      <c r="F506" s="7"/>
      <c r="G506" s="7"/>
      <c r="H506" s="7"/>
      <c r="I506" s="7"/>
    </row>
    <row r="507" spans="5:9" x14ac:dyDescent="0.2">
      <c r="E507" s="7"/>
      <c r="F507" s="7"/>
      <c r="G507" s="7"/>
      <c r="H507" s="7"/>
      <c r="I507" s="7"/>
    </row>
    <row r="508" spans="5:9" x14ac:dyDescent="0.2">
      <c r="E508" s="7"/>
      <c r="F508" s="7"/>
      <c r="G508" s="7"/>
      <c r="H508" s="7"/>
      <c r="I508" s="7"/>
    </row>
    <row r="509" spans="5:9" x14ac:dyDescent="0.2">
      <c r="E509" s="7"/>
      <c r="F509" s="7"/>
      <c r="G509" s="7"/>
      <c r="H509" s="7"/>
      <c r="I509" s="7"/>
    </row>
    <row r="510" spans="5:9" x14ac:dyDescent="0.2">
      <c r="E510" s="7"/>
      <c r="F510" s="7"/>
      <c r="G510" s="7"/>
      <c r="H510" s="7"/>
      <c r="I510" s="7"/>
    </row>
    <row r="511" spans="5:9" x14ac:dyDescent="0.2">
      <c r="E511" s="7"/>
      <c r="F511" s="7"/>
      <c r="G511" s="7"/>
      <c r="H511" s="7"/>
      <c r="I511" s="7"/>
    </row>
    <row r="512" spans="5:9" x14ac:dyDescent="0.2">
      <c r="E512" s="7"/>
      <c r="F512" s="7"/>
      <c r="G512" s="7"/>
      <c r="H512" s="7"/>
      <c r="I512" s="7"/>
    </row>
    <row r="513" spans="5:9" x14ac:dyDescent="0.2">
      <c r="E513" s="7"/>
      <c r="F513" s="7"/>
      <c r="G513" s="7"/>
      <c r="H513" s="7"/>
      <c r="I513" s="7"/>
    </row>
    <row r="514" spans="5:9" x14ac:dyDescent="0.2">
      <c r="E514" s="7"/>
      <c r="F514" s="7"/>
      <c r="G514" s="7"/>
      <c r="H514" s="7"/>
      <c r="I514" s="7"/>
    </row>
    <row r="515" spans="5:9" x14ac:dyDescent="0.2">
      <c r="E515" s="7"/>
      <c r="F515" s="7"/>
      <c r="G515" s="7"/>
      <c r="H515" s="7"/>
      <c r="I515" s="7"/>
    </row>
    <row r="516" spans="5:9" x14ac:dyDescent="0.2">
      <c r="E516" s="7"/>
      <c r="F516" s="7"/>
      <c r="G516" s="7"/>
      <c r="H516" s="7"/>
      <c r="I516" s="7"/>
    </row>
    <row r="517" spans="5:9" x14ac:dyDescent="0.2">
      <c r="E517" s="7"/>
      <c r="F517" s="7"/>
      <c r="G517" s="7"/>
      <c r="H517" s="7"/>
      <c r="I517" s="7"/>
    </row>
    <row r="518" spans="5:9" x14ac:dyDescent="0.2">
      <c r="E518" s="7"/>
      <c r="F518" s="7"/>
      <c r="G518" s="7"/>
      <c r="H518" s="7"/>
      <c r="I518" s="7"/>
    </row>
    <row r="519" spans="5:9" x14ac:dyDescent="0.2">
      <c r="E519" s="7"/>
      <c r="F519" s="7"/>
      <c r="G519" s="7"/>
      <c r="H519" s="7"/>
      <c r="I519" s="7"/>
    </row>
    <row r="520" spans="5:9" x14ac:dyDescent="0.2">
      <c r="E520" s="7"/>
      <c r="F520" s="7"/>
      <c r="G520" s="7"/>
      <c r="H520" s="7"/>
      <c r="I520" s="7"/>
    </row>
    <row r="521" spans="5:9" x14ac:dyDescent="0.2">
      <c r="E521" s="7"/>
      <c r="F521" s="7"/>
      <c r="G521" s="7"/>
      <c r="H521" s="7"/>
      <c r="I521" s="7"/>
    </row>
    <row r="522" spans="5:9" x14ac:dyDescent="0.2">
      <c r="E522" s="7"/>
      <c r="F522" s="7"/>
      <c r="G522" s="7"/>
      <c r="H522" s="7"/>
      <c r="I522" s="7"/>
    </row>
    <row r="523" spans="5:9" x14ac:dyDescent="0.2">
      <c r="E523" s="7"/>
      <c r="F523" s="7"/>
      <c r="G523" s="7"/>
      <c r="H523" s="7"/>
      <c r="I523" s="7"/>
    </row>
    <row r="524" spans="5:9" x14ac:dyDescent="0.2">
      <c r="E524" s="7"/>
      <c r="F524" s="7"/>
      <c r="G524" s="7"/>
      <c r="H524" s="7"/>
      <c r="I524" s="7"/>
    </row>
    <row r="525" spans="5:9" x14ac:dyDescent="0.2">
      <c r="E525" s="7"/>
      <c r="F525" s="7"/>
      <c r="G525" s="7"/>
      <c r="H525" s="7"/>
      <c r="I525" s="7"/>
    </row>
    <row r="526" spans="5:9" x14ac:dyDescent="0.2">
      <c r="E526" s="7"/>
      <c r="F526" s="7"/>
      <c r="G526" s="7"/>
      <c r="H526" s="7"/>
      <c r="I526" s="7"/>
    </row>
    <row r="527" spans="5:9" x14ac:dyDescent="0.2">
      <c r="E527" s="7"/>
      <c r="F527" s="7"/>
      <c r="G527" s="7"/>
      <c r="H527" s="7"/>
      <c r="I527" s="7"/>
    </row>
    <row r="528" spans="5:9" x14ac:dyDescent="0.2">
      <c r="E528" s="7"/>
      <c r="F528" s="7"/>
      <c r="G528" s="7"/>
      <c r="H528" s="7"/>
      <c r="I528" s="7"/>
    </row>
    <row r="529" spans="5:9" x14ac:dyDescent="0.2">
      <c r="E529" s="7"/>
      <c r="F529" s="7"/>
      <c r="G529" s="7"/>
      <c r="H529" s="7"/>
      <c r="I529" s="7"/>
    </row>
    <row r="530" spans="5:9" x14ac:dyDescent="0.2">
      <c r="E530" s="7"/>
      <c r="F530" s="7"/>
      <c r="G530" s="7"/>
      <c r="H530" s="7"/>
      <c r="I530" s="7"/>
    </row>
    <row r="531" spans="5:9" x14ac:dyDescent="0.2">
      <c r="E531" s="7"/>
      <c r="F531" s="7"/>
      <c r="G531" s="7"/>
      <c r="H531" s="7"/>
      <c r="I531" s="7"/>
    </row>
    <row r="532" spans="5:9" x14ac:dyDescent="0.2">
      <c r="E532" s="7"/>
      <c r="F532" s="7"/>
      <c r="G532" s="7"/>
      <c r="H532" s="7"/>
      <c r="I532" s="7"/>
    </row>
    <row r="533" spans="5:9" x14ac:dyDescent="0.2">
      <c r="E533" s="7"/>
      <c r="F533" s="7"/>
      <c r="G533" s="7"/>
      <c r="H533" s="7"/>
      <c r="I533" s="7"/>
    </row>
    <row r="534" spans="5:9" x14ac:dyDescent="0.2">
      <c r="E534" s="7"/>
      <c r="F534" s="7"/>
      <c r="G534" s="7"/>
      <c r="H534" s="7"/>
      <c r="I534" s="7"/>
    </row>
    <row r="535" spans="5:9" x14ac:dyDescent="0.2">
      <c r="E535" s="7"/>
      <c r="F535" s="7"/>
      <c r="G535" s="7"/>
      <c r="H535" s="7"/>
      <c r="I535" s="7"/>
    </row>
    <row r="536" spans="5:9" x14ac:dyDescent="0.2">
      <c r="E536" s="7"/>
      <c r="F536" s="7"/>
      <c r="G536" s="7"/>
      <c r="H536" s="7"/>
      <c r="I536" s="7"/>
    </row>
    <row r="537" spans="5:9" x14ac:dyDescent="0.2">
      <c r="E537" s="7"/>
      <c r="F537" s="7"/>
      <c r="G537" s="7"/>
      <c r="H537" s="7"/>
      <c r="I537" s="7"/>
    </row>
    <row r="538" spans="5:9" x14ac:dyDescent="0.2">
      <c r="E538" s="7"/>
      <c r="F538" s="7"/>
      <c r="G538" s="7"/>
      <c r="H538" s="7"/>
      <c r="I538" s="7"/>
    </row>
    <row r="539" spans="5:9" x14ac:dyDescent="0.2">
      <c r="E539" s="7"/>
      <c r="F539" s="7"/>
      <c r="G539" s="7"/>
      <c r="H539" s="7"/>
      <c r="I539" s="7"/>
    </row>
    <row r="540" spans="5:9" x14ac:dyDescent="0.2">
      <c r="E540" s="7"/>
      <c r="F540" s="7"/>
      <c r="G540" s="7"/>
      <c r="H540" s="7"/>
      <c r="I540" s="7"/>
    </row>
    <row r="541" spans="5:9" x14ac:dyDescent="0.2">
      <c r="E541" s="7"/>
      <c r="F541" s="7"/>
      <c r="G541" s="7"/>
      <c r="H541" s="7"/>
      <c r="I541" s="7"/>
    </row>
    <row r="542" spans="5:9" x14ac:dyDescent="0.2">
      <c r="E542" s="7"/>
      <c r="F542" s="7"/>
      <c r="G542" s="7"/>
      <c r="H542" s="7"/>
      <c r="I542" s="7"/>
    </row>
    <row r="543" spans="5:9" x14ac:dyDescent="0.2">
      <c r="E543" s="7"/>
      <c r="F543" s="7"/>
      <c r="G543" s="7"/>
      <c r="H543" s="7"/>
      <c r="I543" s="7"/>
    </row>
    <row r="544" spans="5:9" x14ac:dyDescent="0.2">
      <c r="E544" s="7"/>
      <c r="F544" s="7"/>
      <c r="G544" s="7"/>
      <c r="H544" s="7"/>
      <c r="I544" s="7"/>
    </row>
    <row r="545" spans="5:9" x14ac:dyDescent="0.2">
      <c r="E545" s="7"/>
      <c r="F545" s="7"/>
      <c r="G545" s="7"/>
      <c r="H545" s="7"/>
      <c r="I545" s="7"/>
    </row>
    <row r="546" spans="5:9" x14ac:dyDescent="0.2">
      <c r="E546" s="7"/>
      <c r="F546" s="7"/>
      <c r="G546" s="7"/>
      <c r="H546" s="7"/>
      <c r="I546" s="7"/>
    </row>
    <row r="547" spans="5:9" x14ac:dyDescent="0.2">
      <c r="E547" s="7"/>
      <c r="F547" s="7"/>
      <c r="G547" s="7"/>
      <c r="H547" s="7"/>
      <c r="I547" s="7"/>
    </row>
    <row r="548" spans="5:9" x14ac:dyDescent="0.2">
      <c r="E548" s="7"/>
      <c r="F548" s="7"/>
      <c r="G548" s="7"/>
      <c r="H548" s="7"/>
      <c r="I548" s="7"/>
    </row>
    <row r="549" spans="5:9" x14ac:dyDescent="0.2">
      <c r="E549" s="7"/>
      <c r="F549" s="7"/>
      <c r="G549" s="7"/>
      <c r="H549" s="7"/>
      <c r="I549" s="7"/>
    </row>
    <row r="550" spans="5:9" x14ac:dyDescent="0.2">
      <c r="E550" s="7"/>
      <c r="F550" s="7"/>
      <c r="G550" s="7"/>
      <c r="H550" s="7"/>
      <c r="I550" s="7"/>
    </row>
    <row r="551" spans="5:9" x14ac:dyDescent="0.2">
      <c r="E551" s="7"/>
      <c r="F551" s="7"/>
      <c r="G551" s="7"/>
      <c r="H551" s="7"/>
      <c r="I551" s="7"/>
    </row>
    <row r="552" spans="5:9" x14ac:dyDescent="0.2">
      <c r="E552" s="7"/>
      <c r="F552" s="7"/>
      <c r="G552" s="7"/>
      <c r="H552" s="7"/>
      <c r="I552" s="7"/>
    </row>
    <row r="553" spans="5:9" x14ac:dyDescent="0.2">
      <c r="E553" s="7"/>
      <c r="F553" s="7"/>
      <c r="G553" s="7"/>
      <c r="H553" s="7"/>
      <c r="I553" s="7"/>
    </row>
    <row r="554" spans="5:9" x14ac:dyDescent="0.2">
      <c r="E554" s="7"/>
      <c r="F554" s="7"/>
      <c r="G554" s="7"/>
      <c r="H554" s="7"/>
      <c r="I554" s="7"/>
    </row>
    <row r="555" spans="5:9" x14ac:dyDescent="0.2">
      <c r="E555" s="7"/>
      <c r="F555" s="7"/>
      <c r="G555" s="7"/>
      <c r="H555" s="7"/>
      <c r="I555" s="7"/>
    </row>
    <row r="556" spans="5:9" x14ac:dyDescent="0.2">
      <c r="E556" s="7"/>
      <c r="F556" s="7"/>
      <c r="G556" s="7"/>
      <c r="H556" s="7"/>
      <c r="I556" s="7"/>
    </row>
    <row r="557" spans="5:9" x14ac:dyDescent="0.2">
      <c r="E557" s="7"/>
      <c r="F557" s="7"/>
      <c r="G557" s="7"/>
      <c r="H557" s="7"/>
      <c r="I557" s="7"/>
    </row>
    <row r="558" spans="5:9" x14ac:dyDescent="0.2">
      <c r="E558" s="7"/>
      <c r="F558" s="7"/>
      <c r="G558" s="7"/>
      <c r="H558" s="7"/>
      <c r="I558" s="7"/>
    </row>
    <row r="559" spans="5:9" x14ac:dyDescent="0.2">
      <c r="E559" s="7"/>
      <c r="F559" s="7"/>
      <c r="G559" s="7"/>
      <c r="H559" s="7"/>
      <c r="I559" s="7"/>
    </row>
    <row r="560" spans="5:9" x14ac:dyDescent="0.2">
      <c r="E560" s="7"/>
      <c r="F560" s="7"/>
      <c r="G560" s="7"/>
      <c r="H560" s="7"/>
      <c r="I560" s="7"/>
    </row>
    <row r="561" spans="5:9" x14ac:dyDescent="0.2">
      <c r="E561" s="7"/>
      <c r="F561" s="7"/>
      <c r="G561" s="7"/>
      <c r="H561" s="7"/>
      <c r="I561" s="7"/>
    </row>
    <row r="562" spans="5:9" x14ac:dyDescent="0.2">
      <c r="E562" s="7"/>
      <c r="F562" s="7"/>
      <c r="G562" s="7"/>
      <c r="H562" s="7"/>
      <c r="I562" s="7"/>
    </row>
    <row r="563" spans="5:9" x14ac:dyDescent="0.2">
      <c r="E563" s="7"/>
      <c r="F563" s="7"/>
      <c r="G563" s="7"/>
      <c r="H563" s="7"/>
      <c r="I563" s="7"/>
    </row>
    <row r="564" spans="5:9" x14ac:dyDescent="0.2">
      <c r="E564" s="7"/>
      <c r="F564" s="7"/>
      <c r="G564" s="7"/>
      <c r="H564" s="7"/>
      <c r="I564" s="7"/>
    </row>
    <row r="565" spans="5:9" x14ac:dyDescent="0.2">
      <c r="E565" s="7"/>
      <c r="F565" s="7"/>
      <c r="G565" s="7"/>
      <c r="H565" s="7"/>
      <c r="I565" s="7"/>
    </row>
    <row r="566" spans="5:9" x14ac:dyDescent="0.2">
      <c r="E566" s="7"/>
      <c r="F566" s="7"/>
      <c r="G566" s="7"/>
      <c r="H566" s="7"/>
      <c r="I566" s="7"/>
    </row>
    <row r="567" spans="5:9" x14ac:dyDescent="0.2">
      <c r="E567" s="7"/>
      <c r="F567" s="7"/>
      <c r="G567" s="7"/>
      <c r="H567" s="7"/>
      <c r="I567" s="7"/>
    </row>
    <row r="568" spans="5:9" x14ac:dyDescent="0.2">
      <c r="E568" s="7"/>
      <c r="F568" s="7"/>
      <c r="G568" s="7"/>
      <c r="H568" s="7"/>
      <c r="I568" s="7"/>
    </row>
    <row r="569" spans="5:9" x14ac:dyDescent="0.2">
      <c r="E569" s="7"/>
      <c r="F569" s="7"/>
      <c r="G569" s="7"/>
      <c r="H569" s="7"/>
      <c r="I569" s="7"/>
    </row>
    <row r="570" spans="5:9" x14ac:dyDescent="0.2">
      <c r="E570" s="7"/>
      <c r="F570" s="7"/>
      <c r="G570" s="7"/>
      <c r="H570" s="7"/>
      <c r="I570" s="7"/>
    </row>
    <row r="571" spans="5:9" x14ac:dyDescent="0.2">
      <c r="E571" s="7"/>
      <c r="F571" s="7"/>
      <c r="G571" s="7"/>
      <c r="H571" s="7"/>
      <c r="I571" s="7"/>
    </row>
    <row r="572" spans="5:9" x14ac:dyDescent="0.2">
      <c r="E572" s="7"/>
      <c r="F572" s="7"/>
      <c r="G572" s="7"/>
      <c r="H572" s="7"/>
      <c r="I572" s="7"/>
    </row>
    <row r="573" spans="5:9" x14ac:dyDescent="0.2">
      <c r="E573" s="7"/>
      <c r="F573" s="7"/>
      <c r="G573" s="7"/>
      <c r="H573" s="7"/>
      <c r="I573" s="7"/>
    </row>
    <row r="574" spans="5:9" x14ac:dyDescent="0.2">
      <c r="E574" s="7"/>
      <c r="F574" s="7"/>
      <c r="G574" s="7"/>
      <c r="H574" s="7"/>
      <c r="I574" s="7"/>
    </row>
    <row r="575" spans="5:9" x14ac:dyDescent="0.2">
      <c r="E575" s="7"/>
      <c r="F575" s="7"/>
      <c r="G575" s="7"/>
      <c r="H575" s="7"/>
      <c r="I575" s="7"/>
    </row>
    <row r="576" spans="5:9" x14ac:dyDescent="0.2">
      <c r="E576" s="7"/>
      <c r="F576" s="7"/>
      <c r="G576" s="7"/>
      <c r="H576" s="7"/>
      <c r="I576" s="7"/>
    </row>
    <row r="577" spans="5:9" x14ac:dyDescent="0.2">
      <c r="E577" s="7"/>
      <c r="F577" s="7"/>
      <c r="G577" s="7"/>
      <c r="H577" s="7"/>
      <c r="I577" s="7"/>
    </row>
    <row r="578" spans="5:9" x14ac:dyDescent="0.2">
      <c r="E578" s="7"/>
      <c r="F578" s="7"/>
      <c r="G578" s="7"/>
      <c r="H578" s="7"/>
      <c r="I578" s="7"/>
    </row>
    <row r="579" spans="5:9" x14ac:dyDescent="0.2">
      <c r="E579" s="7"/>
      <c r="F579" s="7"/>
      <c r="G579" s="7"/>
      <c r="H579" s="7"/>
      <c r="I579" s="7"/>
    </row>
    <row r="580" spans="5:9" x14ac:dyDescent="0.2">
      <c r="E580" s="7"/>
      <c r="F580" s="7"/>
      <c r="G580" s="7"/>
      <c r="H580" s="7"/>
      <c r="I580" s="7"/>
    </row>
    <row r="581" spans="5:9" x14ac:dyDescent="0.2">
      <c r="E581" s="7"/>
      <c r="F581" s="7"/>
      <c r="G581" s="7"/>
      <c r="H581" s="7"/>
      <c r="I581" s="7"/>
    </row>
    <row r="582" spans="5:9" x14ac:dyDescent="0.2">
      <c r="E582" s="7"/>
      <c r="F582" s="7"/>
      <c r="G582" s="7"/>
      <c r="H582" s="7"/>
      <c r="I582" s="7"/>
    </row>
    <row r="583" spans="5:9" x14ac:dyDescent="0.2">
      <c r="E583" s="7"/>
      <c r="F583" s="7"/>
      <c r="G583" s="7"/>
      <c r="H583" s="7"/>
      <c r="I583" s="7"/>
    </row>
    <row r="584" spans="5:9" x14ac:dyDescent="0.2">
      <c r="E584" s="7"/>
      <c r="F584" s="7"/>
      <c r="G584" s="7"/>
      <c r="H584" s="7"/>
      <c r="I584" s="7"/>
    </row>
    <row r="585" spans="5:9" x14ac:dyDescent="0.2">
      <c r="E585" s="7"/>
      <c r="F585" s="7"/>
      <c r="G585" s="7"/>
      <c r="H585" s="7"/>
      <c r="I585" s="7"/>
    </row>
    <row r="586" spans="5:9" x14ac:dyDescent="0.2">
      <c r="E586" s="7"/>
      <c r="F586" s="7"/>
      <c r="G586" s="7"/>
      <c r="H586" s="7"/>
      <c r="I586" s="7"/>
    </row>
    <row r="587" spans="5:9" x14ac:dyDescent="0.2">
      <c r="E587" s="7"/>
      <c r="F587" s="7"/>
      <c r="G587" s="7"/>
      <c r="H587" s="7"/>
      <c r="I587" s="7"/>
    </row>
    <row r="588" spans="5:9" x14ac:dyDescent="0.2">
      <c r="E588" s="7"/>
      <c r="F588" s="7"/>
      <c r="G588" s="7"/>
      <c r="H588" s="7"/>
      <c r="I588" s="7"/>
    </row>
    <row r="589" spans="5:9" x14ac:dyDescent="0.2">
      <c r="E589" s="7"/>
      <c r="F589" s="7"/>
      <c r="G589" s="7"/>
      <c r="H589" s="7"/>
      <c r="I589" s="7"/>
    </row>
    <row r="590" spans="5:9" x14ac:dyDescent="0.2">
      <c r="E590" s="7"/>
      <c r="F590" s="7"/>
      <c r="G590" s="7"/>
      <c r="H590" s="7"/>
      <c r="I590" s="7"/>
    </row>
    <row r="591" spans="5:9" x14ac:dyDescent="0.2">
      <c r="E591" s="7"/>
      <c r="F591" s="7"/>
      <c r="G591" s="7"/>
      <c r="H591" s="7"/>
      <c r="I591" s="7"/>
    </row>
    <row r="592" spans="5:9" x14ac:dyDescent="0.2">
      <c r="E592" s="7"/>
      <c r="F592" s="7"/>
      <c r="G592" s="7"/>
      <c r="H592" s="7"/>
      <c r="I592" s="7"/>
    </row>
    <row r="593" spans="5:9" x14ac:dyDescent="0.2">
      <c r="E593" s="7"/>
      <c r="F593" s="7"/>
      <c r="G593" s="7"/>
      <c r="H593" s="7"/>
      <c r="I593" s="7"/>
    </row>
    <row r="594" spans="5:9" x14ac:dyDescent="0.2">
      <c r="E594" s="7"/>
      <c r="F594" s="7"/>
      <c r="G594" s="7"/>
      <c r="H594" s="7"/>
      <c r="I594" s="7"/>
    </row>
    <row r="595" spans="5:9" x14ac:dyDescent="0.2">
      <c r="E595" s="7"/>
      <c r="F595" s="7"/>
      <c r="G595" s="7"/>
      <c r="H595" s="7"/>
      <c r="I595" s="7"/>
    </row>
    <row r="596" spans="5:9" x14ac:dyDescent="0.2">
      <c r="E596" s="7"/>
      <c r="F596" s="7"/>
      <c r="G596" s="7"/>
      <c r="H596" s="7"/>
      <c r="I596" s="7"/>
    </row>
    <row r="597" spans="5:9" x14ac:dyDescent="0.2">
      <c r="E597" s="7"/>
      <c r="F597" s="7"/>
      <c r="G597" s="7"/>
      <c r="H597" s="7"/>
      <c r="I597" s="7"/>
    </row>
    <row r="598" spans="5:9" x14ac:dyDescent="0.2">
      <c r="E598" s="7"/>
      <c r="F598" s="7"/>
      <c r="G598" s="7"/>
      <c r="H598" s="7"/>
      <c r="I598" s="7"/>
    </row>
    <row r="599" spans="5:9" x14ac:dyDescent="0.2">
      <c r="E599" s="7"/>
      <c r="F599" s="7"/>
      <c r="G599" s="7"/>
      <c r="H599" s="7"/>
      <c r="I599" s="7"/>
    </row>
    <row r="600" spans="5:9" x14ac:dyDescent="0.2">
      <c r="E600" s="7"/>
      <c r="F600" s="7"/>
      <c r="G600" s="7"/>
      <c r="H600" s="7"/>
      <c r="I600" s="7"/>
    </row>
    <row r="601" spans="5:9" x14ac:dyDescent="0.2">
      <c r="E601" s="7"/>
      <c r="F601" s="7"/>
      <c r="G601" s="7"/>
      <c r="H601" s="7"/>
      <c r="I601" s="7"/>
    </row>
    <row r="602" spans="5:9" x14ac:dyDescent="0.2">
      <c r="E602" s="7"/>
      <c r="F602" s="7"/>
      <c r="G602" s="7"/>
      <c r="H602" s="7"/>
      <c r="I602" s="7"/>
    </row>
    <row r="603" spans="5:9" x14ac:dyDescent="0.2">
      <c r="E603" s="7"/>
      <c r="F603" s="7"/>
      <c r="G603" s="7"/>
      <c r="H603" s="7"/>
      <c r="I603" s="7"/>
    </row>
    <row r="604" spans="5:9" x14ac:dyDescent="0.2">
      <c r="E604" s="7"/>
      <c r="F604" s="7"/>
      <c r="G604" s="7"/>
      <c r="H604" s="7"/>
      <c r="I604" s="7"/>
    </row>
    <row r="605" spans="5:9" x14ac:dyDescent="0.2">
      <c r="E605" s="7"/>
      <c r="F605" s="7"/>
      <c r="G605" s="7"/>
      <c r="H605" s="7"/>
      <c r="I605" s="7"/>
    </row>
    <row r="606" spans="5:9" x14ac:dyDescent="0.2">
      <c r="E606" s="7"/>
      <c r="F606" s="7"/>
      <c r="G606" s="7"/>
      <c r="H606" s="7"/>
      <c r="I606" s="7"/>
    </row>
    <row r="607" spans="5:9" x14ac:dyDescent="0.2">
      <c r="E607" s="7"/>
      <c r="F607" s="7"/>
      <c r="G607" s="7"/>
      <c r="H607" s="7"/>
      <c r="I607" s="7"/>
    </row>
    <row r="608" spans="5:9" x14ac:dyDescent="0.2">
      <c r="E608" s="7"/>
      <c r="F608" s="7"/>
      <c r="G608" s="7"/>
      <c r="H608" s="7"/>
      <c r="I608" s="7"/>
    </row>
    <row r="609" spans="5:9" x14ac:dyDescent="0.2">
      <c r="E609" s="7"/>
      <c r="F609" s="7"/>
      <c r="G609" s="7"/>
      <c r="H609" s="7"/>
      <c r="I609" s="7"/>
    </row>
    <row r="610" spans="5:9" x14ac:dyDescent="0.2">
      <c r="E610" s="7"/>
      <c r="F610" s="7"/>
      <c r="G610" s="7"/>
      <c r="H610" s="7"/>
      <c r="I610" s="7"/>
    </row>
    <row r="611" spans="5:9" x14ac:dyDescent="0.2">
      <c r="E611" s="7"/>
      <c r="F611" s="7"/>
      <c r="G611" s="7"/>
      <c r="H611" s="7"/>
      <c r="I611" s="7"/>
    </row>
    <row r="612" spans="5:9" x14ac:dyDescent="0.2">
      <c r="E612" s="7"/>
      <c r="F612" s="7"/>
      <c r="G612" s="7"/>
      <c r="H612" s="7"/>
      <c r="I612" s="7"/>
    </row>
    <row r="613" spans="5:9" x14ac:dyDescent="0.2">
      <c r="E613" s="7"/>
      <c r="F613" s="7"/>
      <c r="G613" s="7"/>
      <c r="H613" s="7"/>
      <c r="I613" s="7"/>
    </row>
    <row r="614" spans="5:9" x14ac:dyDescent="0.2">
      <c r="E614" s="7"/>
      <c r="F614" s="7"/>
      <c r="G614" s="7"/>
      <c r="H614" s="7"/>
      <c r="I614" s="7"/>
    </row>
    <row r="615" spans="5:9" x14ac:dyDescent="0.2">
      <c r="E615" s="7"/>
      <c r="F615" s="7"/>
      <c r="G615" s="7"/>
      <c r="H615" s="7"/>
      <c r="I615" s="7"/>
    </row>
    <row r="616" spans="5:9" x14ac:dyDescent="0.2">
      <c r="E616" s="7"/>
      <c r="F616" s="7"/>
      <c r="G616" s="7"/>
      <c r="H616" s="7"/>
      <c r="I616" s="7"/>
    </row>
    <row r="617" spans="5:9" x14ac:dyDescent="0.2">
      <c r="E617" s="7"/>
      <c r="F617" s="7"/>
      <c r="G617" s="7"/>
      <c r="H617" s="7"/>
      <c r="I617" s="7"/>
    </row>
    <row r="618" spans="5:9" x14ac:dyDescent="0.2">
      <c r="E618" s="7"/>
      <c r="F618" s="7"/>
      <c r="G618" s="7"/>
      <c r="H618" s="7"/>
      <c r="I618" s="7"/>
    </row>
    <row r="619" spans="5:9" x14ac:dyDescent="0.2">
      <c r="E619" s="7"/>
      <c r="F619" s="7"/>
      <c r="G619" s="7"/>
      <c r="H619" s="7"/>
      <c r="I619" s="7"/>
    </row>
    <row r="620" spans="5:9" x14ac:dyDescent="0.2">
      <c r="E620" s="7"/>
      <c r="F620" s="7"/>
      <c r="G620" s="7"/>
      <c r="H620" s="7"/>
      <c r="I620" s="7"/>
    </row>
    <row r="621" spans="5:9" x14ac:dyDescent="0.2">
      <c r="E621" s="7"/>
      <c r="F621" s="7"/>
      <c r="G621" s="7"/>
      <c r="H621" s="7"/>
      <c r="I621" s="7"/>
    </row>
    <row r="622" spans="5:9" x14ac:dyDescent="0.2">
      <c r="E622" s="7"/>
      <c r="F622" s="7"/>
      <c r="G622" s="7"/>
      <c r="H622" s="7"/>
      <c r="I622" s="7"/>
    </row>
    <row r="623" spans="5:9" x14ac:dyDescent="0.2">
      <c r="E623" s="7"/>
      <c r="F623" s="7"/>
      <c r="G623" s="7"/>
      <c r="H623" s="7"/>
      <c r="I623" s="7"/>
    </row>
    <row r="624" spans="5:9" x14ac:dyDescent="0.2">
      <c r="E624" s="7"/>
      <c r="F624" s="7"/>
      <c r="G624" s="7"/>
      <c r="H624" s="7"/>
      <c r="I624" s="7"/>
    </row>
    <row r="625" spans="5:9" x14ac:dyDescent="0.2">
      <c r="E625" s="7"/>
      <c r="F625" s="7"/>
      <c r="G625" s="7"/>
      <c r="H625" s="7"/>
      <c r="I625" s="7"/>
    </row>
    <row r="626" spans="5:9" x14ac:dyDescent="0.2">
      <c r="E626" s="7"/>
      <c r="F626" s="7"/>
      <c r="G626" s="7"/>
      <c r="H626" s="7"/>
      <c r="I626" s="7"/>
    </row>
    <row r="627" spans="5:9" x14ac:dyDescent="0.2">
      <c r="E627" s="7"/>
      <c r="F627" s="7"/>
      <c r="G627" s="7"/>
      <c r="H627" s="7"/>
      <c r="I627" s="7"/>
    </row>
    <row r="628" spans="5:9" x14ac:dyDescent="0.2">
      <c r="E628" s="7"/>
      <c r="F628" s="7"/>
      <c r="G628" s="7"/>
      <c r="H628" s="7"/>
      <c r="I628" s="7"/>
    </row>
    <row r="629" spans="5:9" x14ac:dyDescent="0.2">
      <c r="E629" s="7"/>
      <c r="F629" s="7"/>
      <c r="G629" s="7"/>
      <c r="H629" s="7"/>
      <c r="I629" s="7"/>
    </row>
    <row r="630" spans="5:9" x14ac:dyDescent="0.2">
      <c r="E630" s="7"/>
      <c r="F630" s="7"/>
      <c r="G630" s="7"/>
      <c r="H630" s="7"/>
      <c r="I630" s="7"/>
    </row>
    <row r="631" spans="5:9" x14ac:dyDescent="0.2">
      <c r="E631" s="7"/>
      <c r="F631" s="7"/>
      <c r="G631" s="7"/>
      <c r="H631" s="7"/>
      <c r="I631" s="7"/>
    </row>
    <row r="632" spans="5:9" x14ac:dyDescent="0.2">
      <c r="E632" s="7"/>
      <c r="F632" s="7"/>
      <c r="G632" s="7"/>
      <c r="H632" s="7"/>
      <c r="I632" s="7"/>
    </row>
    <row r="633" spans="5:9" x14ac:dyDescent="0.2">
      <c r="E633" s="7"/>
      <c r="F633" s="7"/>
      <c r="G633" s="7"/>
      <c r="H633" s="7"/>
      <c r="I633" s="7"/>
    </row>
    <row r="634" spans="5:9" x14ac:dyDescent="0.2">
      <c r="E634" s="7"/>
      <c r="F634" s="7"/>
      <c r="G634" s="7"/>
      <c r="H634" s="7"/>
      <c r="I634" s="7"/>
    </row>
    <row r="635" spans="5:9" x14ac:dyDescent="0.2">
      <c r="E635" s="7"/>
      <c r="F635" s="7"/>
      <c r="G635" s="7"/>
      <c r="H635" s="7"/>
      <c r="I635" s="7"/>
    </row>
    <row r="636" spans="5:9" x14ac:dyDescent="0.2">
      <c r="E636" s="7"/>
      <c r="F636" s="7"/>
      <c r="G636" s="7"/>
      <c r="H636" s="7"/>
      <c r="I636" s="7"/>
    </row>
    <row r="637" spans="5:9" x14ac:dyDescent="0.2">
      <c r="E637" s="7"/>
      <c r="F637" s="7"/>
      <c r="G637" s="7"/>
      <c r="H637" s="7"/>
      <c r="I637" s="7"/>
    </row>
    <row r="638" spans="5:9" x14ac:dyDescent="0.2">
      <c r="E638" s="7"/>
      <c r="F638" s="7"/>
      <c r="G638" s="7"/>
      <c r="H638" s="7"/>
      <c r="I638" s="7"/>
    </row>
    <row r="639" spans="5:9" x14ac:dyDescent="0.2">
      <c r="E639" s="7"/>
      <c r="F639" s="7"/>
      <c r="G639" s="7"/>
      <c r="H639" s="7"/>
      <c r="I639" s="7"/>
    </row>
    <row r="640" spans="5:9" x14ac:dyDescent="0.2">
      <c r="E640" s="7"/>
      <c r="F640" s="7"/>
      <c r="G640" s="7"/>
      <c r="H640" s="7"/>
      <c r="I640" s="7"/>
    </row>
    <row r="641" spans="5:9" x14ac:dyDescent="0.2">
      <c r="E641" s="7"/>
      <c r="F641" s="7"/>
      <c r="G641" s="7"/>
      <c r="H641" s="7"/>
      <c r="I641" s="7"/>
    </row>
    <row r="642" spans="5:9" x14ac:dyDescent="0.2">
      <c r="E642" s="7"/>
      <c r="F642" s="7"/>
      <c r="G642" s="7"/>
      <c r="H642" s="7"/>
      <c r="I642" s="7"/>
    </row>
    <row r="643" spans="5:9" x14ac:dyDescent="0.2">
      <c r="E643" s="7"/>
      <c r="F643" s="7"/>
      <c r="G643" s="7"/>
      <c r="H643" s="7"/>
      <c r="I643" s="7"/>
    </row>
    <row r="644" spans="5:9" x14ac:dyDescent="0.2">
      <c r="E644" s="7"/>
      <c r="F644" s="7"/>
      <c r="G644" s="7"/>
      <c r="H644" s="7"/>
      <c r="I644" s="7"/>
    </row>
    <row r="645" spans="5:9" x14ac:dyDescent="0.2">
      <c r="E645" s="7"/>
      <c r="F645" s="7"/>
      <c r="G645" s="7"/>
      <c r="H645" s="7"/>
      <c r="I645" s="7"/>
    </row>
    <row r="646" spans="5:9" x14ac:dyDescent="0.2">
      <c r="E646" s="7"/>
      <c r="F646" s="7"/>
      <c r="G646" s="7"/>
      <c r="H646" s="7"/>
      <c r="I646" s="7"/>
    </row>
    <row r="647" spans="5:9" x14ac:dyDescent="0.2">
      <c r="E647" s="7"/>
      <c r="F647" s="7"/>
      <c r="G647" s="7"/>
      <c r="H647" s="7"/>
      <c r="I647" s="7"/>
    </row>
    <row r="648" spans="5:9" x14ac:dyDescent="0.2">
      <c r="E648" s="7"/>
      <c r="F648" s="7"/>
      <c r="G648" s="7"/>
      <c r="H648" s="7"/>
      <c r="I648" s="7"/>
    </row>
    <row r="649" spans="5:9" x14ac:dyDescent="0.2">
      <c r="E649" s="7"/>
      <c r="F649" s="7"/>
      <c r="G649" s="7"/>
      <c r="H649" s="7"/>
      <c r="I649" s="7"/>
    </row>
    <row r="650" spans="5:9" x14ac:dyDescent="0.2">
      <c r="E650" s="7"/>
      <c r="F650" s="7"/>
      <c r="G650" s="7"/>
      <c r="H650" s="7"/>
      <c r="I650" s="7"/>
    </row>
    <row r="651" spans="5:9" x14ac:dyDescent="0.2">
      <c r="E651" s="7"/>
      <c r="F651" s="7"/>
      <c r="G651" s="7"/>
      <c r="H651" s="7"/>
      <c r="I651" s="7"/>
    </row>
    <row r="652" spans="5:9" x14ac:dyDescent="0.2">
      <c r="E652" s="7"/>
      <c r="F652" s="7"/>
      <c r="G652" s="7"/>
      <c r="H652" s="7"/>
      <c r="I652" s="7"/>
    </row>
    <row r="653" spans="5:9" x14ac:dyDescent="0.2">
      <c r="E653" s="7"/>
      <c r="F653" s="7"/>
      <c r="G653" s="7"/>
      <c r="H653" s="7"/>
      <c r="I653" s="7"/>
    </row>
    <row r="654" spans="5:9" x14ac:dyDescent="0.2">
      <c r="E654" s="7"/>
      <c r="F654" s="7"/>
      <c r="G654" s="7"/>
      <c r="H654" s="7"/>
      <c r="I654" s="7"/>
    </row>
    <row r="655" spans="5:9" x14ac:dyDescent="0.2">
      <c r="E655" s="7"/>
      <c r="F655" s="7"/>
      <c r="G655" s="7"/>
      <c r="H655" s="7"/>
      <c r="I655" s="7"/>
    </row>
    <row r="656" spans="5:9" x14ac:dyDescent="0.2">
      <c r="E656" s="7"/>
      <c r="F656" s="7"/>
      <c r="G656" s="7"/>
      <c r="H656" s="7"/>
      <c r="I656" s="7"/>
    </row>
    <row r="657" spans="5:9" x14ac:dyDescent="0.2">
      <c r="E657" s="7"/>
      <c r="F657" s="7"/>
      <c r="G657" s="7"/>
      <c r="H657" s="7"/>
      <c r="I657" s="7"/>
    </row>
    <row r="658" spans="5:9" x14ac:dyDescent="0.2">
      <c r="E658" s="7"/>
      <c r="F658" s="7"/>
      <c r="G658" s="7"/>
      <c r="H658" s="7"/>
      <c r="I658" s="7"/>
    </row>
    <row r="659" spans="5:9" x14ac:dyDescent="0.2">
      <c r="E659" s="7"/>
      <c r="F659" s="7"/>
      <c r="G659" s="7"/>
      <c r="H659" s="7"/>
      <c r="I659" s="7"/>
    </row>
    <row r="660" spans="5:9" x14ac:dyDescent="0.2">
      <c r="E660" s="7"/>
      <c r="F660" s="7"/>
      <c r="G660" s="7"/>
      <c r="H660" s="7"/>
      <c r="I660" s="7"/>
    </row>
    <row r="661" spans="5:9" x14ac:dyDescent="0.2">
      <c r="E661" s="7"/>
      <c r="F661" s="7"/>
      <c r="G661" s="7"/>
      <c r="H661" s="7"/>
      <c r="I661" s="7"/>
    </row>
    <row r="662" spans="5:9" x14ac:dyDescent="0.2">
      <c r="E662" s="7"/>
      <c r="F662" s="7"/>
      <c r="G662" s="7"/>
      <c r="H662" s="7"/>
      <c r="I662" s="7"/>
    </row>
    <row r="663" spans="5:9" x14ac:dyDescent="0.2">
      <c r="E663" s="7"/>
      <c r="F663" s="7"/>
      <c r="G663" s="7"/>
      <c r="H663" s="7"/>
      <c r="I663" s="7"/>
    </row>
    <row r="664" spans="5:9" x14ac:dyDescent="0.2">
      <c r="E664" s="7"/>
      <c r="F664" s="7"/>
      <c r="G664" s="7"/>
      <c r="H664" s="7"/>
      <c r="I664" s="7"/>
    </row>
    <row r="665" spans="5:9" x14ac:dyDescent="0.2">
      <c r="E665" s="7"/>
      <c r="F665" s="7"/>
      <c r="G665" s="7"/>
      <c r="H665" s="7"/>
      <c r="I665" s="7"/>
    </row>
    <row r="666" spans="5:9" x14ac:dyDescent="0.2">
      <c r="E666" s="7"/>
      <c r="F666" s="7"/>
      <c r="G666" s="7"/>
      <c r="H666" s="7"/>
      <c r="I666" s="7"/>
    </row>
    <row r="667" spans="5:9" x14ac:dyDescent="0.2">
      <c r="E667" s="7"/>
      <c r="F667" s="7"/>
      <c r="G667" s="7"/>
      <c r="H667" s="7"/>
      <c r="I667" s="7"/>
    </row>
    <row r="668" spans="5:9" x14ac:dyDescent="0.2">
      <c r="E668" s="7"/>
      <c r="F668" s="7"/>
      <c r="G668" s="7"/>
      <c r="H668" s="7"/>
      <c r="I668" s="7"/>
    </row>
    <row r="669" spans="5:9" x14ac:dyDescent="0.2">
      <c r="E669" s="7"/>
      <c r="F669" s="7"/>
      <c r="G669" s="7"/>
      <c r="H669" s="7"/>
      <c r="I669" s="7"/>
    </row>
    <row r="670" spans="5:9" x14ac:dyDescent="0.2">
      <c r="E670" s="7"/>
      <c r="F670" s="7"/>
      <c r="G670" s="7"/>
      <c r="H670" s="7"/>
      <c r="I670" s="7"/>
    </row>
    <row r="671" spans="5:9" x14ac:dyDescent="0.2">
      <c r="E671" s="7"/>
      <c r="F671" s="7"/>
      <c r="G671" s="7"/>
      <c r="H671" s="7"/>
      <c r="I671" s="7"/>
    </row>
    <row r="672" spans="5:9" x14ac:dyDescent="0.2">
      <c r="E672" s="7"/>
      <c r="F672" s="7"/>
      <c r="G672" s="7"/>
      <c r="H672" s="7"/>
      <c r="I672" s="7"/>
    </row>
    <row r="673" spans="5:9" x14ac:dyDescent="0.2">
      <c r="E673" s="7"/>
      <c r="F673" s="7"/>
      <c r="G673" s="7"/>
      <c r="H673" s="7"/>
      <c r="I673" s="7"/>
    </row>
    <row r="674" spans="5:9" x14ac:dyDescent="0.2">
      <c r="E674" s="7"/>
      <c r="F674" s="7"/>
      <c r="G674" s="7"/>
      <c r="H674" s="7"/>
      <c r="I674" s="7"/>
    </row>
    <row r="675" spans="5:9" x14ac:dyDescent="0.2">
      <c r="E675" s="7"/>
      <c r="F675" s="7"/>
      <c r="G675" s="7"/>
      <c r="H675" s="7"/>
      <c r="I675" s="7"/>
    </row>
    <row r="676" spans="5:9" x14ac:dyDescent="0.2">
      <c r="E676" s="7"/>
      <c r="F676" s="7"/>
      <c r="G676" s="7"/>
      <c r="H676" s="7"/>
      <c r="I676" s="7"/>
    </row>
    <row r="677" spans="5:9" x14ac:dyDescent="0.2">
      <c r="E677" s="7"/>
      <c r="F677" s="7"/>
      <c r="G677" s="7"/>
      <c r="H677" s="7"/>
      <c r="I677" s="7"/>
    </row>
    <row r="678" spans="5:9" x14ac:dyDescent="0.2">
      <c r="E678" s="7"/>
      <c r="F678" s="7"/>
      <c r="G678" s="7"/>
      <c r="H678" s="7"/>
      <c r="I678" s="7"/>
    </row>
    <row r="679" spans="5:9" x14ac:dyDescent="0.2">
      <c r="E679" s="7"/>
      <c r="F679" s="7"/>
      <c r="G679" s="7"/>
      <c r="H679" s="7"/>
      <c r="I679" s="7"/>
    </row>
    <row r="680" spans="5:9" x14ac:dyDescent="0.2">
      <c r="E680" s="7"/>
      <c r="F680" s="7"/>
      <c r="G680" s="7"/>
      <c r="H680" s="7"/>
      <c r="I680" s="7"/>
    </row>
    <row r="681" spans="5:9" x14ac:dyDescent="0.2">
      <c r="E681" s="7"/>
      <c r="F681" s="7"/>
      <c r="G681" s="7"/>
      <c r="H681" s="7"/>
      <c r="I681" s="7"/>
    </row>
    <row r="682" spans="5:9" x14ac:dyDescent="0.2">
      <c r="E682" s="7"/>
      <c r="F682" s="7"/>
      <c r="G682" s="7"/>
      <c r="H682" s="7"/>
      <c r="I682" s="7"/>
    </row>
    <row r="683" spans="5:9" x14ac:dyDescent="0.2">
      <c r="E683" s="7"/>
      <c r="F683" s="7"/>
      <c r="G683" s="7"/>
      <c r="H683" s="7"/>
      <c r="I683" s="7"/>
    </row>
    <row r="684" spans="5:9" x14ac:dyDescent="0.2">
      <c r="E684" s="7"/>
      <c r="F684" s="7"/>
      <c r="G684" s="7"/>
      <c r="H684" s="7"/>
      <c r="I684" s="7"/>
    </row>
    <row r="685" spans="5:9" x14ac:dyDescent="0.2">
      <c r="E685" s="7"/>
      <c r="F685" s="7"/>
      <c r="G685" s="7"/>
      <c r="H685" s="7"/>
      <c r="I685" s="7"/>
    </row>
    <row r="686" spans="5:9" x14ac:dyDescent="0.2">
      <c r="E686" s="7"/>
      <c r="F686" s="7"/>
      <c r="G686" s="7"/>
      <c r="H686" s="7"/>
      <c r="I686" s="7"/>
    </row>
    <row r="687" spans="5:9" x14ac:dyDescent="0.2">
      <c r="E687" s="7"/>
      <c r="F687" s="7"/>
      <c r="G687" s="7"/>
      <c r="H687" s="7"/>
      <c r="I687" s="7"/>
    </row>
    <row r="688" spans="5:9" x14ac:dyDescent="0.2">
      <c r="E688" s="7"/>
      <c r="F688" s="7"/>
      <c r="G688" s="7"/>
      <c r="H688" s="7"/>
      <c r="I688" s="7"/>
    </row>
    <row r="689" spans="5:9" x14ac:dyDescent="0.2">
      <c r="E689" s="7"/>
      <c r="F689" s="7"/>
      <c r="G689" s="7"/>
      <c r="H689" s="7"/>
      <c r="I689" s="7"/>
    </row>
    <row r="690" spans="5:9" x14ac:dyDescent="0.2">
      <c r="E690" s="7"/>
      <c r="F690" s="7"/>
      <c r="G690" s="7"/>
      <c r="H690" s="7"/>
      <c r="I690" s="7"/>
    </row>
    <row r="691" spans="5:9" x14ac:dyDescent="0.2">
      <c r="E691" s="7"/>
      <c r="F691" s="7"/>
      <c r="G691" s="7"/>
      <c r="H691" s="7"/>
      <c r="I691" s="7"/>
    </row>
    <row r="692" spans="5:9" x14ac:dyDescent="0.2">
      <c r="E692" s="7"/>
      <c r="F692" s="7"/>
      <c r="G692" s="7"/>
      <c r="H692" s="7"/>
      <c r="I692" s="7"/>
    </row>
    <row r="693" spans="5:9" x14ac:dyDescent="0.2">
      <c r="E693" s="7"/>
      <c r="F693" s="7"/>
      <c r="G693" s="7"/>
      <c r="H693" s="7"/>
      <c r="I693" s="7"/>
    </row>
    <row r="694" spans="5:9" x14ac:dyDescent="0.2">
      <c r="E694" s="7"/>
      <c r="F694" s="7"/>
      <c r="G694" s="7"/>
      <c r="H694" s="7"/>
      <c r="I694" s="7"/>
    </row>
    <row r="695" spans="5:9" x14ac:dyDescent="0.2">
      <c r="E695" s="7"/>
      <c r="F695" s="7"/>
      <c r="G695" s="7"/>
      <c r="H695" s="7"/>
      <c r="I695" s="7"/>
    </row>
    <row r="696" spans="5:9" x14ac:dyDescent="0.2">
      <c r="E696" s="7"/>
      <c r="F696" s="7"/>
      <c r="G696" s="7"/>
      <c r="H696" s="7"/>
      <c r="I696" s="7"/>
    </row>
    <row r="697" spans="5:9" x14ac:dyDescent="0.2">
      <c r="E697" s="7"/>
      <c r="F697" s="7"/>
      <c r="G697" s="7"/>
      <c r="H697" s="7"/>
      <c r="I697" s="7"/>
    </row>
    <row r="698" spans="5:9" x14ac:dyDescent="0.2">
      <c r="E698" s="7"/>
      <c r="F698" s="7"/>
      <c r="G698" s="7"/>
      <c r="H698" s="7"/>
      <c r="I698" s="7"/>
    </row>
    <row r="699" spans="5:9" x14ac:dyDescent="0.2">
      <c r="E699" s="7"/>
      <c r="F699" s="7"/>
      <c r="G699" s="7"/>
      <c r="H699" s="7"/>
      <c r="I699" s="7"/>
    </row>
    <row r="700" spans="5:9" x14ac:dyDescent="0.2">
      <c r="E700" s="7"/>
      <c r="F700" s="7"/>
      <c r="G700" s="7"/>
      <c r="H700" s="7"/>
      <c r="I700" s="7"/>
    </row>
    <row r="701" spans="5:9" x14ac:dyDescent="0.2">
      <c r="E701" s="7"/>
      <c r="F701" s="7"/>
      <c r="G701" s="7"/>
      <c r="H701" s="7"/>
      <c r="I701" s="7"/>
    </row>
    <row r="702" spans="5:9" x14ac:dyDescent="0.2">
      <c r="E702" s="7"/>
      <c r="F702" s="7"/>
      <c r="G702" s="7"/>
      <c r="H702" s="7"/>
      <c r="I702" s="7"/>
    </row>
    <row r="703" spans="5:9" x14ac:dyDescent="0.2">
      <c r="E703" s="7"/>
      <c r="F703" s="7"/>
      <c r="G703" s="7"/>
      <c r="H703" s="7"/>
      <c r="I703" s="7"/>
    </row>
    <row r="704" spans="5:9" x14ac:dyDescent="0.2">
      <c r="E704" s="7"/>
      <c r="F704" s="7"/>
      <c r="G704" s="7"/>
      <c r="H704" s="7"/>
      <c r="I704" s="7"/>
    </row>
    <row r="705" spans="5:9" x14ac:dyDescent="0.2">
      <c r="E705" s="7"/>
      <c r="F705" s="7"/>
      <c r="G705" s="7"/>
      <c r="H705" s="7"/>
      <c r="I705" s="7"/>
    </row>
    <row r="706" spans="5:9" x14ac:dyDescent="0.2">
      <c r="E706" s="7"/>
      <c r="F706" s="7"/>
      <c r="G706" s="7"/>
      <c r="H706" s="7"/>
      <c r="I706" s="7"/>
    </row>
    <row r="707" spans="5:9" x14ac:dyDescent="0.2">
      <c r="E707" s="7"/>
      <c r="F707" s="7"/>
      <c r="G707" s="7"/>
      <c r="H707" s="7"/>
      <c r="I707" s="7"/>
    </row>
    <row r="708" spans="5:9" x14ac:dyDescent="0.2">
      <c r="E708" s="7"/>
      <c r="F708" s="7"/>
      <c r="G708" s="7"/>
      <c r="H708" s="7"/>
      <c r="I708" s="7"/>
    </row>
    <row r="709" spans="5:9" x14ac:dyDescent="0.2">
      <c r="E709" s="7"/>
      <c r="F709" s="7"/>
      <c r="G709" s="7"/>
      <c r="H709" s="7"/>
      <c r="I709" s="7"/>
    </row>
    <row r="710" spans="5:9" x14ac:dyDescent="0.2">
      <c r="E710" s="7"/>
      <c r="F710" s="7"/>
      <c r="G710" s="7"/>
      <c r="H710" s="7"/>
      <c r="I710" s="7"/>
    </row>
    <row r="711" spans="5:9" x14ac:dyDescent="0.2">
      <c r="E711" s="7"/>
      <c r="F711" s="7"/>
      <c r="G711" s="7"/>
      <c r="H711" s="7"/>
      <c r="I711" s="7"/>
    </row>
    <row r="712" spans="5:9" x14ac:dyDescent="0.2">
      <c r="E712" s="7"/>
      <c r="F712" s="7"/>
      <c r="G712" s="7"/>
      <c r="H712" s="7"/>
      <c r="I712" s="7"/>
    </row>
    <row r="713" spans="5:9" x14ac:dyDescent="0.2">
      <c r="E713" s="7"/>
      <c r="F713" s="7"/>
      <c r="G713" s="7"/>
      <c r="H713" s="7"/>
      <c r="I713" s="7"/>
    </row>
    <row r="714" spans="5:9" x14ac:dyDescent="0.2">
      <c r="E714" s="7"/>
      <c r="F714" s="7"/>
      <c r="G714" s="7"/>
      <c r="H714" s="7"/>
      <c r="I714" s="7"/>
    </row>
    <row r="715" spans="5:9" x14ac:dyDescent="0.2">
      <c r="E715" s="7"/>
      <c r="F715" s="7"/>
      <c r="G715" s="7"/>
      <c r="H715" s="7"/>
      <c r="I715" s="7"/>
    </row>
    <row r="716" spans="5:9" x14ac:dyDescent="0.2">
      <c r="E716" s="7"/>
      <c r="F716" s="7"/>
      <c r="G716" s="7"/>
      <c r="H716" s="7"/>
      <c r="I716" s="7"/>
    </row>
    <row r="717" spans="5:9" x14ac:dyDescent="0.2">
      <c r="E717" s="7"/>
      <c r="F717" s="7"/>
      <c r="G717" s="7"/>
      <c r="H717" s="7"/>
      <c r="I717" s="7"/>
    </row>
    <row r="718" spans="5:9" x14ac:dyDescent="0.2">
      <c r="E718" s="7"/>
      <c r="F718" s="7"/>
      <c r="G718" s="7"/>
      <c r="H718" s="7"/>
      <c r="I718" s="7"/>
    </row>
    <row r="719" spans="5:9" x14ac:dyDescent="0.2">
      <c r="E719" s="7"/>
      <c r="F719" s="7"/>
      <c r="G719" s="7"/>
      <c r="H719" s="7"/>
      <c r="I719" s="7"/>
    </row>
    <row r="720" spans="5:9" x14ac:dyDescent="0.2">
      <c r="E720" s="7"/>
      <c r="F720" s="7"/>
      <c r="G720" s="7"/>
      <c r="H720" s="7"/>
      <c r="I720" s="7"/>
    </row>
    <row r="721" spans="5:9" x14ac:dyDescent="0.2">
      <c r="E721" s="7"/>
      <c r="F721" s="7"/>
      <c r="G721" s="7"/>
      <c r="H721" s="7"/>
      <c r="I721" s="7"/>
    </row>
    <row r="722" spans="5:9" x14ac:dyDescent="0.2">
      <c r="E722" s="7"/>
      <c r="F722" s="7"/>
      <c r="G722" s="7"/>
      <c r="H722" s="7"/>
      <c r="I722" s="7"/>
    </row>
    <row r="723" spans="5:9" x14ac:dyDescent="0.2">
      <c r="E723" s="7"/>
      <c r="F723" s="7"/>
      <c r="G723" s="7"/>
      <c r="H723" s="7"/>
      <c r="I723" s="7"/>
    </row>
    <row r="724" spans="5:9" x14ac:dyDescent="0.2">
      <c r="E724" s="7"/>
      <c r="F724" s="7"/>
      <c r="G724" s="7"/>
      <c r="H724" s="7"/>
      <c r="I724" s="7"/>
    </row>
    <row r="725" spans="5:9" x14ac:dyDescent="0.2">
      <c r="E725" s="7"/>
      <c r="F725" s="7"/>
      <c r="G725" s="7"/>
      <c r="H725" s="7"/>
      <c r="I725" s="7"/>
    </row>
    <row r="726" spans="5:9" x14ac:dyDescent="0.2">
      <c r="E726" s="7"/>
      <c r="F726" s="7"/>
      <c r="G726" s="7"/>
      <c r="H726" s="7"/>
      <c r="I726" s="7"/>
    </row>
    <row r="727" spans="5:9" x14ac:dyDescent="0.2">
      <c r="E727" s="7"/>
      <c r="F727" s="7"/>
      <c r="G727" s="7"/>
      <c r="H727" s="7"/>
      <c r="I727" s="7"/>
    </row>
    <row r="728" spans="5:9" x14ac:dyDescent="0.2">
      <c r="E728" s="7"/>
      <c r="F728" s="7"/>
      <c r="G728" s="7"/>
      <c r="H728" s="7"/>
      <c r="I728" s="7"/>
    </row>
    <row r="729" spans="5:9" x14ac:dyDescent="0.2">
      <c r="E729" s="7"/>
      <c r="F729" s="7"/>
      <c r="G729" s="7"/>
      <c r="H729" s="7"/>
      <c r="I729" s="7"/>
    </row>
    <row r="730" spans="5:9" x14ac:dyDescent="0.2">
      <c r="E730" s="7"/>
      <c r="F730" s="7"/>
      <c r="G730" s="7"/>
      <c r="H730" s="7"/>
      <c r="I730" s="7"/>
    </row>
    <row r="731" spans="5:9" x14ac:dyDescent="0.2">
      <c r="E731" s="7"/>
      <c r="F731" s="7"/>
      <c r="G731" s="7"/>
      <c r="H731" s="7"/>
      <c r="I731" s="7"/>
    </row>
    <row r="732" spans="5:9" x14ac:dyDescent="0.2">
      <c r="E732" s="7"/>
      <c r="F732" s="7"/>
      <c r="G732" s="7"/>
      <c r="H732" s="7"/>
      <c r="I732" s="7"/>
    </row>
    <row r="733" spans="5:9" x14ac:dyDescent="0.2">
      <c r="E733" s="7"/>
      <c r="F733" s="7"/>
      <c r="G733" s="7"/>
      <c r="H733" s="7"/>
      <c r="I733" s="7"/>
    </row>
    <row r="734" spans="5:9" x14ac:dyDescent="0.2">
      <c r="E734" s="7"/>
      <c r="F734" s="7"/>
      <c r="G734" s="7"/>
      <c r="H734" s="7"/>
      <c r="I734" s="7"/>
    </row>
    <row r="735" spans="5:9" x14ac:dyDescent="0.2">
      <c r="E735" s="7"/>
      <c r="F735" s="7"/>
      <c r="G735" s="7"/>
      <c r="H735" s="7"/>
      <c r="I735" s="7"/>
    </row>
    <row r="736" spans="5:9" x14ac:dyDescent="0.2">
      <c r="E736" s="7"/>
      <c r="F736" s="7"/>
      <c r="G736" s="7"/>
      <c r="H736" s="7"/>
      <c r="I736" s="7"/>
    </row>
    <row r="737" spans="5:9" x14ac:dyDescent="0.2">
      <c r="E737" s="7"/>
      <c r="F737" s="7"/>
      <c r="G737" s="7"/>
      <c r="H737" s="7"/>
      <c r="I737" s="7"/>
    </row>
    <row r="738" spans="5:9" x14ac:dyDescent="0.2">
      <c r="E738" s="7"/>
      <c r="F738" s="7"/>
      <c r="G738" s="7"/>
      <c r="H738" s="7"/>
      <c r="I738" s="7"/>
    </row>
    <row r="739" spans="5:9" x14ac:dyDescent="0.2">
      <c r="E739" s="7"/>
      <c r="F739" s="7"/>
      <c r="G739" s="7"/>
      <c r="H739" s="7"/>
      <c r="I739" s="7"/>
    </row>
    <row r="740" spans="5:9" x14ac:dyDescent="0.2">
      <c r="E740" s="7"/>
      <c r="F740" s="7"/>
      <c r="G740" s="7"/>
      <c r="H740" s="7"/>
      <c r="I740" s="7"/>
    </row>
    <row r="741" spans="5:9" x14ac:dyDescent="0.2">
      <c r="E741" s="7"/>
      <c r="F741" s="7"/>
      <c r="G741" s="7"/>
      <c r="H741" s="7"/>
      <c r="I741" s="7"/>
    </row>
    <row r="742" spans="5:9" x14ac:dyDescent="0.2">
      <c r="E742" s="7"/>
      <c r="F742" s="7"/>
      <c r="G742" s="7"/>
      <c r="H742" s="7"/>
      <c r="I742" s="7"/>
    </row>
    <row r="743" spans="5:9" x14ac:dyDescent="0.2">
      <c r="E743" s="7"/>
      <c r="F743" s="7"/>
      <c r="G743" s="7"/>
      <c r="H743" s="7"/>
      <c r="I743" s="7"/>
    </row>
    <row r="744" spans="5:9" x14ac:dyDescent="0.2">
      <c r="E744" s="7"/>
      <c r="F744" s="7"/>
      <c r="G744" s="7"/>
      <c r="H744" s="7"/>
      <c r="I744" s="7"/>
    </row>
    <row r="745" spans="5:9" x14ac:dyDescent="0.2">
      <c r="E745" s="7"/>
      <c r="F745" s="7"/>
      <c r="G745" s="7"/>
      <c r="H745" s="7"/>
      <c r="I745" s="7"/>
    </row>
    <row r="746" spans="5:9" x14ac:dyDescent="0.2">
      <c r="E746" s="7"/>
      <c r="F746" s="7"/>
      <c r="G746" s="7"/>
      <c r="H746" s="7"/>
      <c r="I746" s="7"/>
    </row>
    <row r="747" spans="5:9" x14ac:dyDescent="0.2">
      <c r="E747" s="7"/>
      <c r="F747" s="7"/>
      <c r="G747" s="7"/>
      <c r="H747" s="7"/>
      <c r="I747" s="7"/>
    </row>
    <row r="748" spans="5:9" x14ac:dyDescent="0.2">
      <c r="E748" s="7"/>
      <c r="F748" s="7"/>
      <c r="G748" s="7"/>
      <c r="H748" s="7"/>
      <c r="I748" s="7"/>
    </row>
    <row r="749" spans="5:9" x14ac:dyDescent="0.2">
      <c r="E749" s="7"/>
      <c r="F749" s="7"/>
      <c r="G749" s="7"/>
      <c r="H749" s="7"/>
      <c r="I749" s="7"/>
    </row>
    <row r="750" spans="5:9" x14ac:dyDescent="0.2">
      <c r="E750" s="7"/>
      <c r="F750" s="7"/>
      <c r="G750" s="7"/>
      <c r="H750" s="7"/>
      <c r="I750" s="7"/>
    </row>
    <row r="751" spans="5:9" x14ac:dyDescent="0.2">
      <c r="E751" s="7"/>
      <c r="F751" s="7"/>
      <c r="G751" s="7"/>
      <c r="H751" s="7"/>
      <c r="I751" s="7"/>
    </row>
    <row r="752" spans="5:9" x14ac:dyDescent="0.2">
      <c r="E752" s="7"/>
      <c r="F752" s="7"/>
      <c r="G752" s="7"/>
      <c r="H752" s="7"/>
      <c r="I752" s="7"/>
    </row>
    <row r="753" spans="5:9" x14ac:dyDescent="0.2">
      <c r="E753" s="7"/>
      <c r="F753" s="7"/>
      <c r="G753" s="7"/>
      <c r="H753" s="7"/>
      <c r="I753" s="7"/>
    </row>
    <row r="754" spans="5:9" x14ac:dyDescent="0.2">
      <c r="E754" s="7"/>
      <c r="F754" s="7"/>
      <c r="G754" s="7"/>
      <c r="H754" s="7"/>
      <c r="I754" s="7"/>
    </row>
    <row r="755" spans="5:9" x14ac:dyDescent="0.2">
      <c r="E755" s="7"/>
      <c r="F755" s="7"/>
      <c r="G755" s="7"/>
      <c r="H755" s="7"/>
      <c r="I755" s="7"/>
    </row>
    <row r="756" spans="5:9" x14ac:dyDescent="0.2">
      <c r="E756" s="7"/>
      <c r="F756" s="7"/>
      <c r="G756" s="7"/>
      <c r="H756" s="7"/>
      <c r="I756" s="7"/>
    </row>
    <row r="757" spans="5:9" x14ac:dyDescent="0.2">
      <c r="E757" s="7"/>
      <c r="F757" s="7"/>
      <c r="G757" s="7"/>
      <c r="H757" s="7"/>
      <c r="I757" s="7"/>
    </row>
    <row r="758" spans="5:9" x14ac:dyDescent="0.2">
      <c r="E758" s="7"/>
      <c r="F758" s="7"/>
      <c r="G758" s="7"/>
      <c r="H758" s="7"/>
      <c r="I758" s="7"/>
    </row>
    <row r="759" spans="5:9" x14ac:dyDescent="0.2">
      <c r="E759" s="7"/>
      <c r="F759" s="7"/>
      <c r="G759" s="7"/>
      <c r="H759" s="7"/>
      <c r="I759" s="7"/>
    </row>
    <row r="760" spans="5:9" x14ac:dyDescent="0.2">
      <c r="E760" s="7"/>
      <c r="F760" s="7"/>
      <c r="G760" s="7"/>
      <c r="H760" s="7"/>
      <c r="I760" s="7"/>
    </row>
    <row r="761" spans="5:9" x14ac:dyDescent="0.2">
      <c r="E761" s="7"/>
      <c r="F761" s="7"/>
      <c r="G761" s="7"/>
      <c r="H761" s="7"/>
      <c r="I761" s="7"/>
    </row>
    <row r="762" spans="5:9" x14ac:dyDescent="0.2">
      <c r="E762" s="7"/>
      <c r="F762" s="7"/>
      <c r="G762" s="7"/>
      <c r="H762" s="7"/>
      <c r="I762" s="7"/>
    </row>
    <row r="763" spans="5:9" x14ac:dyDescent="0.2">
      <c r="E763" s="7"/>
      <c r="F763" s="7"/>
      <c r="G763" s="7"/>
      <c r="H763" s="7"/>
      <c r="I763" s="7"/>
    </row>
    <row r="764" spans="5:9" x14ac:dyDescent="0.2">
      <c r="E764" s="7"/>
      <c r="F764" s="7"/>
      <c r="G764" s="7"/>
      <c r="H764" s="7"/>
      <c r="I764" s="7"/>
    </row>
    <row r="765" spans="5:9" x14ac:dyDescent="0.2">
      <c r="E765" s="7"/>
      <c r="F765" s="7"/>
      <c r="G765" s="7"/>
      <c r="H765" s="7"/>
      <c r="I765" s="7"/>
    </row>
    <row r="766" spans="5:9" x14ac:dyDescent="0.2">
      <c r="E766" s="7"/>
      <c r="F766" s="7"/>
      <c r="G766" s="7"/>
      <c r="H766" s="7"/>
      <c r="I766" s="7"/>
    </row>
    <row r="767" spans="5:9" x14ac:dyDescent="0.2">
      <c r="E767" s="7"/>
      <c r="F767" s="7"/>
      <c r="G767" s="7"/>
      <c r="H767" s="7"/>
      <c r="I767" s="7"/>
    </row>
    <row r="768" spans="5:9" x14ac:dyDescent="0.2">
      <c r="E768" s="7"/>
      <c r="F768" s="7"/>
      <c r="G768" s="7"/>
      <c r="H768" s="7"/>
      <c r="I768" s="7"/>
    </row>
    <row r="769" spans="5:9" x14ac:dyDescent="0.2">
      <c r="E769" s="7"/>
      <c r="F769" s="7"/>
      <c r="G769" s="7"/>
      <c r="H769" s="7"/>
      <c r="I769" s="7"/>
    </row>
    <row r="770" spans="5:9" x14ac:dyDescent="0.2">
      <c r="E770" s="7"/>
      <c r="F770" s="7"/>
      <c r="G770" s="7"/>
      <c r="H770" s="7"/>
      <c r="I770" s="7"/>
    </row>
    <row r="771" spans="5:9" x14ac:dyDescent="0.2">
      <c r="E771" s="7"/>
      <c r="F771" s="7"/>
      <c r="G771" s="7"/>
      <c r="H771" s="7"/>
      <c r="I771" s="7"/>
    </row>
    <row r="772" spans="5:9" x14ac:dyDescent="0.2">
      <c r="E772" s="7"/>
      <c r="F772" s="7"/>
      <c r="G772" s="7"/>
      <c r="H772" s="7"/>
      <c r="I772" s="7"/>
    </row>
    <row r="773" spans="5:9" x14ac:dyDescent="0.2">
      <c r="E773" s="7"/>
      <c r="F773" s="7"/>
      <c r="G773" s="7"/>
      <c r="H773" s="7"/>
      <c r="I773" s="7"/>
    </row>
    <row r="774" spans="5:9" x14ac:dyDescent="0.2">
      <c r="E774" s="7"/>
      <c r="F774" s="7"/>
      <c r="G774" s="7"/>
      <c r="H774" s="7"/>
      <c r="I774" s="7"/>
    </row>
    <row r="775" spans="5:9" x14ac:dyDescent="0.2">
      <c r="E775" s="7"/>
      <c r="F775" s="7"/>
      <c r="G775" s="7"/>
      <c r="H775" s="7"/>
      <c r="I775" s="7"/>
    </row>
    <row r="776" spans="5:9" x14ac:dyDescent="0.2">
      <c r="E776" s="7"/>
      <c r="F776" s="7"/>
      <c r="G776" s="7"/>
      <c r="H776" s="7"/>
      <c r="I776" s="7"/>
    </row>
    <row r="777" spans="5:9" x14ac:dyDescent="0.2">
      <c r="E777" s="7"/>
      <c r="F777" s="7"/>
      <c r="G777" s="7"/>
      <c r="H777" s="7"/>
      <c r="I777" s="7"/>
    </row>
    <row r="778" spans="5:9" x14ac:dyDescent="0.2">
      <c r="E778" s="7"/>
      <c r="F778" s="7"/>
      <c r="G778" s="7"/>
      <c r="H778" s="7"/>
      <c r="I778" s="7"/>
    </row>
    <row r="779" spans="5:9" x14ac:dyDescent="0.2">
      <c r="E779" s="7"/>
      <c r="F779" s="7"/>
      <c r="G779" s="7"/>
      <c r="H779" s="7"/>
      <c r="I779" s="7"/>
    </row>
    <row r="780" spans="5:9" x14ac:dyDescent="0.2">
      <c r="E780" s="7"/>
      <c r="F780" s="7"/>
      <c r="G780" s="7"/>
      <c r="H780" s="7"/>
      <c r="I780" s="7"/>
    </row>
    <row r="781" spans="5:9" x14ac:dyDescent="0.2">
      <c r="E781" s="7"/>
      <c r="F781" s="7"/>
      <c r="G781" s="7"/>
      <c r="H781" s="7"/>
      <c r="I781" s="7"/>
    </row>
    <row r="782" spans="5:9" x14ac:dyDescent="0.2">
      <c r="E782" s="7"/>
      <c r="F782" s="7"/>
      <c r="G782" s="7"/>
      <c r="H782" s="7"/>
      <c r="I782" s="7"/>
    </row>
    <row r="783" spans="5:9" x14ac:dyDescent="0.2">
      <c r="E783" s="7"/>
      <c r="F783" s="7"/>
      <c r="G783" s="7"/>
      <c r="H783" s="7"/>
      <c r="I783" s="7"/>
    </row>
    <row r="784" spans="5:9" x14ac:dyDescent="0.2">
      <c r="E784" s="7"/>
      <c r="F784" s="7"/>
      <c r="G784" s="7"/>
      <c r="H784" s="7"/>
      <c r="I784" s="7"/>
    </row>
    <row r="785" spans="5:9" x14ac:dyDescent="0.2">
      <c r="E785" s="7"/>
      <c r="F785" s="7"/>
      <c r="G785" s="7"/>
      <c r="H785" s="7"/>
      <c r="I785" s="7"/>
    </row>
    <row r="786" spans="5:9" x14ac:dyDescent="0.2">
      <c r="E786" s="7"/>
      <c r="F786" s="7"/>
      <c r="G786" s="7"/>
      <c r="H786" s="7"/>
      <c r="I786" s="7"/>
    </row>
    <row r="787" spans="5:9" x14ac:dyDescent="0.2">
      <c r="E787" s="7"/>
      <c r="F787" s="7"/>
      <c r="G787" s="7"/>
      <c r="H787" s="7"/>
      <c r="I787" s="7"/>
    </row>
    <row r="788" spans="5:9" x14ac:dyDescent="0.2">
      <c r="E788" s="7"/>
      <c r="F788" s="7"/>
      <c r="G788" s="7"/>
      <c r="H788" s="7"/>
      <c r="I788" s="7"/>
    </row>
    <row r="789" spans="5:9" x14ac:dyDescent="0.2">
      <c r="E789" s="7"/>
      <c r="F789" s="7"/>
      <c r="G789" s="7"/>
      <c r="H789" s="7"/>
      <c r="I789" s="7"/>
    </row>
    <row r="790" spans="5:9" x14ac:dyDescent="0.2">
      <c r="E790" s="7"/>
      <c r="F790" s="7"/>
      <c r="G790" s="7"/>
      <c r="H790" s="7"/>
      <c r="I790" s="7"/>
    </row>
    <row r="791" spans="5:9" x14ac:dyDescent="0.2">
      <c r="E791" s="7"/>
      <c r="F791" s="7"/>
      <c r="G791" s="7"/>
      <c r="H791" s="7"/>
      <c r="I791" s="7"/>
    </row>
    <row r="792" spans="5:9" x14ac:dyDescent="0.2">
      <c r="E792" s="7"/>
      <c r="F792" s="7"/>
      <c r="G792" s="7"/>
      <c r="H792" s="7"/>
      <c r="I792" s="7"/>
    </row>
    <row r="793" spans="5:9" x14ac:dyDescent="0.2">
      <c r="E793" s="7"/>
      <c r="F793" s="7"/>
      <c r="G793" s="7"/>
      <c r="H793" s="7"/>
      <c r="I793" s="7"/>
    </row>
    <row r="794" spans="5:9" x14ac:dyDescent="0.2">
      <c r="E794" s="7"/>
      <c r="F794" s="7"/>
      <c r="G794" s="7"/>
      <c r="H794" s="7"/>
      <c r="I794" s="7"/>
    </row>
    <row r="795" spans="5:9" x14ac:dyDescent="0.2">
      <c r="E795" s="7"/>
      <c r="F795" s="7"/>
      <c r="G795" s="7"/>
      <c r="H795" s="7"/>
      <c r="I795" s="7"/>
    </row>
    <row r="796" spans="5:9" x14ac:dyDescent="0.2">
      <c r="E796" s="7"/>
      <c r="F796" s="7"/>
      <c r="G796" s="7"/>
      <c r="H796" s="7"/>
      <c r="I796" s="7"/>
    </row>
    <row r="797" spans="5:9" x14ac:dyDescent="0.2">
      <c r="E797" s="7"/>
      <c r="F797" s="7"/>
      <c r="G797" s="7"/>
      <c r="H797" s="7"/>
      <c r="I797" s="7"/>
    </row>
    <row r="798" spans="5:9" x14ac:dyDescent="0.2">
      <c r="E798" s="7"/>
      <c r="F798" s="7"/>
      <c r="G798" s="7"/>
      <c r="H798" s="7"/>
      <c r="I798" s="7"/>
    </row>
    <row r="799" spans="5:9" x14ac:dyDescent="0.2">
      <c r="E799" s="7"/>
      <c r="F799" s="7"/>
      <c r="G799" s="7"/>
      <c r="H799" s="7"/>
      <c r="I799" s="7"/>
    </row>
    <row r="800" spans="5:9" x14ac:dyDescent="0.2">
      <c r="E800" s="7"/>
      <c r="F800" s="7"/>
      <c r="G800" s="7"/>
      <c r="H800" s="7"/>
      <c r="I800" s="7"/>
    </row>
    <row r="801" spans="5:9" x14ac:dyDescent="0.2">
      <c r="E801" s="7"/>
      <c r="F801" s="7"/>
      <c r="G801" s="7"/>
      <c r="H801" s="7"/>
      <c r="I801" s="7"/>
    </row>
    <row r="802" spans="5:9" x14ac:dyDescent="0.2">
      <c r="E802" s="7"/>
      <c r="F802" s="7"/>
      <c r="G802" s="7"/>
      <c r="H802" s="7"/>
      <c r="I802" s="7"/>
    </row>
    <row r="803" spans="5:9" x14ac:dyDescent="0.2">
      <c r="E803" s="7"/>
      <c r="F803" s="7"/>
      <c r="G803" s="7"/>
      <c r="H803" s="7"/>
      <c r="I803" s="7"/>
    </row>
    <row r="804" spans="5:9" x14ac:dyDescent="0.2">
      <c r="E804" s="7"/>
      <c r="F804" s="7"/>
      <c r="G804" s="7"/>
      <c r="H804" s="7"/>
      <c r="I804" s="7"/>
    </row>
    <row r="805" spans="5:9" x14ac:dyDescent="0.2">
      <c r="E805" s="7"/>
      <c r="F805" s="7"/>
      <c r="G805" s="7"/>
      <c r="H805" s="7"/>
      <c r="I805" s="7"/>
    </row>
    <row r="806" spans="5:9" x14ac:dyDescent="0.2">
      <c r="E806" s="7"/>
      <c r="F806" s="7"/>
      <c r="G806" s="7"/>
      <c r="H806" s="7"/>
      <c r="I806" s="7"/>
    </row>
    <row r="807" spans="5:9" x14ac:dyDescent="0.2">
      <c r="E807" s="7"/>
      <c r="F807" s="7"/>
      <c r="G807" s="7"/>
      <c r="H807" s="7"/>
      <c r="I807" s="7"/>
    </row>
    <row r="808" spans="5:9" x14ac:dyDescent="0.2">
      <c r="E808" s="7"/>
      <c r="F808" s="7"/>
      <c r="G808" s="7"/>
      <c r="H808" s="7"/>
      <c r="I808" s="7"/>
    </row>
    <row r="809" spans="5:9" x14ac:dyDescent="0.2">
      <c r="E809" s="7"/>
      <c r="F809" s="7"/>
      <c r="G809" s="7"/>
      <c r="H809" s="7"/>
      <c r="I809" s="7"/>
    </row>
    <row r="810" spans="5:9" x14ac:dyDescent="0.2">
      <c r="E810" s="7"/>
      <c r="F810" s="7"/>
      <c r="G810" s="7"/>
      <c r="H810" s="7"/>
      <c r="I810" s="7"/>
    </row>
    <row r="811" spans="5:9" x14ac:dyDescent="0.2">
      <c r="E811" s="7"/>
      <c r="F811" s="7"/>
      <c r="G811" s="7"/>
      <c r="H811" s="7"/>
      <c r="I811" s="7"/>
    </row>
    <row r="812" spans="5:9" x14ac:dyDescent="0.2">
      <c r="E812" s="7"/>
      <c r="F812" s="7"/>
      <c r="G812" s="7"/>
      <c r="H812" s="7"/>
      <c r="I812" s="7"/>
    </row>
    <row r="813" spans="5:9" x14ac:dyDescent="0.2">
      <c r="E813" s="7"/>
      <c r="F813" s="7"/>
      <c r="G813" s="7"/>
      <c r="H813" s="7"/>
      <c r="I813" s="7"/>
    </row>
    <row r="814" spans="5:9" x14ac:dyDescent="0.2">
      <c r="E814" s="7"/>
      <c r="F814" s="7"/>
      <c r="G814" s="7"/>
      <c r="H814" s="7"/>
      <c r="I814" s="7"/>
    </row>
    <row r="815" spans="5:9" x14ac:dyDescent="0.2">
      <c r="E815" s="7"/>
      <c r="F815" s="7"/>
      <c r="G815" s="7"/>
      <c r="H815" s="7"/>
      <c r="I815" s="7"/>
    </row>
    <row r="816" spans="5:9" x14ac:dyDescent="0.2">
      <c r="E816" s="7"/>
      <c r="F816" s="7"/>
      <c r="G816" s="7"/>
      <c r="H816" s="7"/>
      <c r="I816" s="7"/>
    </row>
    <row r="817" spans="5:9" x14ac:dyDescent="0.2">
      <c r="E817" s="7"/>
      <c r="F817" s="7"/>
      <c r="G817" s="7"/>
      <c r="H817" s="7"/>
      <c r="I817" s="7"/>
    </row>
    <row r="818" spans="5:9" x14ac:dyDescent="0.2">
      <c r="E818" s="7"/>
      <c r="F818" s="7"/>
      <c r="G818" s="7"/>
      <c r="H818" s="7"/>
      <c r="I818" s="7"/>
    </row>
    <row r="819" spans="5:9" x14ac:dyDescent="0.2">
      <c r="E819" s="7"/>
      <c r="F819" s="7"/>
      <c r="G819" s="7"/>
      <c r="H819" s="7"/>
      <c r="I819" s="7"/>
    </row>
    <row r="820" spans="5:9" x14ac:dyDescent="0.2">
      <c r="E820" s="7"/>
      <c r="F820" s="7"/>
      <c r="G820" s="7"/>
      <c r="H820" s="7"/>
      <c r="I820" s="7"/>
    </row>
    <row r="821" spans="5:9" x14ac:dyDescent="0.2">
      <c r="E821" s="7"/>
      <c r="F821" s="7"/>
      <c r="G821" s="7"/>
      <c r="H821" s="7"/>
      <c r="I821" s="7"/>
    </row>
    <row r="822" spans="5:9" x14ac:dyDescent="0.2">
      <c r="E822" s="7"/>
      <c r="F822" s="7"/>
      <c r="G822" s="7"/>
      <c r="H822" s="7"/>
      <c r="I822" s="7"/>
    </row>
    <row r="823" spans="5:9" x14ac:dyDescent="0.2">
      <c r="E823" s="7"/>
      <c r="F823" s="7"/>
      <c r="G823" s="7"/>
      <c r="H823" s="7"/>
      <c r="I823" s="7"/>
    </row>
    <row r="824" spans="5:9" x14ac:dyDescent="0.2">
      <c r="E824" s="7"/>
      <c r="F824" s="7"/>
      <c r="G824" s="7"/>
      <c r="H824" s="7"/>
      <c r="I824" s="7"/>
    </row>
    <row r="825" spans="5:9" x14ac:dyDescent="0.2">
      <c r="E825" s="7"/>
      <c r="F825" s="7"/>
      <c r="G825" s="7"/>
      <c r="H825" s="7"/>
      <c r="I825" s="7"/>
    </row>
    <row r="826" spans="5:9" x14ac:dyDescent="0.2">
      <c r="E826" s="7"/>
      <c r="F826" s="7"/>
      <c r="G826" s="7"/>
      <c r="H826" s="7"/>
      <c r="I826" s="7"/>
    </row>
    <row r="827" spans="5:9" x14ac:dyDescent="0.2">
      <c r="E827" s="7"/>
      <c r="F827" s="7"/>
      <c r="G827" s="7"/>
      <c r="H827" s="7"/>
      <c r="I827" s="7"/>
    </row>
    <row r="828" spans="5:9" x14ac:dyDescent="0.2">
      <c r="E828" s="7"/>
      <c r="F828" s="7"/>
      <c r="G828" s="7"/>
      <c r="H828" s="7"/>
      <c r="I828" s="7"/>
    </row>
    <row r="829" spans="5:9" x14ac:dyDescent="0.2">
      <c r="E829" s="7"/>
      <c r="F829" s="7"/>
      <c r="G829" s="7"/>
      <c r="H829" s="7"/>
      <c r="I829" s="7"/>
    </row>
    <row r="830" spans="5:9" x14ac:dyDescent="0.2">
      <c r="E830" s="7"/>
      <c r="F830" s="7"/>
      <c r="G830" s="7"/>
      <c r="H830" s="7"/>
      <c r="I830" s="7"/>
    </row>
    <row r="831" spans="5:9" x14ac:dyDescent="0.2">
      <c r="E831" s="7"/>
      <c r="F831" s="7"/>
      <c r="G831" s="7"/>
      <c r="H831" s="7"/>
      <c r="I831" s="7"/>
    </row>
    <row r="832" spans="5:9" x14ac:dyDescent="0.2">
      <c r="E832" s="7"/>
      <c r="F832" s="7"/>
      <c r="G832" s="7"/>
      <c r="H832" s="7"/>
      <c r="I832" s="7"/>
    </row>
    <row r="833" spans="5:9" x14ac:dyDescent="0.2">
      <c r="E833" s="7"/>
      <c r="F833" s="7"/>
      <c r="G833" s="7"/>
      <c r="H833" s="7"/>
      <c r="I833" s="7"/>
    </row>
    <row r="834" spans="5:9" x14ac:dyDescent="0.2">
      <c r="E834" s="7"/>
      <c r="F834" s="7"/>
      <c r="G834" s="7"/>
      <c r="H834" s="7"/>
      <c r="I834" s="7"/>
    </row>
    <row r="835" spans="5:9" x14ac:dyDescent="0.2">
      <c r="E835" s="7"/>
      <c r="F835" s="7"/>
      <c r="G835" s="7"/>
      <c r="H835" s="7"/>
      <c r="I835" s="7"/>
    </row>
    <row r="836" spans="5:9" x14ac:dyDescent="0.2">
      <c r="E836" s="7"/>
      <c r="F836" s="7"/>
      <c r="G836" s="7"/>
      <c r="H836" s="7"/>
      <c r="I836" s="7"/>
    </row>
    <row r="837" spans="5:9" x14ac:dyDescent="0.2">
      <c r="E837" s="7"/>
      <c r="F837" s="7"/>
      <c r="G837" s="7"/>
      <c r="H837" s="7"/>
      <c r="I837" s="7"/>
    </row>
    <row r="838" spans="5:9" x14ac:dyDescent="0.2">
      <c r="E838" s="7"/>
      <c r="F838" s="7"/>
      <c r="G838" s="7"/>
      <c r="H838" s="7"/>
      <c r="I838" s="7"/>
    </row>
    <row r="839" spans="5:9" x14ac:dyDescent="0.2">
      <c r="E839" s="7"/>
      <c r="F839" s="7"/>
      <c r="G839" s="7"/>
      <c r="H839" s="7"/>
      <c r="I839" s="7"/>
    </row>
    <row r="840" spans="5:9" x14ac:dyDescent="0.2">
      <c r="E840" s="7"/>
      <c r="F840" s="7"/>
      <c r="G840" s="7"/>
      <c r="H840" s="7"/>
      <c r="I840" s="7"/>
    </row>
    <row r="841" spans="5:9" x14ac:dyDescent="0.2">
      <c r="E841" s="7"/>
      <c r="F841" s="7"/>
      <c r="G841" s="7"/>
      <c r="H841" s="7"/>
      <c r="I841" s="7"/>
    </row>
    <row r="842" spans="5:9" x14ac:dyDescent="0.2">
      <c r="E842" s="7"/>
      <c r="F842" s="7"/>
      <c r="G842" s="7"/>
      <c r="H842" s="7"/>
      <c r="I842" s="7"/>
    </row>
    <row r="843" spans="5:9" x14ac:dyDescent="0.2">
      <c r="E843" s="7"/>
      <c r="F843" s="7"/>
      <c r="G843" s="7"/>
      <c r="H843" s="7"/>
      <c r="I843" s="7"/>
    </row>
    <row r="844" spans="5:9" x14ac:dyDescent="0.2">
      <c r="E844" s="7"/>
      <c r="F844" s="7"/>
      <c r="G844" s="7"/>
      <c r="H844" s="7"/>
      <c r="I844" s="7"/>
    </row>
    <row r="845" spans="5:9" x14ac:dyDescent="0.2">
      <c r="E845" s="7"/>
      <c r="F845" s="7"/>
      <c r="G845" s="7"/>
      <c r="H845" s="7"/>
      <c r="I845" s="7"/>
    </row>
    <row r="846" spans="5:9" x14ac:dyDescent="0.2">
      <c r="E846" s="7"/>
      <c r="F846" s="7"/>
      <c r="G846" s="7"/>
      <c r="H846" s="7"/>
      <c r="I846" s="7"/>
    </row>
    <row r="847" spans="5:9" x14ac:dyDescent="0.2">
      <c r="E847" s="7"/>
      <c r="F847" s="7"/>
      <c r="G847" s="7"/>
      <c r="H847" s="7"/>
      <c r="I847" s="7"/>
    </row>
    <row r="848" spans="5:9" x14ac:dyDescent="0.2">
      <c r="E848" s="7"/>
      <c r="F848" s="7"/>
      <c r="G848" s="7"/>
      <c r="H848" s="7"/>
      <c r="I848" s="7"/>
    </row>
    <row r="849" spans="5:9" x14ac:dyDescent="0.2">
      <c r="E849" s="7"/>
      <c r="F849" s="7"/>
      <c r="G849" s="7"/>
      <c r="H849" s="7"/>
      <c r="I849" s="7"/>
    </row>
    <row r="850" spans="5:9" x14ac:dyDescent="0.2">
      <c r="E850" s="7"/>
      <c r="F850" s="7"/>
      <c r="G850" s="7"/>
      <c r="H850" s="7"/>
      <c r="I850" s="7"/>
    </row>
    <row r="851" spans="5:9" x14ac:dyDescent="0.2">
      <c r="E851" s="7"/>
      <c r="F851" s="7"/>
      <c r="G851" s="7"/>
      <c r="H851" s="7"/>
      <c r="I851" s="7"/>
    </row>
    <row r="852" spans="5:9" x14ac:dyDescent="0.2">
      <c r="E852" s="7"/>
      <c r="F852" s="7"/>
      <c r="G852" s="7"/>
      <c r="H852" s="7"/>
      <c r="I852" s="7"/>
    </row>
    <row r="853" spans="5:9" x14ac:dyDescent="0.2">
      <c r="E853" s="7"/>
      <c r="F853" s="7"/>
      <c r="G853" s="7"/>
      <c r="H853" s="7"/>
      <c r="I853" s="7"/>
    </row>
    <row r="854" spans="5:9" x14ac:dyDescent="0.2">
      <c r="E854" s="7"/>
      <c r="F854" s="7"/>
      <c r="G854" s="7"/>
      <c r="H854" s="7"/>
      <c r="I854" s="7"/>
    </row>
    <row r="855" spans="5:9" x14ac:dyDescent="0.2">
      <c r="E855" s="7"/>
      <c r="F855" s="7"/>
      <c r="G855" s="7"/>
      <c r="H855" s="7"/>
      <c r="I855" s="7"/>
    </row>
    <row r="856" spans="5:9" x14ac:dyDescent="0.2">
      <c r="E856" s="7"/>
      <c r="F856" s="7"/>
      <c r="G856" s="7"/>
      <c r="H856" s="7"/>
      <c r="I856" s="7"/>
    </row>
    <row r="857" spans="5:9" x14ac:dyDescent="0.2">
      <c r="E857" s="7"/>
      <c r="F857" s="7"/>
      <c r="G857" s="7"/>
      <c r="H857" s="7"/>
      <c r="I857" s="7"/>
    </row>
    <row r="858" spans="5:9" x14ac:dyDescent="0.2">
      <c r="E858" s="7"/>
      <c r="F858" s="7"/>
      <c r="G858" s="7"/>
      <c r="H858" s="7"/>
      <c r="I858" s="7"/>
    </row>
    <row r="859" spans="5:9" x14ac:dyDescent="0.2">
      <c r="E859" s="7"/>
      <c r="F859" s="7"/>
      <c r="G859" s="7"/>
      <c r="H859" s="7"/>
      <c r="I859" s="7"/>
    </row>
    <row r="860" spans="5:9" x14ac:dyDescent="0.2">
      <c r="E860" s="7"/>
      <c r="F860" s="7"/>
      <c r="G860" s="7"/>
      <c r="H860" s="7"/>
      <c r="I860" s="7"/>
    </row>
    <row r="861" spans="5:9" x14ac:dyDescent="0.2">
      <c r="E861" s="7"/>
      <c r="F861" s="7"/>
      <c r="G861" s="7"/>
      <c r="H861" s="7"/>
      <c r="I861" s="7"/>
    </row>
    <row r="862" spans="5:9" x14ac:dyDescent="0.2">
      <c r="E862" s="7"/>
      <c r="F862" s="7"/>
      <c r="G862" s="7"/>
      <c r="H862" s="7"/>
      <c r="I862" s="7"/>
    </row>
    <row r="863" spans="5:9" x14ac:dyDescent="0.2">
      <c r="E863" s="7"/>
      <c r="F863" s="7"/>
      <c r="G863" s="7"/>
      <c r="H863" s="7"/>
      <c r="I863" s="7"/>
    </row>
    <row r="864" spans="5:9" x14ac:dyDescent="0.2">
      <c r="E864" s="7"/>
      <c r="F864" s="7"/>
      <c r="G864" s="7"/>
      <c r="H864" s="7"/>
      <c r="I864" s="7"/>
    </row>
    <row r="865" spans="5:9" x14ac:dyDescent="0.2">
      <c r="E865" s="7"/>
      <c r="F865" s="7"/>
      <c r="G865" s="7"/>
      <c r="H865" s="7"/>
      <c r="I865" s="7"/>
    </row>
    <row r="866" spans="5:9" x14ac:dyDescent="0.2">
      <c r="E866" s="7"/>
      <c r="F866" s="7"/>
      <c r="G866" s="7"/>
      <c r="H866" s="7"/>
      <c r="I866" s="7"/>
    </row>
    <row r="867" spans="5:9" x14ac:dyDescent="0.2">
      <c r="E867" s="7"/>
      <c r="F867" s="7"/>
      <c r="G867" s="7"/>
      <c r="H867" s="7"/>
      <c r="I867" s="7"/>
    </row>
    <row r="868" spans="5:9" x14ac:dyDescent="0.2">
      <c r="E868" s="7"/>
      <c r="F868" s="7"/>
      <c r="G868" s="7"/>
      <c r="H868" s="7"/>
      <c r="I868" s="7"/>
    </row>
    <row r="869" spans="5:9" x14ac:dyDescent="0.2">
      <c r="E869" s="7"/>
      <c r="F869" s="7"/>
      <c r="G869" s="7"/>
      <c r="H869" s="7"/>
      <c r="I869" s="7"/>
    </row>
    <row r="870" spans="5:9" x14ac:dyDescent="0.2">
      <c r="E870" s="7"/>
      <c r="F870" s="7"/>
      <c r="G870" s="7"/>
      <c r="H870" s="7"/>
      <c r="I870" s="7"/>
    </row>
    <row r="871" spans="5:9" x14ac:dyDescent="0.2">
      <c r="E871" s="7"/>
      <c r="F871" s="7"/>
      <c r="G871" s="7"/>
      <c r="H871" s="7"/>
      <c r="I871" s="7"/>
    </row>
    <row r="872" spans="5:9" x14ac:dyDescent="0.2">
      <c r="E872" s="7"/>
      <c r="F872" s="7"/>
      <c r="G872" s="7"/>
      <c r="H872" s="7"/>
      <c r="I872" s="7"/>
    </row>
    <row r="873" spans="5:9" x14ac:dyDescent="0.2">
      <c r="E873" s="7"/>
      <c r="F873" s="7"/>
      <c r="G873" s="7"/>
      <c r="H873" s="7"/>
      <c r="I873" s="7"/>
    </row>
    <row r="874" spans="5:9" x14ac:dyDescent="0.2">
      <c r="E874" s="7"/>
      <c r="F874" s="7"/>
      <c r="G874" s="7"/>
      <c r="H874" s="7"/>
      <c r="I874" s="7"/>
    </row>
    <row r="875" spans="5:9" x14ac:dyDescent="0.2">
      <c r="E875" s="7"/>
      <c r="F875" s="7"/>
      <c r="G875" s="7"/>
      <c r="H875" s="7"/>
      <c r="I875" s="7"/>
    </row>
    <row r="876" spans="5:9" x14ac:dyDescent="0.2">
      <c r="E876" s="7"/>
      <c r="F876" s="7"/>
      <c r="G876" s="7"/>
      <c r="H876" s="7"/>
      <c r="I876" s="7"/>
    </row>
    <row r="877" spans="5:9" x14ac:dyDescent="0.2">
      <c r="E877" s="7"/>
      <c r="F877" s="7"/>
      <c r="G877" s="7"/>
      <c r="H877" s="7"/>
      <c r="I877" s="7"/>
    </row>
    <row r="878" spans="5:9" x14ac:dyDescent="0.2">
      <c r="E878" s="7"/>
      <c r="F878" s="7"/>
      <c r="G878" s="7"/>
      <c r="H878" s="7"/>
      <c r="I878" s="7"/>
    </row>
    <row r="879" spans="5:9" x14ac:dyDescent="0.2">
      <c r="E879" s="7"/>
      <c r="F879" s="7"/>
      <c r="G879" s="7"/>
      <c r="H879" s="7"/>
      <c r="I879" s="7"/>
    </row>
    <row r="880" spans="5:9" x14ac:dyDescent="0.2">
      <c r="E880" s="7"/>
      <c r="F880" s="7"/>
      <c r="G880" s="7"/>
      <c r="H880" s="7"/>
      <c r="I880" s="7"/>
    </row>
    <row r="881" spans="5:9" x14ac:dyDescent="0.2">
      <c r="E881" s="7"/>
      <c r="F881" s="7"/>
      <c r="G881" s="7"/>
      <c r="H881" s="7"/>
      <c r="I881" s="7"/>
    </row>
    <row r="882" spans="5:9" x14ac:dyDescent="0.2">
      <c r="E882" s="7"/>
      <c r="F882" s="7"/>
      <c r="G882" s="7"/>
      <c r="H882" s="7"/>
      <c r="I882" s="7"/>
    </row>
    <row r="883" spans="5:9" x14ac:dyDescent="0.2">
      <c r="E883" s="7"/>
      <c r="F883" s="7"/>
      <c r="G883" s="7"/>
      <c r="H883" s="7"/>
      <c r="I883" s="7"/>
    </row>
    <row r="884" spans="5:9" x14ac:dyDescent="0.2">
      <c r="E884" s="7"/>
      <c r="F884" s="7"/>
      <c r="G884" s="7"/>
      <c r="H884" s="7"/>
      <c r="I884" s="7"/>
    </row>
    <row r="885" spans="5:9" x14ac:dyDescent="0.2">
      <c r="E885" s="7"/>
      <c r="F885" s="7"/>
      <c r="G885" s="7"/>
      <c r="H885" s="7"/>
      <c r="I885" s="7"/>
    </row>
    <row r="886" spans="5:9" x14ac:dyDescent="0.2">
      <c r="E886" s="7"/>
      <c r="F886" s="7"/>
      <c r="G886" s="7"/>
      <c r="H886" s="7"/>
      <c r="I886" s="7"/>
    </row>
    <row r="887" spans="5:9" x14ac:dyDescent="0.2">
      <c r="E887" s="7"/>
      <c r="F887" s="7"/>
      <c r="G887" s="7"/>
      <c r="H887" s="7"/>
      <c r="I887" s="7"/>
    </row>
    <row r="888" spans="5:9" x14ac:dyDescent="0.2">
      <c r="E888" s="7"/>
      <c r="F888" s="7"/>
      <c r="G888" s="7"/>
      <c r="H888" s="7"/>
      <c r="I888" s="7"/>
    </row>
    <row r="889" spans="5:9" x14ac:dyDescent="0.2">
      <c r="E889" s="7"/>
      <c r="F889" s="7"/>
      <c r="G889" s="7"/>
      <c r="H889" s="7"/>
      <c r="I889" s="7"/>
    </row>
    <row r="890" spans="5:9" x14ac:dyDescent="0.2">
      <c r="E890" s="7"/>
      <c r="F890" s="7"/>
      <c r="G890" s="7"/>
      <c r="H890" s="7"/>
      <c r="I890" s="7"/>
    </row>
    <row r="891" spans="5:9" x14ac:dyDescent="0.2">
      <c r="E891" s="7"/>
      <c r="F891" s="7"/>
      <c r="G891" s="7"/>
      <c r="H891" s="7"/>
      <c r="I891" s="7"/>
    </row>
    <row r="892" spans="5:9" x14ac:dyDescent="0.2">
      <c r="E892" s="7"/>
      <c r="F892" s="7"/>
      <c r="G892" s="7"/>
      <c r="H892" s="7"/>
      <c r="I892" s="7"/>
    </row>
    <row r="893" spans="5:9" x14ac:dyDescent="0.2">
      <c r="E893" s="7"/>
      <c r="F893" s="7"/>
      <c r="G893" s="7"/>
      <c r="H893" s="7"/>
      <c r="I893" s="7"/>
    </row>
    <row r="894" spans="5:9" x14ac:dyDescent="0.2">
      <c r="E894" s="7"/>
      <c r="F894" s="7"/>
      <c r="G894" s="7"/>
      <c r="H894" s="7"/>
      <c r="I894" s="7"/>
    </row>
    <row r="895" spans="5:9" x14ac:dyDescent="0.2">
      <c r="E895" s="7"/>
      <c r="F895" s="7"/>
      <c r="G895" s="7"/>
      <c r="H895" s="7"/>
      <c r="I895" s="7"/>
    </row>
    <row r="896" spans="5:9" x14ac:dyDescent="0.2">
      <c r="E896" s="7"/>
      <c r="F896" s="7"/>
      <c r="G896" s="7"/>
      <c r="H896" s="7"/>
      <c r="I896" s="7"/>
    </row>
    <row r="897" spans="5:9" x14ac:dyDescent="0.2">
      <c r="E897" s="7"/>
      <c r="F897" s="7"/>
      <c r="G897" s="7"/>
      <c r="H897" s="7"/>
      <c r="I897" s="7"/>
    </row>
    <row r="898" spans="5:9" x14ac:dyDescent="0.2">
      <c r="E898" s="7"/>
      <c r="F898" s="7"/>
      <c r="G898" s="7"/>
      <c r="H898" s="7"/>
      <c r="I898" s="7"/>
    </row>
    <row r="899" spans="5:9" x14ac:dyDescent="0.2">
      <c r="E899" s="7"/>
      <c r="F899" s="7"/>
      <c r="G899" s="7"/>
      <c r="H899" s="7"/>
      <c r="I899" s="7"/>
    </row>
    <row r="900" spans="5:9" x14ac:dyDescent="0.2">
      <c r="E900" s="7"/>
      <c r="F900" s="7"/>
      <c r="G900" s="7"/>
      <c r="H900" s="7"/>
      <c r="I900" s="7"/>
    </row>
    <row r="901" spans="5:9" x14ac:dyDescent="0.2">
      <c r="E901" s="7"/>
      <c r="F901" s="7"/>
      <c r="G901" s="7"/>
      <c r="H901" s="7"/>
      <c r="I901" s="7"/>
    </row>
    <row r="902" spans="5:9" x14ac:dyDescent="0.2">
      <c r="E902" s="7"/>
      <c r="F902" s="7"/>
      <c r="G902" s="7"/>
      <c r="H902" s="7"/>
      <c r="I902" s="7"/>
    </row>
    <row r="903" spans="5:9" x14ac:dyDescent="0.2">
      <c r="E903" s="7"/>
      <c r="F903" s="7"/>
      <c r="G903" s="7"/>
      <c r="H903" s="7"/>
      <c r="I903" s="7"/>
    </row>
    <row r="904" spans="5:9" x14ac:dyDescent="0.2">
      <c r="E904" s="7"/>
      <c r="F904" s="7"/>
      <c r="G904" s="7"/>
      <c r="H904" s="7"/>
      <c r="I904" s="7"/>
    </row>
    <row r="905" spans="5:9" x14ac:dyDescent="0.2">
      <c r="E905" s="7"/>
      <c r="F905" s="7"/>
      <c r="G905" s="7"/>
      <c r="H905" s="7"/>
      <c r="I905" s="7"/>
    </row>
    <row r="906" spans="5:9" x14ac:dyDescent="0.2">
      <c r="E906" s="7"/>
      <c r="F906" s="7"/>
      <c r="G906" s="7"/>
      <c r="H906" s="7"/>
      <c r="I906" s="7"/>
    </row>
    <row r="907" spans="5:9" x14ac:dyDescent="0.2">
      <c r="E907" s="7"/>
      <c r="F907" s="7"/>
      <c r="G907" s="7"/>
      <c r="H907" s="7"/>
      <c r="I907" s="7"/>
    </row>
    <row r="908" spans="5:9" x14ac:dyDescent="0.2">
      <c r="E908" s="7"/>
      <c r="F908" s="7"/>
      <c r="G908" s="7"/>
      <c r="H908" s="7"/>
      <c r="I908" s="7"/>
    </row>
    <row r="909" spans="5:9" x14ac:dyDescent="0.2">
      <c r="E909" s="7"/>
      <c r="F909" s="7"/>
      <c r="G909" s="7"/>
      <c r="H909" s="7"/>
      <c r="I909" s="7"/>
    </row>
    <row r="910" spans="5:9" x14ac:dyDescent="0.2">
      <c r="E910" s="7"/>
      <c r="F910" s="7"/>
      <c r="G910" s="7"/>
      <c r="H910" s="7"/>
      <c r="I910" s="7"/>
    </row>
    <row r="911" spans="5:9" x14ac:dyDescent="0.2">
      <c r="E911" s="7"/>
      <c r="F911" s="7"/>
      <c r="G911" s="7"/>
      <c r="H911" s="7"/>
      <c r="I911" s="7"/>
    </row>
    <row r="912" spans="5:9" x14ac:dyDescent="0.2">
      <c r="E912" s="7"/>
      <c r="F912" s="7"/>
      <c r="G912" s="7"/>
      <c r="H912" s="7"/>
      <c r="I912" s="7"/>
    </row>
    <row r="913" spans="5:9" x14ac:dyDescent="0.2">
      <c r="E913" s="7"/>
      <c r="F913" s="7"/>
      <c r="G913" s="7"/>
      <c r="H913" s="7"/>
      <c r="I913" s="7"/>
    </row>
    <row r="914" spans="5:9" x14ac:dyDescent="0.2">
      <c r="E914" s="7"/>
      <c r="F914" s="7"/>
      <c r="G914" s="7"/>
      <c r="H914" s="7"/>
      <c r="I914" s="7"/>
    </row>
    <row r="915" spans="5:9" x14ac:dyDescent="0.2">
      <c r="E915" s="7"/>
      <c r="F915" s="7"/>
      <c r="G915" s="7"/>
      <c r="H915" s="7"/>
      <c r="I915" s="7"/>
    </row>
    <row r="916" spans="5:9" x14ac:dyDescent="0.2">
      <c r="E916" s="7"/>
      <c r="F916" s="7"/>
      <c r="G916" s="7"/>
      <c r="H916" s="7"/>
      <c r="I916" s="7"/>
    </row>
    <row r="917" spans="5:9" x14ac:dyDescent="0.2">
      <c r="E917" s="7"/>
      <c r="F917" s="7"/>
      <c r="G917" s="7"/>
      <c r="H917" s="7"/>
      <c r="I917" s="7"/>
    </row>
    <row r="918" spans="5:9" x14ac:dyDescent="0.2">
      <c r="E918" s="7"/>
      <c r="F918" s="7"/>
      <c r="G918" s="7"/>
      <c r="H918" s="7"/>
      <c r="I918" s="7"/>
    </row>
    <row r="919" spans="5:9" x14ac:dyDescent="0.2">
      <c r="E919" s="7"/>
      <c r="F919" s="7"/>
      <c r="G919" s="7"/>
      <c r="H919" s="7"/>
      <c r="I919" s="7"/>
    </row>
    <row r="920" spans="5:9" x14ac:dyDescent="0.2">
      <c r="E920" s="7"/>
      <c r="F920" s="7"/>
      <c r="G920" s="7"/>
      <c r="H920" s="7"/>
      <c r="I920" s="7"/>
    </row>
    <row r="921" spans="5:9" x14ac:dyDescent="0.2">
      <c r="E921" s="7"/>
      <c r="F921" s="7"/>
      <c r="G921" s="7"/>
      <c r="H921" s="7"/>
      <c r="I921" s="7"/>
    </row>
    <row r="922" spans="5:9" x14ac:dyDescent="0.2">
      <c r="E922" s="7"/>
      <c r="F922" s="7"/>
      <c r="G922" s="7"/>
      <c r="H922" s="7"/>
      <c r="I922" s="7"/>
    </row>
    <row r="923" spans="5:9" x14ac:dyDescent="0.2">
      <c r="E923" s="7"/>
      <c r="F923" s="7"/>
      <c r="G923" s="7"/>
      <c r="H923" s="7"/>
      <c r="I923" s="7"/>
    </row>
    <row r="924" spans="5:9" x14ac:dyDescent="0.2">
      <c r="E924" s="7"/>
      <c r="F924" s="7"/>
      <c r="G924" s="7"/>
      <c r="H924" s="7"/>
      <c r="I924" s="7"/>
    </row>
    <row r="925" spans="5:9" x14ac:dyDescent="0.2">
      <c r="E925" s="7"/>
      <c r="F925" s="7"/>
      <c r="G925" s="7"/>
      <c r="H925" s="7"/>
      <c r="I925" s="7"/>
    </row>
    <row r="926" spans="5:9" x14ac:dyDescent="0.2">
      <c r="E926" s="7"/>
      <c r="F926" s="7"/>
      <c r="G926" s="7"/>
      <c r="H926" s="7"/>
      <c r="I926" s="7"/>
    </row>
    <row r="927" spans="5:9" x14ac:dyDescent="0.2">
      <c r="E927" s="7"/>
      <c r="F927" s="7"/>
      <c r="G927" s="7"/>
      <c r="H927" s="7"/>
      <c r="I927" s="7"/>
    </row>
    <row r="928" spans="5:9" x14ac:dyDescent="0.2">
      <c r="E928" s="7"/>
      <c r="F928" s="7"/>
      <c r="G928" s="7"/>
      <c r="H928" s="7"/>
      <c r="I928" s="7"/>
    </row>
    <row r="929" spans="5:9" x14ac:dyDescent="0.2">
      <c r="E929" s="7"/>
      <c r="F929" s="7"/>
      <c r="G929" s="7"/>
      <c r="H929" s="7"/>
      <c r="I929" s="7"/>
    </row>
    <row r="930" spans="5:9" x14ac:dyDescent="0.2">
      <c r="E930" s="7"/>
      <c r="F930" s="7"/>
      <c r="G930" s="7"/>
      <c r="H930" s="7"/>
      <c r="I930" s="7"/>
    </row>
    <row r="931" spans="5:9" x14ac:dyDescent="0.2">
      <c r="E931" s="7"/>
      <c r="F931" s="7"/>
      <c r="G931" s="7"/>
      <c r="H931" s="7"/>
      <c r="I931" s="7"/>
    </row>
    <row r="932" spans="5:9" x14ac:dyDescent="0.2">
      <c r="E932" s="7"/>
      <c r="F932" s="7"/>
      <c r="G932" s="7"/>
      <c r="H932" s="7"/>
      <c r="I932" s="7"/>
    </row>
    <row r="933" spans="5:9" x14ac:dyDescent="0.2">
      <c r="E933" s="7"/>
      <c r="F933" s="7"/>
      <c r="G933" s="7"/>
      <c r="H933" s="7"/>
      <c r="I933" s="7"/>
    </row>
    <row r="934" spans="5:9" x14ac:dyDescent="0.2">
      <c r="E934" s="7"/>
      <c r="F934" s="7"/>
      <c r="G934" s="7"/>
      <c r="H934" s="7"/>
      <c r="I934" s="7"/>
    </row>
    <row r="935" spans="5:9" x14ac:dyDescent="0.2">
      <c r="E935" s="7"/>
      <c r="F935" s="7"/>
      <c r="G935" s="7"/>
      <c r="H935" s="7"/>
      <c r="I935" s="7"/>
    </row>
    <row r="936" spans="5:9" x14ac:dyDescent="0.2">
      <c r="E936" s="7"/>
      <c r="F936" s="7"/>
      <c r="G936" s="7"/>
      <c r="H936" s="7"/>
      <c r="I936" s="7"/>
    </row>
    <row r="937" spans="5:9" x14ac:dyDescent="0.2">
      <c r="E937" s="7"/>
      <c r="F937" s="7"/>
      <c r="G937" s="7"/>
      <c r="H937" s="7"/>
      <c r="I937" s="7"/>
    </row>
    <row r="938" spans="5:9" x14ac:dyDescent="0.2">
      <c r="E938" s="7"/>
      <c r="F938" s="7"/>
      <c r="G938" s="7"/>
      <c r="H938" s="7"/>
      <c r="I938" s="7"/>
    </row>
    <row r="939" spans="5:9" x14ac:dyDescent="0.2">
      <c r="E939" s="7"/>
      <c r="F939" s="7"/>
      <c r="G939" s="7"/>
      <c r="H939" s="7"/>
      <c r="I939" s="7"/>
    </row>
    <row r="940" spans="5:9" x14ac:dyDescent="0.2">
      <c r="E940" s="7"/>
      <c r="F940" s="7"/>
      <c r="G940" s="7"/>
      <c r="H940" s="7"/>
      <c r="I940" s="7"/>
    </row>
    <row r="941" spans="5:9" x14ac:dyDescent="0.2">
      <c r="E941" s="7"/>
      <c r="F941" s="7"/>
      <c r="G941" s="7"/>
      <c r="H941" s="7"/>
      <c r="I941" s="7"/>
    </row>
    <row r="942" spans="5:9" x14ac:dyDescent="0.2">
      <c r="E942" s="7"/>
      <c r="F942" s="7"/>
      <c r="G942" s="7"/>
      <c r="H942" s="7"/>
      <c r="I942" s="7"/>
    </row>
    <row r="943" spans="5:9" x14ac:dyDescent="0.2">
      <c r="E943" s="7"/>
      <c r="F943" s="7"/>
      <c r="G943" s="7"/>
      <c r="H943" s="7"/>
      <c r="I943" s="7"/>
    </row>
    <row r="944" spans="5:9" x14ac:dyDescent="0.2">
      <c r="E944" s="7"/>
      <c r="F944" s="7"/>
      <c r="G944" s="7"/>
      <c r="H944" s="7"/>
      <c r="I944" s="7"/>
    </row>
    <row r="945" spans="5:9" x14ac:dyDescent="0.2">
      <c r="E945" s="7"/>
      <c r="F945" s="7"/>
      <c r="G945" s="7"/>
      <c r="H945" s="7"/>
      <c r="I945" s="7"/>
    </row>
    <row r="946" spans="5:9" x14ac:dyDescent="0.2">
      <c r="E946" s="7"/>
      <c r="F946" s="7"/>
      <c r="G946" s="7"/>
      <c r="H946" s="7"/>
      <c r="I946" s="7"/>
    </row>
    <row r="947" spans="5:9" x14ac:dyDescent="0.2">
      <c r="E947" s="7"/>
      <c r="F947" s="7"/>
      <c r="G947" s="7"/>
      <c r="H947" s="7"/>
      <c r="I947" s="7"/>
    </row>
    <row r="948" spans="5:9" x14ac:dyDescent="0.2">
      <c r="E948" s="7"/>
      <c r="F948" s="7"/>
      <c r="G948" s="7"/>
      <c r="H948" s="7"/>
      <c r="I948" s="7"/>
    </row>
    <row r="949" spans="5:9" x14ac:dyDescent="0.2">
      <c r="E949" s="7"/>
      <c r="F949" s="7"/>
      <c r="G949" s="7"/>
      <c r="H949" s="7"/>
      <c r="I949" s="7"/>
    </row>
    <row r="950" spans="5:9" x14ac:dyDescent="0.2">
      <c r="E950" s="7"/>
      <c r="F950" s="7"/>
      <c r="G950" s="7"/>
      <c r="H950" s="7"/>
      <c r="I950" s="7"/>
    </row>
    <row r="951" spans="5:9" x14ac:dyDescent="0.2">
      <c r="E951" s="7"/>
      <c r="F951" s="7"/>
      <c r="G951" s="7"/>
      <c r="H951" s="7"/>
      <c r="I951" s="7"/>
    </row>
    <row r="952" spans="5:9" x14ac:dyDescent="0.2">
      <c r="E952" s="7"/>
      <c r="F952" s="7"/>
      <c r="G952" s="7"/>
      <c r="H952" s="7"/>
      <c r="I952" s="7"/>
    </row>
    <row r="953" spans="5:9" x14ac:dyDescent="0.2">
      <c r="E953" s="7"/>
      <c r="F953" s="7"/>
      <c r="G953" s="7"/>
      <c r="H953" s="7"/>
      <c r="I953" s="7"/>
    </row>
    <row r="954" spans="5:9" x14ac:dyDescent="0.2">
      <c r="E954" s="7"/>
      <c r="F954" s="7"/>
      <c r="G954" s="7"/>
      <c r="H954" s="7"/>
      <c r="I954" s="7"/>
    </row>
    <row r="955" spans="5:9" x14ac:dyDescent="0.2">
      <c r="E955" s="7"/>
      <c r="F955" s="7"/>
      <c r="G955" s="7"/>
      <c r="H955" s="7"/>
      <c r="I955" s="7"/>
    </row>
    <row r="956" spans="5:9" x14ac:dyDescent="0.2">
      <c r="E956" s="7"/>
      <c r="F956" s="7"/>
      <c r="G956" s="7"/>
      <c r="H956" s="7"/>
      <c r="I956" s="7"/>
    </row>
    <row r="957" spans="5:9" x14ac:dyDescent="0.2">
      <c r="E957" s="7"/>
      <c r="F957" s="7"/>
      <c r="G957" s="7"/>
      <c r="H957" s="7"/>
      <c r="I957" s="7"/>
    </row>
    <row r="958" spans="5:9" x14ac:dyDescent="0.2">
      <c r="E958" s="7"/>
      <c r="F958" s="7"/>
      <c r="G958" s="7"/>
      <c r="H958" s="7"/>
      <c r="I958" s="7"/>
    </row>
    <row r="959" spans="5:9" x14ac:dyDescent="0.2">
      <c r="E959" s="7"/>
      <c r="F959" s="7"/>
      <c r="G959" s="7"/>
      <c r="H959" s="7"/>
      <c r="I959" s="7"/>
    </row>
    <row r="960" spans="5:9" x14ac:dyDescent="0.2">
      <c r="E960" s="7"/>
      <c r="F960" s="7"/>
      <c r="G960" s="7"/>
      <c r="H960" s="7"/>
      <c r="I960" s="7"/>
    </row>
    <row r="961" spans="5:9" x14ac:dyDescent="0.2">
      <c r="E961" s="7"/>
      <c r="F961" s="7"/>
      <c r="G961" s="7"/>
      <c r="H961" s="7"/>
      <c r="I961" s="7"/>
    </row>
    <row r="962" spans="5:9" x14ac:dyDescent="0.2">
      <c r="E962" s="7"/>
      <c r="F962" s="7"/>
      <c r="G962" s="7"/>
      <c r="H962" s="7"/>
      <c r="I962" s="7"/>
    </row>
    <row r="963" spans="5:9" x14ac:dyDescent="0.2">
      <c r="E963" s="7"/>
      <c r="F963" s="7"/>
      <c r="G963" s="7"/>
      <c r="H963" s="7"/>
      <c r="I963" s="7"/>
    </row>
    <row r="964" spans="5:9" x14ac:dyDescent="0.2">
      <c r="E964" s="7"/>
      <c r="F964" s="7"/>
      <c r="G964" s="7"/>
      <c r="H964" s="7"/>
      <c r="I964" s="7"/>
    </row>
    <row r="965" spans="5:9" x14ac:dyDescent="0.2">
      <c r="E965" s="7"/>
      <c r="F965" s="7"/>
      <c r="G965" s="7"/>
      <c r="H965" s="7"/>
      <c r="I965" s="7"/>
    </row>
    <row r="966" spans="5:9" x14ac:dyDescent="0.2">
      <c r="E966" s="7"/>
      <c r="F966" s="7"/>
      <c r="G966" s="7"/>
      <c r="H966" s="7"/>
      <c r="I966" s="7"/>
    </row>
    <row r="967" spans="5:9" x14ac:dyDescent="0.2">
      <c r="E967" s="7"/>
      <c r="F967" s="7"/>
      <c r="G967" s="7"/>
      <c r="H967" s="7"/>
      <c r="I967" s="7"/>
    </row>
    <row r="968" spans="5:9" x14ac:dyDescent="0.2">
      <c r="E968" s="7"/>
      <c r="F968" s="7"/>
      <c r="G968" s="7"/>
      <c r="H968" s="7"/>
      <c r="I968" s="7"/>
    </row>
    <row r="969" spans="5:9" x14ac:dyDescent="0.2">
      <c r="E969" s="7"/>
      <c r="F969" s="7"/>
      <c r="G969" s="7"/>
      <c r="H969" s="7"/>
      <c r="I969" s="7"/>
    </row>
    <row r="970" spans="5:9" x14ac:dyDescent="0.2">
      <c r="E970" s="7"/>
      <c r="F970" s="7"/>
      <c r="G970" s="7"/>
      <c r="H970" s="7"/>
      <c r="I970" s="7"/>
    </row>
    <row r="971" spans="5:9" x14ac:dyDescent="0.2">
      <c r="E971" s="7"/>
      <c r="F971" s="7"/>
      <c r="G971" s="7"/>
      <c r="H971" s="7"/>
      <c r="I971" s="7"/>
    </row>
    <row r="972" spans="5:9" x14ac:dyDescent="0.2">
      <c r="E972" s="7"/>
      <c r="F972" s="7"/>
      <c r="G972" s="7"/>
      <c r="H972" s="7"/>
      <c r="I972" s="7"/>
    </row>
    <row r="973" spans="5:9" x14ac:dyDescent="0.2">
      <c r="E973" s="7"/>
      <c r="F973" s="7"/>
      <c r="G973" s="7"/>
      <c r="H973" s="7"/>
      <c r="I973" s="7"/>
    </row>
    <row r="974" spans="5:9" x14ac:dyDescent="0.2">
      <c r="E974" s="7"/>
      <c r="F974" s="7"/>
      <c r="G974" s="7"/>
      <c r="H974" s="7"/>
      <c r="I974" s="7"/>
    </row>
    <row r="975" spans="5:9" x14ac:dyDescent="0.2">
      <c r="E975" s="7"/>
      <c r="F975" s="7"/>
      <c r="G975" s="7"/>
      <c r="H975" s="7"/>
      <c r="I975" s="7"/>
    </row>
    <row r="976" spans="5:9" x14ac:dyDescent="0.2">
      <c r="E976" s="7"/>
      <c r="F976" s="7"/>
      <c r="G976" s="7"/>
      <c r="H976" s="7"/>
      <c r="I976" s="7"/>
    </row>
    <row r="977" spans="5:9" x14ac:dyDescent="0.2">
      <c r="E977" s="7"/>
      <c r="F977" s="7"/>
      <c r="G977" s="7"/>
      <c r="H977" s="7"/>
      <c r="I977" s="7"/>
    </row>
    <row r="978" spans="5:9" x14ac:dyDescent="0.2">
      <c r="E978" s="7"/>
      <c r="F978" s="7"/>
      <c r="G978" s="7"/>
      <c r="H978" s="7"/>
      <c r="I978" s="7"/>
    </row>
    <row r="979" spans="5:9" x14ac:dyDescent="0.2">
      <c r="E979" s="7"/>
      <c r="F979" s="7"/>
      <c r="G979" s="7"/>
      <c r="H979" s="7"/>
      <c r="I979" s="7"/>
    </row>
    <row r="980" spans="5:9" x14ac:dyDescent="0.2">
      <c r="E980" s="7"/>
      <c r="F980" s="7"/>
      <c r="G980" s="7"/>
      <c r="H980" s="7"/>
      <c r="I980" s="7"/>
    </row>
    <row r="981" spans="5:9" x14ac:dyDescent="0.2">
      <c r="E981" s="7"/>
      <c r="F981" s="7"/>
      <c r="G981" s="7"/>
      <c r="H981" s="7"/>
      <c r="I981" s="7"/>
    </row>
    <row r="982" spans="5:9" x14ac:dyDescent="0.2">
      <c r="E982" s="7"/>
      <c r="F982" s="7"/>
      <c r="G982" s="7"/>
      <c r="H982" s="7"/>
      <c r="I982" s="7"/>
    </row>
    <row r="983" spans="5:9" x14ac:dyDescent="0.2">
      <c r="E983" s="7"/>
      <c r="F983" s="7"/>
      <c r="G983" s="7"/>
      <c r="H983" s="7"/>
      <c r="I983" s="7"/>
    </row>
    <row r="984" spans="5:9" x14ac:dyDescent="0.2">
      <c r="E984" s="7"/>
      <c r="F984" s="7"/>
      <c r="G984" s="7"/>
      <c r="H984" s="7"/>
      <c r="I984" s="7"/>
    </row>
    <row r="985" spans="5:9" x14ac:dyDescent="0.2">
      <c r="E985" s="7"/>
      <c r="F985" s="7"/>
      <c r="G985" s="7"/>
      <c r="H985" s="7"/>
      <c r="I985" s="7"/>
    </row>
    <row r="986" spans="5:9" x14ac:dyDescent="0.2">
      <c r="E986" s="7"/>
      <c r="F986" s="7"/>
      <c r="G986" s="7"/>
      <c r="H986" s="7"/>
      <c r="I986" s="7"/>
    </row>
    <row r="987" spans="5:9" x14ac:dyDescent="0.2">
      <c r="E987" s="7"/>
      <c r="F987" s="7"/>
      <c r="G987" s="7"/>
      <c r="H987" s="7"/>
      <c r="I987" s="7"/>
    </row>
    <row r="988" spans="5:9" x14ac:dyDescent="0.2">
      <c r="E988" s="7"/>
      <c r="F988" s="7"/>
      <c r="G988" s="7"/>
      <c r="H988" s="7"/>
      <c r="I988" s="7"/>
    </row>
    <row r="989" spans="5:9" x14ac:dyDescent="0.2">
      <c r="E989" s="7"/>
      <c r="F989" s="7"/>
      <c r="G989" s="7"/>
      <c r="H989" s="7"/>
      <c r="I989" s="7"/>
    </row>
    <row r="990" spans="5:9" x14ac:dyDescent="0.2">
      <c r="E990" s="7"/>
      <c r="F990" s="7"/>
      <c r="G990" s="7"/>
      <c r="H990" s="7"/>
      <c r="I990" s="7"/>
    </row>
    <row r="991" spans="5:9" x14ac:dyDescent="0.2">
      <c r="E991" s="7"/>
      <c r="F991" s="7"/>
      <c r="G991" s="7"/>
      <c r="H991" s="7"/>
      <c r="I991" s="7"/>
    </row>
    <row r="992" spans="5:9" x14ac:dyDescent="0.2">
      <c r="E992" s="7"/>
      <c r="F992" s="7"/>
      <c r="G992" s="7"/>
      <c r="H992" s="7"/>
      <c r="I992" s="7"/>
    </row>
    <row r="993" spans="5:9" x14ac:dyDescent="0.2">
      <c r="E993" s="7"/>
      <c r="F993" s="7"/>
      <c r="G993" s="7"/>
      <c r="H993" s="7"/>
      <c r="I993" s="7"/>
    </row>
    <row r="994" spans="5:9" x14ac:dyDescent="0.2">
      <c r="E994" s="7"/>
      <c r="F994" s="7"/>
      <c r="G994" s="7"/>
      <c r="H994" s="7"/>
      <c r="I994" s="7"/>
    </row>
    <row r="995" spans="5:9" x14ac:dyDescent="0.2">
      <c r="E995" s="7"/>
      <c r="F995" s="7"/>
      <c r="G995" s="7"/>
      <c r="H995" s="7"/>
      <c r="I995" s="7"/>
    </row>
    <row r="996" spans="5:9" x14ac:dyDescent="0.2">
      <c r="E996" s="7"/>
      <c r="F996" s="7"/>
      <c r="G996" s="7"/>
      <c r="H996" s="7"/>
      <c r="I996" s="7"/>
    </row>
    <row r="997" spans="5:9" x14ac:dyDescent="0.2">
      <c r="E997" s="7"/>
      <c r="F997" s="7"/>
      <c r="G997" s="7"/>
      <c r="H997" s="7"/>
      <c r="I997" s="7"/>
    </row>
    <row r="998" spans="5:9" x14ac:dyDescent="0.2">
      <c r="E998" s="7"/>
      <c r="F998" s="7"/>
      <c r="G998" s="7"/>
      <c r="H998" s="7"/>
      <c r="I998" s="7"/>
    </row>
    <row r="999" spans="5:9" x14ac:dyDescent="0.2">
      <c r="E999" s="7"/>
      <c r="F999" s="7"/>
      <c r="G999" s="7"/>
      <c r="H999" s="7"/>
      <c r="I999" s="7"/>
    </row>
    <row r="1000" spans="5:9" x14ac:dyDescent="0.2">
      <c r="E1000" s="7"/>
      <c r="F1000" s="7"/>
      <c r="G1000" s="7"/>
      <c r="H1000" s="7"/>
      <c r="I1000" s="7"/>
    </row>
    <row r="1001" spans="5:9" x14ac:dyDescent="0.2">
      <c r="E1001" s="7"/>
      <c r="F1001" s="7"/>
      <c r="G1001" s="7"/>
      <c r="H1001" s="7"/>
      <c r="I1001" s="7"/>
    </row>
    <row r="1002" spans="5:9" x14ac:dyDescent="0.2">
      <c r="E1002" s="7"/>
      <c r="F1002" s="7"/>
      <c r="G1002" s="7"/>
      <c r="H1002" s="7"/>
      <c r="I1002" s="7"/>
    </row>
    <row r="1003" spans="5:9" x14ac:dyDescent="0.2">
      <c r="E1003" s="7"/>
      <c r="F1003" s="7"/>
      <c r="G1003" s="7"/>
      <c r="H1003" s="7"/>
      <c r="I1003" s="7"/>
    </row>
    <row r="1004" spans="5:9" x14ac:dyDescent="0.2">
      <c r="F1004" s="7"/>
      <c r="G1004" s="7"/>
      <c r="H1004" s="7"/>
      <c r="I1004" s="7"/>
    </row>
    <row r="1005" spans="5:9" x14ac:dyDescent="0.2">
      <c r="F1005" s="7"/>
      <c r="G1005" s="7"/>
      <c r="H1005" s="7"/>
      <c r="I1005" s="7"/>
    </row>
    <row r="1006" spans="5:9" x14ac:dyDescent="0.2">
      <c r="F1006" s="7"/>
      <c r="G1006" s="7"/>
      <c r="H1006" s="7"/>
      <c r="I1006" s="7"/>
    </row>
    <row r="1007" spans="5:9" x14ac:dyDescent="0.2">
      <c r="F1007" s="7"/>
      <c r="G1007" s="7"/>
      <c r="H1007" s="7"/>
      <c r="I1007" s="7"/>
    </row>
    <row r="1008" spans="5:9" x14ac:dyDescent="0.2">
      <c r="F1008" s="7"/>
      <c r="G1008" s="7"/>
      <c r="H1008" s="7"/>
      <c r="I1008" s="7"/>
    </row>
    <row r="1009" spans="6:9" x14ac:dyDescent="0.2">
      <c r="F1009" s="7"/>
      <c r="G1009" s="7"/>
      <c r="H1009" s="7"/>
      <c r="I1009" s="7"/>
    </row>
    <row r="1010" spans="6:9" x14ac:dyDescent="0.2">
      <c r="F1010" s="7"/>
      <c r="G1010" s="7"/>
      <c r="H1010" s="7"/>
      <c r="I1010" s="7"/>
    </row>
    <row r="1011" spans="6:9" x14ac:dyDescent="0.2">
      <c r="F1011" s="7"/>
      <c r="G1011" s="7"/>
      <c r="H1011" s="7"/>
      <c r="I1011" s="7"/>
    </row>
    <row r="1012" spans="6:9" x14ac:dyDescent="0.2">
      <c r="F1012" s="7"/>
      <c r="G1012" s="7"/>
      <c r="H1012" s="7"/>
      <c r="I1012" s="7"/>
    </row>
    <row r="1013" spans="6:9" x14ac:dyDescent="0.2">
      <c r="F1013" s="7"/>
      <c r="G1013" s="7"/>
      <c r="H1013" s="7"/>
      <c r="I1013" s="7"/>
    </row>
    <row r="1014" spans="6:9" x14ac:dyDescent="0.2">
      <c r="F1014" s="7"/>
      <c r="G1014" s="7"/>
      <c r="H1014" s="7"/>
      <c r="I1014" s="7"/>
    </row>
    <row r="1015" spans="6:9" x14ac:dyDescent="0.2">
      <c r="F1015" s="7"/>
      <c r="G1015" s="7"/>
      <c r="H1015" s="7"/>
      <c r="I1015" s="7"/>
    </row>
    <row r="1016" spans="6:9" x14ac:dyDescent="0.2">
      <c r="F1016" s="7"/>
      <c r="G1016" s="7"/>
      <c r="H1016" s="7"/>
      <c r="I1016" s="7"/>
    </row>
    <row r="1017" spans="6:9" x14ac:dyDescent="0.2">
      <c r="F1017" s="7"/>
      <c r="G1017" s="7"/>
      <c r="H1017" s="7"/>
      <c r="I1017" s="7"/>
    </row>
    <row r="1018" spans="6:9" x14ac:dyDescent="0.2">
      <c r="F1018" s="7"/>
      <c r="G1018" s="7"/>
      <c r="H1018" s="7"/>
      <c r="I1018" s="7"/>
    </row>
    <row r="1019" spans="6:9" x14ac:dyDescent="0.2">
      <c r="F1019" s="7"/>
      <c r="G1019" s="7"/>
      <c r="H1019" s="7"/>
      <c r="I1019" s="7"/>
    </row>
    <row r="1020" spans="6:9" x14ac:dyDescent="0.2">
      <c r="F1020" s="7"/>
      <c r="G1020" s="7"/>
      <c r="H1020" s="7"/>
      <c r="I1020" s="7"/>
    </row>
    <row r="1021" spans="6:9" x14ac:dyDescent="0.2">
      <c r="F1021" s="7"/>
      <c r="G1021" s="7"/>
      <c r="H1021" s="7"/>
    </row>
    <row r="1022" spans="6:9" x14ac:dyDescent="0.2">
      <c r="F1022" s="7"/>
      <c r="G1022" s="7"/>
      <c r="H1022" s="7"/>
    </row>
    <row r="1023" spans="6:9" x14ac:dyDescent="0.2">
      <c r="F1023" s="7"/>
      <c r="G1023" s="7"/>
      <c r="H1023" s="7"/>
    </row>
  </sheetData>
  <sheetProtection algorithmName="SHA-512" hashValue="D4SoJIr+AhsfEN3iWSDZzEewMkfp2RgCQW+8YXi/mAl80vqS5hbR6p7Rdqdu/SVdHk3JF9geKm80yEAEuMymYQ==" saltValue="2kIRVf40byEOwGDGvjlH+Q==" spinCount="100000" sheet="1" selectLockedCells="1"/>
  <mergeCells count="53">
    <mergeCell ref="K351:L351"/>
    <mergeCell ref="K350:L350"/>
    <mergeCell ref="K352:L352"/>
    <mergeCell ref="K353:L353"/>
    <mergeCell ref="B2:M2"/>
    <mergeCell ref="B3:M3"/>
    <mergeCell ref="J62:M62"/>
    <mergeCell ref="J198:M198"/>
    <mergeCell ref="J209:M209"/>
    <mergeCell ref="J245:M245"/>
    <mergeCell ref="J251:M251"/>
    <mergeCell ref="J172:M172"/>
    <mergeCell ref="J64:M64"/>
    <mergeCell ref="J6:M6"/>
    <mergeCell ref="J7:M7"/>
    <mergeCell ref="J87:M87"/>
    <mergeCell ref="J27:M27"/>
    <mergeCell ref="J114:M114"/>
    <mergeCell ref="J100:M100"/>
    <mergeCell ref="J88:M88"/>
    <mergeCell ref="J21:M21"/>
    <mergeCell ref="J22:M22"/>
    <mergeCell ref="J42:M42"/>
    <mergeCell ref="J46:M46"/>
    <mergeCell ref="J52:M52"/>
    <mergeCell ref="J28:M28"/>
    <mergeCell ref="J34:M34"/>
    <mergeCell ref="J35:M35"/>
    <mergeCell ref="J69:M69"/>
    <mergeCell ref="J55:M55"/>
    <mergeCell ref="J53:M53"/>
    <mergeCell ref="J125:M125"/>
    <mergeCell ref="J124:M124"/>
    <mergeCell ref="J101:M101"/>
    <mergeCell ref="J74:M74"/>
    <mergeCell ref="J75:M75"/>
    <mergeCell ref="J113:M113"/>
    <mergeCell ref="J145:M145"/>
    <mergeCell ref="J146:M146"/>
    <mergeCell ref="J152:M152"/>
    <mergeCell ref="J158:M158"/>
    <mergeCell ref="J165:M165"/>
    <mergeCell ref="K349:L349"/>
    <mergeCell ref="J304:M304"/>
    <mergeCell ref="J262:M262"/>
    <mergeCell ref="J263:M263"/>
    <mergeCell ref="J180:M180"/>
    <mergeCell ref="J181:M181"/>
    <mergeCell ref="J273:M273"/>
    <mergeCell ref="J278:M278"/>
    <mergeCell ref="J283:M283"/>
    <mergeCell ref="J290:M290"/>
    <mergeCell ref="J297:M297"/>
  </mergeCells>
  <conditionalFormatting sqref="C16:G16">
    <cfRule type="expression" dxfId="2237" priority="78">
      <formula>OR((mgmt_domain_existing_vcf_operations_chosen="Selected"),(mgmt_domain_chosen="Deploy a VCF Instance in an existing VCF fleet"))</formula>
    </cfRule>
  </conditionalFormatting>
  <conditionalFormatting sqref="E23 E25">
    <cfRule type="expression" dxfId="2236" priority="77">
      <formula>mgmt_domain_existing_vcenter_chosen="Selected"</formula>
    </cfRule>
  </conditionalFormatting>
  <conditionalFormatting sqref="E24 C17:G17 E26">
    <cfRule type="expression" dxfId="2235" priority="368">
      <formula>mgmt_domain_deployment_type_chosen="VMware vSphere Foundation"</formula>
    </cfRule>
  </conditionalFormatting>
  <conditionalFormatting sqref="E24">
    <cfRule type="expression" dxfId="2234" priority="76">
      <formula>mgmt_domain_existing_nsx_manager_chosen="Selected"</formula>
    </cfRule>
  </conditionalFormatting>
  <conditionalFormatting sqref="E18:G18">
    <cfRule type="expression" dxfId="2233" priority="370">
      <formula>mgmt_domain_existing_vcf_automation_result="Included"</formula>
    </cfRule>
  </conditionalFormatting>
  <conditionalFormatting sqref="J306">
    <cfRule type="expression" dxfId="2232" priority="31">
      <formula>mgmt_domain_deployment_type_chosen="VMware vSphere Foundation"</formula>
    </cfRule>
    <cfRule type="expression" dxfId="2231" priority="30">
      <formula>mgmt_domain_ops_automation_later_chosen="Selected"</formula>
    </cfRule>
  </conditionalFormatting>
  <conditionalFormatting sqref="J308:J311">
    <cfRule type="expression" dxfId="2230" priority="29">
      <formula>mgmt_domain_deployment_type_chosen="VMware vSphere Foundation"</formula>
    </cfRule>
    <cfRule type="expression" dxfId="2229" priority="28">
      <formula>mgmt_domain_ops_automation_later_chosen="Selected"</formula>
    </cfRule>
  </conditionalFormatting>
  <conditionalFormatting sqref="J313">
    <cfRule type="expression" dxfId="2228" priority="27">
      <formula>mgmt_domain_deployment_type_chosen="VMware vSphere Foundation"</formula>
    </cfRule>
    <cfRule type="expression" dxfId="2227" priority="26">
      <formula>mgmt_domain_ops_automation_later_chosen="Selected"</formula>
    </cfRule>
  </conditionalFormatting>
  <conditionalFormatting sqref="J315:J319">
    <cfRule type="expression" dxfId="2226" priority="23">
      <formula>mgmt_domain_ops_automation_later_chosen="Selected"</formula>
    </cfRule>
    <cfRule type="expression" dxfId="2225" priority="25">
      <formula>mgmt_domain_existing_vcf_operations_chosen="Selected"</formula>
    </cfRule>
    <cfRule type="expression" dxfId="2224" priority="24">
      <formula>mgmt_domain_deployment_type_chosen="VMware vSphere Foundation"</formula>
    </cfRule>
  </conditionalFormatting>
  <conditionalFormatting sqref="J321 L321">
    <cfRule type="expression" dxfId="2223" priority="69">
      <formula>mgmt_vcf_installer_location="Deployed on one of the hosts in the management domain"</formula>
    </cfRule>
  </conditionalFormatting>
  <conditionalFormatting sqref="L9:L19 L24:L25 L30:L32 L37:L41 L43:L45 L47:L50 L56:L63 L65:L68 L70:L72 L77:L85 L90:L98 L103 L105:L111 L116:L122 L127:L143 L148:L151 L153:L157 L159:L162 L166:L169 L183 L195:L197 L200:L208 L212 L217:L219 L221:L224 L226:L229 L232:L234 L237:L239 L242:L244 L246:L250 L252 L265:L269 J306 L306 J308:J311 L308:L311 J313 L313 J315:J319 L315:L319 J321:J323 L321:L323 J325:J328 L325:L328 J330:J345 L330:L345">
    <cfRule type="notContainsBlanks" dxfId="2222" priority="1407">
      <formula>LEN(TRIM(J9))&gt;0</formula>
    </cfRule>
  </conditionalFormatting>
  <conditionalFormatting sqref="L9:L19 L24:L25 L30:L32 L37:L41 L43:L45 L47:L50 L56:L63 L65:L68 L70:L72 L77:L85 L90:L98 L103:L111 L116:L122 L127:L143 L148:L151 L153:L157 L159:L162 L166:L169 L183 L195:L197 L200:L208 L212 L217:L219 L221:L224 L226:L229 L232:L234 L237:L239 L242:L244 L246:L250 L252 L265:L269 J306 L306 J308:J311 L308:L311 J313 L313 J315:J319 L315:L319 J321:J323 L321:L323 J325:J328 L325:L328 J330:J345 L330:L345">
    <cfRule type="containsBlanks" dxfId="2221" priority="1408">
      <formula>LEN(TRIM(J9))=0</formula>
    </cfRule>
  </conditionalFormatting>
  <conditionalFormatting sqref="L10:L11">
    <cfRule type="expression" dxfId="2219" priority="366">
      <formula>mgmt_offline_depot_chosen="Online"</formula>
    </cfRule>
  </conditionalFormatting>
  <conditionalFormatting sqref="L14:L19">
    <cfRule type="expression" dxfId="2218" priority="353">
      <formula>mgmt_internet_proxy_chosen="Unselected"</formula>
    </cfRule>
  </conditionalFormatting>
  <conditionalFormatting sqref="L18:L19">
    <cfRule type="expression" dxfId="2217" priority="343">
      <formula>mgmt_internet_proxy_auth="Unselected"</formula>
    </cfRule>
    <cfRule type="expression" dxfId="2216" priority="107">
      <formula>mgmt_internet_proxy_auth_chosen="Unselected"</formula>
    </cfRule>
  </conditionalFormatting>
  <conditionalFormatting sqref="L30 L58:L59 L63 L65:L68 L70:L72 L77:L85 L306 L309:L311 L313 L103:L111 L265:L269 L246:L250 L252:L260 L32 L38:L41 L322 L325:L328">
    <cfRule type="expression" dxfId="2215" priority="93">
      <formula>mgmt_domain_deployment_type_chosen="VMware vSphere Foundation"</formula>
    </cfRule>
  </conditionalFormatting>
  <conditionalFormatting sqref="L32">
    <cfRule type="expression" dxfId="2214" priority="341">
      <formula>mgmt_domain_existing_vcenter_chosen="Unselected"</formula>
    </cfRule>
  </conditionalFormatting>
  <conditionalFormatting sqref="L40">
    <cfRule type="expression" dxfId="2213" priority="339">
      <formula>mgmt_domain_vcf_operations_ha_mode_chosen="Simple (Single Node)"</formula>
    </cfRule>
    <cfRule type="expression" dxfId="2212" priority="347" stopIfTrue="1">
      <formula>mgmt_domain_existing_vcf_operations_result="Excluded"</formula>
    </cfRule>
  </conditionalFormatting>
  <conditionalFormatting sqref="L43:L45 L47:L48">
    <cfRule type="expression" dxfId="2211" priority="92">
      <formula>mgmt_domain_existing_vcenter_chosen="Selected"</formula>
    </cfRule>
  </conditionalFormatting>
  <conditionalFormatting sqref="L49:L50">
    <cfRule type="expression" dxfId="2210" priority="344">
      <formula>mgmt_domain_existing_vcenter_result="Excluded"</formula>
    </cfRule>
    <cfRule type="expression" dxfId="2209" priority="345">
      <formula>mgmt_domain_existing_vcf_operations_result="Excluded"</formula>
    </cfRule>
  </conditionalFormatting>
  <conditionalFormatting sqref="L58:L59 L63 L82:L83 L106:L107 L309:L311 L313 J309:J311 J318:J319 L318:L319">
    <cfRule type="expression" dxfId="2208" priority="189" stopIfTrue="1">
      <formula>mgmt_domain_vcf_operations_ha_mode_chosen="Simple (Single-Node)"</formula>
    </cfRule>
  </conditionalFormatting>
  <conditionalFormatting sqref="L60:L61">
    <cfRule type="expression" dxfId="2207" priority="338">
      <formula>AND((mgmt_domain_existing_vcf_operations_chosen="Unselected"),(mgmt_domain_password_creation_chosen="Selected"),(vcf_granular_option_chosen="Deploy a new VCF Fleet"))</formula>
    </cfRule>
  </conditionalFormatting>
  <conditionalFormatting sqref="L61">
    <cfRule type="expression" dxfId="2206" priority="70">
      <formula>vcf_granular_option_chosen="Deploy a VCF Instance in an existing VCF Fleet"</formula>
    </cfRule>
  </conditionalFormatting>
  <conditionalFormatting sqref="L66:L68 L71">
    <cfRule type="expression" dxfId="2205" priority="335">
      <formula>mgmt_domain_password_creation_chosen="Selected"</formula>
    </cfRule>
  </conditionalFormatting>
  <conditionalFormatting sqref="L67">
    <cfRule type="expression" dxfId="2204" priority="81">
      <formula>AND((mgmt_domain_password_creation_chosen="Selected"),(mgmt_domain_chosen="Deploy a new VCF fleet"))</formula>
    </cfRule>
  </conditionalFormatting>
  <conditionalFormatting sqref="L67:L68">
    <cfRule type="expression" dxfId="2203" priority="113">
      <formula>mgmt_flt_fm_reuse_password_chosen="Selected"</formula>
    </cfRule>
  </conditionalFormatting>
  <conditionalFormatting sqref="L72">
    <cfRule type="expression" dxfId="2202" priority="106">
      <formula>mgmt_ops_collector_reuse_password_chosen="Selected"</formula>
    </cfRule>
    <cfRule type="expression" dxfId="2201" priority="80">
      <formula>mgmt_domain_password_creation_chosen="Selected"</formula>
    </cfRule>
  </conditionalFormatting>
  <conditionalFormatting sqref="L77:L85 L56:L63 L65:L68 L70:L72">
    <cfRule type="expression" dxfId="2200" priority="337">
      <formula>mgmt_domain_ops_automation_later_chosen="Selected"</formula>
    </cfRule>
  </conditionalFormatting>
  <conditionalFormatting sqref="L79">
    <cfRule type="expression" dxfId="2199" priority="79">
      <formula>AND((mgmt_domain_existing_vcf_operations_chosen="Unselected"),(mgmt_domain_password_creation_chosen="Selected"),(mgmt_domain_chosen="First Instance"))</formula>
    </cfRule>
  </conditionalFormatting>
  <conditionalFormatting sqref="L80:L84 L311 L315:L319 L25">
    <cfRule type="expression" dxfId="2198" priority="190" stopIfTrue="1">
      <formula>mgmt_domain_deployment_type_chosen="VMware vSphere Foundation"</formula>
    </cfRule>
  </conditionalFormatting>
  <conditionalFormatting sqref="L80:L85">
    <cfRule type="expression" dxfId="2197" priority="250">
      <formula>mgmt_domain_existing_vcf_automation_result="Included"</formula>
    </cfRule>
  </conditionalFormatting>
  <conditionalFormatting sqref="L96">
    <cfRule type="expression" dxfId="2196" priority="91">
      <formula>mgmt_domain_existing_vcenter_chosen="Unselected"</formula>
    </cfRule>
  </conditionalFormatting>
  <conditionalFormatting sqref="L97:L98">
    <cfRule type="expression" dxfId="2195" priority="324">
      <formula>AND((mgmt_domain_existing_vcenter_chosen="Unselected"),(mgmt_domain_password_creation_chosen="Selected"))</formula>
    </cfRule>
  </conditionalFormatting>
  <conditionalFormatting sqref="L105:L107 L103 L326:L328 J326:J328">
    <cfRule type="expression" dxfId="2194" priority="336">
      <formula>mgmt_domain_existing_nsx_manager_chosen="Selected"</formula>
    </cfRule>
  </conditionalFormatting>
  <conditionalFormatting sqref="L108:L110">
    <cfRule type="expression" dxfId="2193" priority="75">
      <formula>AND((mgmt_domain_existing_nsx_manager_chosen="Unselected"),(mgmt_domain_password_creation_chosen="Selected"))</formula>
    </cfRule>
  </conditionalFormatting>
  <conditionalFormatting sqref="L111">
    <cfRule type="expression" dxfId="2192" priority="187">
      <formula>mgmt_domain_existing_nsx_manager_chosen="Unselected"</formula>
    </cfRule>
  </conditionalFormatting>
  <conditionalFormatting sqref="L118:L119">
    <cfRule type="expression" dxfId="2191" priority="348">
      <formula>mgmt_principal_storage_chosen&lt;&gt;"vSAN-OSA"</formula>
    </cfRule>
  </conditionalFormatting>
  <conditionalFormatting sqref="L120:L122">
    <cfRule type="expression" dxfId="2190" priority="352">
      <formula>mgmt_principal_storage_chosen&lt;&gt;"NFSv3"</formula>
    </cfRule>
  </conditionalFormatting>
  <conditionalFormatting sqref="L132:L143">
    <cfRule type="containsBlanks" dxfId="2189" priority="141">
      <formula>LEN(TRIM(L132))=0</formula>
    </cfRule>
    <cfRule type="notContainsBlanks" dxfId="2188" priority="142">
      <formula>LEN(TRIM(L132))&gt;0</formula>
    </cfRule>
  </conditionalFormatting>
  <conditionalFormatting sqref="L163:L164">
    <cfRule type="containsBlanks" dxfId="2187" priority="175" stopIfTrue="1">
      <formula>LEN(TRIM(L163))=0</formula>
    </cfRule>
    <cfRule type="notContainsBlanks" dxfId="2186" priority="176" stopIfTrue="1">
      <formula>LEN(TRIM(L163))&gt;0</formula>
    </cfRule>
  </conditionalFormatting>
  <conditionalFormatting sqref="L166:L171">
    <cfRule type="expression" dxfId="2185" priority="179">
      <formula>OR((mgmt_principal_storage_chosen="VMFS on Fibre Channel (FC)"),(mgmt_principal_storage_chosen="NFSv3"))</formula>
    </cfRule>
  </conditionalFormatting>
  <conditionalFormatting sqref="L170:L171 L177:L178">
    <cfRule type="containsBlanks" dxfId="2184" priority="180" stopIfTrue="1">
      <formula>LEN(TRIM(L170))=0</formula>
    </cfRule>
    <cfRule type="notContainsBlanks" dxfId="2183" priority="266" stopIfTrue="1">
      <formula>LEN(TRIM(L170))&gt;0</formula>
    </cfRule>
  </conditionalFormatting>
  <conditionalFormatting sqref="L173:L176">
    <cfRule type="containsBlanks" dxfId="2182" priority="90">
      <formula>LEN(TRIM(L173))=0</formula>
    </cfRule>
    <cfRule type="notContainsBlanks" dxfId="2181" priority="89">
      <formula>LEN(TRIM(L173))&gt;0</formula>
    </cfRule>
    <cfRule type="expression" dxfId="2179" priority="87">
      <formula>mgmt_principal_storage_chosen="VMFS on Fibre Channel (FC)"</formula>
    </cfRule>
    <cfRule type="expression" dxfId="2178" priority="86">
      <formula>mgmt_domain_existing_vcenter_chosen="Selected"</formula>
    </cfRule>
  </conditionalFormatting>
  <conditionalFormatting sqref="L173:L178">
    <cfRule type="expression" dxfId="2177" priority="85">
      <formula>mgmt_principal_storage_chosen&lt;&gt;"NFSv3"</formula>
    </cfRule>
  </conditionalFormatting>
  <conditionalFormatting sqref="L188:L194">
    <cfRule type="containsBlanks" dxfId="2176" priority="171">
      <formula>LEN(TRIM(L188))=0</formula>
    </cfRule>
    <cfRule type="notContainsBlanks" dxfId="2175" priority="170">
      <formula>LEN(TRIM(L188))&gt;0</formula>
    </cfRule>
  </conditionalFormatting>
  <conditionalFormatting sqref="L188:L197 L200:L208 L212 L217:L219 L221:L224 L226:L229 L231:L234 L236:L239 L241:L244 L246:L250 L252:L260 L91:L95 L113:L114 L116:L143 L145:L157 L159:L164 L166:L171 L183 J330:J345 L330:L345">
    <cfRule type="expression" dxfId="2174" priority="67">
      <formula>mgmt_domain_existing_vcenter_chosen="Selected"</formula>
    </cfRule>
  </conditionalFormatting>
  <conditionalFormatting sqref="L188:L197 L221:L224 L226:L229 L231:L234 L199:L208 L210:L219 L246:L250 L236:L239 L241:L244 L252:L260">
    <cfRule type="expression" dxfId="2173" priority="66">
      <formula>mgmt_cl01_vds_profile_chosen="Custom Switch Configuration"</formula>
    </cfRule>
  </conditionalFormatting>
  <conditionalFormatting sqref="L190">
    <cfRule type="expression" dxfId="2172" priority="4">
      <formula>M190="VDS LAG / LACP is not supported on this VDS with the chosen VDS profile"</formula>
    </cfRule>
  </conditionalFormatting>
  <conditionalFormatting sqref="L191:L194">
    <cfRule type="expression" dxfId="2171" priority="22">
      <formula>mgmt_cl01_vds01_link_type_chosen="VDS Uplinks"</formula>
    </cfRule>
  </conditionalFormatting>
  <conditionalFormatting sqref="L198:L208 L253 L260">
    <cfRule type="containsBlanks" dxfId="2170" priority="162">
      <formula>LEN(TRIM(L198))=0</formula>
    </cfRule>
  </conditionalFormatting>
  <conditionalFormatting sqref="L199">
    <cfRule type="notContainsBlanks" dxfId="2169" priority="118">
      <formula>LEN(TRIM(L199))&gt;0</formula>
    </cfRule>
    <cfRule type="containsBlanks" dxfId="2168" priority="119">
      <formula>LEN(TRIM(L199))=0</formula>
    </cfRule>
  </conditionalFormatting>
  <conditionalFormatting sqref="L199:L208 L210:L219">
    <cfRule type="expression" dxfId="2167" priority="73">
      <formula>mgmt_cl01_vds_profile_chosen="Default"</formula>
    </cfRule>
  </conditionalFormatting>
  <conditionalFormatting sqref="L201">
    <cfRule type="expression" dxfId="2166" priority="1">
      <formula>M201="VDS LAG / LACP is not supported on this VDS with the chosen VDS profile and Primary VDS Lag configuration"</formula>
    </cfRule>
    <cfRule type="expression" dxfId="2165" priority="3">
      <formula>M201="VDS LAG / LACP is not supported on this VDS with the chosen VDS profile"</formula>
    </cfRule>
  </conditionalFormatting>
  <conditionalFormatting sqref="L202:L205">
    <cfRule type="expression" dxfId="2164" priority="20">
      <formula>mgmt_cl01_vds02_link_type_chosen="VDS Uplinks"</formula>
    </cfRule>
  </conditionalFormatting>
  <conditionalFormatting sqref="L210:L216">
    <cfRule type="expression" dxfId="2163" priority="114">
      <formula>mgmt_domain_result="Excluded"</formula>
    </cfRule>
    <cfRule type="notContainsBlanks" dxfId="2162" priority="246">
      <formula>LEN(TRIM(L210))&gt;0</formula>
    </cfRule>
    <cfRule type="containsBlanks" dxfId="2161" priority="126">
      <formula>LEN(TRIM(L210))=0</formula>
    </cfRule>
  </conditionalFormatting>
  <conditionalFormatting sqref="L210:L219">
    <cfRule type="expression" dxfId="2160" priority="115" stopIfTrue="1">
      <formula>mgmt_cl01_vds_profile_chosen="NSX Traffic Separation"</formula>
    </cfRule>
    <cfRule type="expression" dxfId="2159" priority="112">
      <formula>mgmt_cl01_vds_profile_chosen="Storage Traffic Separation"</formula>
    </cfRule>
  </conditionalFormatting>
  <conditionalFormatting sqref="L213:L216">
    <cfRule type="expression" dxfId="2158" priority="18">
      <formula>mgmt_cl01_vds03_link_type_chosen="VDS Uplinks"</formula>
    </cfRule>
  </conditionalFormatting>
  <conditionalFormatting sqref="L221">
    <cfRule type="notContainsBlanks" dxfId="2157" priority="8">
      <formula>LEN(TRIM(L221))&gt;0</formula>
    </cfRule>
    <cfRule type="containsBlanks" dxfId="2156" priority="7">
      <formula>LEN(TRIM(L221))=0</formula>
    </cfRule>
  </conditionalFormatting>
  <conditionalFormatting sqref="L222:L224 L227:L229 L232:L234">
    <cfRule type="expression" dxfId="2155" priority="21">
      <formula>mgmt_cl01_vds01_link_type_chosen="VDS LAG"</formula>
    </cfRule>
  </conditionalFormatting>
  <conditionalFormatting sqref="L226">
    <cfRule type="containsBlanks" dxfId="2154" priority="139">
      <formula>LEN(TRIM(L226))=0</formula>
    </cfRule>
    <cfRule type="notContainsBlanks" dxfId="2153" priority="140">
      <formula>LEN(TRIM(L226))&gt;0</formula>
    </cfRule>
  </conditionalFormatting>
  <conditionalFormatting sqref="L231">
    <cfRule type="containsBlanks" dxfId="2152" priority="133">
      <formula>LEN(TRIM(L231))=0</formula>
    </cfRule>
    <cfRule type="notContainsBlanks" dxfId="2151" priority="134">
      <formula>LEN(TRIM(L231))&gt;0</formula>
    </cfRule>
  </conditionalFormatting>
  <conditionalFormatting sqref="L236">
    <cfRule type="containsBlanks" dxfId="2150" priority="130">
      <formula>LEN(TRIM(L236))=0</formula>
    </cfRule>
    <cfRule type="notContainsBlanks" dxfId="2149" priority="131">
      <formula>LEN(TRIM(L236))&gt;0</formula>
    </cfRule>
  </conditionalFormatting>
  <conditionalFormatting sqref="L236:L239">
    <cfRule type="expression" dxfId="2148" priority="68">
      <formula>OR((mgmt_principal_storage_chosen="VMFS on Fibre Channel (FC)"),(mgmt_principal_storage_chosen="NFSv3"))</formula>
    </cfRule>
  </conditionalFormatting>
  <conditionalFormatting sqref="L237:L239">
    <cfRule type="expression" dxfId="2147" priority="12">
      <formula>AND((mgmt_cl01_vds_profile_chosen="Default"),(mgmt_cl01_vds01_link_type_chosen="VDS Lag"))</formula>
    </cfRule>
    <cfRule type="expression" dxfId="2146" priority="11">
      <formula>AND((mgmt_cl01_vds_profile_chosen="Storage Traffic Separation"),(mgmt_cl01_vds02_link_type_chosen="VDS Lag"))</formula>
    </cfRule>
    <cfRule type="expression" dxfId="2145" priority="10">
      <formula>AND((mgmt_cl01_vds_profile_chosen="Storage Traffic and NSX Traffic Separation"),(mgmt_cl01_vds02_link_type_chosen="VDS Lag"))</formula>
    </cfRule>
    <cfRule type="expression" dxfId="2144" priority="9">
      <formula>AND((mgmt_cl01_vds_profile_chosen="NSX Traffic Separation"),(mgmt_cl01_vds01_link_type_chosen="VDS Lag"))</formula>
    </cfRule>
  </conditionalFormatting>
  <conditionalFormatting sqref="L241">
    <cfRule type="notContainsBlanks" dxfId="2143" priority="116">
      <formula>LEN(TRIM(L241))&gt;0</formula>
    </cfRule>
    <cfRule type="containsBlanks" dxfId="2142" priority="71">
      <formula>LEN(TRIM(L241))=0</formula>
    </cfRule>
  </conditionalFormatting>
  <conditionalFormatting sqref="L241:L244">
    <cfRule type="expression" dxfId="2141" priority="63">
      <formula>mgmt_principal_storage_chosen&lt;&gt;"NFSv3"</formula>
    </cfRule>
  </conditionalFormatting>
  <conditionalFormatting sqref="L247">
    <cfRule type="expression" dxfId="2140" priority="84">
      <formula>mgmt_nsx_default_operation_mode_chosen="Selected"</formula>
    </cfRule>
  </conditionalFormatting>
  <conditionalFormatting sqref="L248:L250">
    <cfRule type="expression" dxfId="2139" priority="16">
      <formula>AND((mgmt_cl01_vds_profile_chosen="NSX Traffic Separation"),(mgmt_cl01_vds02_link_type_chosen="VDS Lag"))</formula>
    </cfRule>
    <cfRule type="expression" dxfId="2138" priority="15">
      <formula>AND((mgmt_cl01_vds_profile_chosen="Storage Traffic and NSX Traffic Separation"),(mgmt_cl01_vds03_link_type_chosen="VDS Lag"))</formula>
    </cfRule>
    <cfRule type="expression" dxfId="2137" priority="14">
      <formula>AND((mgmt_cl01_vds_profile_chosen="Storage Traffic Separation"),(mgmt_cl01_vds01_link_type_chosen="VDS Lag"))</formula>
    </cfRule>
    <cfRule type="expression" dxfId="2136" priority="13">
      <formula>AND((mgmt_cl01_vds_profile_chosen="Default"),(mgmt_cl01_vds01_link_type_chosen="VDS Lag"))</formula>
    </cfRule>
  </conditionalFormatting>
  <conditionalFormatting sqref="L254">
    <cfRule type="expression" dxfId="2135" priority="125">
      <formula>(vcf_version_result="Excluded")</formula>
    </cfRule>
    <cfRule type="expression" dxfId="2134" priority="124">
      <formula>(vcf_version_result&lt;&gt;"Excluded")</formula>
    </cfRule>
    <cfRule type="expression" dxfId="2133" priority="122">
      <formula>mgmt_domain_deployment_type_chosen="VVF"</formula>
    </cfRule>
    <cfRule type="expression" dxfId="2132" priority="121" stopIfTrue="1">
      <formula>OR((vcf_granular_option_chosen="Cluster"),(vcf_granular_option_chosen="None Chosen"))</formula>
    </cfRule>
    <cfRule type="expression" dxfId="2131" priority="120">
      <formula>vcf_granular_option_chosen="None Selected"</formula>
    </cfRule>
  </conditionalFormatting>
  <conditionalFormatting sqref="L255:L256">
    <cfRule type="containsBlanks" dxfId="2130" priority="157">
      <formula>LEN(TRIM(L255))=0</formula>
    </cfRule>
    <cfRule type="notContainsBlanks" dxfId="2129" priority="163">
      <formula>LEN(TRIM(L255))&gt;0</formula>
    </cfRule>
  </conditionalFormatting>
  <conditionalFormatting sqref="L255:L260">
    <cfRule type="expression" dxfId="2128" priority="151">
      <formula>mgmt_host_overlay_addressing_chosen&lt;&gt;"IP Pool"</formula>
    </cfRule>
  </conditionalFormatting>
  <conditionalFormatting sqref="L257">
    <cfRule type="notContainsBlanks" dxfId="2127" priority="154" stopIfTrue="1">
      <formula>LEN(TRIM(L257))&gt;0</formula>
    </cfRule>
    <cfRule type="containsBlanks" dxfId="2126" priority="156">
      <formula>LEN(TRIM(L257))=0</formula>
    </cfRule>
  </conditionalFormatting>
  <conditionalFormatting sqref="L258:L259">
    <cfRule type="containsBlanks" dxfId="2125" priority="164" stopIfTrue="1">
      <formula>LEN(TRIM(L258))=0</formula>
    </cfRule>
    <cfRule type="notContainsBlanks" dxfId="2124" priority="165" stopIfTrue="1">
      <formula>LEN(TRIM(L258))&gt;0</formula>
    </cfRule>
  </conditionalFormatting>
  <conditionalFormatting sqref="L260 L198:L208 L253">
    <cfRule type="notContainsBlanks" dxfId="2123" priority="161" stopIfTrue="1">
      <formula>LEN(TRIM(L198))&gt;0</formula>
    </cfRule>
  </conditionalFormatting>
  <conditionalFormatting sqref="L267:L269">
    <cfRule type="expression" dxfId="2122" priority="74">
      <formula>mgmt_domain_password_creation_chosen="Selected"</formula>
    </cfRule>
  </conditionalFormatting>
  <conditionalFormatting sqref="L274:L277 L282 L284:L289 L291:L296 L298:L303">
    <cfRule type="notContainsBlanks" dxfId="2120" priority="62">
      <formula>LEN(TRIM(L274))&gt;0</formula>
    </cfRule>
  </conditionalFormatting>
  <conditionalFormatting sqref="L279">
    <cfRule type="notContainsBlanks" dxfId="2119" priority="47">
      <formula>LEN(TRIM(L279))&gt;0</formula>
    </cfRule>
    <cfRule type="containsBlanks" dxfId="2117" priority="45">
      <formula>LEN(TRIM(L279))=0</formula>
    </cfRule>
  </conditionalFormatting>
  <conditionalFormatting sqref="L280">
    <cfRule type="containsBlanks" dxfId="2115" priority="38">
      <formula>LEN(TRIM(L280))=0</formula>
    </cfRule>
    <cfRule type="notContainsBlanks" dxfId="2114" priority="39">
      <formula>LEN(TRIM(L280))&gt;0</formula>
    </cfRule>
  </conditionalFormatting>
  <conditionalFormatting sqref="L281:L282">
    <cfRule type="containsBlanks" dxfId="2112" priority="41">
      <formula>LEN(TRIM(L281))=0</formula>
    </cfRule>
    <cfRule type="notContainsBlanks" dxfId="2111" priority="43">
      <formula>LEN(TRIM(L281))&gt;0</formula>
    </cfRule>
  </conditionalFormatting>
  <conditionalFormatting sqref="L282 L274:L277 L284:L289 L291:L296 L298:L303">
    <cfRule type="containsBlanks" dxfId="2110" priority="60">
      <formula>LEN(TRIM(L274))=0</formula>
    </cfRule>
  </conditionalFormatting>
  <conditionalFormatting sqref="L290">
    <cfRule type="expression" dxfId="2108" priority="51">
      <formula>input_mgmt_principal_storage_chosen="VMFS on Fibre Channel (FC)"</formula>
    </cfRule>
    <cfRule type="containsBlanks" dxfId="2107" priority="54">
      <formula>LEN(TRIM(L290))=0</formula>
    </cfRule>
    <cfRule type="expression" dxfId="2106" priority="52">
      <formula>mgmt_domain_existing_vcenter_chosen="Selected"</formula>
    </cfRule>
  </conditionalFormatting>
  <conditionalFormatting sqref="L297 L273">
    <cfRule type="expression" dxfId="2105" priority="56">
      <formula>mgmt_domain_existing_vcenter_chosen="Selected"</formula>
    </cfRule>
  </conditionalFormatting>
  <conditionalFormatting sqref="L297 L290">
    <cfRule type="notContainsBlanks" dxfId="2104" priority="58">
      <formula>LEN(TRIM(L290))&gt;0</formula>
    </cfRule>
  </conditionalFormatting>
  <conditionalFormatting sqref="L297">
    <cfRule type="expression" dxfId="2103" priority="55">
      <formula>input_mgmt_principal_storage_chosen="VMFS on Fibre Channel (FC)"</formula>
    </cfRule>
    <cfRule type="containsBlanks" dxfId="2101" priority="59">
      <formula>LEN(TRIM(L297))=0</formula>
    </cfRule>
  </conditionalFormatting>
  <conditionalFormatting sqref="L306 L308:L311 L313 L315:L319">
    <cfRule type="expression" dxfId="2100" priority="32">
      <formula>mgmt_domain_ops_automation_later_chosen="Selected"</formula>
    </cfRule>
  </conditionalFormatting>
  <conditionalFormatting sqref="L306 L309:L310 L313 L316:L319 J306 J308:J311 J313 J315:J319 L30 L56 L58:L59 L63 L65:L66 L68 L71 L77 L80:L85">
    <cfRule type="expression" dxfId="2099" priority="83">
      <formula>vcf_granular_option_chosen="Deploy a VCF Instance in an existing VCF Fleet"</formula>
    </cfRule>
  </conditionalFormatting>
  <conditionalFormatting sqref="L309:L311 L58:L59 L63 J308:J311 L313 L65:L68 L70:L72 L306 L56 J306 J313">
    <cfRule type="expression" dxfId="2098" priority="351">
      <formula>mgmt_domain_existing_vcf_operations_chosen="Selected"</formula>
    </cfRule>
  </conditionalFormatting>
  <conditionalFormatting sqref="L315:L319 L78:L85 J315:J319">
    <cfRule type="expression" dxfId="2097" priority="315">
      <formula>mgmt_domain_vcf_automation_later_chosen="Selected"</formula>
    </cfRule>
  </conditionalFormatting>
  <conditionalFormatting sqref="L316:L319">
    <cfRule type="expression" dxfId="2096" priority="298">
      <formula>mgmt_domain_existing_vcf_automation_result="Included"</formula>
    </cfRule>
  </conditionalFormatting>
  <conditionalFormatting sqref="L321">
    <cfRule type="expression" dxfId="2095" priority="249">
      <formula>mgmt_domain_vcf_installer_mode_result="Excluded"</formula>
    </cfRule>
  </conditionalFormatting>
  <conditionalFormatting sqref="M190">
    <cfRule type="expression" dxfId="2094" priority="6">
      <formula>M190="VDS LAG / LACP is not supported on this VDS with the chosen VDS profile"</formula>
    </cfRule>
  </conditionalFormatting>
  <conditionalFormatting sqref="M201">
    <cfRule type="expression" dxfId="2093" priority="5">
      <formula>M201="VDS LAG / LACP is not supported on this VDS with the chosen VDS profile"</formula>
    </cfRule>
    <cfRule type="expression" dxfId="2092" priority="2">
      <formula>M201="VDS LAG / LACP is not supported on this VDS with the chosen VDS profile and Primary VDS Lag configuration"</formula>
    </cfRule>
  </conditionalFormatting>
  <conditionalFormatting sqref="M349">
    <cfRule type="notContainsBlanks" dxfId="2091" priority="111">
      <formula>LEN(TRIM(M349))&gt;0</formula>
    </cfRule>
  </conditionalFormatting>
  <conditionalFormatting sqref="M349:M353">
    <cfRule type="notContainsBlanks" dxfId="2090" priority="97">
      <formula>LEN(TRIM(M349))&gt;0</formula>
    </cfRule>
    <cfRule type="containsBlanks" dxfId="2089" priority="96">
      <formula>LEN(TRIM(M349))=0</formula>
    </cfRule>
    <cfRule type="expression" dxfId="2088" priority="94">
      <formula>mgmt_domain_result="Excluded"</formula>
    </cfRule>
  </conditionalFormatting>
  <conditionalFormatting sqref="M350:M353">
    <cfRule type="expression" dxfId="2087" priority="95">
      <formula>OR((mgmt_domain_result="Excluded"),(mgmt_consolidated_result="Excluded"))</formula>
    </cfRule>
  </conditionalFormatting>
  <dataValidations count="23">
    <dataValidation type="list" allowBlank="1" showInputMessage="1" showErrorMessage="1" sqref="M349 K349" xr:uid="{734C88E8-D2CA-0B48-8A54-78457429B0F2}">
      <formula1>vsphere_8u1_evc_table</formula1>
    </dataValidation>
    <dataValidation type="list" allowBlank="1" showInputMessage="1" showErrorMessage="1" sqref="L30:L32 L111 L77 L17 L66 L119 L122 L49:L50 L40 L153 K13:L13 L71 K246:L246" xr:uid="{AF68374F-C6E0-4249-91F4-B8396AEC4F33}">
      <formula1>"Selected,Unselected"</formula1>
    </dataValidation>
    <dataValidation type="list" allowBlank="1" showInputMessage="1" showErrorMessage="1" sqref="L41" xr:uid="{44E0A351-1070-D24C-851E-ECAF8C26C773}">
      <formula1>"High Availability (Three-Node),Simple (Single-Node)"</formula1>
    </dataValidation>
    <dataValidation type="list" allowBlank="1" showInputMessage="1" showErrorMessage="1" sqref="L56" xr:uid="{44CE2A2A-A7E4-F548-A7CE-D6122B9B4D36}">
      <formula1>"Extra Small,Small,Medium,Large,Extra Large"</formula1>
    </dataValidation>
    <dataValidation type="list" allowBlank="1" showInputMessage="1" showErrorMessage="1" sqref="L9" xr:uid="{B62AACD4-B053-1B4B-9149-173F865E0012}">
      <formula1>"Online,Offline"</formula1>
    </dataValidation>
    <dataValidation type="list" allowBlank="1" showInputMessage="1" showErrorMessage="1" sqref="L91" xr:uid="{6DBA85C7-2733-2644-B3B8-8906F9C45B2C}">
      <formula1>"Tiny,Small,Medium,Large,XLarge"</formula1>
    </dataValidation>
    <dataValidation type="list" allowBlank="1" showInputMessage="1" showErrorMessage="1" sqref="L92" xr:uid="{EAF64F30-94DF-994D-BE30-47D2333F084B}">
      <formula1>"Default,Large,XLarge"</formula1>
    </dataValidation>
    <dataValidation type="list" allowBlank="1" showInputMessage="1" showErrorMessage="1" sqref="L116" xr:uid="{F8D5454F-B3C9-D448-9916-429B0E26396E}">
      <formula1>"vSAN-ESA,vSAN-OSA, VMFS on Fibre Channel (FC),NFSv3"</formula1>
    </dataValidation>
    <dataValidation type="list" allowBlank="1" showInputMessage="1" showErrorMessage="1" sqref="L85" xr:uid="{EEF586C7-A662-2448-BAAE-979BBE452809}">
      <formula1>"198.18.0.0/15,240.0.0.0/15,250.0.0.0/15"</formula1>
    </dataValidation>
    <dataValidation type="list" allowBlank="1" showInputMessage="1" showErrorMessage="1" sqref="L183"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118" xr:uid="{F01FA7FB-F473-C74A-8E32-92B960C1FF61}">
      <formula1>"1,2"</formula1>
    </dataValidation>
    <dataValidation type="list" allowBlank="1" showInputMessage="1" showErrorMessage="1" sqref="L254" xr:uid="{73B7D652-569C-724D-8643-DAAD72788021}">
      <formula1>"DHCP,IP Pool"</formula1>
    </dataValidation>
    <dataValidation type="list" allowBlank="1" showInputMessage="1" showErrorMessage="1" sqref="L14" xr:uid="{D045F95D-B763-6B4C-BC16-61C32E0E91CC}">
      <formula1>"HTTP,HTTPS"</formula1>
    </dataValidation>
    <dataValidation type="list" allowBlank="1" showInputMessage="1" showErrorMessage="1" sqref="L222 L227 L232 L237 L242"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49:L250 L223:L224 L228:L229 L233:L234 L238:L239 L243:L244" xr:uid="{FA7409ED-5F61-584D-B67D-AFECE6C711E7}">
      <formula1>"Active,Standby,Unused"</formula1>
    </dataValidation>
    <dataValidation type="list" allowBlank="1" showInputMessage="1" showErrorMessage="1" sqref="L248" xr:uid="{8DBF9C77-00D5-2D4F-8B0E-D6109AAECA5E}">
      <formula1>"Route based on source MAC hash,Route based on the source of the port ID,Use explicit failover order"</formula1>
    </dataValidation>
    <dataValidation type="list" allowBlank="1" showInputMessage="1" showErrorMessage="1" sqref="L265" xr:uid="{CE34E3B0-C43E-504F-A5E1-B32029532AF3}">
      <formula1>"Deployed on one of the hosts in the management domain,Deployed outside management domain"</formula1>
    </dataValidation>
    <dataValidation type="list" allowBlank="1" showInputMessage="1" showErrorMessage="1" sqref="L247" xr:uid="{19825F38-EF3D-CE43-979A-B7C3B040FA1F}">
      <formula1>"Standard,Enhanced Datapath Standard,Enhanced Datapath Dedicated"</formula1>
    </dataValidation>
    <dataValidation type="list" allowBlank="1" showInputMessage="1" showErrorMessage="1" sqref="L190 L201 L211" xr:uid="{5A80132E-EF48-4A44-A1B7-4DF19B2E7913}">
      <formula1>"VDS Uplinks, VDS LAG"</formula1>
    </dataValidation>
    <dataValidation type="list" allowBlank="1" showInputMessage="1" showErrorMessage="1" sqref="L193 L204 L215" xr:uid="{43EC5384-31CB-7446-B239-FFD26D1D0D5D}">
      <formula1>lag_load_balancing</formula1>
    </dataValidation>
    <dataValidation type="list" allowBlank="1" showInputMessage="1" showErrorMessage="1" sqref="L194 L205 L216" xr:uid="{B4FD2D4F-AF3A-1C43-B208-723D08B76060}">
      <formula1>"Slow,Fast"</formula1>
    </dataValidation>
    <dataValidation type="list" allowBlank="1" showInputMessage="1" showErrorMessage="1" sqref="L192 L203 L214" xr:uid="{A66630F2-1A4D-2B48-81D5-9BFC0465B39B}">
      <formula1>"Active,Passive"</formula1>
    </dataValidation>
    <dataValidation type="list" allowBlank="1" showInputMessage="1" showErrorMessage="1" sqref="L103" xr:uid="{BF817B54-E717-A947-8C2D-57B6461DDA41}">
      <formula1>"Small,Medium,Large,XLarge"</formula1>
    </dataValidation>
  </dataValidations>
  <hyperlinks>
    <hyperlink ref="K10" r:id="rId1" xr:uid="{00000000-0004-0000-0300-000000000000}"/>
    <hyperlink ref="K19" r:id="rId2" xr:uid="{00000000-0004-0000-0300-000001000000}"/>
    <hyperlink ref="M25" location="'VCF &amp; VVF Planning'!J19" display="Values are set based on selections made in VCF VVF Planning Tab" xr:uid="{00000000-0004-0000-0300-000002000000}"/>
  </hyperlinks>
  <pageMargins left="0.7" right="0.7" top="0.75" bottom="0.75" header="0.3" footer="0.3"/>
  <pageSetup paperSize="9" orientation="portrait" horizontalDpi="0" verticalDpi="0"/>
  <ignoredErrors>
    <ignoredError sqref="L316:L319" unlockedFormula="1"/>
  </ignoredErrors>
  <drawing r:id="rId3"/>
  <extLst>
    <ext xmlns:x14="http://schemas.microsoft.com/office/spreadsheetml/2009/9/main" uri="{78C0D931-6437-407d-A8EE-F0AAD7539E65}">
      <x14:conditionalFormattings>
        <x14:conditionalFormatting xmlns:xm="http://schemas.microsoft.com/office/excel/2006/main">
          <x14:cfRule type="containsText" priority="371" operator="containsText" id="{8A70E33F-B8E1-464D-91D4-5C48A6AE1494}">
            <xm:f>NOT(ISERROR(SEARCH("Value Missing",J9)))</xm:f>
            <xm:f>"Value Missing"</xm:f>
            <x14:dxf>
              <font>
                <color rgb="FF0E223A"/>
              </font>
              <fill>
                <patternFill>
                  <bgColor rgb="FFFFBE29"/>
                </patternFill>
              </fill>
            </x14:dxf>
          </x14:cfRule>
          <xm:sqref>L9:L19 L116:L122 L56:L63 L65:L68 L70:L72 J306 L306 J308:J311 L308:L311 J313 L313 L37:L41 L47:L50 L30:L32 L77:L85 L103 L105:L111 J325:J328 L325:L328 L90:L98 J315:J319 L315:L319 L321:L323 L212 L24:L25 L166:L169 L200:L208 L127:L143 L226:L229 L217:L219 L246:L250 L252 L265:L269 L43:L45 J321:J323 L237:L239 L148:L151 L153:L157 L159:L162 L183 L195:L197 L221:L224 L232:L234 L242:L244 J330:J345 L330:L345</xm:sqref>
        </x14:conditionalFormatting>
        <x14:conditionalFormatting xmlns:xm="http://schemas.microsoft.com/office/excel/2006/main">
          <x14:cfRule type="containsText" priority="88" stopIfTrue="1" operator="containsText" id="{F4403742-9E03-7E4C-A9A4-9C70CC9738C9}">
            <xm:f>NOT(ISERROR(SEARCH("Value Missing",L173)))</xm:f>
            <xm:f>"Value Missing"</xm:f>
            <x14:dxf>
              <font>
                <color rgb="FF0E223A"/>
              </font>
              <fill>
                <patternFill>
                  <bgColor rgb="FFFFBE29"/>
                </patternFill>
              </fill>
            </x14:dxf>
          </x14:cfRule>
          <xm:sqref>L173:L176</xm:sqref>
        </x14:conditionalFormatting>
        <x14:conditionalFormatting xmlns:xm="http://schemas.microsoft.com/office/excel/2006/main">
          <x14:cfRule type="containsText" priority="61" operator="containsText" id="{8CD701A8-3478-8646-817F-E7C59D3F3B1D}">
            <xm:f>NOT(ISERROR(SEARCH("Value Missing",L274)))</xm:f>
            <xm:f>"Value Missing"</xm:f>
            <x14:dxf>
              <fill>
                <patternFill>
                  <bgColor rgb="FFFFBE29"/>
                </patternFill>
              </fill>
            </x14:dxf>
          </x14:cfRule>
          <xm:sqref>L274:L277 L282 L284:L289 L291:L296 L298:L303</xm:sqref>
        </x14:conditionalFormatting>
        <x14:conditionalFormatting xmlns:xm="http://schemas.microsoft.com/office/excel/2006/main">
          <x14:cfRule type="containsText" priority="46" operator="containsText" id="{74FCFFD3-109A-1948-8078-78E22CF647CE}">
            <xm:f>NOT(ISERROR(SEARCH("Value Missing",L279)))</xm:f>
            <xm:f>"Value Missing"</xm:f>
            <x14:dxf>
              <font>
                <color theme="1"/>
              </font>
              <fill>
                <patternFill>
                  <bgColor rgb="FFFFBE29"/>
                </patternFill>
              </fill>
            </x14:dxf>
          </x14:cfRule>
          <xm:sqref>L279</xm:sqref>
        </x14:conditionalFormatting>
        <x14:conditionalFormatting xmlns:xm="http://schemas.microsoft.com/office/excel/2006/main">
          <x14:cfRule type="containsText" priority="37" operator="containsText" id="{5F6B1D0A-99AC-2641-B0E9-D9EB6CE12A9A}">
            <xm:f>NOT(ISERROR(SEARCH("Value Missing",L280)))</xm:f>
            <xm:f>"Value Missing"</xm:f>
            <x14:dxf>
              <font>
                <color theme="1"/>
              </font>
              <fill>
                <patternFill>
                  <bgColor rgb="FFFFBE29"/>
                </patternFill>
              </fill>
            </x14:dxf>
          </x14:cfRule>
          <xm:sqref>L280</xm:sqref>
        </x14:conditionalFormatting>
        <x14:conditionalFormatting xmlns:xm="http://schemas.microsoft.com/office/excel/2006/main">
          <x14:cfRule type="containsText" priority="42" operator="containsText" id="{68016532-1A9A-964F-8599-78F2D189EDF4}">
            <xm:f>NOT(ISERROR(SEARCH("Value Missing",L281)))</xm:f>
            <xm:f>"Value Missing"</xm:f>
            <x14:dxf>
              <font>
                <color theme="1"/>
              </font>
              <fill>
                <patternFill>
                  <bgColor rgb="FFFFBE29"/>
                </patternFill>
              </fill>
            </x14:dxf>
          </x14:cfRule>
          <xm:sqref>L281:L282</xm:sqref>
        </x14:conditionalFormatting>
        <x14:conditionalFormatting xmlns:xm="http://schemas.microsoft.com/office/excel/2006/main">
          <x14:cfRule type="containsText" priority="53" stopIfTrue="1" operator="containsText" id="{9E10FC66-F798-1E4E-A70B-813FE9B39BA2}">
            <xm:f>NOT(ISERROR(SEARCH("Value Missing",L290)))</xm:f>
            <xm:f>"Value Missing"</xm:f>
            <x14:dxf>
              <font>
                <color rgb="FF0E223A"/>
              </font>
              <fill>
                <patternFill>
                  <bgColor rgb="FFFFBE29"/>
                </patternFill>
              </fill>
            </x14:dxf>
          </x14:cfRule>
          <xm:sqref>L290</xm:sqref>
        </x14:conditionalFormatting>
        <x14:conditionalFormatting xmlns:xm="http://schemas.microsoft.com/office/excel/2006/main">
          <x14:cfRule type="containsText" priority="57" stopIfTrue="1" operator="containsText" id="{558487B0-6B55-AB4B-A2CE-4F60D95E498D}">
            <xm:f>NOT(ISERROR(SEARCH("Value Missing",L297)))</xm:f>
            <xm:f>"Value Missing"</xm:f>
            <x14:dxf>
              <font>
                <color rgb="FF0E223A"/>
              </font>
              <fill>
                <patternFill>
                  <bgColor rgb="FFFFBE29"/>
                </patternFill>
              </fill>
            </x14:dxf>
          </x14:cfRule>
          <xm:sqref>L297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575"/>
  <sheetViews>
    <sheetView showGridLines="0" workbookViewId="0">
      <pane ySplit="8" topLeftCell="A9" activePane="bottomLeft" state="frozen"/>
      <selection pane="bottomLeft"/>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25.83203125" style="8" customWidth="1"/>
    <col min="6" max="7" width="12.1640625" style="8" bestFit="1" customWidth="1"/>
    <col min="8" max="8" width="10.83203125" style="8" customWidth="1"/>
    <col min="9" max="10" width="12.1640625" style="8" customWidth="1"/>
    <col min="11" max="11" width="43" style="8" bestFit="1" customWidth="1"/>
    <col min="12" max="12" width="12.83203125" style="8" bestFit="1" customWidth="1"/>
    <col min="13" max="20" width="10.83203125" style="8" customWidth="1"/>
    <col min="21" max="16384" width="10.83203125" style="8"/>
  </cols>
  <sheetData>
    <row r="1" spans="1:5" x14ac:dyDescent="0.2">
      <c r="A1" s="118"/>
    </row>
    <row r="2" spans="1:5" ht="54" customHeight="1" x14ac:dyDescent="0.2">
      <c r="A2" s="121"/>
      <c r="B2" s="517" t="s">
        <v>0</v>
      </c>
      <c r="C2" s="517"/>
      <c r="D2" s="517"/>
      <c r="E2" s="517"/>
    </row>
    <row r="3" spans="1:5" s="19" customFormat="1" ht="20" customHeight="1" x14ac:dyDescent="0.2">
      <c r="A3" s="42"/>
      <c r="B3" s="519" t="s">
        <v>1</v>
      </c>
      <c r="C3" s="519"/>
      <c r="D3" s="519"/>
      <c r="E3" s="519"/>
    </row>
    <row r="5" spans="1:5" ht="20" customHeight="1" x14ac:dyDescent="0.2">
      <c r="B5" s="122" t="s">
        <v>2</v>
      </c>
      <c r="C5" s="122" t="s">
        <v>3</v>
      </c>
      <c r="D5" s="122" t="s">
        <v>4</v>
      </c>
      <c r="E5" s="122" t="s">
        <v>5</v>
      </c>
    </row>
    <row r="6" spans="1:5" s="19" customFormat="1" ht="10" customHeight="1" x14ac:dyDescent="0.2">
      <c r="B6" s="123"/>
      <c r="C6" s="123"/>
      <c r="D6" s="123"/>
      <c r="E6" s="124"/>
    </row>
    <row r="7" spans="1:5" ht="20" customHeight="1" x14ac:dyDescent="0.2">
      <c r="B7" s="122" t="s">
        <v>6</v>
      </c>
      <c r="C7" s="122" t="s">
        <v>7</v>
      </c>
      <c r="D7" s="122"/>
      <c r="E7" s="122"/>
    </row>
    <row r="10" spans="1:5" ht="34" customHeight="1" x14ac:dyDescent="0.2">
      <c r="B10" s="340" t="s">
        <v>8</v>
      </c>
      <c r="C10" s="341"/>
      <c r="D10" s="341"/>
      <c r="E10" s="342"/>
    </row>
    <row r="11" spans="1:5" ht="20" customHeight="1" x14ac:dyDescent="0.2">
      <c r="B11" s="346" t="s">
        <v>9</v>
      </c>
      <c r="C11" s="346" t="s">
        <v>10</v>
      </c>
      <c r="D11" s="346" t="s">
        <v>11</v>
      </c>
      <c r="E11" s="346" t="s">
        <v>12</v>
      </c>
    </row>
    <row r="12" spans="1:5" ht="20" customHeight="1" x14ac:dyDescent="0.2">
      <c r="B12" s="355" t="s">
        <v>13</v>
      </c>
      <c r="C12" s="362" t="s">
        <v>3</v>
      </c>
      <c r="D12" s="112" t="str">
        <f>IF(mgmt_domain_deployment_type_chosen="VMware vSphere Foundation","Excluded",IF(mgmt_signed_certs_chosen="Exclude","Excluded","Included"))</f>
        <v>Excluded</v>
      </c>
      <c r="E12" s="112"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Cause: Not Selected. Signed certificates will not be deployed</v>
      </c>
    </row>
    <row r="13" spans="1:5" ht="20" customHeight="1" x14ac:dyDescent="0.2">
      <c r="B13" s="355" t="s">
        <v>13</v>
      </c>
      <c r="C13" s="362" t="s">
        <v>14</v>
      </c>
      <c r="D13" s="112" t="str">
        <f>IF(mgmt_domain_deployment_type_chosen="VMware vSphere Foundation","Excluded",IF(mgmt_vns_chosen="Exclude","Excluded","Included"))</f>
        <v>Excluded</v>
      </c>
      <c r="E13" s="112" t="str">
        <f>IF(mgmt_domain_deployment_type_chosen="VMware vSphere Foundation","Cannot be performed on a VMware vSphere Foundation deployment",IF(mgmt_vns_chosen="Exclude","Cause: Not Selected. NSX Routing for Management Domain will not be deployed",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Cause: Not Selected. NSX Routing for Management Domain will not be deployed</v>
      </c>
    </row>
    <row r="14" spans="1:5" ht="20" customHeight="1" x14ac:dyDescent="0.2">
      <c r="B14" s="125" t="s">
        <v>13</v>
      </c>
      <c r="C14" s="362" t="s">
        <v>5</v>
      </c>
      <c r="D14" s="112" t="str">
        <f>IF(AND(vcf_granular_option_chosen&lt;&gt;"Deploy a new VCF fleet",vcf_granular_option_chosen&lt;&gt;"Deploy a VCF Instance in an existing VCF fleet",vcf_granular_option_chosen&lt;&gt;"Create Cluster"),"Excluded",IF(mgmt_avi_loadbalancer_chosen="Exclude","Excluded","Included"))</f>
        <v>Excluded</v>
      </c>
      <c r="E14" s="112" t="str">
        <f>IF(vcf_granular_option_chosen="None Chosen","No Deployment Type Chosen",IF(mgmt_domain_deployment_type_chosen="VMware vSphere Foundation","Cannot be performed on a VMware vSphere Foundation deployment",
IF(mgmt_avi_loadbalancer_chosen="Exclude","Cause: Not Selected. AVI Loadbalancer will not be configured","AVI Loadbalancer will be configured")))</f>
        <v>Cause: Not Selected. AVI Loadbalancer will not be configured</v>
      </c>
    </row>
    <row r="15" spans="1:5" ht="20" customHeight="1" x14ac:dyDescent="0.2">
      <c r="B15" s="355" t="s">
        <v>13</v>
      </c>
      <c r="C15" s="362" t="s">
        <v>6</v>
      </c>
      <c r="D15" s="112" t="str">
        <f>IF(AND(vcf_granular_option_chosen&lt;&gt;"Deploy a new VCF fleet",vcf_granular_option_chosen&lt;&gt;"Deploy a VCF Instance in an existing VCF fleet",vcf_granular_option_chosen&lt;&gt;"Create Cluster"),"Excluded",
IF(mgmt_stretched_cluster_chosen="Exclude","Excluded",
IF(AND(mgmt_stretched_cluster_chosen="Include",AND(mgmt_principal_storage_chosen&lt;&gt;"vSAN-ESA",mgmt_principal_storage_chosen&lt;&gt;"vSAN-OSA")),"Excluded","Included")))</f>
        <v>Excluded</v>
      </c>
      <c r="E15" s="112" t="str">
        <f>IF(vcf_granular_option_chosen="None Chosen","No Deployment Type Chosen",
IF(mgmt_domain_deployment_type_chosen="VMware vSphere Foundation","Cannot be performed on a VMware vSphere Foundation deployment",
IF(vcf_version_chosen="No Version Selected","Cause: VCF Deployment version is not Selected",
IF(mgmt_stretched_cluster_chosen="Exclude","Cause: Not Selected. Stretched Cluster will not be deployed",
IF(AND(mgmt_stretched_cluster_chosen="Include",AND(mgmt_principal_storage_chosen&lt;&gt;"vSAN-ESA",mgmt_principal_storage_chosen&lt;&gt;"vSAN-OSA")),"Cause: Stretched Cluster is only supported with vSAN as Principal Storage",
IF(mgmt_vns_chosen="VLAN-Backed","Note: VLAN-backed segments require L2 stretched VM Networks. Consider Overlay-backed instead.","Stretched Cluster will be deployed"))))))</f>
        <v>Cause: Not Selected. Stretched Cluster will not be deployed</v>
      </c>
    </row>
    <row r="16" spans="1:5" ht="20" customHeight="1" x14ac:dyDescent="0.2">
      <c r="B16" s="355" t="s">
        <v>13</v>
      </c>
      <c r="C16" s="362" t="s">
        <v>7</v>
      </c>
      <c r="D16" s="112"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Excluded</v>
      </c>
      <c r="E16" s="112"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Cause: Not Selected. NSX Federation for Management Domain will not be deployed</v>
      </c>
    </row>
    <row r="17" spans="2:5" ht="16" customHeight="1" x14ac:dyDescent="0.2"/>
    <row r="18" spans="2:5" ht="34" customHeight="1" x14ac:dyDescent="0.2">
      <c r="B18" s="508" t="s">
        <v>15</v>
      </c>
      <c r="C18" s="509"/>
      <c r="D18" s="509"/>
      <c r="E18" s="510"/>
    </row>
    <row r="19" spans="2:5" ht="20" customHeight="1" x14ac:dyDescent="0.2">
      <c r="B19" s="505" t="s">
        <v>16</v>
      </c>
      <c r="C19" s="506"/>
      <c r="D19" s="506"/>
      <c r="E19" s="507"/>
    </row>
    <row r="20" spans="2:5" ht="20" customHeight="1" x14ac:dyDescent="0.2">
      <c r="B20" s="43" t="s">
        <v>17</v>
      </c>
      <c r="C20" s="346" t="s">
        <v>18</v>
      </c>
      <c r="D20" s="346" t="s">
        <v>19</v>
      </c>
      <c r="E20" s="346" t="s">
        <v>20</v>
      </c>
    </row>
    <row r="21" spans="2:5" ht="20" customHeight="1" x14ac:dyDescent="0.2">
      <c r="B21" s="4" t="s">
        <v>21</v>
      </c>
      <c r="C21" s="80" t="s">
        <v>22</v>
      </c>
      <c r="D21" s="347"/>
      <c r="E21" s="4" t="s">
        <v>23</v>
      </c>
    </row>
    <row r="22" spans="2:5" ht="20" customHeight="1" x14ac:dyDescent="0.2">
      <c r="B22" s="4" t="s">
        <v>24</v>
      </c>
      <c r="C22" s="362">
        <v>22</v>
      </c>
      <c r="D22" s="347"/>
      <c r="E22" s="4"/>
    </row>
    <row r="23" spans="2:5" ht="20" customHeight="1" x14ac:dyDescent="0.2">
      <c r="B23" s="4" t="s">
        <v>25</v>
      </c>
      <c r="C23" s="362" t="s">
        <v>26</v>
      </c>
      <c r="D23" s="347"/>
      <c r="E23" s="4"/>
    </row>
    <row r="24" spans="2:5" ht="20" customHeight="1" x14ac:dyDescent="0.2">
      <c r="B24" s="4" t="s">
        <v>27</v>
      </c>
      <c r="C24" s="362" t="s">
        <v>28</v>
      </c>
      <c r="D24" s="347"/>
      <c r="E24" s="4"/>
    </row>
    <row r="25" spans="2:5" ht="20" customHeight="1" x14ac:dyDescent="0.2">
      <c r="B25" s="4" t="s">
        <v>29</v>
      </c>
      <c r="C25" s="362" t="s">
        <v>30</v>
      </c>
      <c r="D25" s="347"/>
      <c r="E25" s="4"/>
    </row>
    <row r="26" spans="2:5" ht="20" customHeight="1" x14ac:dyDescent="0.2">
      <c r="B26" s="4" t="s">
        <v>31</v>
      </c>
      <c r="C26" s="362" t="s">
        <v>32</v>
      </c>
      <c r="D26" s="347"/>
      <c r="E26" s="4"/>
    </row>
    <row r="27" spans="2:5" ht="20" customHeight="1" x14ac:dyDescent="0.2">
      <c r="B27" s="4" t="s">
        <v>33</v>
      </c>
      <c r="C27" s="362" t="s">
        <v>34</v>
      </c>
      <c r="D27" s="347"/>
      <c r="E27" s="4"/>
    </row>
    <row r="28" spans="2:5" ht="20" customHeight="1" x14ac:dyDescent="0.2">
      <c r="B28" s="4" t="s">
        <v>35</v>
      </c>
      <c r="C28" s="362" t="s">
        <v>30</v>
      </c>
      <c r="D28" s="347"/>
      <c r="E28" s="4" t="s">
        <v>36</v>
      </c>
    </row>
    <row r="29" spans="2:5" ht="16" customHeight="1" x14ac:dyDescent="0.2"/>
    <row r="30" spans="2:5" ht="34" customHeight="1" x14ac:dyDescent="0.2">
      <c r="B30" s="520" t="s">
        <v>3</v>
      </c>
      <c r="C30" s="521"/>
      <c r="D30" s="521"/>
      <c r="E30" s="521"/>
    </row>
    <row r="31" spans="2:5" ht="20" customHeight="1" x14ac:dyDescent="0.2">
      <c r="B31" s="465" t="s">
        <v>37</v>
      </c>
      <c r="C31" s="466"/>
      <c r="D31" s="466"/>
      <c r="E31" s="467"/>
    </row>
    <row r="32" spans="2:5" ht="20" customHeight="1" x14ac:dyDescent="0.2">
      <c r="B32" s="43" t="s">
        <v>17</v>
      </c>
      <c r="C32" s="346" t="s">
        <v>18</v>
      </c>
      <c r="D32" s="346" t="s">
        <v>19</v>
      </c>
      <c r="E32" s="346" t="s">
        <v>20</v>
      </c>
    </row>
    <row r="33" spans="2:5" ht="20" customHeight="1" x14ac:dyDescent="0.2">
      <c r="B33" s="4" t="s">
        <v>38</v>
      </c>
      <c r="C33" s="80" t="s">
        <v>39</v>
      </c>
      <c r="D33" s="347"/>
      <c r="E33" s="337" t="str">
        <f>IF(mgmt_signed_certs_result="Excluded","Inputs are masked out and only required if Apply Signed Certifcates is chosen from the Post-Deployment Option","")</f>
        <v>Inputs are masked out and only required if Apply Signed Certifcates is chosen from the Post-Deployment Option</v>
      </c>
    </row>
    <row r="34" spans="2:5" ht="20" customHeight="1" x14ac:dyDescent="0.2">
      <c r="B34" s="4" t="s">
        <v>40</v>
      </c>
      <c r="C34" s="362" t="s">
        <v>41</v>
      </c>
      <c r="D34" s="347"/>
      <c r="E34" s="4"/>
    </row>
    <row r="35" spans="2:5" ht="20" customHeight="1" x14ac:dyDescent="0.2">
      <c r="B35" s="4" t="s">
        <v>29</v>
      </c>
      <c r="C35" s="78" t="s">
        <v>30</v>
      </c>
      <c r="D35" s="347"/>
      <c r="E35" s="4"/>
    </row>
    <row r="36" spans="2:5" ht="20" customHeight="1" x14ac:dyDescent="0.2">
      <c r="B36" s="465" t="s">
        <v>42</v>
      </c>
      <c r="C36" s="466"/>
      <c r="D36" s="466"/>
      <c r="E36" s="467"/>
    </row>
    <row r="37" spans="2:5" ht="20" customHeight="1" x14ac:dyDescent="0.2">
      <c r="B37" s="4" t="s">
        <v>38</v>
      </c>
      <c r="C37" s="362" t="str">
        <f>sample_certificate_authority_fqdn</f>
        <v>rpl-ad01.rainpole.io</v>
      </c>
      <c r="D37" s="343" t="str">
        <f>certificate_authority_fqdn</f>
        <v>Value Missing</v>
      </c>
      <c r="E37" s="337" t="str">
        <f>IF(mgmt_signed_certs_result="Excluded","Inputs are masked out and only required if Apply Signed Certifcates is chosen from the Post-Deployment Option","")</f>
        <v>Inputs are masked out and only required if Apply Signed Certifcates is chosen from the Post-Deployment Option</v>
      </c>
    </row>
    <row r="38" spans="2:5" ht="20" customHeight="1" x14ac:dyDescent="0.2">
      <c r="B38" s="4" t="s">
        <v>40</v>
      </c>
      <c r="C38" s="362" t="str">
        <f>sample_ca_administrator_username</f>
        <v>Administrator</v>
      </c>
      <c r="D38" s="343" t="str">
        <f>ca_administrator_username</f>
        <v>Value Missing</v>
      </c>
      <c r="E38" s="4"/>
    </row>
    <row r="39" spans="2:5" ht="20" customHeight="1" x14ac:dyDescent="0.2">
      <c r="B39" s="4" t="s">
        <v>29</v>
      </c>
      <c r="C39" s="362" t="str">
        <f>sample_ca_administrator_password</f>
        <v>VMw@re1!</v>
      </c>
      <c r="D39" s="343" t="str">
        <f>ca_administrator_password</f>
        <v>Value Missing</v>
      </c>
      <c r="E39" s="4"/>
    </row>
    <row r="40" spans="2:5" ht="20" customHeight="1" x14ac:dyDescent="0.2">
      <c r="B40" s="4" t="s">
        <v>43</v>
      </c>
      <c r="C40" s="362" t="str">
        <f>sample_certificate_authority_fqdn</f>
        <v>rpl-ad01.rainpole.io</v>
      </c>
      <c r="D40" s="343" t="str">
        <f>certificate_authority_fqdn</f>
        <v>Value Missing</v>
      </c>
      <c r="E40" s="4"/>
    </row>
    <row r="41" spans="2:5" ht="20" customHeight="1" x14ac:dyDescent="0.2">
      <c r="B41" s="465" t="s">
        <v>44</v>
      </c>
      <c r="C41" s="466"/>
      <c r="D41" s="466"/>
      <c r="E41" s="467"/>
    </row>
    <row r="42" spans="2:5" ht="20" customHeight="1" x14ac:dyDescent="0.2">
      <c r="B42" s="4" t="s">
        <v>45</v>
      </c>
      <c r="C42" s="362" t="str">
        <f>CONCATENATE("https://",sample_certificate_authority_fqdn)</f>
        <v>https://rpl-ad01.rainpole.io</v>
      </c>
      <c r="D42" s="343" t="str">
        <f>certificate_authority_fqdn</f>
        <v>Value Missing</v>
      </c>
      <c r="E42" s="337" t="str">
        <f>IF(mgmt_signed_certs_result="Excluded","Inputs are masked out and only required if Apply Signed Certifcates is chosen from the Post-Deployment Option","")</f>
        <v>Inputs are masked out and only required if Apply Signed Certifcates is chosen from the Post-Deployment Option</v>
      </c>
    </row>
    <row r="43" spans="2:5" ht="20" customHeight="1" x14ac:dyDescent="0.2">
      <c r="B43" s="4" t="s">
        <v>46</v>
      </c>
      <c r="C43" s="362" t="str">
        <f>sample_ca_administrator_username</f>
        <v>Administrator</v>
      </c>
      <c r="D43" s="343" t="str">
        <f>ca_administrator_username</f>
        <v>Value Missing</v>
      </c>
      <c r="E43" s="4"/>
    </row>
    <row r="44" spans="2:5" ht="20" customHeight="1" x14ac:dyDescent="0.2">
      <c r="B44" s="4" t="s">
        <v>29</v>
      </c>
      <c r="C44" s="362" t="str">
        <f>sample_ca_administrator_password</f>
        <v>VMw@re1!</v>
      </c>
      <c r="D44" s="343" t="str">
        <f>ca_administrator_password</f>
        <v>Value Missing</v>
      </c>
      <c r="E44" s="4"/>
    </row>
    <row r="45" spans="2:5" ht="20" customHeight="1" x14ac:dyDescent="0.2">
      <c r="B45" s="4" t="s">
        <v>47</v>
      </c>
      <c r="C45" s="85" t="s">
        <v>48</v>
      </c>
      <c r="D45" s="347"/>
      <c r="E45" s="4"/>
    </row>
    <row r="46" spans="2:5" ht="20" customHeight="1" x14ac:dyDescent="0.2">
      <c r="B46" s="465" t="s">
        <v>49</v>
      </c>
      <c r="C46" s="466"/>
      <c r="D46" s="466"/>
      <c r="E46" s="467"/>
    </row>
    <row r="47" spans="2:5" ht="20" customHeight="1" x14ac:dyDescent="0.2">
      <c r="B47" s="4" t="s">
        <v>38</v>
      </c>
      <c r="C47" s="362" t="str">
        <f>sample_certificate_authority_fqdn</f>
        <v>rpl-ad01.rainpole.io</v>
      </c>
      <c r="D47" s="343" t="str">
        <f>certificate_authority_fqdn</f>
        <v>Value Missing</v>
      </c>
      <c r="E47" s="337" t="str">
        <f>IF(mgmt_signed_certs_result="Excluded","Inputs are masked out and only required if Apply Signed Certifcates is chosen from the Post-Deployment Option","")</f>
        <v>Inputs are masked out and only required if Apply Signed Certifcates is chosen from the Post-Deployment Option</v>
      </c>
    </row>
    <row r="48" spans="2:5" ht="20" customHeight="1" x14ac:dyDescent="0.2">
      <c r="B48" s="4" t="s">
        <v>40</v>
      </c>
      <c r="C48" s="362" t="str">
        <f>sample_ca_administrator_username</f>
        <v>Administrator</v>
      </c>
      <c r="D48" s="343" t="str">
        <f>ca_administrator_username</f>
        <v>Value Missing</v>
      </c>
      <c r="E48" s="4"/>
    </row>
    <row r="49" spans="2:5" ht="20" customHeight="1" x14ac:dyDescent="0.2">
      <c r="B49" s="4" t="s">
        <v>29</v>
      </c>
      <c r="C49" s="362" t="str">
        <f>sample_ca_administrator_password</f>
        <v>VMw@re1!</v>
      </c>
      <c r="D49" s="343" t="str">
        <f>ca_administrator_password</f>
        <v>Value Missing</v>
      </c>
      <c r="E49" s="4"/>
    </row>
    <row r="50" spans="2:5" ht="20" customHeight="1" x14ac:dyDescent="0.2">
      <c r="B50" s="4" t="s">
        <v>50</v>
      </c>
      <c r="C50" s="362" t="s">
        <v>51</v>
      </c>
      <c r="D50" s="347"/>
      <c r="E50" s="4"/>
    </row>
    <row r="51" spans="2:5" ht="20" customHeight="1" x14ac:dyDescent="0.2">
      <c r="B51" s="465" t="s">
        <v>52</v>
      </c>
      <c r="C51" s="466"/>
      <c r="D51" s="466"/>
      <c r="E51" s="467"/>
    </row>
    <row r="52" spans="2:5" ht="20" customHeight="1" x14ac:dyDescent="0.2">
      <c r="B52" s="4" t="s">
        <v>53</v>
      </c>
      <c r="C52" s="362" t="s">
        <v>54</v>
      </c>
      <c r="D52" s="337" t="s">
        <v>54</v>
      </c>
      <c r="E52" s="337" t="str">
        <f>IF(mgmt_signed_certs_result="Excluded","Inputs are masked out and only required if Apply Signed Certifcates is chosen from the Post-Deployment Option","")</f>
        <v>Inputs are masked out and only required if Apply Signed Certifcates is chosen from the Post-Deployment Option</v>
      </c>
    </row>
    <row r="53" spans="2:5" ht="20" customHeight="1" x14ac:dyDescent="0.2">
      <c r="B53" s="4" t="s">
        <v>45</v>
      </c>
      <c r="C53" s="362" t="str">
        <f>CONCATENATE("https://",certificate_authority_fqdn,"/certsrv")</f>
        <v>https://Value Missing/certsrv</v>
      </c>
      <c r="D53" s="337" t="str">
        <f>CONCATENATE("https://",certificate_authority_fqdn,"/certsrv")</f>
        <v>https://Value Missing/certsrv</v>
      </c>
      <c r="E53" s="4"/>
    </row>
    <row r="54" spans="2:5" ht="20" customHeight="1" x14ac:dyDescent="0.2">
      <c r="B54" s="4" t="s">
        <v>27</v>
      </c>
      <c r="C54" s="362" t="str">
        <f>sample_svc_vcf_ca_vcf_user</f>
        <v>svc-vcf-ca</v>
      </c>
      <c r="D54" s="337" t="str">
        <f>user_svc_vcf_ca_vcf</f>
        <v>Value Missing</v>
      </c>
      <c r="E54" s="4"/>
    </row>
    <row r="55" spans="2:5" ht="20" customHeight="1" x14ac:dyDescent="0.2">
      <c r="B55" s="4" t="s">
        <v>29</v>
      </c>
      <c r="C55" s="362" t="s">
        <v>30</v>
      </c>
      <c r="D55" s="347"/>
      <c r="E55" s="4"/>
    </row>
    <row r="56" spans="2:5" ht="20" customHeight="1" x14ac:dyDescent="0.2">
      <c r="B56" s="4" t="s">
        <v>47</v>
      </c>
      <c r="C56" s="362" t="str">
        <f>sample_ca_template_name</f>
        <v>VMware</v>
      </c>
      <c r="D56" s="343" t="str">
        <f>ca_template_name</f>
        <v>Value Missing</v>
      </c>
      <c r="E56" s="4"/>
    </row>
    <row r="57" spans="2:5" ht="20" customHeight="1" x14ac:dyDescent="0.2">
      <c r="B57" s="514" t="s">
        <v>55</v>
      </c>
      <c r="C57" s="515"/>
      <c r="D57" s="515"/>
      <c r="E57" s="516"/>
    </row>
    <row r="58" spans="2:5" ht="20" customHeight="1" x14ac:dyDescent="0.2">
      <c r="B58" s="4" t="s">
        <v>56</v>
      </c>
      <c r="C58" s="85" t="s">
        <v>57</v>
      </c>
      <c r="D58" s="347"/>
      <c r="E58" s="337" t="str">
        <f>IF(mgmt_signed_certs_result="Excluded","Inputs are masked out and only required if Apply Signed Certifcates is chosen from the Post-Deployment Option","")</f>
        <v>Inputs are masked out and only required if Apply Signed Certifcates is chosen from the Post-Deployment Option</v>
      </c>
    </row>
    <row r="59" spans="2:5" ht="20" customHeight="1" x14ac:dyDescent="0.2">
      <c r="B59" s="4" t="s">
        <v>58</v>
      </c>
      <c r="C59" s="85" t="s">
        <v>59</v>
      </c>
      <c r="D59" s="347"/>
      <c r="E59" s="4"/>
    </row>
    <row r="60" spans="2:5" ht="20" customHeight="1" x14ac:dyDescent="0.2">
      <c r="B60" s="4" t="s">
        <v>60</v>
      </c>
      <c r="C60" s="85" t="s">
        <v>61</v>
      </c>
      <c r="D60" s="347"/>
      <c r="E60" s="4"/>
    </row>
    <row r="61" spans="2:5" ht="20" customHeight="1" x14ac:dyDescent="0.2">
      <c r="B61" s="4" t="s">
        <v>62</v>
      </c>
      <c r="C61" s="85" t="s">
        <v>63</v>
      </c>
      <c r="D61" s="347"/>
      <c r="E61" s="4"/>
    </row>
    <row r="62" spans="2:5" ht="20" customHeight="1" x14ac:dyDescent="0.2">
      <c r="B62" s="4" t="s">
        <v>64</v>
      </c>
      <c r="C62" s="85" t="s">
        <v>65</v>
      </c>
      <c r="D62" s="347"/>
      <c r="E62" s="4"/>
    </row>
    <row r="63" spans="2:5" ht="20" customHeight="1" x14ac:dyDescent="0.2">
      <c r="B63" s="4" t="s">
        <v>66</v>
      </c>
      <c r="C63" s="85" t="s">
        <v>67</v>
      </c>
      <c r="D63" s="347"/>
      <c r="E63" s="4"/>
    </row>
    <row r="64" spans="2:5" ht="20" customHeight="1" x14ac:dyDescent="0.2">
      <c r="B64" s="4" t="s">
        <v>68</v>
      </c>
      <c r="C64" s="85" t="s">
        <v>69</v>
      </c>
      <c r="D64" s="83"/>
      <c r="E64" s="4"/>
    </row>
    <row r="65" spans="2:5" ht="20" customHeight="1" x14ac:dyDescent="0.2">
      <c r="B65" s="4" t="s">
        <v>70</v>
      </c>
      <c r="C65" s="85">
        <v>4096</v>
      </c>
      <c r="D65" s="347"/>
      <c r="E65" s="4"/>
    </row>
    <row r="66" spans="2:5" ht="20" customHeight="1" x14ac:dyDescent="0.2">
      <c r="B66" s="465" t="s">
        <v>71</v>
      </c>
      <c r="C66" s="466"/>
      <c r="D66" s="466"/>
      <c r="E66" s="467"/>
    </row>
    <row r="67" spans="2:5" ht="20" customHeight="1" x14ac:dyDescent="0.2">
      <c r="B67" s="4" t="s">
        <v>53</v>
      </c>
      <c r="C67" s="80" t="s">
        <v>72</v>
      </c>
      <c r="D67" s="347"/>
      <c r="E67" s="337" t="str">
        <f>IF(mgmt_signed_certs_result="Excluded","Inputs are masked out and only required if Apply Signed Certifcates is chosen from the Post-Deployment Option","")</f>
        <v>Inputs are masked out and only required if Apply Signed Certifcates is chosen from the Post-Deployment Option</v>
      </c>
    </row>
    <row r="68" spans="2:5" ht="20" customHeight="1" x14ac:dyDescent="0.2">
      <c r="B68" s="4" t="s">
        <v>73</v>
      </c>
      <c r="C68" s="362" t="str">
        <f>sample_sddc_mgr_fqdn</f>
        <v>sfo-vcf01.sfo.rainpole.io</v>
      </c>
      <c r="D68" s="94"/>
      <c r="E68" s="4"/>
    </row>
    <row r="69" spans="2:5" ht="20" customHeight="1" x14ac:dyDescent="0.2">
      <c r="B69" s="4" t="s">
        <v>62</v>
      </c>
      <c r="C69" s="362" t="str">
        <f>sample_ca_country</f>
        <v>US</v>
      </c>
      <c r="D69" s="94"/>
      <c r="E69" s="4"/>
    </row>
    <row r="70" spans="2:5" ht="20" customHeight="1" x14ac:dyDescent="0.2">
      <c r="B70" s="4" t="s">
        <v>74</v>
      </c>
      <c r="C70" s="362" t="str">
        <f>sample_ca_locality</f>
        <v>San Francisco</v>
      </c>
      <c r="D70" s="94"/>
      <c r="E70" s="4"/>
    </row>
    <row r="71" spans="2:5" ht="20" customHeight="1" x14ac:dyDescent="0.2">
      <c r="B71" s="4" t="s">
        <v>75</v>
      </c>
      <c r="C71" s="362" t="str">
        <f>sample_ca_organization_unit</f>
        <v>Rainpole</v>
      </c>
      <c r="D71" s="94"/>
      <c r="E71" s="4"/>
    </row>
    <row r="72" spans="2:5" ht="20" customHeight="1" x14ac:dyDescent="0.2">
      <c r="B72" s="4" t="s">
        <v>76</v>
      </c>
      <c r="C72" s="362" t="str">
        <f>sample_ca_organization</f>
        <v>IT</v>
      </c>
      <c r="D72" s="94"/>
      <c r="E72" s="4"/>
    </row>
    <row r="73" spans="2:5" ht="20" customHeight="1" x14ac:dyDescent="0.2">
      <c r="B73" s="4" t="s">
        <v>64</v>
      </c>
      <c r="C73" s="362" t="str">
        <f>sample_ca_state</f>
        <v>CA</v>
      </c>
      <c r="D73" s="94"/>
      <c r="E73" s="4"/>
    </row>
    <row r="74" spans="2:5" ht="20" customHeight="1" x14ac:dyDescent="0.2">
      <c r="B74" s="465" t="s">
        <v>77</v>
      </c>
      <c r="C74" s="466"/>
      <c r="D74" s="466"/>
      <c r="E74" s="467"/>
    </row>
    <row r="75" spans="2:5" ht="20" customHeight="1" x14ac:dyDescent="0.2">
      <c r="B75" s="4" t="s">
        <v>56</v>
      </c>
      <c r="C75" s="362" t="str">
        <f>sample_ca_algorithm</f>
        <v>RSA</v>
      </c>
      <c r="D75" s="94"/>
      <c r="E75" s="337" t="str">
        <f>IF(mgmt_signed_certs_result="Excluded","Inputs are masked out and only required if Apply Signed Certifcates is chosen from the Post-Deployment Option","")</f>
        <v>Inputs are masked out and only required if Apply Signed Certifcates is chosen from the Post-Deployment Option</v>
      </c>
    </row>
    <row r="76" spans="2:5" ht="20" customHeight="1" x14ac:dyDescent="0.2">
      <c r="B76" s="4" t="s">
        <v>70</v>
      </c>
      <c r="C76" s="362">
        <f>sample_ca_key_size</f>
        <v>4096</v>
      </c>
      <c r="D76" s="94"/>
      <c r="E76" s="4"/>
    </row>
    <row r="77" spans="2:5" ht="20" customHeight="1" x14ac:dyDescent="0.2">
      <c r="B77" s="4" t="s">
        <v>68</v>
      </c>
      <c r="C77" s="362" t="str">
        <f>sample_ca_email_address</f>
        <v>administrator@rainpole.io</v>
      </c>
      <c r="D77" s="94"/>
      <c r="E77" s="4"/>
    </row>
    <row r="78" spans="2:5" ht="20" customHeight="1" x14ac:dyDescent="0.2">
      <c r="B78" s="4" t="s">
        <v>60</v>
      </c>
      <c r="C78" s="362" t="str">
        <f>sample_ca_organization</f>
        <v>IT</v>
      </c>
      <c r="D78" s="94"/>
      <c r="E78" s="4"/>
    </row>
    <row r="79" spans="2:5" ht="20" customHeight="1" x14ac:dyDescent="0.2">
      <c r="B79" s="4" t="s">
        <v>75</v>
      </c>
      <c r="C79" s="362" t="str">
        <f>sample_ca_organization_unit</f>
        <v>Rainpole</v>
      </c>
      <c r="D79" s="94"/>
      <c r="E79" s="4"/>
    </row>
    <row r="80" spans="2:5" ht="20" customHeight="1" x14ac:dyDescent="0.2">
      <c r="B80" s="4" t="s">
        <v>66</v>
      </c>
      <c r="C80" s="362" t="str">
        <f>sample_ca_locality</f>
        <v>San Francisco</v>
      </c>
      <c r="D80" s="94"/>
      <c r="E80" s="4"/>
    </row>
    <row r="81" spans="2:5" ht="20" customHeight="1" x14ac:dyDescent="0.2">
      <c r="B81" s="4" t="s">
        <v>64</v>
      </c>
      <c r="C81" s="362" t="str">
        <f>sample_ca_state</f>
        <v>CA</v>
      </c>
      <c r="D81" s="94"/>
      <c r="E81" s="4"/>
    </row>
    <row r="82" spans="2:5" ht="20" customHeight="1" x14ac:dyDescent="0.2">
      <c r="B82" s="4" t="s">
        <v>62</v>
      </c>
      <c r="C82" s="362" t="str">
        <f>sample_ca_country</f>
        <v>US</v>
      </c>
      <c r="D82" s="94"/>
      <c r="E82" s="4"/>
    </row>
    <row r="83" spans="2:5" ht="20" customHeight="1" x14ac:dyDescent="0.2">
      <c r="B83" s="4" t="s">
        <v>78</v>
      </c>
      <c r="C83" s="362" t="s">
        <v>79</v>
      </c>
      <c r="D83" s="337"/>
      <c r="E83" s="4"/>
    </row>
    <row r="84" spans="2:5" ht="20" customHeight="1" x14ac:dyDescent="0.2">
      <c r="B84" s="4" t="s">
        <v>29</v>
      </c>
      <c r="C84" s="362" t="str">
        <f>sample_sddc_mgr_vcf_password</f>
        <v>VMw@re1!VMw@re1!</v>
      </c>
      <c r="D84" s="94"/>
      <c r="E84" s="4"/>
    </row>
    <row r="85" spans="2:5" ht="16" customHeight="1" x14ac:dyDescent="0.2">
      <c r="B85" s="6"/>
    </row>
    <row r="86" spans="2:5" ht="34" customHeight="1" x14ac:dyDescent="0.2">
      <c r="B86" s="508" t="s">
        <v>80</v>
      </c>
      <c r="C86" s="509"/>
      <c r="D86" s="509"/>
      <c r="E86" s="510"/>
    </row>
    <row r="87" spans="2:5" ht="20" customHeight="1" x14ac:dyDescent="0.2">
      <c r="B87" s="465" t="s">
        <v>81</v>
      </c>
      <c r="C87" s="466"/>
      <c r="D87" s="466"/>
      <c r="E87" s="467"/>
    </row>
    <row r="88" spans="2:5" ht="20" customHeight="1" x14ac:dyDescent="0.2">
      <c r="B88" s="43" t="s">
        <v>17</v>
      </c>
      <c r="C88" s="346" t="s">
        <v>18</v>
      </c>
      <c r="D88" s="346" t="s">
        <v>19</v>
      </c>
      <c r="E88" s="346" t="s">
        <v>20</v>
      </c>
    </row>
    <row r="89" spans="2:5" ht="20" customHeight="1" x14ac:dyDescent="0.2">
      <c r="B89" s="511" t="s">
        <v>82</v>
      </c>
      <c r="C89" s="512"/>
      <c r="D89" s="512"/>
      <c r="E89" s="513"/>
    </row>
    <row r="90" spans="2:5" ht="20" customHeight="1" x14ac:dyDescent="0.2">
      <c r="B90" s="4" t="s">
        <v>82</v>
      </c>
      <c r="C90" s="362" t="s">
        <v>83</v>
      </c>
      <c r="D90" s="337" t="str">
        <f>mgmt_vns_chosen</f>
        <v>Exclude</v>
      </c>
      <c r="E90" s="337" t="str">
        <f>IF(mgmt_vns_result="Excluded","Inputs are masked out and only required if NSX Network Connectivity for MGMT Domain is chosen from the Post-Deployment Option","")</f>
        <v>Inputs are masked out and only required if NSX Network Connectivity for MGMT Domain is chosen from the Post-Deployment Option</v>
      </c>
    </row>
    <row r="91" spans="2:5" ht="20" customHeight="1" x14ac:dyDescent="0.2">
      <c r="B91" s="511" t="s">
        <v>84</v>
      </c>
      <c r="C91" s="512"/>
      <c r="D91" s="512"/>
      <c r="E91" s="513"/>
    </row>
    <row r="92" spans="2:5" ht="20" customHeight="1" x14ac:dyDescent="0.2">
      <c r="B92" s="351" t="s">
        <v>85</v>
      </c>
      <c r="C92" s="362">
        <v>1198</v>
      </c>
      <c r="D92" s="347"/>
      <c r="E92" s="337" t="str">
        <f>IF(mgmt_vns_chosen="Centralized Connectivity","Inputs are masked out and only required if Distributed Connectivity Gateway Type is chosen from the Post-Deployment Option","Needs to be a routable network is customers envoirnemt" )</f>
        <v>Needs to be a routable network is customers envoirnemt</v>
      </c>
    </row>
    <row r="93" spans="2:5" ht="20" customHeight="1" x14ac:dyDescent="0.2">
      <c r="B93" s="351" t="s">
        <v>86</v>
      </c>
      <c r="C93" s="362" t="s">
        <v>87</v>
      </c>
      <c r="D93" s="347"/>
      <c r="E93" s="4"/>
    </row>
    <row r="94" spans="2:5" ht="20" customHeight="1" x14ac:dyDescent="0.2">
      <c r="B94" s="511" t="s">
        <v>88</v>
      </c>
      <c r="C94" s="512"/>
      <c r="D94" s="512"/>
      <c r="E94" s="513"/>
    </row>
    <row r="95" spans="2:5" ht="20" customHeight="1" x14ac:dyDescent="0.2">
      <c r="B95" s="4" t="s">
        <v>89</v>
      </c>
      <c r="C95" s="362" t="str">
        <f>CONCATENATE(this_instance,"-m01-ec01")</f>
        <v>sfo-m01-ec01</v>
      </c>
      <c r="D95" s="347"/>
      <c r="E95" s="4"/>
    </row>
    <row r="96" spans="2:5" ht="20" customHeight="1" x14ac:dyDescent="0.2">
      <c r="B96" s="4" t="s">
        <v>90</v>
      </c>
      <c r="C96" s="362">
        <v>1700</v>
      </c>
      <c r="D96" s="94"/>
      <c r="E96" s="337" t="s">
        <v>91</v>
      </c>
    </row>
    <row r="97" spans="2:5" ht="20" customHeight="1" x14ac:dyDescent="0.2">
      <c r="B97" s="4" t="s">
        <v>92</v>
      </c>
      <c r="C97" s="362" t="s">
        <v>93</v>
      </c>
      <c r="D97" s="94" t="s">
        <v>93</v>
      </c>
      <c r="E97" s="4"/>
    </row>
    <row r="98" spans="2:5" ht="20" customHeight="1" x14ac:dyDescent="0.2">
      <c r="B98" s="492" t="s">
        <v>94</v>
      </c>
      <c r="C98" s="493"/>
      <c r="D98" s="493"/>
      <c r="E98" s="494"/>
    </row>
    <row r="99" spans="2:5" ht="20" customHeight="1" x14ac:dyDescent="0.2">
      <c r="B99" s="4" t="s">
        <v>95</v>
      </c>
      <c r="C99" s="89" t="str">
        <f>CONCATENATE(this_instance,"-m01-en01a",".",sample_child_dns_zone)</f>
        <v>sfo-m01-en01a.sfo.rainpole.io</v>
      </c>
      <c r="D99" s="347"/>
      <c r="E99" s="4"/>
    </row>
    <row r="100" spans="2:5" ht="20" customHeight="1" x14ac:dyDescent="0.2">
      <c r="B100" s="4" t="s">
        <v>96</v>
      </c>
      <c r="C100" s="362" t="str">
        <f>sample_mgmt_cl01_cluster</f>
        <v>sfo-m01-cl01</v>
      </c>
      <c r="D100" s="343" t="str">
        <f>mgmt_cl01_cluster</f>
        <v>Value Missing</v>
      </c>
      <c r="E100" s="347" t="s">
        <v>97</v>
      </c>
    </row>
    <row r="101" spans="2:5" ht="20" customHeight="1" x14ac:dyDescent="0.2">
      <c r="B101" s="4" t="s">
        <v>98</v>
      </c>
      <c r="C101" s="362" t="str">
        <f>CONCATENATE(this_instance,"-m01-cl01-rp-ec01")</f>
        <v>sfo-m01-cl01-rp-ec01</v>
      </c>
      <c r="D101" s="94"/>
      <c r="E101" s="337" t="s">
        <v>99</v>
      </c>
    </row>
    <row r="102" spans="2:5" ht="20" customHeight="1" x14ac:dyDescent="0.2">
      <c r="B102" s="4" t="s">
        <v>100</v>
      </c>
      <c r="C102" s="362" t="s">
        <v>101</v>
      </c>
      <c r="D102" s="94" t="s">
        <v>101</v>
      </c>
      <c r="E102" s="337"/>
    </row>
    <row r="103" spans="2:5" ht="20" customHeight="1" x14ac:dyDescent="0.2">
      <c r="B103" s="4" t="s">
        <v>102</v>
      </c>
      <c r="C103" s="362" t="str">
        <f>CONCATENATE(this_instance,"-m01","-host-group-affinity-rule-ec01-en01a")</f>
        <v>sfo-m01-host-group-affinity-rule-ec01-en01a</v>
      </c>
      <c r="D103" s="94"/>
      <c r="E103" s="337"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20" customHeight="1" x14ac:dyDescent="0.2">
      <c r="B104" s="4" t="s">
        <v>103</v>
      </c>
      <c r="C104" s="362" t="str">
        <f>sample_mgmt_cl01_vsan_datastore</f>
        <v>sfo-m01-cl01-ds-vsan01</v>
      </c>
      <c r="D104" s="343" t="str">
        <f>mgmt_cl01_vsan_datastore</f>
        <v>Value Missing</v>
      </c>
      <c r="E104" s="347" t="s">
        <v>104</v>
      </c>
    </row>
    <row r="105" spans="2:5" ht="20" customHeight="1" x14ac:dyDescent="0.2">
      <c r="B105" s="4" t="s">
        <v>105</v>
      </c>
      <c r="C105" s="89" t="s">
        <v>106</v>
      </c>
      <c r="D105" s="94" t="s">
        <v>106</v>
      </c>
      <c r="E105" s="337"/>
    </row>
    <row r="106" spans="2:5" ht="20" customHeight="1" x14ac:dyDescent="0.2">
      <c r="B106" s="4" t="s">
        <v>107</v>
      </c>
      <c r="C106" s="89" t="str">
        <f>sample_mgmt_cl01_az1_mgmt_vm_pg</f>
        <v>sfo-m01-cl01-vds01-pg-vm-mgmt</v>
      </c>
      <c r="D106" s="343" t="str">
        <f>mgmt_cl01_az1_mgmt_vm_pg</f>
        <v>Value Missing</v>
      </c>
      <c r="E106" s="347" t="s">
        <v>108</v>
      </c>
    </row>
    <row r="107" spans="2:5" ht="20" customHeight="1" x14ac:dyDescent="0.2">
      <c r="B107" s="4" t="s">
        <v>109</v>
      </c>
      <c r="C107" s="89" t="str">
        <f>IF(mgmt_dpg_reuse_result="Included",CONCATENATE(prefix_mgmt_az1_cidr,"10.75","/",INT(RIGHT(sample_mgmt_az1_mgmt_vm_cidr,LEN(sample_mgmt_az1_mgmt_vm_cidr)-FIND("/",sample_mgmt_az1_mgmt_vm_cidr)))),CONCATENATE(prefix_mgmt_az1_cidr,"11.75","/",INT(RIGHT(sample_mgmt_az1_mgmt_cidr,LEN(sample_mgmt_az1_mgmt_cidr)-FIND("/",sample_mgmt_az1_mgmt_cidr)))))</f>
        <v>10.11.10.75/24</v>
      </c>
      <c r="D107" s="94"/>
      <c r="E107" s="337" t="str">
        <f>IF(mgmt_az1_en1_ip_allocation_chosen="DHCP","Inputs are masked out and only required if Static IP Allocation is selected","")</f>
        <v/>
      </c>
    </row>
    <row r="108" spans="2:5" ht="20" customHeight="1" x14ac:dyDescent="0.2">
      <c r="B108" s="4" t="s">
        <v>110</v>
      </c>
      <c r="C108" s="362" t="str">
        <f>sample_mgmt_az1_mgmt_vm_gateway_ip</f>
        <v>10.11.10.1</v>
      </c>
      <c r="D108" s="343" t="str">
        <f>mgmt_az1_mgmt_vm_gateway_ip</f>
        <v>Value Missing</v>
      </c>
      <c r="E108" s="347"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09" spans="2:5" ht="20" customHeight="1" x14ac:dyDescent="0.2">
      <c r="B109" s="4" t="s">
        <v>111</v>
      </c>
      <c r="C109" s="362" t="s">
        <v>112</v>
      </c>
      <c r="D109" s="94" t="s">
        <v>112</v>
      </c>
      <c r="E109" s="4"/>
    </row>
    <row r="110" spans="2:5" ht="20" customHeight="1" x14ac:dyDescent="0.2">
      <c r="B110" s="492" t="s">
        <v>113</v>
      </c>
      <c r="C110" s="493"/>
      <c r="D110" s="493"/>
      <c r="E110" s="494"/>
    </row>
    <row r="111" spans="2:5" ht="20" customHeight="1" x14ac:dyDescent="0.2">
      <c r="B111" s="4" t="s">
        <v>114</v>
      </c>
      <c r="C111" s="362" t="str">
        <f>IF(mgmt_cl01_vds_profile_chosen="Storage Traffic and NSX Traffic Separation","vmnic4",IF(mgmt_cl01_vds_profile_chosen="NSX Traffic Separation","vmnic2","vmnic0"))</f>
        <v>vmnic0</v>
      </c>
      <c r="D111" s="94"/>
      <c r="E111" s="337" t="s">
        <v>115</v>
      </c>
    </row>
    <row r="112" spans="2:5" ht="20" customHeight="1" x14ac:dyDescent="0.2">
      <c r="B112" s="17" t="s">
        <v>114</v>
      </c>
      <c r="C112" s="362" t="str">
        <f>IF(mgmt_cl01_vds_profile_chosen="Storage Traffic and NSX Traffic Separation","vmnic5",IF(mgmt_cl01_vds_profile_chosen="NSX Traffic Separation","vmnic3","vmnic1"))</f>
        <v>vmnic1</v>
      </c>
      <c r="D112" s="94"/>
      <c r="E112" s="337" t="s">
        <v>116</v>
      </c>
    </row>
    <row r="113" spans="2:5" ht="20" customHeight="1" x14ac:dyDescent="0.2">
      <c r="B113" s="17" t="s">
        <v>117</v>
      </c>
      <c r="C113" s="362" t="str">
        <f>IF(mgmt_cl01_vds_profile_chosen="Storage Traffic and NSX Traffic Separation","vmnic5",IF(mgmt_cl01_vds_profile_chosen="NSX Traffic Separation","vmnic3","vmnic1"))</f>
        <v>vmnic1</v>
      </c>
      <c r="D113" s="94"/>
      <c r="E113" s="337" t="s">
        <v>115</v>
      </c>
    </row>
    <row r="114" spans="2:5" ht="20" customHeight="1" x14ac:dyDescent="0.2">
      <c r="B114" s="22" t="s">
        <v>117</v>
      </c>
      <c r="C114" s="362" t="str">
        <f>IF(mgmt_cl01_vds_profile_chosen="Storage Traffic and NSX Traffic Separation","vmnic4",IF(mgmt_cl01_vds_profile_chosen="NSX Traffic Separation","vmnic2","vmnic0"))</f>
        <v>vmnic0</v>
      </c>
      <c r="D114" s="94"/>
      <c r="E114" s="337" t="s">
        <v>116</v>
      </c>
    </row>
    <row r="115" spans="2:5" ht="20" customHeight="1" x14ac:dyDescent="0.2">
      <c r="B115" s="4" t="s">
        <v>118</v>
      </c>
      <c r="C115" s="80" t="str">
        <f>CONCATENATE(prefix_mgmt_az1_vlan,"19")</f>
        <v>1119</v>
      </c>
      <c r="D115" s="347"/>
      <c r="E115" s="337" t="str">
        <f>IF(mgmt_ec01_use_host_overlay_chosen="Selected","Inputs are masked out as host overlay network and edge overlay networks will share the same network configuration","")</f>
        <v/>
      </c>
    </row>
    <row r="116" spans="2:5" ht="20" customHeight="1" x14ac:dyDescent="0.2">
      <c r="B116" s="4" t="s">
        <v>119</v>
      </c>
      <c r="C116" s="362" t="s">
        <v>120</v>
      </c>
      <c r="D116" s="94" t="s">
        <v>120</v>
      </c>
      <c r="E116" s="4"/>
    </row>
    <row r="117" spans="2:5" ht="20" customHeight="1" x14ac:dyDescent="0.2">
      <c r="B117" s="4" t="s">
        <v>121</v>
      </c>
      <c r="C117" s="89" t="str">
        <f>CONCATENATE(sample_mgmt_sddc_domain,"-ip-pool02-edge")</f>
        <v>sfo-m01-ip-pool02-edge</v>
      </c>
      <c r="D117" s="94"/>
      <c r="E117" s="337" t="str">
        <f>IF(mgmt_az1_en1_edge_overlay_network_ip_allocation_chosen&lt;&gt;"IP Pool","Inputs are masked out and only required if IP Pools are required","")</f>
        <v>Inputs are masked out and only required if IP Pools are required</v>
      </c>
    </row>
    <row r="118" spans="2:5" ht="20" customHeight="1" x14ac:dyDescent="0.2">
      <c r="B118" s="4" t="s">
        <v>122</v>
      </c>
      <c r="C118" s="89" t="str">
        <f>CONCATENATE(prefix_mgmt_az1_cidr,"19.2")</f>
        <v>10.11.19.2</v>
      </c>
      <c r="D118" s="94"/>
      <c r="E118" s="337" t="str">
        <f>IF(mgmt_az1_en1_edge_overlay_network_ip_allocation_chosen&lt;&gt;"IP Pool","Inputs are masked out and only required if IP Pools are required","")</f>
        <v>Inputs are masked out and only required if IP Pools are required</v>
      </c>
    </row>
    <row r="119" spans="2:5" ht="20" customHeight="1" x14ac:dyDescent="0.2">
      <c r="B119" s="4" t="s">
        <v>123</v>
      </c>
      <c r="C119" s="89" t="str">
        <f>CONCATENATE(prefix_mgmt_az1_cidr,"19.5")</f>
        <v>10.11.19.5</v>
      </c>
      <c r="D119" s="94"/>
      <c r="E119" s="337" t="str">
        <f>IF(mgmt_az1_en1_edge_overlay_network_ip_allocation_chosen&lt;&gt;"IP Pool","Inputs are masked out and only required if IP Pools are required","")</f>
        <v>Inputs are masked out and only required if IP Pools are required</v>
      </c>
    </row>
    <row r="120" spans="2:5" ht="20" customHeight="1" x14ac:dyDescent="0.2">
      <c r="B120" s="4" t="s">
        <v>124</v>
      </c>
      <c r="C120" s="89" t="str">
        <f>CONCATENATE(prefix_mgmt_az1_cidr,"19.2")</f>
        <v>10.11.19.2</v>
      </c>
      <c r="D120" s="347"/>
      <c r="E120" s="337" t="str">
        <f>IF(mgmt_az1_en1_edge_overlay_network_ip_allocation_chosen&lt;&gt;"Static IP List","Inputs are masked out and only required if Static IP List are required",IF(mgmt_ec01_use_host_overlay_chosen="Selected","","Overlay IP Address #01 for Edge Node 1"))</f>
        <v>Overlay IP Address #01 for Edge Node 1</v>
      </c>
    </row>
    <row r="121" spans="2:5" ht="20" customHeight="1" x14ac:dyDescent="0.2">
      <c r="B121" s="4" t="s">
        <v>125</v>
      </c>
      <c r="C121" s="89" t="str">
        <f>CONCATENATE(prefix_mgmt_az1_cidr,"19.3")</f>
        <v>10.11.19.3</v>
      </c>
      <c r="D121" s="347"/>
      <c r="E121" s="337" t="str">
        <f>IF(mgmt_az1_en1_edge_overlay_network_ip_allocation_chosen&lt;&gt;"Static IP List","Inputs are masked out and only required if Static IP List are required",IF(mgmt_ec01_use_host_overlay_chosen="Selected","","Overlay IP Address #02 for Edge Node 1"))</f>
        <v>Overlay IP Address #02 for Edge Node 1</v>
      </c>
    </row>
    <row r="122" spans="2:5" ht="20" customHeight="1" x14ac:dyDescent="0.2">
      <c r="B122" s="4" t="s">
        <v>126</v>
      </c>
      <c r="C122" s="80" t="str">
        <f>CONCATENATE(prefix_mgmt_az1_cidr,"19.1")</f>
        <v>10.11.19.1</v>
      </c>
      <c r="D122" s="347"/>
      <c r="E122" s="4"/>
    </row>
    <row r="123" spans="2:5" ht="20" customHeight="1" x14ac:dyDescent="0.2">
      <c r="B123" s="4" t="s">
        <v>127</v>
      </c>
      <c r="C123" s="362" t="s">
        <v>128</v>
      </c>
      <c r="D123" s="94"/>
      <c r="E123" s="4"/>
    </row>
    <row r="124" spans="2:5" ht="20" customHeight="1" x14ac:dyDescent="0.2">
      <c r="B124" s="492" t="s">
        <v>129</v>
      </c>
      <c r="C124" s="493"/>
      <c r="D124" s="493"/>
      <c r="E124" s="494"/>
    </row>
    <row r="125" spans="2:5" ht="20" customHeight="1" x14ac:dyDescent="0.2">
      <c r="B125" s="4" t="s">
        <v>130</v>
      </c>
      <c r="C125" s="126" t="str">
        <f>CONCATENATE(this_instance,"-m01-en01b",".",sample_child_dns_zone)</f>
        <v>sfo-m01-en01b.sfo.rainpole.io</v>
      </c>
      <c r="D125" s="347"/>
      <c r="E125" s="4"/>
    </row>
    <row r="126" spans="2:5" ht="20" customHeight="1" x14ac:dyDescent="0.2">
      <c r="B126" s="4" t="s">
        <v>96</v>
      </c>
      <c r="C126" s="362" t="str">
        <f>sample_mgmt_cl01_cluster</f>
        <v>sfo-m01-cl01</v>
      </c>
      <c r="D126" s="343" t="str">
        <f>mgmt_cl01_cluster</f>
        <v>Value Missing</v>
      </c>
      <c r="E126" s="347" t="s">
        <v>97</v>
      </c>
    </row>
    <row r="127" spans="2:5" ht="20" customHeight="1" x14ac:dyDescent="0.2">
      <c r="B127" s="4" t="s">
        <v>98</v>
      </c>
      <c r="C127" s="362" t="str">
        <f>sample_mgmt_ec_rp_name</f>
        <v>sfo-m01-cl01-rp-ec01</v>
      </c>
      <c r="D127" s="343" t="str">
        <f>mgmt_ec_rp_name</f>
        <v>Value Missing</v>
      </c>
      <c r="E127" s="337" t="str">
        <f>IF(input_mgmt_ec_rp_name="","Input is masked out based on based Resource Pool value for Edge node 1","")</f>
        <v>Input is masked out based on based Resource Pool value for Edge node 1</v>
      </c>
    </row>
    <row r="128" spans="2:5" ht="20" customHeight="1" x14ac:dyDescent="0.2">
      <c r="B128" s="4" t="s">
        <v>100</v>
      </c>
      <c r="C128" s="362" t="s">
        <v>101</v>
      </c>
      <c r="D128" s="343" t="str">
        <f>_xlfn.SINGLE(mgmt_ec01_host_group_affinity_rule_chosen)</f>
        <v>No</v>
      </c>
      <c r="E128" s="337" t="s">
        <v>131</v>
      </c>
    </row>
    <row r="129" spans="2:5" ht="20" customHeight="1" x14ac:dyDescent="0.2">
      <c r="B129" s="4" t="s">
        <v>102</v>
      </c>
      <c r="C129" s="362" t="str">
        <f>CONCATENATE(this_instance,"-m01","-host-group-affinity-rule-ec01-en01b")</f>
        <v>sfo-m01-host-group-affinity-rule-ec01-en01b</v>
      </c>
      <c r="D129" s="94"/>
      <c r="E129" s="337"/>
    </row>
    <row r="130" spans="2:5" ht="20" customHeight="1" x14ac:dyDescent="0.2">
      <c r="B130" s="4" t="s">
        <v>103</v>
      </c>
      <c r="C130" s="362" t="str">
        <f>sample_mgmt_cl01_vsan_datastore</f>
        <v>sfo-m01-cl01-ds-vsan01</v>
      </c>
      <c r="D130" s="343" t="str">
        <f>mgmt_cl01_vsan_datastore</f>
        <v>Value Missing</v>
      </c>
      <c r="E130" s="347" t="s">
        <v>104</v>
      </c>
    </row>
    <row r="131" spans="2:5" ht="20" customHeight="1" x14ac:dyDescent="0.2">
      <c r="B131" s="4" t="s">
        <v>105</v>
      </c>
      <c r="C131" s="89" t="s">
        <v>106</v>
      </c>
      <c r="D131" s="337" t="str">
        <f>mgmt_az1_en1_ip_allocation_chosen</f>
        <v>Static</v>
      </c>
      <c r="E131" s="337" t="s">
        <v>132</v>
      </c>
    </row>
    <row r="132" spans="2:5" ht="20" customHeight="1" x14ac:dyDescent="0.2">
      <c r="B132" s="4" t="s">
        <v>107</v>
      </c>
      <c r="C132" s="89" t="str">
        <f>sample_mgmt_cl01_az1_mgmt_vm_pg</f>
        <v>sfo-m01-cl01-vds01-pg-vm-mgmt</v>
      </c>
      <c r="D132" s="337" t="str">
        <f>mgmt_cl01_az1_mgmt_vm_pg</f>
        <v>Value Missing</v>
      </c>
      <c r="E132" s="347" t="s">
        <v>108</v>
      </c>
    </row>
    <row r="133" spans="2:5" ht="20" customHeight="1" x14ac:dyDescent="0.2">
      <c r="B133" s="4" t="s">
        <v>133</v>
      </c>
      <c r="C133" s="89" t="str">
        <f>IF(mgmt_dpg_reuse_result="Included",CONCATENATE(prefix_mgmt_az1_cidr,"10.76","/",INT(RIGHT(sample_mgmt_az1_mgmt_vm_cidr,LEN(sample_mgmt_az1_mgmt_vm_cidr)-FIND("/",sample_mgmt_az1_mgmt_vm_cidr)))),CONCATENATE(prefix_mgmt_az1_cidr,"11.76","/",INT(RIGHT(sample_mgmt_az1_mgmt_cidr,LEN(sample_mgmt_az1_mgmt_cidr)-FIND("/",sample_mgmt_az1_mgmt_cidr)))))</f>
        <v>10.11.10.76/24</v>
      </c>
      <c r="D133" s="347"/>
      <c r="E133" s="337" t="str">
        <f>IF(mgmt_az1_en1_ip_allocation_chosen="DHCP","Inputs are masked out and only required if Static IP Allocation is selected","")</f>
        <v/>
      </c>
    </row>
    <row r="134" spans="2:5" ht="20" customHeight="1" x14ac:dyDescent="0.2">
      <c r="B134" s="4" t="s">
        <v>134</v>
      </c>
      <c r="C134" s="362" t="str">
        <f>sample_mgmt_az1_mgmt_vm_gateway_ip</f>
        <v>10.11.10.1</v>
      </c>
      <c r="D134" s="343" t="str">
        <f>mgmt_az1_mgmt_vm_gateway_ip</f>
        <v>Value Missing</v>
      </c>
      <c r="E134" s="347"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35" spans="2:5" ht="20" customHeight="1" x14ac:dyDescent="0.2">
      <c r="B135" s="4" t="s">
        <v>111</v>
      </c>
      <c r="C135" s="362" t="s">
        <v>112</v>
      </c>
      <c r="D135" s="343" t="str">
        <f>mgmt_ec01_use_host_overlay_chosen</f>
        <v xml:space="preserve">Unselected </v>
      </c>
      <c r="E135" s="337" t="s">
        <v>135</v>
      </c>
    </row>
    <row r="136" spans="2:5" ht="20" customHeight="1" x14ac:dyDescent="0.2">
      <c r="B136" s="492" t="s">
        <v>136</v>
      </c>
      <c r="C136" s="493"/>
      <c r="D136" s="493"/>
      <c r="E136" s="494"/>
    </row>
    <row r="137" spans="2:5" ht="20" customHeight="1" x14ac:dyDescent="0.2">
      <c r="B137" s="4" t="s">
        <v>114</v>
      </c>
      <c r="C137" s="362" t="str">
        <f>IF(mgmt_cl01_vds_profile_chosen="Storage Traffic and NSX Traffic Separation","vmnic4",IF(mgmt_cl01_vds_profile_chosen="NSX Traffic Separation","vmnic2","vmnic0"))</f>
        <v>vmnic0</v>
      </c>
      <c r="D137" s="94"/>
      <c r="E137" s="4"/>
    </row>
    <row r="138" spans="2:5" ht="20" customHeight="1" x14ac:dyDescent="0.2">
      <c r="B138" s="17" t="s">
        <v>114</v>
      </c>
      <c r="C138" s="362" t="str">
        <f>IF(mgmt_cl01_vds_profile_chosen="Storage Traffic and NSX Traffic Separation","vmnic5",IF(mgmt_cl01_vds_profile_chosen="NSX Traffic Separation","vmnic3","vmnic1"))</f>
        <v>vmnic1</v>
      </c>
      <c r="D138" s="94"/>
      <c r="E138" s="4"/>
    </row>
    <row r="139" spans="2:5" ht="20" customHeight="1" x14ac:dyDescent="0.2">
      <c r="B139" s="17" t="s">
        <v>117</v>
      </c>
      <c r="C139" s="362" t="str">
        <f>IF(mgmt_cl01_vds_profile_chosen="Storage Traffic and NSX Traffic Separation","vmnic5",IF(mgmt_cl01_vds_profile_chosen="NSX Traffic Separation","vmnic3","vmnic1"))</f>
        <v>vmnic1</v>
      </c>
      <c r="D139" s="94"/>
      <c r="E139" s="4"/>
    </row>
    <row r="140" spans="2:5" ht="20" customHeight="1" x14ac:dyDescent="0.2">
      <c r="B140" s="22" t="s">
        <v>117</v>
      </c>
      <c r="C140" s="362" t="str">
        <f>IF(mgmt_cl01_vds_profile_chosen="Storage Traffic and NSX Traffic Separation","vmnic4",IF(mgmt_cl01_vds_profile_chosen="NSX Traffic Separation","vmnic2","vmnic0"))</f>
        <v>vmnic0</v>
      </c>
      <c r="D140" s="94"/>
      <c r="E140" s="4"/>
    </row>
    <row r="141" spans="2:5" ht="20" customHeight="1" x14ac:dyDescent="0.2">
      <c r="B141" s="4" t="s">
        <v>118</v>
      </c>
      <c r="C141" s="80" t="str">
        <f>sample_mgmt_az1_edge_overlay_vlan</f>
        <v>1119</v>
      </c>
      <c r="D141" s="337" t="str">
        <f>mgmt_az1_edge_overlay_vlan</f>
        <v>Value Missing</v>
      </c>
      <c r="E141" s="337"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2" spans="2:5" ht="20" customHeight="1" x14ac:dyDescent="0.2">
      <c r="B142" s="4" t="s">
        <v>119</v>
      </c>
      <c r="C142" s="362" t="s">
        <v>120</v>
      </c>
      <c r="D142" s="343" t="str">
        <f>mgmt_az1_en1_edge_overlay_network_ip_allocation_chosen</f>
        <v>Static IP List</v>
      </c>
      <c r="E142" s="337"/>
    </row>
    <row r="143" spans="2:5" ht="20" customHeight="1" x14ac:dyDescent="0.2">
      <c r="B143" s="4" t="s">
        <v>121</v>
      </c>
      <c r="C143" s="362" t="str">
        <f>sample_mgmt_az1_edge_overlay_network_pool_name</f>
        <v>sfo-m01-ip-pool02-edge</v>
      </c>
      <c r="D143" s="343" t="str">
        <f>mgmt_az1_edge_overlay_network_pool_name</f>
        <v>Value Missing</v>
      </c>
      <c r="E143" s="337" t="str">
        <f>IF(mgmt_az1_en1_edge_overlay_network_ip_allocation_chosen&lt;&gt;"IP Pool","Inputs are masked out and only required if IP Pools are required","Value is set based on IP Pool Name for Edge node 1 ")</f>
        <v>Inputs are masked out and only required if IP Pools are required</v>
      </c>
    </row>
    <row r="144" spans="2:5" ht="20" customHeight="1" x14ac:dyDescent="0.2">
      <c r="B144" s="4" t="s">
        <v>137</v>
      </c>
      <c r="C144" s="89" t="str">
        <f>CONCATENATE(prefix_mgmt_az1_cidr,"19.4")</f>
        <v>10.11.19.4</v>
      </c>
      <c r="D144" s="347"/>
      <c r="E144" s="337" t="str">
        <f>IF(mgmt_az1_en1_edge_overlay_network_ip_allocation_chosen&lt;&gt;"Static IP List","Inputs are masked out and only required if Static IP List are required",IF(mgmt_ec01_use_host_overlay_chosen="Selected","","Overlay IP Address #01 for Edge Node 2"))</f>
        <v>Overlay IP Address #01 for Edge Node 2</v>
      </c>
    </row>
    <row r="145" spans="2:5" ht="20" customHeight="1" x14ac:dyDescent="0.2">
      <c r="B145" s="4" t="s">
        <v>138</v>
      </c>
      <c r="C145" s="89" t="str">
        <f>CONCATENATE(prefix_mgmt_az1_cidr,"19.5")</f>
        <v>10.11.19.5</v>
      </c>
      <c r="D145" s="347"/>
      <c r="E145" s="337" t="str">
        <f>IF(mgmt_az1_en1_edge_overlay_network_ip_allocation_chosen&lt;&gt;"Static IP List","Inputs are masked out and only required if Static IP List are required",IF(mgmt_ec01_use_host_overlay_chosen="Selected","","Overlay IP Address #02 for Edge Node 2"))</f>
        <v>Overlay IP Address #02 for Edge Node 2</v>
      </c>
    </row>
    <row r="146" spans="2:5" ht="20" customHeight="1" x14ac:dyDescent="0.2">
      <c r="B146" s="4" t="s">
        <v>126</v>
      </c>
      <c r="C146" s="362" t="str">
        <f>sample_mgmt_az1_edge_overlay_gateway_ip</f>
        <v>10.11.19.1</v>
      </c>
      <c r="D146" s="337" t="str">
        <f>mgmt_az1_edge_overlay_gateway_ip</f>
        <v>Value Missing</v>
      </c>
      <c r="E146" s="337" t="str">
        <f>IF(mgmt_az1_en1_edge_overlay_network_ip_allocation_chosen&lt;&gt;"Static IP List","Inputs are masked out and only required if Static IP List are required","")</f>
        <v/>
      </c>
    </row>
    <row r="147" spans="2:5" ht="20" customHeight="1" x14ac:dyDescent="0.2">
      <c r="B147" s="4" t="s">
        <v>127</v>
      </c>
      <c r="C147" s="362" t="str">
        <f>sample_mgmt_az1_edge_overlay_mask</f>
        <v>255.255.255.0</v>
      </c>
      <c r="D147" s="343" t="str">
        <f>mgmt_az1_edge_overlay_mask</f>
        <v>Value Missing</v>
      </c>
      <c r="E147" s="337" t="str">
        <f>IF(mgmt_az1_en1_edge_overlay_network_ip_allocation_chosen&lt;&gt;"Static IP List","Inputs are masked out and only required if Static IP List are required","Value is set based on Subnet Mask Value for Edge node 1")</f>
        <v>Value is set based on Subnet Mask Value for Edge node 1</v>
      </c>
    </row>
    <row r="148" spans="2:5" ht="20" customHeight="1" x14ac:dyDescent="0.2">
      <c r="B148" s="4" t="s">
        <v>139</v>
      </c>
      <c r="C148" s="362" t="s">
        <v>112</v>
      </c>
      <c r="D148" s="94" t="s">
        <v>112</v>
      </c>
      <c r="E148" s="4"/>
    </row>
    <row r="149" spans="2:5" ht="20" customHeight="1" x14ac:dyDescent="0.2">
      <c r="B149" s="4" t="s">
        <v>140</v>
      </c>
      <c r="C149" s="362" t="s">
        <v>141</v>
      </c>
      <c r="D149" s="347"/>
      <c r="E149" s="337" t="str">
        <f>IF(mgmt_az1_ec01_password_creation_chosen="Selected","Inputs are masked out as you have opted to deploy with system generated passwords","Minimum 15 Characters, 1 Uppercase, 1 Special")</f>
        <v>Minimum 15 Characters, 1 Uppercase, 1 Special</v>
      </c>
    </row>
    <row r="150" spans="2:5" ht="20" customHeight="1" x14ac:dyDescent="0.2">
      <c r="B150" s="4" t="s">
        <v>142</v>
      </c>
      <c r="C150" s="362" t="s">
        <v>141</v>
      </c>
      <c r="D150" s="347"/>
      <c r="E150" s="337" t="str">
        <f>IF(mgmt_az1_ec01_password_creation_chosen="Selected","Inputs are masked out as you have opted to deploy with system generated passwords","Minimum 15 Characters, 1 Uppercase, 1 Special")</f>
        <v>Minimum 15 Characters, 1 Uppercase, 1 Special</v>
      </c>
    </row>
    <row r="151" spans="2:5" ht="20" customHeight="1" x14ac:dyDescent="0.2">
      <c r="B151" s="492" t="s">
        <v>143</v>
      </c>
      <c r="C151" s="493"/>
      <c r="D151" s="493"/>
      <c r="E151" s="494"/>
    </row>
    <row r="152" spans="2:5" ht="20" customHeight="1" x14ac:dyDescent="0.2">
      <c r="B152" s="4" t="s">
        <v>144</v>
      </c>
      <c r="C152" s="362" t="str">
        <f>IF(AND(mgmt_nsxt_federation_chosen="Standby Global Manager",(mgmt_vns_chosen="Centralized Connectivity")),"Selected","Unselected")</f>
        <v>Unselected</v>
      </c>
      <c r="D152" s="347" t="s">
        <v>145</v>
      </c>
      <c r="E152" s="337" t="str">
        <f>IF(AND(OR(mgmt_nsxt_federation_chosen="Standby Global Manager",mgmt_nsxt_federation_chosen="Connect Instance"),(mgmt_vns_chosen="Centralized Connectivity")),"Skip Gateway and Routing Configuration as stretched T0 will be configured as part of NSX Federation configuration","")</f>
        <v/>
      </c>
    </row>
    <row r="153" spans="2:5" ht="20" customHeight="1" x14ac:dyDescent="0.2">
      <c r="B153" s="4" t="s">
        <v>146</v>
      </c>
      <c r="C153" s="362" t="str">
        <f>CONCATENATE(this_instance,"-m01-ec01-t0-gw01")</f>
        <v>sfo-m01-ec01-t0-gw01</v>
      </c>
      <c r="D153" s="347"/>
      <c r="E153" s="4"/>
    </row>
    <row r="154" spans="2:5" ht="20" customHeight="1" x14ac:dyDescent="0.2">
      <c r="B154" s="4" t="s">
        <v>147</v>
      </c>
      <c r="C154" s="362" t="s">
        <v>148</v>
      </c>
      <c r="D154" s="94" t="s">
        <v>148</v>
      </c>
      <c r="E154" s="4"/>
    </row>
    <row r="155" spans="2:5" ht="20" customHeight="1" x14ac:dyDescent="0.2">
      <c r="B155" s="4" t="s">
        <v>149</v>
      </c>
      <c r="C155" s="362" t="s">
        <v>150</v>
      </c>
      <c r="D155" s="94" t="s">
        <v>150</v>
      </c>
      <c r="E155" s="4"/>
    </row>
    <row r="156" spans="2:5" ht="20" customHeight="1" x14ac:dyDescent="0.2">
      <c r="B156" s="4" t="s">
        <v>151</v>
      </c>
      <c r="C156" s="80" t="str">
        <f>IF(mgmt_domain_chosen="First Instance","65101","65201")</f>
        <v>65101</v>
      </c>
      <c r="D156" s="347"/>
      <c r="E156" s="4"/>
    </row>
    <row r="157" spans="2:5" ht="20" customHeight="1" x14ac:dyDescent="0.2">
      <c r="B157" s="492" t="s">
        <v>152</v>
      </c>
      <c r="C157" s="493"/>
      <c r="D157" s="493"/>
      <c r="E157" s="494"/>
    </row>
    <row r="158" spans="2:5" ht="20" customHeight="1" x14ac:dyDescent="0.2">
      <c r="B158" s="351" t="s">
        <v>153</v>
      </c>
      <c r="C158" s="80" t="str">
        <f>CONCATENATE(prefix_mgmt_az1_vlan,"17")</f>
        <v>1117</v>
      </c>
      <c r="D158" s="347"/>
      <c r="E158" s="337" t="s">
        <v>154</v>
      </c>
    </row>
    <row r="159" spans="2:5" ht="20" customHeight="1" x14ac:dyDescent="0.2">
      <c r="B159" s="351" t="s">
        <v>155</v>
      </c>
      <c r="C159" s="89" t="str">
        <f>CONCATENATE(prefix_mgmt_az1_cidr,"17.2","/",INT(RIGHT(sample_mgmt_az1_uplink01_cidr,LEN(sample_mgmt_az1_uplink01_cidr)-FIND("/",sample_mgmt_az1_uplink01_cidr))))</f>
        <v>10.11.17.2/24</v>
      </c>
      <c r="D159" s="347"/>
      <c r="E159" s="337" t="s">
        <v>156</v>
      </c>
    </row>
    <row r="160" spans="2:5" ht="20" customHeight="1" x14ac:dyDescent="0.2">
      <c r="B160" s="351" t="s">
        <v>157</v>
      </c>
      <c r="C160" s="80" t="str">
        <f>CONCATENATE(prefix_mgmt_az1_cidr,"17.10")</f>
        <v>10.11.17.10</v>
      </c>
      <c r="D160" s="347"/>
      <c r="E160" s="337" t="str">
        <f>IF(mgmt_gateway_routing_type_chosen="STATIC","Value is masked out due to Gateway Routing Type. Value is only requied if BGP is selected", "Top of Rack 1 - IP Address")</f>
        <v>Top of Rack 1 - IP Address</v>
      </c>
    </row>
    <row r="161" spans="2:5" ht="20" customHeight="1" x14ac:dyDescent="0.2">
      <c r="B161" s="351" t="s">
        <v>158</v>
      </c>
      <c r="C161" s="362" t="s">
        <v>159</v>
      </c>
      <c r="D161" s="347" t="s">
        <v>159</v>
      </c>
      <c r="E161" s="337"/>
    </row>
    <row r="162" spans="2:5" ht="20" customHeight="1" x14ac:dyDescent="0.2">
      <c r="B162" s="351" t="s">
        <v>160</v>
      </c>
      <c r="C162" s="362">
        <v>9000</v>
      </c>
      <c r="D162" s="347"/>
      <c r="E162" s="337"/>
    </row>
    <row r="163" spans="2:5" ht="20" customHeight="1" x14ac:dyDescent="0.2">
      <c r="B163" s="351" t="s">
        <v>161</v>
      </c>
      <c r="C163" s="80" t="str">
        <f>IF(wld_domain_chosen="First Domain",CONCATENATE(asn_start,asn_instance,asn_mgmt_az1,1),IF(wld_nsxt_federation_result="Included",CONCATENATE(asn_start,asn_instance,asn_mgmt_az1,1),CONCATENATE(asn_start,asn_instance,asn_mgmt_az1,1)))</f>
        <v>65111</v>
      </c>
      <c r="D163" s="347"/>
      <c r="E163" s="345" t="str">
        <f>IF(mgmt_gateway_routing_type_chosen="STATIC","Value is masked out due to Gateway Routing Type. Value is only requied if BGP is selected", "Top of Rack 1 - Autonomous System ID")</f>
        <v>Top of Rack 1 - Autonomous System ID</v>
      </c>
    </row>
    <row r="164" spans="2:5" ht="20" customHeight="1" x14ac:dyDescent="0.2">
      <c r="B164" s="351" t="s">
        <v>162</v>
      </c>
      <c r="C164" s="80" t="s">
        <v>30</v>
      </c>
      <c r="D164" s="347"/>
      <c r="E164" s="345" t="str">
        <f>IF(mgmt_gateway_routing_type_chosen="STATIC","Value is masked out due to Gateway Routing Type. Value is only requied if BGP is selected", "Top of Rack 1 - BGP Neighbor Password")</f>
        <v>Top of Rack 1 - BGP Neighbor Password</v>
      </c>
    </row>
    <row r="165" spans="2:5" ht="20" customHeight="1" x14ac:dyDescent="0.2">
      <c r="B165" s="351" t="s">
        <v>163</v>
      </c>
      <c r="C165" s="80" t="str">
        <f>CONCATENATE(prefix_mgmt_az1_vlan,"18")</f>
        <v>1118</v>
      </c>
      <c r="D165" s="347"/>
      <c r="E165" s="345" t="s">
        <v>164</v>
      </c>
    </row>
    <row r="166" spans="2:5" ht="20" customHeight="1" x14ac:dyDescent="0.2">
      <c r="B166" s="351" t="s">
        <v>155</v>
      </c>
      <c r="C166" s="89" t="str">
        <f>CONCATENATE(prefix_mgmt_az1_cidr,"18.2","/",INT(RIGHT(sample_mgmt_az1_uplink02_cidr,LEN(sample_mgmt_az1_uplink02_cidr)-FIND("/",sample_mgmt_az1_uplink02_cidr))))</f>
        <v>10.11.18.2/24</v>
      </c>
      <c r="D166" s="347"/>
      <c r="E166" s="345" t="s">
        <v>165</v>
      </c>
    </row>
    <row r="167" spans="2:5" ht="20" customHeight="1" x14ac:dyDescent="0.2">
      <c r="B167" s="351" t="s">
        <v>157</v>
      </c>
      <c r="C167" s="80" t="str">
        <f>CONCATENATE(prefix_mgmt_az1_cidr,"18.10")</f>
        <v>10.11.18.10</v>
      </c>
      <c r="D167" s="347"/>
      <c r="E167" s="345" t="str">
        <f>IF(mgmt_gateway_routing_type_chosen="STATIC","Value is masked out due to Gateway Routing Type. Value is only requied if BGP is selected", "Top of Rack 2 - IP Address")</f>
        <v>Top of Rack 2 - IP Address</v>
      </c>
    </row>
    <row r="168" spans="2:5" ht="20" customHeight="1" x14ac:dyDescent="0.2">
      <c r="B168" s="351" t="s">
        <v>158</v>
      </c>
      <c r="C168" s="362" t="s">
        <v>159</v>
      </c>
      <c r="D168" s="337" t="str">
        <f>mgmt_en01_bfd_chosen</f>
        <v>Selected</v>
      </c>
      <c r="E168" s="345"/>
    </row>
    <row r="169" spans="2:5" ht="20" customHeight="1" x14ac:dyDescent="0.2">
      <c r="B169" s="351" t="s">
        <v>160</v>
      </c>
      <c r="C169" s="80">
        <v>9000</v>
      </c>
      <c r="D169" s="347"/>
      <c r="E169" s="345"/>
    </row>
    <row r="170" spans="2:5" ht="20" customHeight="1" x14ac:dyDescent="0.2">
      <c r="B170" s="351" t="s">
        <v>161</v>
      </c>
      <c r="C170" s="80" t="str">
        <f>IF(wld_domain_chosen="First Domain",CONCATENATE(asn_start,asn_instance,asn_mgmt_az1,1),IF(wld_nsxt_federation_result="Included",CONCATENATE(asn_start,asn_instance,asn_mgmt_az1,1),CONCATENATE(asn_start,asn_instance,asn_mgmt_az1,1)))</f>
        <v>65111</v>
      </c>
      <c r="D170" s="347"/>
      <c r="E170" s="337" t="str">
        <f>IF(mgmt_gateway_routing_type_chosen="STATIC","Value is masked out due to Gateway Routing Type. Value is only requied if BGP is selected", "Top of Rack 2 - Autonomous System ID")</f>
        <v>Top of Rack 2 - Autonomous System ID</v>
      </c>
    </row>
    <row r="171" spans="2:5" ht="20" customHeight="1" x14ac:dyDescent="0.2">
      <c r="B171" s="351" t="s">
        <v>162</v>
      </c>
      <c r="C171" s="80" t="s">
        <v>30</v>
      </c>
      <c r="D171" s="347"/>
      <c r="E171" s="337" t="str">
        <f>IF(mgmt_gateway_routing_type_chosen="STATIC","Value is masked out due to Gateway Routing Type. Value is only requied if BGP is selected", "Top of Rack 2 - BGP Neighbor Password")</f>
        <v>Top of Rack 2 - BGP Neighbor Password</v>
      </c>
    </row>
    <row r="172" spans="2:5" ht="20" customHeight="1" x14ac:dyDescent="0.2">
      <c r="B172" s="492" t="s">
        <v>166</v>
      </c>
      <c r="C172" s="493"/>
      <c r="D172" s="493"/>
      <c r="E172" s="494"/>
    </row>
    <row r="173" spans="2:5" ht="20" customHeight="1" x14ac:dyDescent="0.2">
      <c r="B173" s="17" t="s">
        <v>153</v>
      </c>
      <c r="C173" s="362" t="str">
        <f>sample_mgmt_az1_uplink01_vlan</f>
        <v>1117</v>
      </c>
      <c r="D173" s="343" t="str">
        <f>mgmt_az1_uplink01_vlan</f>
        <v>Value Missing</v>
      </c>
      <c r="E173" s="153" t="s">
        <v>154</v>
      </c>
    </row>
    <row r="174" spans="2:5" ht="20" customHeight="1" x14ac:dyDescent="0.2">
      <c r="B174" s="17" t="s">
        <v>155</v>
      </c>
      <c r="C174" s="89" t="str">
        <f>CONCATENATE(prefix_mgmt_az1_cidr,"17.3","/",INT(RIGHT(sample_mgmt_az1_uplink01_cidr,LEN(sample_mgmt_az1_uplink01_cidr)-FIND("/",sample_mgmt_az1_uplink01_cidr))))</f>
        <v>10.11.17.3/24</v>
      </c>
      <c r="D174" s="347"/>
      <c r="E174" s="337" t="s">
        <v>167</v>
      </c>
    </row>
    <row r="175" spans="2:5" ht="20" customHeight="1" x14ac:dyDescent="0.2">
      <c r="B175" s="17" t="s">
        <v>157</v>
      </c>
      <c r="C175" s="362" t="str">
        <f>sample_mgmt_az1_tor1_peer_ip</f>
        <v>10.11.17.10</v>
      </c>
      <c r="D175" s="343" t="str">
        <f>mgmt_az1_tor1_peer_ip</f>
        <v>Value Missing</v>
      </c>
      <c r="E175" s="337" t="s">
        <v>168</v>
      </c>
    </row>
    <row r="176" spans="2:5" ht="20" customHeight="1" x14ac:dyDescent="0.2">
      <c r="B176" s="17" t="s">
        <v>158</v>
      </c>
      <c r="C176" s="362" t="s">
        <v>159</v>
      </c>
      <c r="D176" s="347" t="s">
        <v>159</v>
      </c>
      <c r="E176" s="302"/>
    </row>
    <row r="177" spans="2:5" ht="20" customHeight="1" x14ac:dyDescent="0.2">
      <c r="B177" s="17" t="s">
        <v>160</v>
      </c>
      <c r="C177" s="362">
        <v>9000</v>
      </c>
      <c r="D177" s="337" t="str">
        <f>mgmt_az1_uplink01_mtu</f>
        <v>Value Missing</v>
      </c>
      <c r="E177" s="345"/>
    </row>
    <row r="178" spans="2:5" ht="20" customHeight="1" x14ac:dyDescent="0.2">
      <c r="B178" s="17" t="s">
        <v>161</v>
      </c>
      <c r="C178" s="362" t="str">
        <f>sample_mgmt_az1_tor1_peer_asn</f>
        <v>65111</v>
      </c>
      <c r="D178" s="343" t="str">
        <f>mgmt_az1_tor1_peer_asn</f>
        <v>Value Missing</v>
      </c>
      <c r="E178" s="337" t="s">
        <v>169</v>
      </c>
    </row>
    <row r="179" spans="2:5" ht="20" customHeight="1" x14ac:dyDescent="0.2">
      <c r="B179" s="17" t="s">
        <v>162</v>
      </c>
      <c r="C179" s="362" t="str">
        <f>sample_mgmt_az1_tor1_peer_bgp_password</f>
        <v>VMw@re1!</v>
      </c>
      <c r="D179" s="343" t="str">
        <f>mgmt_az1_tor1_peer_bgp_password</f>
        <v>Value Missing</v>
      </c>
      <c r="E179" s="337" t="s">
        <v>170</v>
      </c>
    </row>
    <row r="180" spans="2:5" ht="20" customHeight="1" x14ac:dyDescent="0.2">
      <c r="B180" s="17" t="s">
        <v>163</v>
      </c>
      <c r="C180" s="362" t="str">
        <f>sample_mgmt_az1_uplink02_vlan</f>
        <v>1118</v>
      </c>
      <c r="D180" s="343" t="str">
        <f>mgmt_az1_uplink02_vlan</f>
        <v>Value Missing</v>
      </c>
      <c r="E180" s="337" t="s">
        <v>164</v>
      </c>
    </row>
    <row r="181" spans="2:5" ht="20" customHeight="1" x14ac:dyDescent="0.2">
      <c r="B181" s="17" t="s">
        <v>155</v>
      </c>
      <c r="C181" s="89" t="str">
        <f>CONCATENATE(prefix_mgmt_az1_cidr,"18.3","/",INT(RIGHT(sample_mgmt_az1_uplink02_cidr,LEN(sample_mgmt_az1_uplink02_cidr)-FIND("/",sample_mgmt_az1_uplink02_cidr))))</f>
        <v>10.11.18.3/24</v>
      </c>
      <c r="D181" s="347"/>
      <c r="E181" s="337" t="s">
        <v>165</v>
      </c>
    </row>
    <row r="182" spans="2:5" ht="20" customHeight="1" x14ac:dyDescent="0.2">
      <c r="B182" s="17" t="s">
        <v>157</v>
      </c>
      <c r="C182" s="362" t="str">
        <f>sample_mgmt_az1_tor2_peer_ip</f>
        <v>10.11.18.10</v>
      </c>
      <c r="D182" s="343" t="str">
        <f>mgmt_az1_tor2_peer_ip</f>
        <v>Value Missing</v>
      </c>
      <c r="E182" s="337" t="s">
        <v>171</v>
      </c>
    </row>
    <row r="183" spans="2:5" ht="20" customHeight="1" x14ac:dyDescent="0.2">
      <c r="B183" s="17" t="s">
        <v>158</v>
      </c>
      <c r="C183" s="362" t="s">
        <v>159</v>
      </c>
      <c r="D183" s="337" t="str">
        <f>mgmt_en02_bfd_chosen</f>
        <v>Selected</v>
      </c>
      <c r="E183" s="302"/>
    </row>
    <row r="184" spans="2:5" ht="20" customHeight="1" x14ac:dyDescent="0.2">
      <c r="B184" s="17" t="s">
        <v>160</v>
      </c>
      <c r="C184" s="362">
        <v>9000</v>
      </c>
      <c r="D184" s="337" t="str">
        <f>mgmt_az1_uplink02_mtu</f>
        <v>Value Missing</v>
      </c>
      <c r="E184" s="345"/>
    </row>
    <row r="185" spans="2:5" ht="20" customHeight="1" x14ac:dyDescent="0.2">
      <c r="B185" s="17" t="s">
        <v>161</v>
      </c>
      <c r="C185" s="362" t="str">
        <f>sample_mgmt_az1_tor2_peer_asn</f>
        <v>65111</v>
      </c>
      <c r="D185" s="343" t="str">
        <f>mgmt_az1_tor2_peer_asn</f>
        <v>Value Missing</v>
      </c>
      <c r="E185" s="337" t="s">
        <v>172</v>
      </c>
    </row>
    <row r="186" spans="2:5" ht="20" customHeight="1" x14ac:dyDescent="0.2">
      <c r="B186" s="17" t="s">
        <v>162</v>
      </c>
      <c r="C186" s="362" t="str">
        <f>sample_mgmt_az1_tor2_peer_bgp_password</f>
        <v>VMw@re1!</v>
      </c>
      <c r="D186" s="343" t="str">
        <f>mgmt_az1_tor2_peer_bgp_password</f>
        <v>Value Missing</v>
      </c>
      <c r="E186" s="337" t="s">
        <v>173</v>
      </c>
    </row>
    <row r="187" spans="2:5" ht="20" customHeight="1" x14ac:dyDescent="0.2">
      <c r="B187" s="465" t="s">
        <v>174</v>
      </c>
      <c r="C187" s="518"/>
      <c r="D187" s="466"/>
      <c r="E187" s="467"/>
    </row>
    <row r="188" spans="2:5" ht="20" customHeight="1" x14ac:dyDescent="0.2">
      <c r="B188" s="4" t="s">
        <v>175</v>
      </c>
      <c r="C188" s="362" t="s">
        <v>176</v>
      </c>
      <c r="D188" s="94"/>
      <c r="E188" s="337" t="s">
        <v>177</v>
      </c>
    </row>
    <row r="189" spans="2:5" ht="20" customHeight="1" x14ac:dyDescent="0.2">
      <c r="B189" s="4" t="s">
        <v>178</v>
      </c>
      <c r="C189" s="362" t="s">
        <v>179</v>
      </c>
      <c r="D189" s="94"/>
      <c r="E189" s="337" t="s">
        <v>180</v>
      </c>
    </row>
    <row r="190" spans="2:5" ht="20" customHeight="1" x14ac:dyDescent="0.2">
      <c r="B190" s="465" t="s">
        <v>181</v>
      </c>
      <c r="C190" s="466"/>
      <c r="D190" s="466"/>
      <c r="E190" s="467"/>
    </row>
    <row r="191" spans="2:5" ht="20" customHeight="1" x14ac:dyDescent="0.2">
      <c r="B191" s="4" t="s">
        <v>182</v>
      </c>
      <c r="C191" s="80" t="s">
        <v>183</v>
      </c>
      <c r="D191" s="355" t="s">
        <v>183</v>
      </c>
      <c r="E191" s="4" t="str">
        <f>IF(mgmt_ec_api_chosen="Exclude","","Use the JSON Generator to create the JSON Spec - PATCH https://sfo-m01-nsx01.sfo.rainpole.io/policy/api/v1/infra")</f>
        <v>Use the JSON Generator to create the JSON Spec - PATCH https://sfo-m01-nsx01.sfo.rainpole.io/policy/api/v1/infra</v>
      </c>
    </row>
    <row r="192" spans="2:5" ht="20" customHeight="1" x14ac:dyDescent="0.2">
      <c r="B192" s="492" t="s">
        <v>184</v>
      </c>
      <c r="C192" s="493"/>
      <c r="D192" s="493"/>
      <c r="E192" s="494"/>
    </row>
    <row r="193" spans="2:7" ht="20" customHeight="1" x14ac:dyDescent="0.2">
      <c r="B193" s="4" t="s">
        <v>185</v>
      </c>
      <c r="C193" s="80" t="str">
        <f>CONCATENATE(this_instance,"-m01-cl01-vds01-pg-uplink01")</f>
        <v>sfo-m01-cl01-vds01-pg-uplink01</v>
      </c>
      <c r="D193" s="94"/>
      <c r="E193" s="33" t="s">
        <v>186</v>
      </c>
    </row>
    <row r="194" spans="2:7" ht="20" customHeight="1" x14ac:dyDescent="0.2">
      <c r="B194" s="4" t="s">
        <v>187</v>
      </c>
      <c r="C194" s="80" t="str">
        <f>CONCATENATE(prefix_mgmt_az1_cidr,"17.1")</f>
        <v>10.11.17.1</v>
      </c>
      <c r="D194" s="94"/>
      <c r="E194" s="32"/>
    </row>
    <row r="195" spans="2:7" ht="20" customHeight="1" x14ac:dyDescent="0.2">
      <c r="B195" s="4" t="s">
        <v>188</v>
      </c>
      <c r="C195" s="80" t="str">
        <f>CONCATENATE(prefix_mgmt_az1_cidr,"17.0/24")</f>
        <v>10.11.17.0/24</v>
      </c>
      <c r="D195" s="94"/>
      <c r="E195" s="32"/>
    </row>
    <row r="196" spans="2:7" ht="20" customHeight="1" x14ac:dyDescent="0.2">
      <c r="B196" s="492" t="s">
        <v>189</v>
      </c>
      <c r="C196" s="493"/>
      <c r="D196" s="493"/>
      <c r="E196" s="494"/>
    </row>
    <row r="197" spans="2:7" ht="20" customHeight="1" x14ac:dyDescent="0.2">
      <c r="B197" s="4" t="s">
        <v>185</v>
      </c>
      <c r="C197" s="80" t="str">
        <f>CONCATENATE(this_instance,"-m01-cl01-vds01-pg-uplink02")</f>
        <v>sfo-m01-cl01-vds01-pg-uplink02</v>
      </c>
      <c r="D197" s="94"/>
      <c r="E197" s="33" t="s">
        <v>190</v>
      </c>
    </row>
    <row r="198" spans="2:7" ht="20" customHeight="1" x14ac:dyDescent="0.2">
      <c r="B198" s="4" t="s">
        <v>187</v>
      </c>
      <c r="C198" s="80" t="str">
        <f>CONCATENATE(prefix_mgmt_az1_cidr,"18.1")</f>
        <v>10.11.18.1</v>
      </c>
      <c r="D198" s="94"/>
      <c r="E198" s="32"/>
    </row>
    <row r="199" spans="2:7" ht="20" customHeight="1" x14ac:dyDescent="0.2">
      <c r="B199" s="4" t="s">
        <v>188</v>
      </c>
      <c r="C199" s="80" t="str">
        <f>CONCATENATE(prefix_mgmt_az1_cidr,"18.0/24")</f>
        <v>10.11.18.0/24</v>
      </c>
      <c r="D199" s="94"/>
      <c r="E199" s="32"/>
    </row>
    <row r="200" spans="2:7" ht="20" customHeight="1" x14ac:dyDescent="0.2">
      <c r="B200" s="492" t="s">
        <v>191</v>
      </c>
      <c r="C200" s="493"/>
      <c r="D200" s="493"/>
      <c r="E200" s="494"/>
    </row>
    <row r="201" spans="2:7" ht="20" customHeight="1" x14ac:dyDescent="0.2">
      <c r="B201" s="4" t="s">
        <v>188</v>
      </c>
      <c r="C201" s="80" t="str">
        <f>CONCATENATE(prefix_mgmt_az1_cidr,"19.0/24")</f>
        <v>10.11.19.0/24</v>
      </c>
      <c r="D201" s="94"/>
      <c r="E201" s="32"/>
    </row>
    <row r="202" spans="2:7" ht="20" customHeight="1" x14ac:dyDescent="0.2">
      <c r="B202" s="4" t="s">
        <v>160</v>
      </c>
      <c r="C202" s="80">
        <v>9000</v>
      </c>
      <c r="D202" s="94"/>
      <c r="E202" s="32"/>
    </row>
    <row r="203" spans="2:7" ht="16" customHeight="1" x14ac:dyDescent="0.2"/>
    <row r="204" spans="2:7" ht="34" customHeight="1" x14ac:dyDescent="0.2">
      <c r="B204" s="532" t="s">
        <v>192</v>
      </c>
      <c r="C204" s="533"/>
      <c r="D204" s="533"/>
      <c r="E204" s="534"/>
      <c r="G204" s="27"/>
    </row>
    <row r="205" spans="2:7" ht="20" customHeight="1" x14ac:dyDescent="0.2">
      <c r="B205" s="465" t="s">
        <v>193</v>
      </c>
      <c r="C205" s="466"/>
      <c r="D205" s="466"/>
      <c r="E205" s="467"/>
    </row>
    <row r="206" spans="2:7" ht="20" customHeight="1" x14ac:dyDescent="0.2">
      <c r="B206" s="43" t="s">
        <v>17</v>
      </c>
      <c r="C206" s="346" t="s">
        <v>18</v>
      </c>
      <c r="D206" s="346" t="s">
        <v>19</v>
      </c>
      <c r="E206" s="346" t="s">
        <v>20</v>
      </c>
    </row>
    <row r="207" spans="2:7" ht="20" customHeight="1" x14ac:dyDescent="0.2">
      <c r="B207" s="465" t="s">
        <v>194</v>
      </c>
      <c r="C207" s="466"/>
      <c r="D207" s="466"/>
      <c r="E207" s="467"/>
      <c r="G207" s="27"/>
    </row>
    <row r="208" spans="2:7" ht="20" customHeight="1" x14ac:dyDescent="0.2">
      <c r="B208" s="4" t="s">
        <v>195</v>
      </c>
      <c r="C208" s="362" t="s">
        <v>196</v>
      </c>
      <c r="D208" s="347"/>
      <c r="E208" s="4"/>
    </row>
    <row r="209" spans="2:7" ht="20" customHeight="1" x14ac:dyDescent="0.2">
      <c r="B209" s="465" t="s">
        <v>197</v>
      </c>
      <c r="C209" s="518"/>
      <c r="D209" s="466"/>
      <c r="E209" s="467"/>
    </row>
    <row r="210" spans="2:7" ht="20" customHeight="1" x14ac:dyDescent="0.2">
      <c r="B210" s="4" t="s">
        <v>88</v>
      </c>
      <c r="C210" s="362" t="s">
        <v>93</v>
      </c>
      <c r="D210" s="337" t="s">
        <v>93</v>
      </c>
      <c r="E210" s="4"/>
    </row>
    <row r="211" spans="2:7" ht="20" customHeight="1" x14ac:dyDescent="0.2">
      <c r="B211" s="465" t="s">
        <v>198</v>
      </c>
      <c r="C211" s="518"/>
      <c r="D211" s="466"/>
      <c r="E211" s="467"/>
    </row>
    <row r="212" spans="2:7" ht="20" customHeight="1" x14ac:dyDescent="0.2">
      <c r="B212" s="4" t="s">
        <v>199</v>
      </c>
      <c r="C212" s="362" t="s">
        <v>141</v>
      </c>
      <c r="D212" s="347"/>
      <c r="E212" s="337" t="s">
        <v>200</v>
      </c>
      <c r="G212" s="27"/>
    </row>
    <row r="213" spans="2:7" ht="20" customHeight="1" x14ac:dyDescent="0.2">
      <c r="B213" s="4" t="s">
        <v>201</v>
      </c>
      <c r="C213" s="89" t="str">
        <f>IF(mgmt_dpg_reuse_result="Included",CONCATENATE(prefix_mgmt_az1_cidr,"10.92"),CONCATENATE(prefix_mgmt_az1_cidr,"11.92"))</f>
        <v>10.11.10.92</v>
      </c>
      <c r="D213" s="129"/>
      <c r="E213" s="337" t="s">
        <v>202</v>
      </c>
    </row>
    <row r="214" spans="2:7" ht="20" customHeight="1" x14ac:dyDescent="0.2">
      <c r="B214" s="4" t="s">
        <v>203</v>
      </c>
      <c r="C214" s="89" t="str">
        <f>IF(mgmt_dpg_reuse_result="Included",CONCATENATE(prefix_mgmt_az1_cidr,"10.93"),CONCATENATE(prefix_mgmt_az1_cidr,"11.93"))</f>
        <v>10.11.10.93</v>
      </c>
      <c r="D214" s="129"/>
      <c r="E214" s="337" t="s">
        <v>204</v>
      </c>
    </row>
    <row r="215" spans="2:7" ht="20" customHeight="1" x14ac:dyDescent="0.2">
      <c r="B215" s="4" t="s">
        <v>205</v>
      </c>
      <c r="C215" s="89" t="str">
        <f>IF(mgmt_dpg_reuse_result="Included",CONCATENATE(prefix_mgmt_az1_cidr,"10.94"),CONCATENATE(prefix_mgmt_az1_cidr,"11.94"))</f>
        <v>10.11.10.94</v>
      </c>
      <c r="D215" s="129"/>
      <c r="E215" s="337" t="s">
        <v>206</v>
      </c>
    </row>
    <row r="216" spans="2:7" ht="20" customHeight="1" x14ac:dyDescent="0.2">
      <c r="B216" s="4" t="s">
        <v>207</v>
      </c>
      <c r="C216" s="89" t="str">
        <f>IF(mgmt_dpg_reuse_result="Included",CONCATENATE(prefix_mgmt_az1_cidr,"10.91"),CONCATENATE(prefix_mgmt_az1_cidr,"11.91"))</f>
        <v>10.11.10.91</v>
      </c>
      <c r="D216" s="129"/>
      <c r="E216" s="337" t="s">
        <v>208</v>
      </c>
    </row>
    <row r="217" spans="2:7" ht="20" customHeight="1" x14ac:dyDescent="0.2">
      <c r="B217" s="4" t="s">
        <v>209</v>
      </c>
      <c r="C217" s="362" t="str">
        <f>CONCATENATE(this_instance,"-m01-avilb01",".",sample_child_dns_zone)</f>
        <v>sfo-m01-avilb01.sfo.rainpole.io</v>
      </c>
      <c r="D217" s="347"/>
      <c r="E217" s="4"/>
    </row>
    <row r="218" spans="2:7" ht="20" customHeight="1" x14ac:dyDescent="0.2">
      <c r="B218" s="4" t="s">
        <v>210</v>
      </c>
      <c r="C218" s="362" t="str">
        <f>CONCATENATE(this_instance,"-m01-cl01-avilb01")</f>
        <v>sfo-m01-cl01-avilb01</v>
      </c>
      <c r="D218" s="347"/>
      <c r="E218" s="4"/>
    </row>
    <row r="219" spans="2:7" ht="16" customHeight="1" x14ac:dyDescent="0.2"/>
    <row r="220" spans="2:7" ht="34" customHeight="1" x14ac:dyDescent="0.2">
      <c r="B220" s="532" t="s">
        <v>211</v>
      </c>
      <c r="C220" s="533"/>
      <c r="D220" s="533"/>
      <c r="E220" s="534"/>
      <c r="G220" s="27"/>
    </row>
    <row r="221" spans="2:7" ht="16" customHeight="1" x14ac:dyDescent="0.2">
      <c r="G221" s="27"/>
    </row>
    <row r="222" spans="2:7" ht="34" customHeight="1" x14ac:dyDescent="0.2">
      <c r="B222" s="522" t="s">
        <v>212</v>
      </c>
      <c r="C222" s="523"/>
      <c r="D222" s="523"/>
      <c r="E222" s="524"/>
    </row>
    <row r="223" spans="2:7" ht="20" customHeight="1" x14ac:dyDescent="0.2">
      <c r="B223" s="43" t="s">
        <v>17</v>
      </c>
      <c r="C223" s="346" t="s">
        <v>18</v>
      </c>
      <c r="D223" s="346" t="s">
        <v>19</v>
      </c>
      <c r="E223" s="346" t="s">
        <v>20</v>
      </c>
    </row>
    <row r="224" spans="2:7" ht="20" customHeight="1" x14ac:dyDescent="0.2">
      <c r="B224" s="492" t="s">
        <v>213</v>
      </c>
      <c r="C224" s="493"/>
      <c r="D224" s="493"/>
      <c r="E224" s="494"/>
    </row>
    <row r="225" spans="2:5" ht="20" customHeight="1" x14ac:dyDescent="0.2">
      <c r="B225" s="4" t="s">
        <v>85</v>
      </c>
      <c r="C225" s="80" t="str">
        <f>CONCATENATE(prefix_mgmt_az2_vlan,"11")</f>
        <v>1211</v>
      </c>
      <c r="D225" s="347"/>
      <c r="E225" s="93"/>
    </row>
    <row r="226" spans="2:5" ht="20" customHeight="1" x14ac:dyDescent="0.2">
      <c r="B226" s="4" t="s">
        <v>187</v>
      </c>
      <c r="C226" s="80" t="str">
        <f>CONCATENATE(prefix_mgmt_az2_cidr,"11.1")</f>
        <v>10.12.11.1</v>
      </c>
      <c r="D226" s="347"/>
      <c r="E226" s="32"/>
    </row>
    <row r="227" spans="2:5" ht="20" customHeight="1" x14ac:dyDescent="0.2">
      <c r="B227" s="4" t="s">
        <v>188</v>
      </c>
      <c r="C227" s="80" t="str">
        <f>CONCATENATE(prefix_mgmt_az2_cidr,"11.0/24")</f>
        <v>10.12.11.0/24</v>
      </c>
      <c r="D227" s="347"/>
      <c r="E227" s="32"/>
    </row>
    <row r="228" spans="2:5" ht="20" customHeight="1" x14ac:dyDescent="0.2">
      <c r="B228" s="4" t="s">
        <v>160</v>
      </c>
      <c r="C228" s="80">
        <v>1500</v>
      </c>
      <c r="D228" s="347"/>
      <c r="E228" s="32"/>
    </row>
    <row r="229" spans="2:5" ht="20" customHeight="1" x14ac:dyDescent="0.2">
      <c r="B229" s="535" t="s">
        <v>214</v>
      </c>
      <c r="C229" s="536"/>
      <c r="D229" s="536"/>
      <c r="E229" s="537"/>
    </row>
    <row r="230" spans="2:5" ht="20" customHeight="1" x14ac:dyDescent="0.2">
      <c r="B230" s="17" t="s">
        <v>215</v>
      </c>
      <c r="C230" s="131" t="str">
        <f>CONCATENATE(prefix_mgmt_az2_cidr,"11.101")</f>
        <v>10.12.11.101</v>
      </c>
      <c r="D230" s="347"/>
      <c r="E230" s="132" t="s">
        <v>216</v>
      </c>
    </row>
    <row r="231" spans="2:5" ht="20" customHeight="1" x14ac:dyDescent="0.2">
      <c r="B231" s="17" t="s">
        <v>217</v>
      </c>
      <c r="C231" s="131" t="str">
        <f>CONCATENATE(prefix_mgmt_az2_cidr,"11.102")</f>
        <v>10.12.11.102</v>
      </c>
      <c r="D231" s="347"/>
      <c r="E231" s="132" t="s">
        <v>218</v>
      </c>
    </row>
    <row r="232" spans="2:5" ht="20" customHeight="1" x14ac:dyDescent="0.2">
      <c r="B232" s="17" t="s">
        <v>219</v>
      </c>
      <c r="C232" s="131" t="str">
        <f>CONCATENATE(prefix_mgmt_az2_cidr,"11.103")</f>
        <v>10.12.11.103</v>
      </c>
      <c r="D232" s="347"/>
      <c r="E232" s="132" t="s">
        <v>220</v>
      </c>
    </row>
    <row r="233" spans="2:5" ht="20" customHeight="1" x14ac:dyDescent="0.2">
      <c r="B233" s="17" t="s">
        <v>221</v>
      </c>
      <c r="C233" s="131" t="str">
        <f>CONCATENATE(prefix_mgmt_az2_cidr,"11.104")</f>
        <v>10.12.11.104</v>
      </c>
      <c r="D233" s="347"/>
      <c r="E233" s="132" t="s">
        <v>222</v>
      </c>
    </row>
    <row r="234" spans="2:5" ht="20" customHeight="1" x14ac:dyDescent="0.2">
      <c r="B234" s="17" t="s">
        <v>223</v>
      </c>
      <c r="C234" s="131" t="str">
        <f>CONCATENATE(prefix_mgmt_az2_cidr,"11.105")</f>
        <v>10.12.11.105</v>
      </c>
      <c r="D234" s="347"/>
      <c r="E234" s="132" t="s">
        <v>224</v>
      </c>
    </row>
    <row r="235" spans="2:5" ht="20" customHeight="1" x14ac:dyDescent="0.2">
      <c r="B235" s="17" t="s">
        <v>225</v>
      </c>
      <c r="C235" s="131" t="str">
        <f>CONCATENATE(prefix_mgmt_az2_cidr,"11.106")</f>
        <v>10.12.11.106</v>
      </c>
      <c r="D235" s="347"/>
      <c r="E235" s="132" t="s">
        <v>226</v>
      </c>
    </row>
    <row r="236" spans="2:5" ht="20" customHeight="1" x14ac:dyDescent="0.2">
      <c r="B236" s="17" t="s">
        <v>227</v>
      </c>
      <c r="C236" s="131" t="str">
        <f>CONCATENATE(prefix_mgmt_az2_cidr,"11.107")</f>
        <v>10.12.11.107</v>
      </c>
      <c r="D236" s="347"/>
      <c r="E236" s="132" t="s">
        <v>228</v>
      </c>
    </row>
    <row r="237" spans="2:5" ht="20" customHeight="1" x14ac:dyDescent="0.2">
      <c r="B237" s="17" t="s">
        <v>229</v>
      </c>
      <c r="C237" s="131" t="str">
        <f>CONCATENATE(prefix_mgmt_az2_cidr,"11.108")</f>
        <v>10.12.11.108</v>
      </c>
      <c r="D237" s="347"/>
      <c r="E237" s="132" t="s">
        <v>230</v>
      </c>
    </row>
    <row r="238" spans="2:5" ht="20" customHeight="1" x14ac:dyDescent="0.2">
      <c r="B238" s="17" t="s">
        <v>231</v>
      </c>
      <c r="C238" s="131" t="str">
        <f>CONCATENATE(prefix_mgmt_az2_cidr,"11.109")</f>
        <v>10.12.11.109</v>
      </c>
      <c r="D238" s="347"/>
      <c r="E238" s="132" t="s">
        <v>232</v>
      </c>
    </row>
    <row r="239" spans="2:5" ht="20" customHeight="1" x14ac:dyDescent="0.2">
      <c r="B239" s="17" t="s">
        <v>233</v>
      </c>
      <c r="C239" s="131" t="str">
        <f>CONCATENATE(prefix_mgmt_az2_cidr,"11.110")</f>
        <v>10.12.11.110</v>
      </c>
      <c r="D239" s="347"/>
      <c r="E239" s="132" t="s">
        <v>234</v>
      </c>
    </row>
    <row r="240" spans="2:5" ht="20" customHeight="1" x14ac:dyDescent="0.2">
      <c r="B240" s="17" t="s">
        <v>235</v>
      </c>
      <c r="C240" s="131" t="str">
        <f>CONCATENATE(prefix_mgmt_az2_cidr,"11.111")</f>
        <v>10.12.11.111</v>
      </c>
      <c r="D240" s="347"/>
      <c r="E240" s="132" t="s">
        <v>236</v>
      </c>
    </row>
    <row r="241" spans="2:7" ht="20" customHeight="1" x14ac:dyDescent="0.2">
      <c r="B241" s="17" t="s">
        <v>237</v>
      </c>
      <c r="C241" s="131" t="str">
        <f>CONCATENATE(prefix_mgmt_az2_cidr,"11.112")</f>
        <v>10.12.11.112</v>
      </c>
      <c r="D241" s="347"/>
      <c r="E241" s="132" t="s">
        <v>238</v>
      </c>
    </row>
    <row r="242" spans="2:7" ht="20" customHeight="1" x14ac:dyDescent="0.2">
      <c r="B242" s="17" t="s">
        <v>239</v>
      </c>
      <c r="C242" s="131" t="str">
        <f>CONCATENATE(prefix_mgmt_az2_cidr,"11.113")</f>
        <v>10.12.11.113</v>
      </c>
      <c r="D242" s="347"/>
      <c r="E242" s="132" t="s">
        <v>240</v>
      </c>
    </row>
    <row r="243" spans="2:7" ht="20" customHeight="1" x14ac:dyDescent="0.2">
      <c r="B243" s="17" t="s">
        <v>241</v>
      </c>
      <c r="C243" s="131" t="str">
        <f>CONCATENATE(prefix_mgmt_az2_cidr,"11.114")</f>
        <v>10.12.11.114</v>
      </c>
      <c r="D243" s="347"/>
      <c r="E243" s="132" t="s">
        <v>242</v>
      </c>
    </row>
    <row r="244" spans="2:7" ht="20" customHeight="1" x14ac:dyDescent="0.2">
      <c r="B244" s="17" t="s">
        <v>243</v>
      </c>
      <c r="C244" s="131" t="str">
        <f>CONCATENATE(prefix_mgmt_az2_cidr,"11.115")</f>
        <v>10.12.11.115</v>
      </c>
      <c r="D244" s="347"/>
      <c r="E244" s="132" t="s">
        <v>244</v>
      </c>
    </row>
    <row r="245" spans="2:7" ht="20" customHeight="1" x14ac:dyDescent="0.2">
      <c r="B245" s="17" t="s">
        <v>245</v>
      </c>
      <c r="C245" s="131" t="str">
        <f>CONCATENATE(prefix_mgmt_az2_cidr,"11.116")</f>
        <v>10.12.11.116</v>
      </c>
      <c r="D245" s="347"/>
      <c r="E245" s="132" t="s">
        <v>246</v>
      </c>
    </row>
    <row r="246" spans="2:7" ht="16" customHeight="1" x14ac:dyDescent="0.2">
      <c r="G246" s="27"/>
    </row>
    <row r="247" spans="2:7" ht="34" customHeight="1" x14ac:dyDescent="0.2">
      <c r="B247" s="522" t="s">
        <v>247</v>
      </c>
      <c r="C247" s="523"/>
      <c r="D247" s="523"/>
      <c r="E247" s="524"/>
    </row>
    <row r="248" spans="2:7" ht="20" customHeight="1" x14ac:dyDescent="0.2">
      <c r="B248" s="43" t="s">
        <v>17</v>
      </c>
      <c r="C248" s="346" t="s">
        <v>18</v>
      </c>
      <c r="D248" s="346" t="s">
        <v>19</v>
      </c>
      <c r="E248" s="346" t="s">
        <v>20</v>
      </c>
    </row>
    <row r="249" spans="2:7" ht="20" customHeight="1" x14ac:dyDescent="0.2">
      <c r="B249" s="4" t="s">
        <v>248</v>
      </c>
      <c r="C249" s="362" t="s">
        <v>249</v>
      </c>
      <c r="D249" s="127" t="s">
        <v>249</v>
      </c>
      <c r="E249" s="337" t="str">
        <f>IF(mgmt_az2_reuse_vcf_networkpool_chosen="Re-use an existing VCF Network Pool","An exisiting VCF Network Pool will be reused","A new VCF Network Pool will be created")</f>
        <v>A new VCF Network Pool will be created</v>
      </c>
    </row>
    <row r="250" spans="2:7" ht="20" customHeight="1" x14ac:dyDescent="0.2">
      <c r="B250" s="17" t="s">
        <v>250</v>
      </c>
      <c r="C250" s="133" t="str">
        <f>CONCATENATE(this_instance,"02-m01-r01-network-pool-01")</f>
        <v>sfo02-m01-r01-network-pool-01</v>
      </c>
      <c r="D250" s="134"/>
      <c r="E250" s="32"/>
    </row>
    <row r="251" spans="2:7" ht="20" customHeight="1" x14ac:dyDescent="0.2">
      <c r="B251" s="492" t="s">
        <v>251</v>
      </c>
      <c r="C251" s="493"/>
      <c r="D251" s="493"/>
      <c r="E251" s="494"/>
    </row>
    <row r="252" spans="2:7" ht="20" customHeight="1" x14ac:dyDescent="0.2">
      <c r="B252" s="4" t="s">
        <v>85</v>
      </c>
      <c r="C252" s="80" t="str">
        <f>CONCATENATE(prefix_mgmt_az2_vlan,"12")</f>
        <v>1212</v>
      </c>
      <c r="D252" s="347"/>
      <c r="E252" s="143" t="str">
        <f>IF(mgmt_az2_reuse_vcf_networkpool_chosen="Re-use an existing VCF Network Pool", "Inputs are masked out as existing VCF Network Pool will be used","")</f>
        <v/>
      </c>
    </row>
    <row r="253" spans="2:7" ht="20" customHeight="1" x14ac:dyDescent="0.2">
      <c r="B253" s="4" t="s">
        <v>160</v>
      </c>
      <c r="C253" s="80">
        <v>9000</v>
      </c>
      <c r="D253" s="347"/>
      <c r="E253" s="32"/>
    </row>
    <row r="254" spans="2:7" ht="20" customHeight="1" x14ac:dyDescent="0.2">
      <c r="B254" s="4" t="s">
        <v>252</v>
      </c>
      <c r="C254" s="80" t="str">
        <f>CONCATENATE(prefix_mgmt_az2_cidr,"12.0")</f>
        <v>10.12.12.0</v>
      </c>
      <c r="D254" s="347"/>
      <c r="E254" s="32"/>
    </row>
    <row r="255" spans="2:7" ht="20" customHeight="1" x14ac:dyDescent="0.2">
      <c r="B255" s="4" t="s">
        <v>253</v>
      </c>
      <c r="C255" s="80" t="s">
        <v>128</v>
      </c>
      <c r="D255" s="347"/>
      <c r="E255" s="32"/>
    </row>
    <row r="256" spans="2:7" ht="20" customHeight="1" x14ac:dyDescent="0.2">
      <c r="B256" s="4" t="s">
        <v>254</v>
      </c>
      <c r="C256" s="80" t="str">
        <f>CONCATENATE(prefix_mgmt_az2_cidr,"12.1")</f>
        <v>10.12.12.1</v>
      </c>
      <c r="D256" s="347"/>
      <c r="E256" s="32"/>
    </row>
    <row r="257" spans="2:5" ht="20" customHeight="1" x14ac:dyDescent="0.2">
      <c r="B257" s="17" t="s">
        <v>255</v>
      </c>
      <c r="C257" s="80" t="str">
        <f>CONCATENATE(prefix_mgmt_az2_cidr,"12.101")</f>
        <v>10.12.12.101</v>
      </c>
      <c r="D257" s="347"/>
      <c r="E257" s="32"/>
    </row>
    <row r="258" spans="2:5" ht="20" customHeight="1" x14ac:dyDescent="0.2">
      <c r="B258" s="17" t="s">
        <v>256</v>
      </c>
      <c r="C258" s="80" t="str">
        <f>CONCATENATE(prefix_mgmt_az2_cidr,"12.116")</f>
        <v>10.12.12.116</v>
      </c>
      <c r="D258" s="347"/>
      <c r="E258" s="32"/>
    </row>
    <row r="259" spans="2:5" ht="20" customHeight="1" x14ac:dyDescent="0.2">
      <c r="B259" s="492" t="s">
        <v>257</v>
      </c>
      <c r="C259" s="493"/>
      <c r="D259" s="493"/>
      <c r="E259" s="494"/>
    </row>
    <row r="260" spans="2:5" ht="20" customHeight="1" x14ac:dyDescent="0.2">
      <c r="B260" s="4" t="s">
        <v>85</v>
      </c>
      <c r="C260" s="80" t="str">
        <f>CONCATENATE(prefix_mgmt_az2_vlan,"13")</f>
        <v>1213</v>
      </c>
      <c r="D260" s="347"/>
      <c r="E260" s="33" t="str">
        <f>IF(mgmt_az2_reuse_vcf_networkpool_chosen="Re-use an existing VCF Network Pool", "Inputs are masked out as existing VCF Network Pool will be used","")</f>
        <v/>
      </c>
    </row>
    <row r="261" spans="2:5" ht="20" customHeight="1" x14ac:dyDescent="0.2">
      <c r="B261" s="4" t="s">
        <v>160</v>
      </c>
      <c r="C261" s="80">
        <v>9000</v>
      </c>
      <c r="D261" s="347"/>
      <c r="E261" s="32"/>
    </row>
    <row r="262" spans="2:5" ht="20" customHeight="1" x14ac:dyDescent="0.2">
      <c r="B262" s="4" t="s">
        <v>252</v>
      </c>
      <c r="C262" s="80" t="str">
        <f>CONCATENATE(prefix_mgmt_az2_cidr,"13.0")</f>
        <v>10.12.13.0</v>
      </c>
      <c r="D262" s="347"/>
      <c r="E262" s="56"/>
    </row>
    <row r="263" spans="2:5" ht="20" customHeight="1" x14ac:dyDescent="0.2">
      <c r="B263" s="4" t="s">
        <v>253</v>
      </c>
      <c r="C263" s="80" t="s">
        <v>128</v>
      </c>
      <c r="D263" s="347"/>
      <c r="E263" s="56"/>
    </row>
    <row r="264" spans="2:5" ht="20" customHeight="1" x14ac:dyDescent="0.2">
      <c r="B264" s="4" t="s">
        <v>254</v>
      </c>
      <c r="C264" s="80" t="str">
        <f>CONCATENATE(prefix_mgmt_az2_cidr,"13.1")</f>
        <v>10.12.13.1</v>
      </c>
      <c r="D264" s="347"/>
      <c r="E264" s="32" t="str">
        <f>IF(AND(mgmt_stretched_cluster_result="Included",mgmt_dpg_reuse_result="Excluded"),"Stretched L2","")</f>
        <v/>
      </c>
    </row>
    <row r="265" spans="2:5" ht="20" customHeight="1" x14ac:dyDescent="0.2">
      <c r="B265" s="17" t="s">
        <v>255</v>
      </c>
      <c r="C265" s="80" t="str">
        <f>CONCATENATE(prefix_mgmt_az2_cidr,"13.101")</f>
        <v>10.12.13.101</v>
      </c>
      <c r="D265" s="347"/>
      <c r="E265" s="56"/>
    </row>
    <row r="266" spans="2:5" ht="20" customHeight="1" x14ac:dyDescent="0.2">
      <c r="B266" s="17" t="s">
        <v>256</v>
      </c>
      <c r="C266" s="80" t="str">
        <f>CONCATENATE(prefix_mgmt_az2_cidr,"13.116")</f>
        <v>10.12.13.116</v>
      </c>
      <c r="D266" s="347"/>
      <c r="E266" s="56"/>
    </row>
    <row r="267" spans="2:5" ht="20" customHeight="1" x14ac:dyDescent="0.2">
      <c r="B267" s="492" t="s">
        <v>258</v>
      </c>
      <c r="C267" s="493"/>
      <c r="D267" s="493"/>
      <c r="E267" s="494"/>
    </row>
    <row r="268" spans="2:5" ht="20" customHeight="1" x14ac:dyDescent="0.2">
      <c r="B268" s="4" t="s">
        <v>85</v>
      </c>
      <c r="C268" s="135" t="str">
        <f>CONCATENATE(prefix_mgmt_az2_vlan,"15")</f>
        <v>1215</v>
      </c>
      <c r="D268" s="347"/>
      <c r="E268" s="33" t="str">
        <f>IF(mgmt_az2_reuse_vcf_networkpool_chosen="Re-use an existing VCF Network Pool", "Inputs are masked out as existing VCF Network Pool will be used",IF(mgmt_principal_storage_chosen&lt;&gt;"NFSv3","Input is masked out and only required if configuring NFS Storage",""))</f>
        <v>Input is masked out and only required if configuring NFS Storage</v>
      </c>
    </row>
    <row r="269" spans="2:5" ht="20" customHeight="1" x14ac:dyDescent="0.2">
      <c r="B269" s="4" t="s">
        <v>160</v>
      </c>
      <c r="C269" s="136">
        <v>9000</v>
      </c>
      <c r="D269" s="347"/>
      <c r="E269" s="32"/>
    </row>
    <row r="270" spans="2:5" ht="20" customHeight="1" x14ac:dyDescent="0.2">
      <c r="B270" s="4" t="s">
        <v>252</v>
      </c>
      <c r="C270" s="136" t="str">
        <f>CONCATENATE(prefix_mgmt_az2_cidr,"15.0")</f>
        <v>10.12.15.0</v>
      </c>
      <c r="D270" s="347"/>
      <c r="E270" s="56"/>
    </row>
    <row r="271" spans="2:5" ht="20" customHeight="1" x14ac:dyDescent="0.2">
      <c r="B271" s="4" t="s">
        <v>253</v>
      </c>
      <c r="C271" s="136" t="s">
        <v>128</v>
      </c>
      <c r="D271" s="347"/>
      <c r="E271" s="56"/>
    </row>
    <row r="272" spans="2:5" ht="20" customHeight="1" x14ac:dyDescent="0.2">
      <c r="B272" s="4" t="s">
        <v>254</v>
      </c>
      <c r="C272" s="136" t="str">
        <f>CONCATENATE(prefix_mgmt_az2_cidr,"15.1")</f>
        <v>10.12.15.1</v>
      </c>
      <c r="D272" s="347"/>
      <c r="E272" s="32" t="str">
        <f>IF(AND(mgmt_stretched_cluster_result="Included",mgmt_dpg_reuse_result="Excluded"),"Stretched L2","")</f>
        <v/>
      </c>
    </row>
    <row r="273" spans="2:5" ht="20" customHeight="1" x14ac:dyDescent="0.2">
      <c r="B273" s="17" t="s">
        <v>255</v>
      </c>
      <c r="C273" s="136" t="str">
        <f>CONCATENATE(prefix_mgmt_az2_cidr,"15.101")</f>
        <v>10.12.15.101</v>
      </c>
      <c r="D273" s="347"/>
      <c r="E273" s="56"/>
    </row>
    <row r="274" spans="2:5" ht="20" customHeight="1" x14ac:dyDescent="0.2">
      <c r="B274" s="17" t="s">
        <v>256</v>
      </c>
      <c r="C274" s="136" t="str">
        <f>CONCATENATE(prefix_mgmt_az2_cidr,"15.116")</f>
        <v>10.12.15.116</v>
      </c>
      <c r="D274" s="347"/>
      <c r="E274" s="56"/>
    </row>
    <row r="275" spans="2:5" ht="16" customHeight="1" x14ac:dyDescent="0.2"/>
    <row r="276" spans="2:5" ht="34" customHeight="1" x14ac:dyDescent="0.2">
      <c r="B276" s="522" t="s">
        <v>259</v>
      </c>
      <c r="C276" s="523"/>
      <c r="D276" s="523"/>
      <c r="E276" s="524"/>
    </row>
    <row r="277" spans="2:5" ht="20" customHeight="1" x14ac:dyDescent="0.2">
      <c r="B277" s="505" t="s">
        <v>260</v>
      </c>
      <c r="C277" s="506"/>
      <c r="D277" s="506"/>
      <c r="E277" s="507"/>
    </row>
    <row r="278" spans="2:5" ht="20" customHeight="1" x14ac:dyDescent="0.2">
      <c r="B278" s="43" t="s">
        <v>261</v>
      </c>
      <c r="C278" s="43" t="s">
        <v>262</v>
      </c>
      <c r="D278" s="130" t="s">
        <v>19</v>
      </c>
      <c r="E278" s="43" t="s">
        <v>263</v>
      </c>
    </row>
    <row r="279" spans="2:5" ht="20" customHeight="1" x14ac:dyDescent="0.2">
      <c r="B279" s="17" t="s">
        <v>215</v>
      </c>
      <c r="C279" s="89" t="str">
        <f>CONCATENATE(this_instance,"02-m01-r01-esx01",".",sample_child_dns_zone)</f>
        <v>sfo02-m01-r01-esx01.sfo.rainpole.io</v>
      </c>
      <c r="D279" s="347"/>
      <c r="E279" s="32"/>
    </row>
    <row r="280" spans="2:5" ht="20" customHeight="1" x14ac:dyDescent="0.2">
      <c r="B280" s="17" t="s">
        <v>217</v>
      </c>
      <c r="C280" s="89" t="str">
        <f>CONCATENATE(this_instance,"02-m01-r01-esx02",".",sample_child_dns_zone)</f>
        <v>sfo02-m01-r01-esx02.sfo.rainpole.io</v>
      </c>
      <c r="D280" s="347"/>
      <c r="E280" s="32"/>
    </row>
    <row r="281" spans="2:5" ht="20" customHeight="1" x14ac:dyDescent="0.2">
      <c r="B281" s="17" t="s">
        <v>219</v>
      </c>
      <c r="C281" s="89" t="str">
        <f>CONCATENATE(this_instance,"02-m01-r01-esx03",".",sample_child_dns_zone)</f>
        <v>sfo02-m01-r01-esx03.sfo.rainpole.io</v>
      </c>
      <c r="D281" s="347"/>
      <c r="E281" s="32"/>
    </row>
    <row r="282" spans="2:5" ht="20" customHeight="1" x14ac:dyDescent="0.2">
      <c r="B282" s="17" t="s">
        <v>221</v>
      </c>
      <c r="C282" s="89" t="str">
        <f>CONCATENATE(this_instance,"02-m01-r01-esx04",".",sample_child_dns_zone)</f>
        <v>sfo02-m01-r01-esx04.sfo.rainpole.io</v>
      </c>
      <c r="D282" s="347"/>
      <c r="E282" s="32"/>
    </row>
    <row r="283" spans="2:5" ht="20" customHeight="1" x14ac:dyDescent="0.2">
      <c r="B283" s="17" t="s">
        <v>223</v>
      </c>
      <c r="C283" s="89" t="str">
        <f>CONCATENATE(this_instance,"02-m01-r01-esx05",".",sample_child_dns_zone)</f>
        <v>sfo02-m01-r01-esx05.sfo.rainpole.io</v>
      </c>
      <c r="D283" s="347"/>
      <c r="E283" s="32"/>
    </row>
    <row r="284" spans="2:5" ht="20" customHeight="1" x14ac:dyDescent="0.2">
      <c r="B284" s="17" t="s">
        <v>225</v>
      </c>
      <c r="C284" s="89" t="str">
        <f>CONCATENATE(this_instance,"02-m01-r01-esx06",".",sample_child_dns_zone)</f>
        <v>sfo02-m01-r01-esx06.sfo.rainpole.io</v>
      </c>
      <c r="D284" s="347"/>
      <c r="E284" s="32"/>
    </row>
    <row r="285" spans="2:5" ht="20" customHeight="1" x14ac:dyDescent="0.2">
      <c r="B285" s="17" t="s">
        <v>227</v>
      </c>
      <c r="C285" s="89" t="str">
        <f>CONCATENATE(this_instance,"02-m01-r01-esx07",".",sample_child_dns_zone)</f>
        <v>sfo02-m01-r01-esx07.sfo.rainpole.io</v>
      </c>
      <c r="D285" s="347"/>
      <c r="E285" s="32"/>
    </row>
    <row r="286" spans="2:5" ht="20" customHeight="1" x14ac:dyDescent="0.2">
      <c r="B286" s="17" t="s">
        <v>229</v>
      </c>
      <c r="C286" s="89" t="str">
        <f>CONCATENATE(this_instance,"02-m01-r01-esx08",".",sample_child_dns_zone)</f>
        <v>sfo02-m01-r01-esx08.sfo.rainpole.io</v>
      </c>
      <c r="D286" s="347"/>
      <c r="E286" s="32"/>
    </row>
    <row r="287" spans="2:5" ht="20" customHeight="1" x14ac:dyDescent="0.2">
      <c r="B287" s="17" t="s">
        <v>231</v>
      </c>
      <c r="C287" s="89" t="str">
        <f>CONCATENATE(this_instance,"02-m01-r01-esx09",".",sample_child_dns_zone)</f>
        <v>sfo02-m01-r01-esx09.sfo.rainpole.io</v>
      </c>
      <c r="D287" s="347"/>
      <c r="E287" s="32"/>
    </row>
    <row r="288" spans="2:5" ht="20" customHeight="1" x14ac:dyDescent="0.2">
      <c r="B288" s="17" t="s">
        <v>233</v>
      </c>
      <c r="C288" s="89" t="str">
        <f>CONCATENATE(this_instance,"02-m01-r01-esx10",".",sample_child_dns_zone)</f>
        <v>sfo02-m01-r01-esx10.sfo.rainpole.io</v>
      </c>
      <c r="D288" s="347"/>
      <c r="E288" s="32"/>
    </row>
    <row r="289" spans="2:5" ht="20" customHeight="1" x14ac:dyDescent="0.2">
      <c r="B289" s="17" t="s">
        <v>235</v>
      </c>
      <c r="C289" s="89" t="str">
        <f>CONCATENATE(this_instance,"02-m01-r01-esx11",".",sample_child_dns_zone)</f>
        <v>sfo02-m01-r01-esx11.sfo.rainpole.io</v>
      </c>
      <c r="D289" s="347"/>
      <c r="E289" s="32"/>
    </row>
    <row r="290" spans="2:5" ht="20" customHeight="1" x14ac:dyDescent="0.2">
      <c r="B290" s="17" t="s">
        <v>237</v>
      </c>
      <c r="C290" s="89" t="str">
        <f>CONCATENATE(this_instance,"02-m01-r01-esx12",".",sample_child_dns_zone)</f>
        <v>sfo02-m01-r01-esx12.sfo.rainpole.io</v>
      </c>
      <c r="D290" s="347"/>
      <c r="E290" s="32"/>
    </row>
    <row r="291" spans="2:5" ht="20" customHeight="1" x14ac:dyDescent="0.2">
      <c r="B291" s="17" t="s">
        <v>239</v>
      </c>
      <c r="C291" s="89" t="str">
        <f>CONCATENATE(this_instance,"02-m01-r01-esx13",".",sample_child_dns_zone)</f>
        <v>sfo02-m01-r01-esx13.sfo.rainpole.io</v>
      </c>
      <c r="D291" s="347"/>
      <c r="E291" s="32"/>
    </row>
    <row r="292" spans="2:5" ht="20" customHeight="1" x14ac:dyDescent="0.2">
      <c r="B292" s="17" t="s">
        <v>241</v>
      </c>
      <c r="C292" s="89" t="str">
        <f>CONCATENATE(this_instance,"02-m01-r01-esx14",".",sample_child_dns_zone)</f>
        <v>sfo02-m01-r01-esx14.sfo.rainpole.io</v>
      </c>
      <c r="D292" s="347"/>
      <c r="E292" s="32"/>
    </row>
    <row r="293" spans="2:5" ht="20" customHeight="1" x14ac:dyDescent="0.2">
      <c r="B293" s="17" t="s">
        <v>243</v>
      </c>
      <c r="C293" s="89" t="str">
        <f>CONCATENATE(this_instance,"02-m01-r01-esx15",".",sample_child_dns_zone)</f>
        <v>sfo02-m01-r01-esx15.sfo.rainpole.io</v>
      </c>
      <c r="D293" s="347"/>
      <c r="E293" s="32"/>
    </row>
    <row r="294" spans="2:5" ht="20" customHeight="1" x14ac:dyDescent="0.2">
      <c r="B294" s="17" t="s">
        <v>245</v>
      </c>
      <c r="C294" s="89" t="str">
        <f>CONCATENATE(this_instance,"02-m01-r01-esx16",".",sample_child_dns_zone)</f>
        <v>sfo02-m01-r01-esx16.sfo.rainpole.io</v>
      </c>
      <c r="D294" s="347"/>
      <c r="E294" s="32"/>
    </row>
    <row r="295" spans="2:5" ht="20" customHeight="1" x14ac:dyDescent="0.2">
      <c r="B295" s="17" t="s">
        <v>264</v>
      </c>
      <c r="C295" s="78" t="s">
        <v>265</v>
      </c>
      <c r="D295" s="337" t="s">
        <v>265</v>
      </c>
      <c r="E295" s="32"/>
    </row>
    <row r="296" spans="2:5" ht="20" customHeight="1" x14ac:dyDescent="0.2">
      <c r="B296" s="17" t="s">
        <v>266</v>
      </c>
      <c r="C296" s="78" t="s">
        <v>267</v>
      </c>
      <c r="D296" s="347" t="s">
        <v>267</v>
      </c>
      <c r="E296" s="32"/>
    </row>
    <row r="297" spans="2:5" ht="20" customHeight="1" x14ac:dyDescent="0.2">
      <c r="B297" s="17" t="s">
        <v>268</v>
      </c>
      <c r="C297" s="78" t="s">
        <v>159</v>
      </c>
      <c r="D297" s="337" t="str">
        <f>IF(mgmt_principal_storage_chosen="vSAN-ESA","Selected","Unselected")</f>
        <v>Selected</v>
      </c>
      <c r="E297" s="32"/>
    </row>
    <row r="298" spans="2:5" ht="20" customHeight="1" x14ac:dyDescent="0.2">
      <c r="B298" s="17" t="s">
        <v>250</v>
      </c>
      <c r="C298" s="78" t="str">
        <f>sample_mgmt_az2_pool_name</f>
        <v>sfo02-m01-r01-network-pool-01</v>
      </c>
      <c r="D298" s="337" t="str">
        <f>mgmt_az2_pool_name</f>
        <v>Value Missing</v>
      </c>
      <c r="E298" s="32"/>
    </row>
    <row r="299" spans="2:5" ht="20" customHeight="1" x14ac:dyDescent="0.2">
      <c r="B299" s="17" t="s">
        <v>46</v>
      </c>
      <c r="C299" s="78" t="s">
        <v>269</v>
      </c>
      <c r="D299" s="347"/>
      <c r="E299" s="32"/>
    </row>
    <row r="300" spans="2:5" ht="20" customHeight="1" x14ac:dyDescent="0.2">
      <c r="B300" s="17" t="s">
        <v>29</v>
      </c>
      <c r="C300" s="78" t="s">
        <v>30</v>
      </c>
      <c r="D300" s="347"/>
      <c r="E300" s="32"/>
    </row>
    <row r="301" spans="2:5" ht="16" customHeight="1" x14ac:dyDescent="0.2"/>
    <row r="302" spans="2:5" ht="34" customHeight="1" x14ac:dyDescent="0.2">
      <c r="B302" s="522" t="s">
        <v>270</v>
      </c>
      <c r="C302" s="523"/>
      <c r="D302" s="523"/>
      <c r="E302" s="524"/>
    </row>
    <row r="303" spans="2:5" ht="20" customHeight="1" x14ac:dyDescent="0.2">
      <c r="B303" s="492" t="s">
        <v>271</v>
      </c>
      <c r="C303" s="493"/>
      <c r="D303" s="493"/>
      <c r="E303" s="494"/>
    </row>
    <row r="304" spans="2:5" ht="20" customHeight="1" x14ac:dyDescent="0.2">
      <c r="B304" s="43" t="s">
        <v>261</v>
      </c>
      <c r="C304" s="43" t="s">
        <v>262</v>
      </c>
      <c r="D304" s="130" t="s">
        <v>19</v>
      </c>
      <c r="E304" s="43" t="s">
        <v>263</v>
      </c>
    </row>
    <row r="305" spans="2:5" ht="20" customHeight="1" x14ac:dyDescent="0.2">
      <c r="B305" s="4" t="s">
        <v>85</v>
      </c>
      <c r="C305" s="80" t="str">
        <f>IF(mgmt_dpg_reuse_result="Included",CONCATENATE(prefix_mgmt_witness_vlan,"10"),CONCATENATE(prefix_mgmt_witness_vlan,"11"))</f>
        <v>2110</v>
      </c>
      <c r="D305" s="347"/>
      <c r="E305" s="32"/>
    </row>
    <row r="306" spans="2:5" ht="20" customHeight="1" x14ac:dyDescent="0.2">
      <c r="B306" s="4" t="s">
        <v>187</v>
      </c>
      <c r="C306" s="362" t="str">
        <f>IF(mgmt_dpg_reuse_result="Included",CONCATENATE(prefix_mgmt_witness_cidr,"10.1"),CONCATENATE(prefix_mgmt_witness_cidr,"11.1"))</f>
        <v>10.21.10.1</v>
      </c>
      <c r="D306" s="347"/>
      <c r="E306" s="32" t="str">
        <f>IF(AND(mgmt_stretched_cluster_result="Included",mgmt_dpg_reuse_result="Excluded"),"Stretched L2","")</f>
        <v/>
      </c>
    </row>
    <row r="307" spans="2:5" ht="20" customHeight="1" x14ac:dyDescent="0.2">
      <c r="B307" s="4" t="s">
        <v>188</v>
      </c>
      <c r="C307" s="362" t="str">
        <f>IF(mgmt_dpg_reuse_result="Included",CONCATENATE(prefix_mgmt_witness_cidr,"10.0/24"),CONCATENATE(prefix_mgmt_witness_cidr,"11.0/24"))</f>
        <v>10.21.10.0/24</v>
      </c>
      <c r="D307" s="347"/>
      <c r="E307" s="32"/>
    </row>
    <row r="308" spans="2:5" ht="20" customHeight="1" x14ac:dyDescent="0.2">
      <c r="B308" s="4" t="s">
        <v>160</v>
      </c>
      <c r="C308" s="80">
        <v>1500</v>
      </c>
      <c r="D308" s="347"/>
      <c r="E308" s="32"/>
    </row>
    <row r="309" spans="2:5" ht="20" customHeight="1" x14ac:dyDescent="0.2">
      <c r="B309" s="505" t="s">
        <v>272</v>
      </c>
      <c r="C309" s="506"/>
      <c r="D309" s="506"/>
      <c r="E309" s="507"/>
    </row>
    <row r="310" spans="2:5" ht="20" customHeight="1" x14ac:dyDescent="0.2">
      <c r="B310" s="4" t="s">
        <v>273</v>
      </c>
      <c r="C310" s="126" t="str">
        <f>CONCATENATE(other_instance,"-m01-vc01.",other_instance,".rainpole.io")</f>
        <v>lax-m01-vc01.lax.rainpole.io</v>
      </c>
      <c r="D310" s="129"/>
      <c r="E310" s="337" t="s">
        <v>274</v>
      </c>
    </row>
    <row r="311" spans="2:5" ht="20" customHeight="1" x14ac:dyDescent="0.2">
      <c r="B311" s="4" t="s">
        <v>275</v>
      </c>
      <c r="C311" s="181" t="str">
        <f>IF(mgmt_dpg_reuse_result="Included",CONCATENATE(prefix_other_region_az1_cidr,"10.70"),CONCATENATE(prefix_other_region_az1_cidr,"11.70"))</f>
        <v>10.21.10.70</v>
      </c>
      <c r="D311" s="182"/>
      <c r="E311" s="4"/>
    </row>
    <row r="312" spans="2:5" ht="20" customHeight="1" x14ac:dyDescent="0.2">
      <c r="B312" s="4" t="s">
        <v>276</v>
      </c>
      <c r="C312" s="126" t="str">
        <f>CONCATENATE(this_instance,"-m01-cl01-vsw01")</f>
        <v>sfo-m01-cl01-vsw01</v>
      </c>
      <c r="D312" s="129"/>
      <c r="E312" s="4"/>
    </row>
    <row r="313" spans="2:5" ht="20" customHeight="1" x14ac:dyDescent="0.2">
      <c r="B313" s="4" t="s">
        <v>277</v>
      </c>
      <c r="C313" s="362" t="str">
        <f>CONCATENATE(other_instance,"-m01-cl01")</f>
        <v>lax-m01-cl01</v>
      </c>
      <c r="D313" s="129"/>
      <c r="E313" s="4"/>
    </row>
    <row r="314" spans="2:5" ht="20" customHeight="1" x14ac:dyDescent="0.2">
      <c r="B314" s="4" t="s">
        <v>278</v>
      </c>
      <c r="C314" s="362" t="str">
        <f>CONCATENATE(other_instance,"-m01","-fd-mgmt")</f>
        <v>lax-m01-fd-mgmt</v>
      </c>
      <c r="D314" s="129"/>
      <c r="E314" s="4"/>
    </row>
    <row r="315" spans="2:5" ht="20" customHeight="1" x14ac:dyDescent="0.2">
      <c r="B315" s="4" t="s">
        <v>279</v>
      </c>
      <c r="C315" s="362" t="str">
        <f>CONCATENATE(other_instance,"-m01-cl01-ds-vsan01")</f>
        <v>lax-m01-cl01-ds-vsan01</v>
      </c>
      <c r="D315" s="129"/>
      <c r="E315" s="4"/>
    </row>
    <row r="316" spans="2:5" ht="20" customHeight="1" x14ac:dyDescent="0.2">
      <c r="B316" s="4" t="s">
        <v>280</v>
      </c>
      <c r="C316" s="362" t="str">
        <f>CONCATENATE(other_instance,"01-m01-cl01-vds01-pg-mgmt")</f>
        <v>lax01-m01-cl01-vds01-pg-mgmt</v>
      </c>
      <c r="D316" s="129"/>
      <c r="E316" s="4"/>
    </row>
    <row r="317" spans="2:5" ht="20" customHeight="1" x14ac:dyDescent="0.2">
      <c r="B317" s="4" t="s">
        <v>281</v>
      </c>
      <c r="C317" s="362" t="str">
        <f>sample_mgmt_witness_mgmt_pg</f>
        <v>lax01-m01-cl01-vds01-pg-mgmt</v>
      </c>
      <c r="D317" s="9" t="str">
        <f>mgmt_witness_mgmt_pg</f>
        <v>Value Missing</v>
      </c>
      <c r="E317" s="4"/>
    </row>
    <row r="318" spans="2:5" ht="20" customHeight="1" x14ac:dyDescent="0.2">
      <c r="B318" s="4" t="s">
        <v>282</v>
      </c>
      <c r="C318" s="362" t="s">
        <v>30</v>
      </c>
      <c r="D318" s="129"/>
      <c r="E318" s="4"/>
    </row>
    <row r="319" spans="2:5" ht="20" customHeight="1" x14ac:dyDescent="0.2">
      <c r="B319" s="4" t="s">
        <v>283</v>
      </c>
      <c r="C319" s="126" t="str">
        <f>IF(mgmt_dpg_reuse_result="Included",CONCATENATE(prefix_other_region_az1_cidr,"10.218"),CONCATENATE(prefix_other_region_az1_cidr,"11.219"))</f>
        <v>10.21.10.218</v>
      </c>
      <c r="D319" s="129"/>
      <c r="E319" s="337" t="s">
        <v>284</v>
      </c>
    </row>
    <row r="320" spans="2:5" ht="20" customHeight="1" x14ac:dyDescent="0.2">
      <c r="B320" s="4" t="s">
        <v>285</v>
      </c>
      <c r="C320" s="362" t="s">
        <v>128</v>
      </c>
      <c r="D320" s="9" t="str">
        <f>mgmt_witnessaz_mgmt_mask</f>
        <v>Value Missing</v>
      </c>
      <c r="E320" s="4"/>
    </row>
    <row r="321" spans="2:7" ht="20" customHeight="1" x14ac:dyDescent="0.2">
      <c r="B321" s="4" t="s">
        <v>187</v>
      </c>
      <c r="C321" s="362" t="str">
        <f>sample_mgmt_witnessaz_mgmt_gateway_ip</f>
        <v>10.21.10.1</v>
      </c>
      <c r="D321" s="9" t="str">
        <f>mgmt_witnessaz_mgmt_gateway_ip</f>
        <v>Value Missing</v>
      </c>
      <c r="E321" s="4"/>
    </row>
    <row r="322" spans="2:7" ht="20" customHeight="1" x14ac:dyDescent="0.2">
      <c r="B322" s="4" t="s">
        <v>286</v>
      </c>
      <c r="C322" s="362" t="str">
        <f>sample_child_dns_zone</f>
        <v>sfo.rainpole.io</v>
      </c>
      <c r="D322" s="9"/>
      <c r="E322" s="4"/>
    </row>
    <row r="323" spans="2:7" ht="20" customHeight="1" x14ac:dyDescent="0.2">
      <c r="B323" s="4" t="s">
        <v>287</v>
      </c>
      <c r="C323" s="362" t="str">
        <f>CONCATENATE(this_instance,"-m01-cl01-vsw01")</f>
        <v>sfo-m01-cl01-vsw01</v>
      </c>
      <c r="D323" s="9" t="str">
        <f>mgmt_witness_hostname</f>
        <v>Value Missing</v>
      </c>
      <c r="E323" s="4"/>
    </row>
    <row r="324" spans="2:7" ht="20" customHeight="1" x14ac:dyDescent="0.2">
      <c r="B324" s="4" t="s">
        <v>288</v>
      </c>
      <c r="C324" s="80" t="str">
        <f>IF(mgmt_dpg_reuse_result="Included",CONCATENATE(prefix_other_region_az1_cidr,"10.4"),CONCATENATE(prefix_other_region_az1_cidr,"11.4"))</f>
        <v>10.21.10.4</v>
      </c>
      <c r="D324" s="129"/>
      <c r="E324" s="337" t="s">
        <v>289</v>
      </c>
    </row>
    <row r="325" spans="2:7" ht="20" customHeight="1" x14ac:dyDescent="0.2">
      <c r="B325" s="4" t="s">
        <v>290</v>
      </c>
      <c r="C325" s="80" t="str">
        <f>IF(mgmt_dpg_reuse_result="Included",CONCATENATE(prefix_other_region_az1_cidr,"10.5"),CONCATENATE(prefix_other_region_az1_cidr,"11.5"))</f>
        <v>10.21.10.5</v>
      </c>
      <c r="D325" s="129"/>
      <c r="E325" s="337" t="s">
        <v>291</v>
      </c>
    </row>
    <row r="326" spans="2:7" ht="20" customHeight="1" x14ac:dyDescent="0.2">
      <c r="B326" s="4" t="s">
        <v>292</v>
      </c>
      <c r="C326" s="84" t="str">
        <f>CONCATENATE("ntp0.",this_instance,".rainpole.io")</f>
        <v>ntp0.sfo.rainpole.io</v>
      </c>
      <c r="D326" s="129"/>
      <c r="E326" s="337"/>
    </row>
    <row r="327" spans="2:7" ht="20" customHeight="1" x14ac:dyDescent="0.2">
      <c r="B327" s="4" t="s">
        <v>293</v>
      </c>
      <c r="C327" s="137" t="str">
        <f>CONCATENATE("ntp1.",this_instance,".rainpole.io")</f>
        <v>ntp1.sfo.rainpole.io</v>
      </c>
      <c r="D327" s="129"/>
      <c r="E327" s="4"/>
      <c r="G327" s="27"/>
    </row>
    <row r="328" spans="2:7" ht="20" customHeight="1" x14ac:dyDescent="0.2">
      <c r="B328" s="505" t="s">
        <v>294</v>
      </c>
      <c r="C328" s="506"/>
      <c r="D328" s="506"/>
      <c r="E328" s="507"/>
    </row>
    <row r="329" spans="2:7" ht="20" customHeight="1" x14ac:dyDescent="0.2">
      <c r="B329" s="4" t="s">
        <v>273</v>
      </c>
      <c r="C329" s="362" t="str">
        <f>sample_mgmt_vc_fqdn</f>
        <v>sfo-m01-vc01.sfo.rainpole.io</v>
      </c>
      <c r="D329" s="343" t="str">
        <f>mgmt_vc_fqdn</f>
        <v>Value Missing</v>
      </c>
      <c r="E329" s="4"/>
      <c r="G329" s="27"/>
    </row>
    <row r="330" spans="2:7" ht="20" customHeight="1" x14ac:dyDescent="0.2">
      <c r="B330" s="4" t="s">
        <v>295</v>
      </c>
      <c r="C330" s="362" t="str">
        <f>sample_mgmt_datacenter</f>
        <v>sfo-m01-dc01</v>
      </c>
      <c r="D330" s="343" t="str">
        <f>mgmt_datacenter</f>
        <v>Value Missing</v>
      </c>
      <c r="E330" s="4"/>
    </row>
    <row r="331" spans="2:7" ht="20" customHeight="1" x14ac:dyDescent="0.2">
      <c r="B331" s="4" t="s">
        <v>38</v>
      </c>
      <c r="C331" s="362" t="str">
        <f>sample_mgmt_witness_hostname</f>
        <v>sfo-m01-cl01-vsw01</v>
      </c>
      <c r="D331" s="343" t="str">
        <f>mgmt_witness_hostname</f>
        <v>Value Missing</v>
      </c>
      <c r="E331" s="4"/>
    </row>
    <row r="332" spans="2:7" ht="20" customHeight="1" x14ac:dyDescent="0.2">
      <c r="B332" s="4" t="s">
        <v>296</v>
      </c>
      <c r="C332" s="362" t="str">
        <f>sample_mgmt_witness_root_password</f>
        <v>VMw@re1!</v>
      </c>
      <c r="D332" s="343" t="str">
        <f>mgmt_witness_root_password</f>
        <v>Value Missing</v>
      </c>
      <c r="E332" s="4"/>
    </row>
    <row r="333" spans="2:7" ht="20" customHeight="1" x14ac:dyDescent="0.2">
      <c r="B333" s="505" t="s">
        <v>297</v>
      </c>
      <c r="C333" s="506"/>
      <c r="D333" s="506"/>
      <c r="E333" s="507"/>
    </row>
    <row r="334" spans="2:7" ht="20" customHeight="1" x14ac:dyDescent="0.2">
      <c r="B334" s="4" t="s">
        <v>273</v>
      </c>
      <c r="C334" s="362" t="str">
        <f>sample_mgmt_vc_fqdn</f>
        <v>sfo-m01-vc01.sfo.rainpole.io</v>
      </c>
      <c r="D334" s="343" t="str">
        <f>mgmt_vc_fqdn</f>
        <v>Value Missing</v>
      </c>
      <c r="E334" s="4"/>
    </row>
    <row r="335" spans="2:7" ht="20" customHeight="1" x14ac:dyDescent="0.2">
      <c r="B335" s="4" t="s">
        <v>298</v>
      </c>
      <c r="C335" s="362" t="str">
        <f>CONCATENATE(this_instance,"-m01-cl01-vsw01")</f>
        <v>sfo-m01-cl01-vsw01</v>
      </c>
      <c r="D335" s="343" t="str">
        <f>mgmt_witness_hostname</f>
        <v>Value Missing</v>
      </c>
      <c r="E335" s="4"/>
    </row>
    <row r="336" spans="2:7" ht="20" customHeight="1" x14ac:dyDescent="0.2">
      <c r="B336" s="4" t="s">
        <v>299</v>
      </c>
      <c r="C336" s="362" t="str">
        <f>CONCATENATE(sample_mgmt_witness_ntp1_server,",",sample_mgmt_witness_ntp2_server)</f>
        <v>ntp0.sfo.rainpole.io,ntp1.sfo.rainpole.io</v>
      </c>
      <c r="D336" s="343" t="str">
        <f>IF(AND((NOT(ISBLANK(witness_ntp2_server))),(witness_ntp2_server&lt;&gt;"n/a"),(witness_ntp2_server&lt;&gt;"")),CONCATENATE(witness_ntp1_server,",",witness_ntp2_server))</f>
        <v>Value Missing,Value Missing</v>
      </c>
      <c r="E336" s="32"/>
      <c r="G336" s="27"/>
    </row>
    <row r="337" spans="2:5" ht="20" customHeight="1" x14ac:dyDescent="0.2">
      <c r="B337" s="505" t="s">
        <v>300</v>
      </c>
      <c r="C337" s="506"/>
      <c r="D337" s="506"/>
      <c r="E337" s="507"/>
    </row>
    <row r="338" spans="2:5" ht="20" customHeight="1" x14ac:dyDescent="0.2">
      <c r="B338" s="4" t="s">
        <v>273</v>
      </c>
      <c r="C338" s="362" t="str">
        <f>sample_mgmt_vc_fqdn</f>
        <v>sfo-m01-vc01.sfo.rainpole.io</v>
      </c>
      <c r="D338" s="343" t="str">
        <f>mgmt_vc_fqdn</f>
        <v>Value Missing</v>
      </c>
      <c r="E338" s="4"/>
    </row>
    <row r="339" spans="2:5" ht="20" customHeight="1" x14ac:dyDescent="0.2">
      <c r="B339" s="4" t="s">
        <v>301</v>
      </c>
      <c r="C339" s="362" t="str">
        <f>sample_mgmt_datacenter</f>
        <v>sfo-m01-dc01</v>
      </c>
      <c r="D339" s="343" t="str">
        <f>mgmt_datacenter</f>
        <v>Value Missing</v>
      </c>
      <c r="E339" s="4"/>
    </row>
    <row r="340" spans="2:5" ht="20" customHeight="1" x14ac:dyDescent="0.2">
      <c r="B340" s="4" t="s">
        <v>302</v>
      </c>
      <c r="C340" s="362" t="str">
        <f>sample_mgmt_witness_hostname</f>
        <v>sfo-m01-cl01-vsw01</v>
      </c>
      <c r="D340" s="343" t="str">
        <f>mgmt_witness_hostname</f>
        <v>Value Missing</v>
      </c>
      <c r="E340" s="4"/>
    </row>
    <row r="341" spans="2:5" ht="16" customHeight="1" x14ac:dyDescent="0.2"/>
    <row r="342" spans="2:5" ht="34" customHeight="1" x14ac:dyDescent="0.2">
      <c r="B342" s="526" t="s">
        <v>303</v>
      </c>
      <c r="C342" s="527"/>
      <c r="D342" s="527"/>
      <c r="E342" s="528"/>
    </row>
    <row r="343" spans="2:5" ht="20" customHeight="1" x14ac:dyDescent="0.2">
      <c r="B343" s="43" t="s">
        <v>261</v>
      </c>
      <c r="C343" s="43" t="s">
        <v>262</v>
      </c>
      <c r="D343" s="130" t="s">
        <v>19</v>
      </c>
      <c r="E343" s="43" t="s">
        <v>263</v>
      </c>
    </row>
    <row r="344" spans="2:5" ht="20" customHeight="1" x14ac:dyDescent="0.2">
      <c r="B344" s="505" t="s">
        <v>304</v>
      </c>
      <c r="C344" s="506"/>
      <c r="D344" s="506"/>
      <c r="E344" s="507"/>
    </row>
    <row r="345" spans="2:5" ht="20" customHeight="1" x14ac:dyDescent="0.2">
      <c r="B345" s="4" t="str">
        <f t="array" ref="B345:B360">mgmt_az2_host_fqdns</f>
        <v>Value Missing</v>
      </c>
      <c r="C345" s="362" t="s">
        <v>305</v>
      </c>
      <c r="D345" s="94"/>
      <c r="E345" s="312" t="s">
        <v>306</v>
      </c>
    </row>
    <row r="346" spans="2:5" ht="20" customHeight="1" x14ac:dyDescent="0.2">
      <c r="B346" s="4" t="str">
        <v>Value Missing</v>
      </c>
      <c r="C346" s="362" t="s">
        <v>307</v>
      </c>
      <c r="D346" s="94"/>
      <c r="E346" s="313" t="s">
        <v>308</v>
      </c>
    </row>
    <row r="347" spans="2:5" ht="20" customHeight="1" x14ac:dyDescent="0.2">
      <c r="B347" s="4" t="str">
        <v>Value Missing</v>
      </c>
      <c r="C347" s="362" t="s">
        <v>309</v>
      </c>
      <c r="D347" s="94"/>
      <c r="E347" s="313" t="s">
        <v>310</v>
      </c>
    </row>
    <row r="348" spans="2:5" ht="20" customHeight="1" x14ac:dyDescent="0.2">
      <c r="B348" s="4" t="str">
        <v>Value Missing</v>
      </c>
      <c r="C348" s="362" t="s">
        <v>311</v>
      </c>
      <c r="D348" s="94"/>
      <c r="E348" s="313" t="s">
        <v>312</v>
      </c>
    </row>
    <row r="349" spans="2:5" ht="20" customHeight="1" x14ac:dyDescent="0.2">
      <c r="B349" s="4" t="str">
        <v>Value Missing</v>
      </c>
      <c r="C349" s="138" t="s">
        <v>313</v>
      </c>
      <c r="D349" s="94"/>
      <c r="E349" s="313" t="s">
        <v>314</v>
      </c>
    </row>
    <row r="350" spans="2:5" ht="20" customHeight="1" x14ac:dyDescent="0.2">
      <c r="B350" s="4" t="str">
        <v>Value Missing</v>
      </c>
      <c r="C350" s="138" t="s">
        <v>315</v>
      </c>
      <c r="D350" s="94"/>
      <c r="E350" s="313" t="s">
        <v>316</v>
      </c>
    </row>
    <row r="351" spans="2:5" ht="20" customHeight="1" x14ac:dyDescent="0.2">
      <c r="B351" s="4" t="str">
        <v>Value Missing</v>
      </c>
      <c r="C351" s="138" t="s">
        <v>317</v>
      </c>
      <c r="D351" s="94"/>
      <c r="E351" s="313" t="s">
        <v>318</v>
      </c>
    </row>
    <row r="352" spans="2:5" ht="20" customHeight="1" x14ac:dyDescent="0.2">
      <c r="B352" s="4" t="str">
        <v>Value Missing</v>
      </c>
      <c r="C352" s="138" t="s">
        <v>319</v>
      </c>
      <c r="D352" s="94"/>
      <c r="E352" s="313" t="s">
        <v>320</v>
      </c>
    </row>
    <row r="353" spans="2:7" ht="20" customHeight="1" x14ac:dyDescent="0.2">
      <c r="B353" s="4" t="str">
        <v>Value Missing</v>
      </c>
      <c r="C353" s="138" t="s">
        <v>321</v>
      </c>
      <c r="D353" s="94"/>
      <c r="E353" s="313" t="s">
        <v>322</v>
      </c>
    </row>
    <row r="354" spans="2:7" ht="20" customHeight="1" x14ac:dyDescent="0.2">
      <c r="B354" s="4" t="str">
        <v>Value Missing</v>
      </c>
      <c r="C354" s="138" t="s">
        <v>323</v>
      </c>
      <c r="D354" s="94"/>
      <c r="E354" s="313" t="s">
        <v>324</v>
      </c>
    </row>
    <row r="355" spans="2:7" ht="20" customHeight="1" x14ac:dyDescent="0.2">
      <c r="B355" s="4" t="str">
        <v>Value Missing</v>
      </c>
      <c r="C355" s="138" t="s">
        <v>325</v>
      </c>
      <c r="D355" s="94"/>
      <c r="E355" s="313" t="s">
        <v>326</v>
      </c>
      <c r="G355" s="27"/>
    </row>
    <row r="356" spans="2:7" ht="20" customHeight="1" x14ac:dyDescent="0.2">
      <c r="B356" s="4" t="str">
        <v>Value Missing</v>
      </c>
      <c r="C356" s="138" t="s">
        <v>327</v>
      </c>
      <c r="D356" s="94"/>
      <c r="E356" s="313" t="s">
        <v>328</v>
      </c>
      <c r="G356" s="27"/>
    </row>
    <row r="357" spans="2:7" ht="20" customHeight="1" x14ac:dyDescent="0.2">
      <c r="B357" s="4" t="str">
        <v>Value Missing</v>
      </c>
      <c r="C357" s="138" t="s">
        <v>329</v>
      </c>
      <c r="D357" s="94"/>
      <c r="E357" s="313" t="s">
        <v>330</v>
      </c>
      <c r="G357" s="27"/>
    </row>
    <row r="358" spans="2:7" ht="20" customHeight="1" x14ac:dyDescent="0.2">
      <c r="B358" s="4" t="str">
        <v>Value Missing</v>
      </c>
      <c r="C358" s="138" t="s">
        <v>331</v>
      </c>
      <c r="D358" s="94"/>
      <c r="E358" s="313" t="s">
        <v>332</v>
      </c>
      <c r="G358" s="27"/>
    </row>
    <row r="359" spans="2:7" ht="20" customHeight="1" x14ac:dyDescent="0.2">
      <c r="B359" s="4" t="str">
        <v>Value Missing</v>
      </c>
      <c r="C359" s="138" t="s">
        <v>333</v>
      </c>
      <c r="D359" s="94"/>
      <c r="E359" s="313" t="s">
        <v>334</v>
      </c>
      <c r="G359" s="27"/>
    </row>
    <row r="360" spans="2:7" ht="20" customHeight="1" x14ac:dyDescent="0.2">
      <c r="B360" s="4" t="str">
        <v>Value Missing</v>
      </c>
      <c r="C360" s="138" t="s">
        <v>335</v>
      </c>
      <c r="D360" s="94"/>
      <c r="E360" s="313" t="s">
        <v>336</v>
      </c>
      <c r="G360" s="27"/>
    </row>
    <row r="361" spans="2:7" ht="20" customHeight="1" x14ac:dyDescent="0.2">
      <c r="B361" s="4" t="s">
        <v>337</v>
      </c>
      <c r="C361" s="139" t="str">
        <f>CONCATENATE(this_instance,"02-",sample_mgmt_cl01_cluster,"-r01-network-profile")</f>
        <v>sfo02-sfo-m01-cl01-r01-network-profile</v>
      </c>
      <c r="D361" s="134"/>
      <c r="E361" s="337"/>
      <c r="G361" s="27"/>
    </row>
    <row r="362" spans="2:7" ht="20" customHeight="1" x14ac:dyDescent="0.2">
      <c r="B362" s="4" t="s">
        <v>338</v>
      </c>
      <c r="C362" s="362" t="s">
        <v>339</v>
      </c>
      <c r="D362" s="134" t="s">
        <v>339</v>
      </c>
      <c r="E362" s="337"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63" spans="2:7" ht="20" customHeight="1" x14ac:dyDescent="0.2">
      <c r="B363" s="4" t="s">
        <v>340</v>
      </c>
      <c r="C363" s="139" t="str">
        <f>CONCATENATE(this_instance,"02-m01","-r01-ip-pool01-host")</f>
        <v>sfo02-m01-r01-ip-pool01-host</v>
      </c>
      <c r="D363" s="134"/>
      <c r="E363" s="4"/>
      <c r="G363" s="27"/>
    </row>
    <row r="364" spans="2:7" ht="20" customHeight="1" x14ac:dyDescent="0.2">
      <c r="B364" s="4" t="s">
        <v>341</v>
      </c>
      <c r="C364" s="139" t="str">
        <f>CONCATENATE(this_instance,"02-m01","-r01-uplink-profile01")</f>
        <v>sfo02-m01-r01-uplink-profile01</v>
      </c>
      <c r="D364" s="134"/>
      <c r="E364" s="4"/>
      <c r="G364" s="27"/>
    </row>
    <row r="365" spans="2:7" ht="20" customHeight="1" x14ac:dyDescent="0.2">
      <c r="B365" s="17" t="s">
        <v>342</v>
      </c>
      <c r="C365" s="80" t="str">
        <f>CONCATENATE(prefix_mgmt_az2_vlan,"14")</f>
        <v>1214</v>
      </c>
      <c r="D365" s="134"/>
      <c r="E365" s="17"/>
      <c r="G365" s="27"/>
    </row>
    <row r="366" spans="2:7" ht="20" customHeight="1" x14ac:dyDescent="0.2">
      <c r="B366" s="4" t="s">
        <v>343</v>
      </c>
      <c r="C366" s="80" t="str">
        <f>CONCATENATE(prefix_mgmt_az2_cidr,"14.1")</f>
        <v>10.12.14.1</v>
      </c>
      <c r="D366" s="134"/>
      <c r="E366" s="22"/>
      <c r="G366" s="27"/>
    </row>
    <row r="367" spans="2:7" ht="20" customHeight="1" x14ac:dyDescent="0.2">
      <c r="B367" s="4" t="s">
        <v>344</v>
      </c>
      <c r="C367" s="80" t="str">
        <f>CONCATENATE(prefix_mgmt_az2_cidr,"14.0/24")</f>
        <v>10.12.14.0/24</v>
      </c>
      <c r="D367" s="134"/>
      <c r="E367" s="22"/>
      <c r="G367" s="27"/>
    </row>
    <row r="368" spans="2:7" ht="20" customHeight="1" x14ac:dyDescent="0.2">
      <c r="B368" s="4" t="s">
        <v>345</v>
      </c>
      <c r="C368" s="80">
        <f>9000</f>
        <v>9000</v>
      </c>
      <c r="D368" s="134"/>
      <c r="E368" s="22"/>
      <c r="G368" s="27"/>
    </row>
    <row r="369" spans="2:7" ht="20" customHeight="1" x14ac:dyDescent="0.2">
      <c r="B369" s="17" t="s">
        <v>255</v>
      </c>
      <c r="C369" s="80" t="str">
        <f>CONCATENATE(prefix_mgmt_az2_cidr,"14.101")</f>
        <v>10.12.14.101</v>
      </c>
      <c r="D369" s="134"/>
      <c r="E369" s="22"/>
      <c r="G369" s="27"/>
    </row>
    <row r="370" spans="2:7" ht="20" customHeight="1" x14ac:dyDescent="0.2">
      <c r="B370" s="17" t="s">
        <v>256</v>
      </c>
      <c r="C370" s="80" t="str">
        <f>CONCATENATE(prefix_mgmt_az2_cidr,"14.132")</f>
        <v>10.12.14.132</v>
      </c>
      <c r="D370" s="134"/>
      <c r="E370" s="22"/>
      <c r="G370" s="27"/>
    </row>
    <row r="371" spans="2:7" ht="20" customHeight="1" x14ac:dyDescent="0.2">
      <c r="B371" s="4" t="s">
        <v>346</v>
      </c>
      <c r="C371" s="362" t="str">
        <f>CONCATENATE(this_instance,"-m01-cl01-vsw01.",sample_child_dns_zone)</f>
        <v>sfo-m01-cl01-vsw01.sfo.rainpole.io</v>
      </c>
      <c r="D371" s="134"/>
      <c r="E371" s="337"/>
      <c r="G371" s="27"/>
    </row>
    <row r="372" spans="2:7" ht="20" customHeight="1" x14ac:dyDescent="0.2">
      <c r="B372" s="4" t="s">
        <v>347</v>
      </c>
      <c r="C372" s="362" t="str">
        <f>sample_mgmt_witnessaz_mgmt_cidr</f>
        <v>10.21.10.0/24</v>
      </c>
      <c r="D372" s="278" t="str">
        <f>mgmt_witnessaz_mgmt_cidr</f>
        <v>Value Missing</v>
      </c>
      <c r="E372" s="337" t="s">
        <v>348</v>
      </c>
      <c r="G372" s="27"/>
    </row>
    <row r="373" spans="2:7" ht="20" customHeight="1" x14ac:dyDescent="0.2">
      <c r="B373" s="4" t="s">
        <v>349</v>
      </c>
      <c r="C373" s="89" t="str">
        <f>sample_mgmt_witness_ip</f>
        <v>10.21.10.218</v>
      </c>
      <c r="D373" s="278" t="e">
        <f>mgmt_witness_mgmt_ip</f>
        <v>#NAME?</v>
      </c>
      <c r="E373" s="337" t="s">
        <v>350</v>
      </c>
      <c r="G373" s="27"/>
    </row>
    <row r="374" spans="2:7" ht="20" customHeight="1" x14ac:dyDescent="0.2">
      <c r="B374" s="4" t="s">
        <v>351</v>
      </c>
      <c r="C374" s="362" t="s">
        <v>352</v>
      </c>
      <c r="D374" s="134"/>
      <c r="E374" s="337" t="s">
        <v>353</v>
      </c>
    </row>
    <row r="375" spans="2:7" ht="20" customHeight="1" x14ac:dyDescent="0.2">
      <c r="B375" s="525"/>
      <c r="C375" s="525"/>
      <c r="D375" s="525"/>
      <c r="E375" s="525"/>
    </row>
    <row r="376" spans="2:7" ht="34" customHeight="1" x14ac:dyDescent="0.2">
      <c r="B376" s="526" t="s">
        <v>354</v>
      </c>
      <c r="C376" s="527"/>
      <c r="D376" s="527"/>
      <c r="E376" s="528"/>
    </row>
    <row r="377" spans="2:7" ht="20" customHeight="1" x14ac:dyDescent="0.2">
      <c r="B377" s="505" t="s">
        <v>355</v>
      </c>
      <c r="C377" s="506"/>
      <c r="D377" s="506"/>
      <c r="E377" s="507"/>
    </row>
    <row r="378" spans="2:7" ht="20" customHeight="1" x14ac:dyDescent="0.2">
      <c r="B378" s="4" t="s">
        <v>356</v>
      </c>
      <c r="C378" s="362" t="str">
        <f>sample_mgmt_nsxt_vip_fqdn</f>
        <v>sfo-m01-nsx01.sfo.rainpole.io</v>
      </c>
      <c r="D378" s="337" t="str">
        <f>mgmt_nsxt_vip_fqdn</f>
        <v>Value Missing</v>
      </c>
      <c r="E378" s="337" t="str">
        <f>IF(mgmt_vns_chosen&lt;&gt;"Centralized Connectivity", "These sections are masked out as NSX connectivity has not be configured or selected in Post-Deployment Options" )</f>
        <v>These sections are masked out as NSX connectivity has not be configured or selected in Post-Deployment Options</v>
      </c>
    </row>
    <row r="379" spans="2:7" ht="20" customHeight="1" x14ac:dyDescent="0.2">
      <c r="B379" s="505" t="s">
        <v>357</v>
      </c>
      <c r="C379" s="506"/>
      <c r="D379" s="506"/>
      <c r="E379" s="507"/>
    </row>
    <row r="380" spans="2:7" ht="20" customHeight="1" x14ac:dyDescent="0.2">
      <c r="B380" s="4" t="s">
        <v>356</v>
      </c>
      <c r="C380" s="362" t="str">
        <f>sample_mgmt_nsxt_vip_fqdn</f>
        <v>sfo-m01-nsx01.sfo.rainpole.io</v>
      </c>
      <c r="D380" s="343" t="str">
        <f>mgmt_nsxt_vip_fqdn</f>
        <v>Value Missing</v>
      </c>
      <c r="E380" s="4"/>
    </row>
    <row r="381" spans="2:7" ht="20" customHeight="1" x14ac:dyDescent="0.2">
      <c r="B381" s="4" t="s">
        <v>358</v>
      </c>
      <c r="C381" s="362" t="str">
        <f>sample_mgmt_en_asn</f>
        <v>65101</v>
      </c>
      <c r="D381" s="343" t="str">
        <f>mgmt_en_asn</f>
        <v>Value Missing</v>
      </c>
      <c r="E381" s="4"/>
    </row>
    <row r="382" spans="2:7" ht="20" customHeight="1" x14ac:dyDescent="0.2">
      <c r="B382" s="505" t="s">
        <v>359</v>
      </c>
      <c r="C382" s="506"/>
      <c r="D382" s="506"/>
      <c r="E382" s="507"/>
    </row>
    <row r="383" spans="2:7" ht="20" customHeight="1" x14ac:dyDescent="0.2">
      <c r="B383" s="4" t="s">
        <v>356</v>
      </c>
      <c r="C383" s="362" t="str">
        <f>sample_mgmt_nsxt_vip_fqdn</f>
        <v>sfo-m01-nsx01.sfo.rainpole.io</v>
      </c>
      <c r="D383" s="343" t="str">
        <f>mgmt_nsxt_vip_fqdn</f>
        <v>Value Missing</v>
      </c>
      <c r="E383" s="337"/>
    </row>
    <row r="384" spans="2:7" ht="20" customHeight="1" x14ac:dyDescent="0.2">
      <c r="B384" s="4" t="s">
        <v>360</v>
      </c>
      <c r="C384" s="362" t="str">
        <f>CONCATENATE(prefix_mgmt_az1_cidr,"17.11")</f>
        <v>10.11.17.11</v>
      </c>
      <c r="D384" s="347"/>
      <c r="E384" s="337" t="s">
        <v>168</v>
      </c>
    </row>
    <row r="385" spans="2:5" ht="20" customHeight="1" x14ac:dyDescent="0.2">
      <c r="B385" s="4" t="s">
        <v>361</v>
      </c>
      <c r="C385" s="362" t="str">
        <f>IF(wld_domain_chosen="First Domain",CONCATENATE(asn_start,asn_instance,asn_mgmt_az2,1),IF(wld_nsxt_federation_result="Included",CONCATENATE(asn_start,asn_instance,asn_mgmt_az2,1),CONCATENATE(asn_start,asn_instance,asn_mgmt_az2,1)))</f>
        <v>65121</v>
      </c>
      <c r="D385" s="347"/>
      <c r="E385" s="337" t="s">
        <v>169</v>
      </c>
    </row>
    <row r="386" spans="2:5" ht="20" customHeight="1" x14ac:dyDescent="0.2">
      <c r="B386" s="4" t="s">
        <v>362</v>
      </c>
      <c r="C386" s="362" t="str">
        <f>sample_mgmt_az1_en1_uplink01_interface_cidr</f>
        <v>10.11.17.2/24</v>
      </c>
      <c r="D386" s="343" t="str">
        <f>mgmt_az1_en1_uplink01_interface_cidr</f>
        <v>Value Missing</v>
      </c>
      <c r="E386" s="337"/>
    </row>
    <row r="387" spans="2:5" ht="20" customHeight="1" x14ac:dyDescent="0.2">
      <c r="B387" s="4" t="s">
        <v>363</v>
      </c>
      <c r="C387" s="362" t="str">
        <f>sample_mgmt_az1_en2_uplink01_interface_cidr</f>
        <v>10.11.17.3/24</v>
      </c>
      <c r="D387" s="343" t="str">
        <f>mgmt_az1_en2_uplink01_interface_cidr</f>
        <v>Value Missing</v>
      </c>
      <c r="E387" s="337"/>
    </row>
    <row r="388" spans="2:5" ht="20" customHeight="1" x14ac:dyDescent="0.2">
      <c r="B388" s="4" t="s">
        <v>364</v>
      </c>
      <c r="C388" s="362" t="s">
        <v>30</v>
      </c>
      <c r="D388" s="347"/>
      <c r="E388" s="337" t="s">
        <v>170</v>
      </c>
    </row>
    <row r="389" spans="2:5" ht="20" customHeight="1" x14ac:dyDescent="0.2">
      <c r="B389" s="4" t="s">
        <v>365</v>
      </c>
      <c r="C389" s="362" t="str">
        <f>CONCATENATE(prefix_mgmt_az1_cidr,"18.11")</f>
        <v>10.11.18.11</v>
      </c>
      <c r="D389" s="347"/>
      <c r="E389" s="337" t="s">
        <v>171</v>
      </c>
    </row>
    <row r="390" spans="2:5" ht="20" customHeight="1" x14ac:dyDescent="0.2">
      <c r="B390" s="4" t="s">
        <v>362</v>
      </c>
      <c r="C390" s="362" t="str">
        <f>sample_mgmt_az1_en1_uplink02_interface_cidr</f>
        <v>10.11.18.2/24</v>
      </c>
      <c r="D390" s="343" t="str">
        <f>mgmt_az1_en1_uplink02_interface_cidr</f>
        <v>Value Missing</v>
      </c>
      <c r="E390" s="337"/>
    </row>
    <row r="391" spans="2:5" ht="20" customHeight="1" x14ac:dyDescent="0.2">
      <c r="B391" s="4" t="s">
        <v>363</v>
      </c>
      <c r="C391" s="362" t="str">
        <f>sample_mgmt_az1_en2_uplink02_interface_cidr</f>
        <v>10.11.18.3/24</v>
      </c>
      <c r="D391" s="343" t="str">
        <f>mgmt_az1_en2_uplink02_interface_cidr</f>
        <v>Value Missing</v>
      </c>
      <c r="E391" s="337"/>
    </row>
    <row r="392" spans="2:5" ht="20" customHeight="1" x14ac:dyDescent="0.2">
      <c r="B392" s="4" t="s">
        <v>366</v>
      </c>
      <c r="C392" s="362" t="str">
        <f>IF(wld_domain_chosen="First Domain",CONCATENATE(asn_start,asn_instance,asn_mgmt_az2,1),IF(wld_nsxt_federation_result="Included",CONCATENATE(asn_start,asn_instance,asn_mgmt_az2,1),CONCATENATE(asn_start,asn_instance,asn_mgmt_az2,1)))</f>
        <v>65121</v>
      </c>
      <c r="D392" s="347"/>
      <c r="E392" s="337" t="s">
        <v>172</v>
      </c>
    </row>
    <row r="393" spans="2:5" ht="20" customHeight="1" x14ac:dyDescent="0.2">
      <c r="B393" s="4" t="s">
        <v>364</v>
      </c>
      <c r="C393" s="362" t="s">
        <v>30</v>
      </c>
      <c r="D393" s="347"/>
      <c r="E393" s="337" t="s">
        <v>173</v>
      </c>
    </row>
    <row r="394" spans="2:5" ht="16" customHeight="1" x14ac:dyDescent="0.2"/>
    <row r="395" spans="2:5" ht="34" customHeight="1" x14ac:dyDescent="0.2">
      <c r="B395" s="529" t="s">
        <v>7</v>
      </c>
      <c r="C395" s="530"/>
      <c r="D395" s="530"/>
      <c r="E395" s="531"/>
    </row>
    <row r="396" spans="2:5" ht="20" customHeight="1" x14ac:dyDescent="0.2">
      <c r="B396" s="505" t="s">
        <v>367</v>
      </c>
      <c r="C396" s="506"/>
      <c r="D396" s="506"/>
      <c r="E396" s="507"/>
    </row>
    <row r="397" spans="2:5" ht="20" customHeight="1" x14ac:dyDescent="0.2">
      <c r="B397" s="43" t="s">
        <v>261</v>
      </c>
      <c r="C397" s="43" t="s">
        <v>262</v>
      </c>
      <c r="D397" s="130" t="s">
        <v>19</v>
      </c>
      <c r="E397" s="43" t="s">
        <v>263</v>
      </c>
    </row>
    <row r="398" spans="2:5" ht="20" customHeight="1" x14ac:dyDescent="0.2">
      <c r="B398" s="4" t="s">
        <v>368</v>
      </c>
      <c r="C398" s="85" t="str">
        <f>sample_mgmt_vc_fqdn</f>
        <v>sfo-m01-vc01.sfo.rainpole.io</v>
      </c>
      <c r="D398" s="337" t="str">
        <f>mgmt_vc_fqdn</f>
        <v>Value Missing</v>
      </c>
      <c r="E398" s="4"/>
    </row>
    <row r="399" spans="2:5" ht="20" customHeight="1" x14ac:dyDescent="0.2">
      <c r="B399" s="505" t="s">
        <v>369</v>
      </c>
      <c r="C399" s="506"/>
      <c r="D399" s="506"/>
      <c r="E399" s="507"/>
    </row>
    <row r="400" spans="2:5" ht="20" customHeight="1" x14ac:dyDescent="0.2">
      <c r="B400" s="4" t="s">
        <v>370</v>
      </c>
      <c r="C400" s="141" t="str">
        <f>CONCATENATE(this_instance,"-m01-nsx-gm01a")</f>
        <v>sfo-m01-nsx-gm01a</v>
      </c>
      <c r="D400" s="129"/>
      <c r="E400" s="4"/>
    </row>
    <row r="401" spans="2:7" ht="20" customHeight="1" x14ac:dyDescent="0.2">
      <c r="B401" s="4" t="s">
        <v>371</v>
      </c>
      <c r="C401" s="85" t="str">
        <f>sample_mgmt_datacenter</f>
        <v>sfo-m01-dc01</v>
      </c>
      <c r="D401" s="337" t="str">
        <f>mgmt_datacenter</f>
        <v>Value Missing</v>
      </c>
      <c r="E401" s="4"/>
    </row>
    <row r="402" spans="2:7" ht="20" customHeight="1" x14ac:dyDescent="0.2">
      <c r="B402" s="4" t="s">
        <v>372</v>
      </c>
      <c r="C402" s="85" t="str">
        <f>sample_mgmt_cl01_cluster</f>
        <v>sfo-m01-cl01</v>
      </c>
      <c r="D402" s="337" t="str">
        <f>mgmt_cl01_cluster</f>
        <v>Value Missing</v>
      </c>
      <c r="E402" s="4"/>
    </row>
    <row r="403" spans="2:7" ht="20" customHeight="1" x14ac:dyDescent="0.2">
      <c r="B403" s="4" t="s">
        <v>373</v>
      </c>
      <c r="C403" s="85" t="s">
        <v>93</v>
      </c>
      <c r="D403" s="337" t="s">
        <v>93</v>
      </c>
      <c r="E403" s="4"/>
    </row>
    <row r="404" spans="2:7" ht="20" customHeight="1" x14ac:dyDescent="0.2">
      <c r="B404" s="4" t="s">
        <v>374</v>
      </c>
      <c r="C404" s="85" t="str">
        <f>sample_mgmt_cl01_vsan_datastore</f>
        <v>sfo-m01-cl01-ds-vsan01</v>
      </c>
      <c r="D404" s="337" t="str">
        <f>mgmt_cl01_vsan_datastore</f>
        <v>Value Missing</v>
      </c>
      <c r="E404" s="4"/>
    </row>
    <row r="405" spans="2:7" ht="20" customHeight="1" x14ac:dyDescent="0.2">
      <c r="B405" s="4" t="s">
        <v>375</v>
      </c>
      <c r="C405" s="142" t="str">
        <f>sample_mgmt_cl01_az1_mgmt_vm_pg</f>
        <v>sfo-m01-cl01-vds01-pg-vm-mgmt</v>
      </c>
      <c r="D405" s="337" t="str">
        <f>mgmt_cl01_az1_mgmt_vm_pg</f>
        <v>Value Missing</v>
      </c>
      <c r="E405" s="4"/>
    </row>
    <row r="406" spans="2:7" ht="20" customHeight="1" x14ac:dyDescent="0.2">
      <c r="B406" s="4" t="s">
        <v>376</v>
      </c>
      <c r="C406" s="85" t="s">
        <v>141</v>
      </c>
      <c r="D406" s="347"/>
      <c r="E406" s="4"/>
    </row>
    <row r="407" spans="2:7" ht="20" customHeight="1" x14ac:dyDescent="0.2">
      <c r="B407" s="4" t="s">
        <v>377</v>
      </c>
      <c r="C407" s="85" t="s">
        <v>141</v>
      </c>
      <c r="D407" s="347"/>
      <c r="E407" s="4"/>
    </row>
    <row r="408" spans="2:7" ht="20" customHeight="1" x14ac:dyDescent="0.2">
      <c r="B408" s="4" t="s">
        <v>378</v>
      </c>
      <c r="C408" s="85" t="s">
        <v>141</v>
      </c>
      <c r="D408" s="347"/>
      <c r="E408" s="4"/>
    </row>
    <row r="409" spans="2:7" ht="20" customHeight="1" x14ac:dyDescent="0.2">
      <c r="B409" s="4" t="s">
        <v>379</v>
      </c>
      <c r="C409" s="85" t="str">
        <f>CONCATENATE(sample_mgmt_nsxt_global_mgra_hostname,".",sample_child_dns_zone)</f>
        <v>sfo-m01-nsx-gm01a.sfo.rainpole.io</v>
      </c>
      <c r="D409" s="347"/>
      <c r="E409" s="337" t="s">
        <v>380</v>
      </c>
    </row>
    <row r="410" spans="2:7" ht="20" customHeight="1" x14ac:dyDescent="0.2">
      <c r="B410" s="4" t="s">
        <v>381</v>
      </c>
      <c r="C410" s="141" t="str">
        <f>IF(mgmt_dpg_reuse_result="Included",CONCATENATE(prefix_mgmt_az1_cidr,"10.82"),CONCATENATE(prefix_mgmt_az1_cidr,"11.82"))</f>
        <v>10.11.10.82</v>
      </c>
      <c r="D410" s="129"/>
      <c r="E410" s="4"/>
    </row>
    <row r="411" spans="2:7" ht="20" customHeight="1" x14ac:dyDescent="0.2">
      <c r="B411" s="4" t="s">
        <v>382</v>
      </c>
      <c r="C411" s="85" t="s">
        <v>128</v>
      </c>
      <c r="D411" s="337" t="str">
        <f>mgmt_az1_mgmt_vm_mask</f>
        <v>Value Missing</v>
      </c>
      <c r="E411" s="4"/>
    </row>
    <row r="412" spans="2:7" ht="20" customHeight="1" x14ac:dyDescent="0.2">
      <c r="B412" s="4" t="s">
        <v>383</v>
      </c>
      <c r="C412" s="85" t="str">
        <f>sample_mgmt_az1_mgmt_vm_gateway_ip</f>
        <v>10.11.10.1</v>
      </c>
      <c r="D412" s="337" t="str">
        <f>mgmt_az1_mgmt_vm_gateway_ip</f>
        <v>Value Missing</v>
      </c>
      <c r="E412" s="4"/>
    </row>
    <row r="413" spans="2:7" ht="20" customHeight="1" x14ac:dyDescent="0.2">
      <c r="B413" s="4" t="s">
        <v>384</v>
      </c>
      <c r="C413" s="85" t="str">
        <f>CONCATENATE(sample_mgmt_witness_dns1_ip,",",sample_mgmt_witness_dns2_ip)</f>
        <v>10.21.10.4,10.21.10.5</v>
      </c>
      <c r="D413" s="337" t="str">
        <f>IF(ISBLANK(input_region_dns1_ip),"Value Missing",CONCATENATE(region_dns1_ip,",",IF(ISBLANK(input_region_dns2_ip),"Value Missing",region_dns2_ip)))</f>
        <v>Value Missing</v>
      </c>
      <c r="E413" s="4"/>
    </row>
    <row r="414" spans="2:7" ht="20" customHeight="1" x14ac:dyDescent="0.2">
      <c r="B414" s="4" t="s">
        <v>385</v>
      </c>
      <c r="C414" s="85" t="str">
        <f>CONCATENATE(sample_child_dns_zone,",",sample_parent_dns_zone)</f>
        <v>sfo.rainpole.io,rainpole.io</v>
      </c>
      <c r="D414" s="337" t="str">
        <f>child_dns_zone</f>
        <v>Value Missing</v>
      </c>
      <c r="E414" s="4"/>
      <c r="G414" s="27"/>
    </row>
    <row r="415" spans="2:7" ht="20" customHeight="1" x14ac:dyDescent="0.2">
      <c r="B415" s="4" t="s">
        <v>386</v>
      </c>
      <c r="C415" s="85" t="str">
        <f>IF(AND((NOT(ISBLANK(sample_region_ntp2_server))),(sample_region_ntp2_server &lt;&gt; "n/a")),CONCATENATE(sample_region_ntp1_server,",",sample_region_ntp2_server),sample_region_ntp1_server)</f>
        <v>ntp0.sfo.rainpole.io,ntp1.sfo.rainpole.io</v>
      </c>
      <c r="D415" s="337" t="str">
        <f>IF(AND((NOT(ISBLANK(region_ntp2_server))),(region_ntp2_server&lt;&gt;"n/a"),(region_ntp2_server&lt;&gt;"")),CONCATENATE(region_ntp1_server,",",region_ntp2_server,region_ntp1_server))</f>
        <v>Value Missing,Value MissingValue Missing</v>
      </c>
      <c r="E415" s="4"/>
    </row>
    <row r="416" spans="2:7" ht="20" customHeight="1" x14ac:dyDescent="0.2">
      <c r="B416" s="505" t="s">
        <v>387</v>
      </c>
      <c r="C416" s="506"/>
      <c r="D416" s="506"/>
      <c r="E416" s="507"/>
    </row>
    <row r="417" spans="2:5" ht="20" customHeight="1" x14ac:dyDescent="0.2">
      <c r="B417" s="4" t="s">
        <v>388</v>
      </c>
      <c r="C417" s="141" t="str">
        <f>CONCATENATE(this_instance,"-m01-nsx-gm01b")</f>
        <v>sfo-m01-nsx-gm01b</v>
      </c>
      <c r="D417" s="129"/>
      <c r="E417" s="4"/>
    </row>
    <row r="418" spans="2:5" ht="20" customHeight="1" x14ac:dyDescent="0.2">
      <c r="B418" s="4" t="s">
        <v>389</v>
      </c>
      <c r="C418" s="85" t="str">
        <f>sample_mgmt_datacenter</f>
        <v>sfo-m01-dc01</v>
      </c>
      <c r="D418" s="337" t="str">
        <f>mgmt_datacenter</f>
        <v>Value Missing</v>
      </c>
      <c r="E418" s="4"/>
    </row>
    <row r="419" spans="2:5" ht="20" customHeight="1" x14ac:dyDescent="0.2">
      <c r="B419" s="4" t="s">
        <v>390</v>
      </c>
      <c r="C419" s="85" t="str">
        <f>sample_mgmt_cl01_cluster</f>
        <v>sfo-m01-cl01</v>
      </c>
      <c r="D419" s="337" t="str">
        <f>mgmt_cl01_cluster</f>
        <v>Value Missing</v>
      </c>
      <c r="E419" s="4"/>
    </row>
    <row r="420" spans="2:5" ht="20" customHeight="1" x14ac:dyDescent="0.2">
      <c r="B420" s="4" t="s">
        <v>391</v>
      </c>
      <c r="C420" s="85" t="s">
        <v>93</v>
      </c>
      <c r="D420" s="337" t="str">
        <f>D403</f>
        <v>Medium</v>
      </c>
      <c r="E420" s="4"/>
    </row>
    <row r="421" spans="2:5" ht="20" customHeight="1" x14ac:dyDescent="0.2">
      <c r="B421" s="4" t="s">
        <v>392</v>
      </c>
      <c r="C421" s="85" t="str">
        <f>sample_mgmt_cl01_vsan_datastore</f>
        <v>sfo-m01-cl01-ds-vsan01</v>
      </c>
      <c r="D421" s="337" t="str">
        <f>mgmt_cl01_vsan_datastore</f>
        <v>Value Missing</v>
      </c>
      <c r="E421" s="4"/>
    </row>
    <row r="422" spans="2:5" ht="20" customHeight="1" x14ac:dyDescent="0.2">
      <c r="B422" s="4" t="s">
        <v>393</v>
      </c>
      <c r="C422" s="142" t="str">
        <f>sample_mgmt_cl01_az1_mgmt_vm_pg</f>
        <v>sfo-m01-cl01-vds01-pg-vm-mgmt</v>
      </c>
      <c r="D422" s="337" t="str">
        <f>mgmt_cl01_az1_mgmt_vm_pg</f>
        <v>Value Missing</v>
      </c>
      <c r="E422" s="4"/>
    </row>
    <row r="423" spans="2:5" ht="20" customHeight="1" x14ac:dyDescent="0.2">
      <c r="B423" s="4" t="s">
        <v>394</v>
      </c>
      <c r="C423" s="85" t="str">
        <f>sample_nsxt_gm_root_password</f>
        <v>VMw@re1!VMw@re1!</v>
      </c>
      <c r="D423" s="337" t="str">
        <f>nsxt_gm_root_password</f>
        <v>Value Missing</v>
      </c>
      <c r="E423" s="4"/>
    </row>
    <row r="424" spans="2:5" ht="20" customHeight="1" x14ac:dyDescent="0.2">
      <c r="B424" s="4" t="s">
        <v>395</v>
      </c>
      <c r="C424" s="85" t="str">
        <f>sample_nsxt_gm_audit_password</f>
        <v>VMw@re1!VMw@re1!</v>
      </c>
      <c r="D424" s="337" t="str">
        <f>nsxt_gm_admin_password</f>
        <v>Value Missing</v>
      </c>
      <c r="E424" s="4"/>
    </row>
    <row r="425" spans="2:5" ht="20" customHeight="1" x14ac:dyDescent="0.2">
      <c r="B425" s="4" t="s">
        <v>396</v>
      </c>
      <c r="C425" s="85" t="str">
        <f>sample_nsxt_gm_audit_password</f>
        <v>VMw@re1!VMw@re1!</v>
      </c>
      <c r="D425" s="337" t="str">
        <f>nsxt_gm_audit_password</f>
        <v>Value Missing</v>
      </c>
      <c r="E425" s="4"/>
    </row>
    <row r="426" spans="2:5" ht="20" customHeight="1" x14ac:dyDescent="0.2">
      <c r="B426" s="4" t="s">
        <v>397</v>
      </c>
      <c r="C426" s="85" t="str">
        <f>CONCATENATE(sample_mgmt_nsxt_global_mgrb_hostname,".",sample_child_dns_zone)</f>
        <v>sfo-m01-nsx-gm01b.sfo.rainpole.io</v>
      </c>
      <c r="D426" s="347"/>
      <c r="E426" s="4"/>
    </row>
    <row r="427" spans="2:5" ht="20" customHeight="1" x14ac:dyDescent="0.2">
      <c r="B427" s="4" t="s">
        <v>398</v>
      </c>
      <c r="C427" s="141" t="str">
        <f>IF(mgmt_dpg_reuse_result="Included",CONCATENATE(prefix_mgmt_az1_cidr,"10.83"),CONCATENATE(prefix_mgmt_az1_cidr,"11.83"))</f>
        <v>10.11.10.83</v>
      </c>
      <c r="D427" s="129"/>
      <c r="E427" s="4"/>
    </row>
    <row r="428" spans="2:5" ht="20" customHeight="1" x14ac:dyDescent="0.2">
      <c r="B428" s="4" t="s">
        <v>399</v>
      </c>
      <c r="C428" s="85" t="s">
        <v>128</v>
      </c>
      <c r="D428" s="337" t="str">
        <f>mgmt_az1_mgmt_vm_mask</f>
        <v>Value Missing</v>
      </c>
      <c r="E428" s="4"/>
    </row>
    <row r="429" spans="2:5" ht="20" customHeight="1" x14ac:dyDescent="0.2">
      <c r="B429" s="4" t="s">
        <v>400</v>
      </c>
      <c r="C429" s="85" t="str">
        <f>sample_mgmt_az1_mgmt_vm_gateway_ip</f>
        <v>10.11.10.1</v>
      </c>
      <c r="D429" s="337" t="str">
        <f>mgmt_az1_mgmt_vm_gateway_ip</f>
        <v>Value Missing</v>
      </c>
      <c r="E429" s="4"/>
    </row>
    <row r="430" spans="2:5" ht="20" customHeight="1" x14ac:dyDescent="0.2">
      <c r="B430" s="4" t="s">
        <v>401</v>
      </c>
      <c r="C430" s="85" t="str">
        <f>CONCATENATE(sample_mgmt_witness_dns1_ip,",",sample_mgmt_witness_dns2_ip)</f>
        <v>10.21.10.4,10.21.10.5</v>
      </c>
      <c r="D430" s="337" t="str">
        <f>IF(ISBLANK(input_region_dns1_ip),"Value Missing",CONCATENATE(region_dns1_ip,",",IF(ISBLANK(input_region_dns2_ip),"Value Missing",region_dns2_ip)))</f>
        <v>Value Missing</v>
      </c>
      <c r="E430" s="4"/>
    </row>
    <row r="431" spans="2:5" ht="20" customHeight="1" x14ac:dyDescent="0.2">
      <c r="B431" s="4" t="s">
        <v>402</v>
      </c>
      <c r="C431" s="85" t="str">
        <f>CONCATENATE(sample_child_dns_zone,",",sample_parent_dns_zone)</f>
        <v>sfo.rainpole.io,rainpole.io</v>
      </c>
      <c r="D431" s="337" t="str">
        <f>CONCATENATE(child_dns_zone,",",parent_dns_zone)</f>
        <v>Value Missing,Value Missing</v>
      </c>
      <c r="E431" s="4"/>
    </row>
    <row r="432" spans="2:5" ht="20" customHeight="1" x14ac:dyDescent="0.2">
      <c r="B432" s="4" t="s">
        <v>403</v>
      </c>
      <c r="C432" s="85" t="str">
        <f>IF(AND((NOT(ISBLANK(sample_region_ntp2_server))),(sample_region_ntp2_server &lt;&gt; "n/a")),CONCATENATE(sample_region_ntp1_server,",",sample_region_ntp2_server),sample_region_ntp1_server)</f>
        <v>ntp0.sfo.rainpole.io,ntp1.sfo.rainpole.io</v>
      </c>
      <c r="D432" s="337" t="str">
        <f>IF(AND((NOT(ISBLANK(region_ntp2_server))),(region_ntp2_server &lt;&gt; "n/a")),CONCATENATE(region_ntp1_server,",",region_ntp2_server),region_ntp1_server)</f>
        <v>Value Missing,Value Missing</v>
      </c>
      <c r="E432" s="4"/>
    </row>
    <row r="433" spans="2:7" ht="20" customHeight="1" x14ac:dyDescent="0.2">
      <c r="B433" s="505" t="s">
        <v>404</v>
      </c>
      <c r="C433" s="506"/>
      <c r="D433" s="506"/>
      <c r="E433" s="507"/>
    </row>
    <row r="434" spans="2:7" ht="20" customHeight="1" x14ac:dyDescent="0.2">
      <c r="B434" s="4" t="s">
        <v>405</v>
      </c>
      <c r="C434" s="141" t="str">
        <f>CONCATENATE(this_instance,"-m01-nsx-gm01c")</f>
        <v>sfo-m01-nsx-gm01c</v>
      </c>
      <c r="D434" s="129"/>
      <c r="E434" s="4"/>
      <c r="G434" s="27"/>
    </row>
    <row r="435" spans="2:7" ht="20" customHeight="1" x14ac:dyDescent="0.2">
      <c r="B435" s="4" t="s">
        <v>406</v>
      </c>
      <c r="C435" s="85" t="str">
        <f>sample_mgmt_datacenter</f>
        <v>sfo-m01-dc01</v>
      </c>
      <c r="D435" s="337" t="str">
        <f>mgmt_datacenter</f>
        <v>Value Missing</v>
      </c>
      <c r="E435" s="4"/>
    </row>
    <row r="436" spans="2:7" ht="20" customHeight="1" x14ac:dyDescent="0.2">
      <c r="B436" s="4" t="s">
        <v>407</v>
      </c>
      <c r="C436" s="85" t="str">
        <f>sample_mgmt_cl01_cluster</f>
        <v>sfo-m01-cl01</v>
      </c>
      <c r="D436" s="337" t="str">
        <f>mgmt_cl01_cluster</f>
        <v>Value Missing</v>
      </c>
      <c r="E436" s="4"/>
    </row>
    <row r="437" spans="2:7" ht="20" customHeight="1" x14ac:dyDescent="0.2">
      <c r="B437" s="4" t="s">
        <v>408</v>
      </c>
      <c r="C437" s="85" t="s">
        <v>93</v>
      </c>
      <c r="D437" s="337" t="str">
        <f>D420</f>
        <v>Medium</v>
      </c>
      <c r="E437" s="4"/>
    </row>
    <row r="438" spans="2:7" ht="20" customHeight="1" x14ac:dyDescent="0.2">
      <c r="B438" s="4" t="s">
        <v>409</v>
      </c>
      <c r="C438" s="85" t="str">
        <f>sample_mgmt_cl01_vsan_datastore</f>
        <v>sfo-m01-cl01-ds-vsan01</v>
      </c>
      <c r="D438" s="337" t="str">
        <f>mgmt_cl01_vsan_datastore</f>
        <v>Value Missing</v>
      </c>
      <c r="E438" s="4"/>
    </row>
    <row r="439" spans="2:7" ht="20" customHeight="1" x14ac:dyDescent="0.2">
      <c r="B439" s="4" t="s">
        <v>410</v>
      </c>
      <c r="C439" s="142" t="str">
        <f>sample_mgmt_cl01_az1_mgmt_vm_pg</f>
        <v>sfo-m01-cl01-vds01-pg-vm-mgmt</v>
      </c>
      <c r="D439" s="337" t="str">
        <f>mgmt_cl01_az1_mgmt_vm_pg</f>
        <v>Value Missing</v>
      </c>
      <c r="E439" s="4"/>
    </row>
    <row r="440" spans="2:7" ht="20" customHeight="1" x14ac:dyDescent="0.2">
      <c r="B440" s="4" t="s">
        <v>411</v>
      </c>
      <c r="C440" s="85" t="str">
        <f>sample_nsxt_gm_root_password</f>
        <v>VMw@re1!VMw@re1!</v>
      </c>
      <c r="D440" s="337" t="str">
        <f>nsxt_gm_root_password</f>
        <v>Value Missing</v>
      </c>
      <c r="E440" s="4"/>
    </row>
    <row r="441" spans="2:7" ht="20" customHeight="1" x14ac:dyDescent="0.2">
      <c r="B441" s="4" t="s">
        <v>412</v>
      </c>
      <c r="C441" s="85" t="str">
        <f>sample_nsxt_gm_admin_password</f>
        <v>VMw@re1!VMw@re1!</v>
      </c>
      <c r="D441" s="337" t="str">
        <f>nsxt_gm_admin_password</f>
        <v>Value Missing</v>
      </c>
      <c r="E441" s="4"/>
    </row>
    <row r="442" spans="2:7" ht="20" customHeight="1" x14ac:dyDescent="0.2">
      <c r="B442" s="4" t="s">
        <v>413</v>
      </c>
      <c r="C442" s="85" t="str">
        <f>sample_nsxt_gm_audit_password</f>
        <v>VMw@re1!VMw@re1!</v>
      </c>
      <c r="D442" s="337" t="str">
        <f>nsxt_gm_audit_password</f>
        <v>Value Missing</v>
      </c>
      <c r="E442" s="4"/>
      <c r="G442" s="27"/>
    </row>
    <row r="443" spans="2:7" ht="20" customHeight="1" x14ac:dyDescent="0.2">
      <c r="B443" s="4" t="s">
        <v>414</v>
      </c>
      <c r="C443" s="85" t="str">
        <f>CONCATENATE(sample_mgmt_nsxt_global_mgrc_hostname,".",sample_child_dns_zone)</f>
        <v>sfo-m01-nsx-gm01c.sfo.rainpole.io</v>
      </c>
      <c r="D443" s="347"/>
      <c r="E443" s="4"/>
    </row>
    <row r="444" spans="2:7" ht="20" customHeight="1" x14ac:dyDescent="0.2">
      <c r="B444" s="4" t="s">
        <v>415</v>
      </c>
      <c r="C444" s="141" t="str">
        <f>IF(mgmt_dpg_reuse_result="Included",CONCATENATE(prefix_mgmt_az1_cidr,"10.84"),CONCATENATE(prefix_mgmt_az1_cidr,"11.84"))</f>
        <v>10.11.10.84</v>
      </c>
      <c r="D444" s="129"/>
      <c r="E444" s="4"/>
    </row>
    <row r="445" spans="2:7" ht="20" customHeight="1" x14ac:dyDescent="0.2">
      <c r="B445" s="4" t="s">
        <v>416</v>
      </c>
      <c r="C445" s="85" t="s">
        <v>128</v>
      </c>
      <c r="D445" s="337" t="str">
        <f>mgmt_az1_mgmt_vm_mask</f>
        <v>Value Missing</v>
      </c>
      <c r="E445" s="4"/>
    </row>
    <row r="446" spans="2:7" ht="20" customHeight="1" x14ac:dyDescent="0.2">
      <c r="B446" s="4" t="s">
        <v>417</v>
      </c>
      <c r="C446" s="85" t="str">
        <f>sample_mgmt_az1_mgmt_vm_gateway_ip</f>
        <v>10.11.10.1</v>
      </c>
      <c r="D446" s="337" t="str">
        <f>mgmt_az1_mgmt_vm_gateway_ip</f>
        <v>Value Missing</v>
      </c>
      <c r="E446" s="4"/>
    </row>
    <row r="447" spans="2:7" ht="20" customHeight="1" x14ac:dyDescent="0.2">
      <c r="B447" s="4" t="s">
        <v>418</v>
      </c>
      <c r="C447" s="85" t="str">
        <f>CONCATENATE(sample_mgmt_witness_dns1_ip,",",sample_mgmt_witness_dns2_ip)</f>
        <v>10.21.10.4,10.21.10.5</v>
      </c>
      <c r="D447" s="337" t="str">
        <f>IF(ISBLANK(input_region_dns1_ip),"Value Missing",CONCATENATE(region_dns1_ip,",",IF(ISBLANK(input_region_dns2_ip),"Value Missing",region_dns2_ip)))</f>
        <v>Value Missing</v>
      </c>
      <c r="E447" s="4"/>
    </row>
    <row r="448" spans="2:7" ht="20" customHeight="1" x14ac:dyDescent="0.2">
      <c r="B448" s="4" t="s">
        <v>419</v>
      </c>
      <c r="C448" s="85" t="str">
        <f>CONCATENATE(sample_child_dns_zone,",",sample_parent_dns_zone)</f>
        <v>sfo.rainpole.io,rainpole.io</v>
      </c>
      <c r="D448" s="337" t="str">
        <f>CONCATENATE(child_dns_zone,",",parent_dns_zone)</f>
        <v>Value Missing,Value Missing</v>
      </c>
      <c r="E448" s="4"/>
      <c r="G448" s="27"/>
    </row>
    <row r="449" spans="2:7" ht="20" customHeight="1" x14ac:dyDescent="0.2">
      <c r="B449" s="4" t="s">
        <v>420</v>
      </c>
      <c r="C449" s="85" t="str">
        <f>IF(AND((NOT(ISBLANK(sample_region_ntp2_server))),(sample_region_ntp2_server &lt;&gt; "n/a")),CONCATENATE(sample_region_ntp1_server,",",sample_region_ntp2_server),sample_region_ntp1_server)</f>
        <v>ntp0.sfo.rainpole.io,ntp1.sfo.rainpole.io</v>
      </c>
      <c r="D449" s="337" t="str">
        <f>IF(AND((NOT(ISBLANK(region_ntp2_server))),(region_ntp2_server &lt;&gt; "n/a")),CONCATENATE(region_ntp1_server,",",region_ntp2_server),region_ntp1_server)</f>
        <v>Value Missing,Value Missing</v>
      </c>
      <c r="E449" s="4"/>
    </row>
    <row r="450" spans="2:7" ht="20" customHeight="1" x14ac:dyDescent="0.2">
      <c r="B450" s="4" t="s">
        <v>421</v>
      </c>
      <c r="C450" s="141" t="str">
        <f>CONCATENATE(this_instance,"-m01-nsx-gm01",".",sample_child_dns_zone)</f>
        <v>sfo-m01-nsx-gm01.sfo.rainpole.io</v>
      </c>
      <c r="D450" s="129"/>
      <c r="E450" s="4"/>
    </row>
    <row r="451" spans="2:7" ht="20" customHeight="1" x14ac:dyDescent="0.2">
      <c r="B451" s="505" t="s">
        <v>422</v>
      </c>
      <c r="C451" s="506"/>
      <c r="D451" s="506"/>
      <c r="E451" s="507"/>
      <c r="G451" s="27"/>
    </row>
    <row r="452" spans="2:7" ht="20" customHeight="1" x14ac:dyDescent="0.2">
      <c r="B452" s="17" t="s">
        <v>368</v>
      </c>
      <c r="C452" s="362" t="str">
        <f>sample_mgmt_vc_fqdn</f>
        <v>sfo-m01-vc01.sfo.rainpole.io</v>
      </c>
      <c r="D452" s="343" t="str">
        <f>mgmt_vc_fqdn</f>
        <v>Value Missing</v>
      </c>
      <c r="E452" s="4"/>
    </row>
    <row r="453" spans="2:7" ht="20" customHeight="1" x14ac:dyDescent="0.2">
      <c r="B453" s="17" t="s">
        <v>423</v>
      </c>
      <c r="C453" s="85" t="s">
        <v>424</v>
      </c>
      <c r="D453" s="347"/>
      <c r="E453" s="66"/>
    </row>
    <row r="454" spans="2:7" ht="20" customHeight="1" x14ac:dyDescent="0.2">
      <c r="B454" s="17" t="s">
        <v>425</v>
      </c>
      <c r="C454" s="85" t="s">
        <v>426</v>
      </c>
      <c r="D454" s="347"/>
      <c r="E454" s="66"/>
    </row>
    <row r="455" spans="2:7" ht="20" customHeight="1" x14ac:dyDescent="0.2">
      <c r="B455" s="17" t="s">
        <v>427</v>
      </c>
      <c r="C455" s="362" t="str">
        <f>sample_mgmt_nsxt_global_mgrb_hostname</f>
        <v>sfo-m01-nsx-gm01b</v>
      </c>
      <c r="D455" s="343" t="str">
        <f>mgmt_nsxt_global_mgrb_fqdn</f>
        <v>Value Missing</v>
      </c>
      <c r="E455" s="66"/>
    </row>
    <row r="456" spans="2:7" ht="20" customHeight="1" x14ac:dyDescent="0.2">
      <c r="B456" s="17" t="s">
        <v>428</v>
      </c>
      <c r="C456" s="362" t="str">
        <f>sample_mgmt_nsxt_global_mgra_ip</f>
        <v>10.11.10.82</v>
      </c>
      <c r="D456" s="343" t="str">
        <f>mgmt_nsxt_global_mgra_ip</f>
        <v>Value Missing</v>
      </c>
      <c r="E456" s="66"/>
    </row>
    <row r="457" spans="2:7" ht="20" customHeight="1" x14ac:dyDescent="0.2">
      <c r="B457" s="17" t="s">
        <v>429</v>
      </c>
      <c r="C457" s="362" t="str">
        <f>sample_mgmt_nsxt_global_mgr_cluster_id</f>
        <v>ca3bd7dc-aa06-4f2d-a9e1-0c4999354c9b</v>
      </c>
      <c r="D457" s="343" t="str">
        <f>mgmt_nsxt_global_mgr_cluster_id</f>
        <v>Value Missing</v>
      </c>
      <c r="E457" s="66"/>
      <c r="G457" s="27"/>
    </row>
    <row r="458" spans="2:7" ht="20" customHeight="1" x14ac:dyDescent="0.2">
      <c r="B458" s="17" t="s">
        <v>430</v>
      </c>
      <c r="C458" s="362" t="s">
        <v>431</v>
      </c>
      <c r="D458" s="94"/>
      <c r="E458" s="66"/>
    </row>
    <row r="459" spans="2:7" ht="20" customHeight="1" x14ac:dyDescent="0.2">
      <c r="B459" s="17" t="s">
        <v>432</v>
      </c>
      <c r="C459" s="362" t="str">
        <f>sample_nsxt_gm_admin_password</f>
        <v>VMw@re1!VMw@re1!</v>
      </c>
      <c r="D459" s="343" t="str">
        <f>nsxt_gm_admin_password</f>
        <v>Value Missing</v>
      </c>
      <c r="E459" s="66"/>
    </row>
    <row r="460" spans="2:7" ht="20" customHeight="1" x14ac:dyDescent="0.2">
      <c r="B460" s="17" t="s">
        <v>433</v>
      </c>
      <c r="C460" s="362" t="str">
        <f>sample_mgmt_nsxt_global_mgr_vmca_signed_thumbprint</f>
        <v>c7a6264cd8f74033e851944a205110afdeb046386af42ce47240939c417acb93</v>
      </c>
      <c r="D460" s="343" t="str">
        <f>mgmt_nsxt_global_mgr_vmca_signed_thumbprint</f>
        <v>Value Missing</v>
      </c>
      <c r="E460" s="66"/>
    </row>
    <row r="461" spans="2:7" ht="20" customHeight="1" x14ac:dyDescent="0.2">
      <c r="B461" s="17" t="s">
        <v>434</v>
      </c>
      <c r="C461" s="362" t="str">
        <f>sample_mgmt_nsxt_global_mgrc_hostname</f>
        <v>sfo-m01-nsx-gm01c</v>
      </c>
      <c r="D461" s="343" t="str">
        <f>mgmt_nsxt_global_mgrc_fqdn</f>
        <v>Value Missing</v>
      </c>
      <c r="E461" s="66"/>
    </row>
    <row r="462" spans="2:7" ht="20" customHeight="1" x14ac:dyDescent="0.2">
      <c r="B462" s="17" t="s">
        <v>435</v>
      </c>
      <c r="C462" s="362" t="str">
        <f>sample_mgmt_nsxt_global_mgra_ip</f>
        <v>10.11.10.82</v>
      </c>
      <c r="D462" s="343" t="str">
        <f>mgmt_nsxt_global_mgra_ip</f>
        <v>Value Missing</v>
      </c>
      <c r="E462" s="66"/>
    </row>
    <row r="463" spans="2:7" ht="20" customHeight="1" x14ac:dyDescent="0.2">
      <c r="B463" s="17" t="s">
        <v>436</v>
      </c>
      <c r="C463" s="362" t="str">
        <f>sample_mgmt_nsxt_global_mgr_cluster_id</f>
        <v>ca3bd7dc-aa06-4f2d-a9e1-0c4999354c9b</v>
      </c>
      <c r="D463" s="343" t="str">
        <f>mgmt_nsxt_global_mgr_cluster_id</f>
        <v>Value Missing</v>
      </c>
      <c r="E463" s="66"/>
    </row>
    <row r="464" spans="2:7" ht="20" customHeight="1" x14ac:dyDescent="0.2">
      <c r="B464" s="17" t="s">
        <v>437</v>
      </c>
      <c r="C464" s="362" t="s">
        <v>431</v>
      </c>
      <c r="D464" s="94"/>
      <c r="E464" s="66"/>
      <c r="G464" s="27"/>
    </row>
    <row r="465" spans="2:7" ht="20" customHeight="1" x14ac:dyDescent="0.2">
      <c r="B465" s="17" t="s">
        <v>438</v>
      </c>
      <c r="C465" s="362" t="str">
        <f>sample_nsxt_gm_admin_password</f>
        <v>VMw@re1!VMw@re1!</v>
      </c>
      <c r="D465" s="343" t="str">
        <f>nsxt_gm_admin_password</f>
        <v>Value Missing</v>
      </c>
      <c r="E465" s="66"/>
    </row>
    <row r="466" spans="2:7" ht="20" customHeight="1" x14ac:dyDescent="0.2">
      <c r="B466" s="17" t="s">
        <v>439</v>
      </c>
      <c r="C466" s="362" t="str">
        <f>sample_mgmt_nsxt_global_mgr_vmca_signed_thumbprint</f>
        <v>c7a6264cd8f74033e851944a205110afdeb046386af42ce47240939c417acb93</v>
      </c>
      <c r="D466" s="343" t="str">
        <f>mgmt_nsxt_global_mgr_vmca_signed_thumbprint</f>
        <v>Value Missing</v>
      </c>
      <c r="E466" s="66"/>
    </row>
    <row r="467" spans="2:7" ht="20" customHeight="1" x14ac:dyDescent="0.2">
      <c r="B467" s="505" t="s">
        <v>440</v>
      </c>
      <c r="C467" s="506"/>
      <c r="D467" s="506"/>
      <c r="E467" s="507"/>
    </row>
    <row r="468" spans="2:7" ht="20" customHeight="1" x14ac:dyDescent="0.2">
      <c r="B468" s="4" t="s">
        <v>368</v>
      </c>
      <c r="C468" s="362" t="str">
        <f>sample_mgmt_vc_fqdn</f>
        <v>sfo-m01-vc01.sfo.rainpole.io</v>
      </c>
      <c r="D468" s="337" t="str">
        <f>mgmt_vc_fqdn</f>
        <v>Value Missing</v>
      </c>
      <c r="E468" s="4"/>
    </row>
    <row r="469" spans="2:7" ht="20" customHeight="1" x14ac:dyDescent="0.2">
      <c r="B469" s="4" t="s">
        <v>261</v>
      </c>
      <c r="C469" s="362" t="str">
        <f>CONCATENATE(sample_mgmt_sddc_domain,"-anti-affinity-rule-nsx-global-managers")</f>
        <v>sfo-m01-anti-affinity-rule-nsx-global-managers</v>
      </c>
      <c r="D469" s="347"/>
      <c r="E469" s="4"/>
    </row>
    <row r="470" spans="2:7" ht="20" customHeight="1" x14ac:dyDescent="0.2">
      <c r="B470" s="4" t="s">
        <v>441</v>
      </c>
      <c r="C470" s="362" t="str">
        <f>sample_mgmt_nsxt_global_mgra_hostname</f>
        <v>sfo-m01-nsx-gm01a</v>
      </c>
      <c r="D470" s="337" t="str">
        <f>mgmt_nsxt_global_mgra_hostname</f>
        <v>Value Missing</v>
      </c>
      <c r="E470" s="4"/>
    </row>
    <row r="471" spans="2:7" ht="20" customHeight="1" x14ac:dyDescent="0.2">
      <c r="B471" s="4" t="s">
        <v>442</v>
      </c>
      <c r="C471" s="362" t="str">
        <f>sample_mgmt_nsxt_global_mgrb_hostname</f>
        <v>sfo-m01-nsx-gm01b</v>
      </c>
      <c r="D471" s="337" t="str">
        <f>mgmt_nsxt_global_mgrb_hostname</f>
        <v>Value Missing</v>
      </c>
      <c r="E471" s="4"/>
      <c r="G471" s="27"/>
    </row>
    <row r="472" spans="2:7" ht="20" customHeight="1" x14ac:dyDescent="0.2">
      <c r="B472" s="4" t="s">
        <v>443</v>
      </c>
      <c r="C472" s="362" t="str">
        <f>sample_mgmt_nsxt_global_mgrc_hostname</f>
        <v>sfo-m01-nsx-gm01c</v>
      </c>
      <c r="D472" s="337" t="str">
        <f>mgmt_nsxt_global_mgrc_hostname</f>
        <v>Value Missing</v>
      </c>
      <c r="E472" s="4"/>
    </row>
    <row r="473" spans="2:7" ht="20" customHeight="1" x14ac:dyDescent="0.2">
      <c r="B473" s="505" t="s">
        <v>444</v>
      </c>
      <c r="C473" s="506"/>
      <c r="D473" s="506"/>
      <c r="E473" s="507"/>
    </row>
    <row r="474" spans="2:7" ht="20" customHeight="1" x14ac:dyDescent="0.2">
      <c r="B474" s="4" t="s">
        <v>445</v>
      </c>
      <c r="C474" s="362" t="str">
        <f>sample_mgmt_nsxt_global_mgra_fqdn</f>
        <v>sfo-m01-nsx-gm01a.sfo.rainpole.io</v>
      </c>
      <c r="D474" s="343" t="str">
        <f>mgmt_nsxt_global_mgra_fqdn</f>
        <v>Value Missing</v>
      </c>
      <c r="E474" s="4"/>
      <c r="G474" s="27"/>
    </row>
    <row r="475" spans="2:7" ht="20" customHeight="1" x14ac:dyDescent="0.2">
      <c r="B475" s="4" t="s">
        <v>446</v>
      </c>
      <c r="C475" s="89" t="str">
        <f>IF(mgmt_dpg_reuse_result="Included",CONCATENATE(prefix_mgmt_az1_cidr,"10.81"),CONCATENATE(prefix_mgmt_az1_cidr,"11.81"))</f>
        <v>10.11.10.81</v>
      </c>
      <c r="D475" s="129"/>
      <c r="E475" s="4"/>
    </row>
    <row r="476" spans="2:7" ht="20" customHeight="1" x14ac:dyDescent="0.2">
      <c r="B476" s="4" t="s">
        <v>447</v>
      </c>
      <c r="C476" s="362" t="str">
        <f>sample_mgmt_nsxt_gm_vip_fqdn</f>
        <v>sfo-m01-nsx-gm01.sfo.rainpole.io</v>
      </c>
      <c r="D476" s="343" t="str">
        <f>mgmt_nsxt_gm_vip_fqdn</f>
        <v>Value Missing</v>
      </c>
      <c r="E476" s="66"/>
    </row>
    <row r="477" spans="2:7" ht="20" customHeight="1" x14ac:dyDescent="0.2">
      <c r="B477" s="505" t="s">
        <v>448</v>
      </c>
      <c r="C477" s="506"/>
      <c r="D477" s="506"/>
      <c r="E477" s="507"/>
    </row>
    <row r="478" spans="2:7" ht="20" customHeight="1" x14ac:dyDescent="0.2">
      <c r="B478" s="4" t="s">
        <v>447</v>
      </c>
      <c r="C478" s="362" t="str">
        <f>sample_mgmt_nsxt_gm_vip_fqdn</f>
        <v>sfo-m01-nsx-gm01.sfo.rainpole.io</v>
      </c>
      <c r="D478" s="343" t="str">
        <f>mgmt_nsxt_gm_vip_fqdn</f>
        <v>Value Missing</v>
      </c>
      <c r="E478" s="66"/>
    </row>
    <row r="479" spans="2:7" ht="20" customHeight="1" x14ac:dyDescent="0.2">
      <c r="B479" s="505" t="s">
        <v>449</v>
      </c>
      <c r="C479" s="506"/>
      <c r="D479" s="506"/>
      <c r="E479" s="507"/>
    </row>
    <row r="480" spans="2:7" ht="20" customHeight="1" x14ac:dyDescent="0.2">
      <c r="B480" s="4" t="s">
        <v>447</v>
      </c>
      <c r="C480" s="362" t="str">
        <f>sample_mgmt_nsxt_gm_vip_fqdn</f>
        <v>sfo-m01-nsx-gm01.sfo.rainpole.io</v>
      </c>
      <c r="D480" s="343" t="str">
        <f>mgmt_nsxt_gm_vip_fqdn</f>
        <v>Value Missing</v>
      </c>
      <c r="E480" s="66"/>
    </row>
    <row r="481" spans="2:7" ht="20" customHeight="1" x14ac:dyDescent="0.2">
      <c r="B481" s="4" t="s">
        <v>450</v>
      </c>
      <c r="C481" s="362" t="s">
        <v>451</v>
      </c>
      <c r="D481" s="94"/>
      <c r="E481" s="66"/>
      <c r="G481" s="27"/>
    </row>
    <row r="482" spans="2:7" ht="20" customHeight="1" x14ac:dyDescent="0.2">
      <c r="B482" s="4" t="s">
        <v>445</v>
      </c>
      <c r="C482" s="362" t="str">
        <f>sample_mgmt_nsxt_global_mgra_fqdn</f>
        <v>sfo-m01-nsx-gm01a.sfo.rainpole.io</v>
      </c>
      <c r="D482" s="343" t="str">
        <f>mgmt_nsxt_global_mgra_fqdn</f>
        <v>Value Missing</v>
      </c>
      <c r="E482" s="4"/>
    </row>
    <row r="483" spans="2:7" ht="20" customHeight="1" x14ac:dyDescent="0.2">
      <c r="B483" s="4" t="s">
        <v>452</v>
      </c>
      <c r="C483" s="362" t="str">
        <f>sample_mgmt_nsxt_global_mgr_certificate_id</f>
        <v>a900065b-aeb5-457e-aca6-4612b17d06d9</v>
      </c>
      <c r="D483" s="343" t="str">
        <f>mgmt_nsxt_global_mgr_certificate_id</f>
        <v>Value Missing</v>
      </c>
      <c r="E483" s="66"/>
    </row>
    <row r="484" spans="2:7" ht="20" customHeight="1" x14ac:dyDescent="0.2">
      <c r="B484" s="505" t="s">
        <v>453</v>
      </c>
      <c r="C484" s="506"/>
      <c r="D484" s="506"/>
      <c r="E484" s="507"/>
    </row>
    <row r="485" spans="2:7" ht="20" customHeight="1" x14ac:dyDescent="0.2">
      <c r="B485" s="4" t="s">
        <v>447</v>
      </c>
      <c r="C485" s="362" t="str">
        <f>sample_mgmt_nsxt_gm_vip_fqdn</f>
        <v>sfo-m01-nsx-gm01.sfo.rainpole.io</v>
      </c>
      <c r="D485" s="343" t="str">
        <f>mgmt_nsxt_gm_vip_fqdn</f>
        <v>Value Missing</v>
      </c>
      <c r="E485" s="66"/>
    </row>
    <row r="486" spans="2:7" ht="20" customHeight="1" x14ac:dyDescent="0.2">
      <c r="B486" s="4" t="s">
        <v>454</v>
      </c>
      <c r="C486" s="362" t="str">
        <f>sample_mgmt_nsxt_global_mgrb_hostname</f>
        <v>sfo-m01-nsx-gm01b</v>
      </c>
      <c r="D486" s="343" t="str">
        <f>mgmt_nsxt_global_mgrb_fqdn</f>
        <v>Value Missing</v>
      </c>
      <c r="E486" s="4"/>
    </row>
    <row r="487" spans="2:7" ht="20" customHeight="1" x14ac:dyDescent="0.2">
      <c r="B487" s="4" t="s">
        <v>455</v>
      </c>
      <c r="C487" s="362" t="str">
        <f>sample_mgmt_nsxt_global_mgrc_hostname</f>
        <v>sfo-m01-nsx-gm01c</v>
      </c>
      <c r="D487" s="343" t="str">
        <f>mgmt_nsxt_global_mgrc_fqdn</f>
        <v>Value Missing</v>
      </c>
      <c r="E487" s="4"/>
    </row>
    <row r="488" spans="2:7" ht="20" customHeight="1" x14ac:dyDescent="0.2">
      <c r="B488" s="4" t="s">
        <v>452</v>
      </c>
      <c r="C488" s="362" t="str">
        <f>sample_mgmt_nsxt_global_mgr_certificate_id</f>
        <v>a900065b-aeb5-457e-aca6-4612b17d06d9</v>
      </c>
      <c r="D488" s="343" t="str">
        <f>mgmt_nsxt_global_mgr_certificate_id</f>
        <v>Value Missing</v>
      </c>
      <c r="E488" s="66"/>
    </row>
    <row r="489" spans="2:7" ht="20" customHeight="1" x14ac:dyDescent="0.2">
      <c r="B489" s="505" t="s">
        <v>456</v>
      </c>
      <c r="C489" s="506"/>
      <c r="D489" s="506"/>
      <c r="E489" s="507"/>
    </row>
    <row r="490" spans="2:7" ht="20" customHeight="1" x14ac:dyDescent="0.2">
      <c r="B490" s="4" t="s">
        <v>457</v>
      </c>
      <c r="C490" s="362" t="str">
        <f>sample_mgmt_nsxt_vip_fqdn</f>
        <v>sfo-m01-nsx01.sfo.rainpole.io</v>
      </c>
      <c r="D490" s="343" t="str">
        <f>mgmt_nsxt_vip_fqdn</f>
        <v>Value Missing</v>
      </c>
      <c r="E490" s="4"/>
    </row>
    <row r="491" spans="2:7" ht="20" customHeight="1" x14ac:dyDescent="0.2">
      <c r="B491" s="4" t="s">
        <v>261</v>
      </c>
      <c r="C491" s="80" t="str">
        <f>CONCATENATE(this_instance,"-m01-r01-ip-pool-rtep")</f>
        <v>sfo-m01-r01-ip-pool-rtep</v>
      </c>
      <c r="D491" s="94"/>
      <c r="E491" s="4"/>
    </row>
    <row r="492" spans="2:7" ht="20" customHeight="1" x14ac:dyDescent="0.2">
      <c r="B492" s="4" t="s">
        <v>458</v>
      </c>
      <c r="C492" s="80" t="str">
        <f>CONCATENATE(prefix_mgmt_az1_cidr,"20.101")</f>
        <v>10.11.20.101</v>
      </c>
      <c r="D492" s="347"/>
      <c r="E492" s="4"/>
      <c r="G492" s="27"/>
    </row>
    <row r="493" spans="2:7" ht="20" customHeight="1" x14ac:dyDescent="0.2">
      <c r="B493" s="4" t="s">
        <v>459</v>
      </c>
      <c r="C493" s="80" t="str">
        <f>IF(mgmt_stretched_cluster_result="Excluded",CONCATENATE(prefix_mgmt_az1_cidr,"20.116"),CONCATENATE(prefix_mgmt_az1_cidr,"20.132"))</f>
        <v>10.11.20.116</v>
      </c>
      <c r="D493" s="347"/>
      <c r="E493" s="4"/>
      <c r="G493" s="27"/>
    </row>
    <row r="494" spans="2:7" ht="20" customHeight="1" x14ac:dyDescent="0.2">
      <c r="B494" s="4" t="s">
        <v>460</v>
      </c>
      <c r="C494" s="80" t="str">
        <f>CONCATENATE(prefix_mgmt_az1_cidr,"20.0/24")</f>
        <v>10.11.20.0/24</v>
      </c>
      <c r="D494" s="347"/>
      <c r="E494" s="4"/>
    </row>
    <row r="495" spans="2:7" ht="20" customHeight="1" x14ac:dyDescent="0.2">
      <c r="B495" s="4" t="s">
        <v>461</v>
      </c>
      <c r="C495" s="80" t="str">
        <f>CONCATENATE(prefix_mgmt_az1_cidr,"20.1")</f>
        <v>10.11.20.1</v>
      </c>
      <c r="D495" s="347"/>
      <c r="E495" s="4"/>
    </row>
    <row r="496" spans="2:7" ht="20" customHeight="1" x14ac:dyDescent="0.2">
      <c r="B496" s="505" t="s">
        <v>462</v>
      </c>
      <c r="C496" s="506"/>
      <c r="D496" s="506"/>
      <c r="E496" s="507"/>
    </row>
    <row r="497" spans="2:7" ht="20" customHeight="1" x14ac:dyDescent="0.2">
      <c r="B497" s="4" t="s">
        <v>463</v>
      </c>
      <c r="C497" s="362" t="str">
        <f>sample_mgmt_nsxt_gm_vip_fqdn</f>
        <v>sfo-m01-nsx-gm01.sfo.rainpole.io</v>
      </c>
      <c r="D497" s="343" t="str">
        <f>mgmt_nsxt_gm_vip_fqdn</f>
        <v>Value Missing</v>
      </c>
      <c r="E497" s="66"/>
    </row>
    <row r="498" spans="2:7" ht="20" customHeight="1" x14ac:dyDescent="0.2">
      <c r="B498" s="4" t="s">
        <v>464</v>
      </c>
      <c r="C498" s="85" t="str">
        <f>CONCATENATE(this_instance,"-m01-nsx-gm01")</f>
        <v>sfo-m01-nsx-gm01</v>
      </c>
      <c r="D498" s="347"/>
      <c r="E498" s="66"/>
      <c r="G498" s="27"/>
    </row>
    <row r="499" spans="2:7" ht="20" customHeight="1" x14ac:dyDescent="0.2">
      <c r="B499" s="505" t="s">
        <v>465</v>
      </c>
      <c r="C499" s="506"/>
      <c r="D499" s="506"/>
      <c r="E499" s="507"/>
    </row>
    <row r="500" spans="2:7" ht="20" customHeight="1" x14ac:dyDescent="0.2">
      <c r="B500" s="4" t="s">
        <v>466</v>
      </c>
      <c r="C500" s="362" t="str">
        <f>sample_mgmt_nsxt_gm_vip_fqdn</f>
        <v>sfo-m01-nsx-gm01.sfo.rainpole.io</v>
      </c>
      <c r="D500" s="343" t="str">
        <f>mgmt_nsxt_gm_vip_fqdn</f>
        <v>Value Missing</v>
      </c>
      <c r="E500" s="66"/>
    </row>
    <row r="501" spans="2:7" ht="20" customHeight="1" x14ac:dyDescent="0.2">
      <c r="B501" s="4" t="s">
        <v>467</v>
      </c>
      <c r="C501" s="362" t="s">
        <v>468</v>
      </c>
      <c r="D501" s="347"/>
      <c r="E501" s="66"/>
    </row>
    <row r="502" spans="2:7" ht="20" customHeight="1" x14ac:dyDescent="0.2">
      <c r="B502" s="4" t="s">
        <v>469</v>
      </c>
      <c r="C502" s="362" t="str">
        <f t="array" ref="C502">IF(mgmt_domain_chosen="First Instance",sample_mgmt_nsxt_gm_vip_fqdn,sample_mgmt_existing_active_nsx_gm)</f>
        <v>sfo-m01-nsx-gm01.sfo.rainpole.io</v>
      </c>
      <c r="D502" s="343" t="str">
        <f t="array" ref="D502">IF(mgmt_domain_chosen="First Instance",mgmt_nsxt_gm_vip_fqdn,mgmt_existing_active_nsx_gm)</f>
        <v>Value Missing</v>
      </c>
      <c r="E502" s="66"/>
      <c r="G502" s="27"/>
    </row>
    <row r="503" spans="2:7" ht="20" customHeight="1" x14ac:dyDescent="0.2">
      <c r="B503" s="4" t="s">
        <v>470</v>
      </c>
      <c r="C503" s="362" t="str">
        <f>sample_mgmt_nsxt_federation_global_manager_name</f>
        <v>sfo-m01-nsx-gm01</v>
      </c>
      <c r="D503" s="343" t="str">
        <f>mgmt_nsxt_federation_global_manager_name</f>
        <v>Value Missing</v>
      </c>
      <c r="E503" s="66"/>
    </row>
    <row r="504" spans="2:7" ht="20" customHeight="1" x14ac:dyDescent="0.2">
      <c r="B504" s="4" t="s">
        <v>471</v>
      </c>
      <c r="C504" s="362" t="str">
        <f>sample_mgmt_nsxt_gm_vip_fqdn</f>
        <v>sfo-m01-nsx-gm01.sfo.rainpole.io</v>
      </c>
      <c r="D504" s="343" t="str">
        <f>mgmt_nsxt_gm_vip_fqdn</f>
        <v>Value Missing</v>
      </c>
      <c r="E504" s="66"/>
    </row>
    <row r="505" spans="2:7" ht="20" customHeight="1" x14ac:dyDescent="0.2">
      <c r="B505" s="4" t="s">
        <v>27</v>
      </c>
      <c r="C505" s="362" t="s">
        <v>431</v>
      </c>
      <c r="D505" s="343"/>
      <c r="E505" s="66"/>
    </row>
    <row r="506" spans="2:7" ht="20" customHeight="1" x14ac:dyDescent="0.2">
      <c r="B506" s="4" t="s">
        <v>29</v>
      </c>
      <c r="C506" s="362" t="str">
        <f>sample_nsxt_gm_admin_password</f>
        <v>VMw@re1!VMw@re1!</v>
      </c>
      <c r="D506" s="343" t="str">
        <f>nsxt_gm_admin_password</f>
        <v>Value Missing</v>
      </c>
      <c r="E506" s="66"/>
    </row>
    <row r="507" spans="2:7" ht="20" customHeight="1" x14ac:dyDescent="0.2">
      <c r="B507" s="4" t="s">
        <v>467</v>
      </c>
      <c r="C507" s="362" t="str">
        <f>sample_mgmt_nsxt_gm_fingerprint</f>
        <v>0d472de0d92da89f2b469d4d10ab23505ad4edb90cd7e68f84497008f6c89ff1</v>
      </c>
      <c r="D507" s="343" t="str">
        <f>mgmt_nsxt_gm_fingerprint</f>
        <v>Value Missing</v>
      </c>
      <c r="E507" s="66"/>
    </row>
    <row r="508" spans="2:7" ht="20" customHeight="1" x14ac:dyDescent="0.2">
      <c r="B508" s="505" t="s">
        <v>472</v>
      </c>
      <c r="C508" s="506"/>
      <c r="D508" s="506"/>
      <c r="E508" s="507"/>
    </row>
    <row r="509" spans="2:7" ht="20" customHeight="1" x14ac:dyDescent="0.2">
      <c r="B509" s="4" t="s">
        <v>457</v>
      </c>
      <c r="C509" s="362" t="str">
        <f>sample_mgmt_nsxt_vip_fqdn</f>
        <v>sfo-m01-nsx01.sfo.rainpole.io</v>
      </c>
      <c r="D509" s="343" t="str">
        <f>mgmt_nsxt_vip_fqdn</f>
        <v>Value Missing</v>
      </c>
      <c r="E509" s="4"/>
    </row>
    <row r="510" spans="2:7" ht="20" customHeight="1" x14ac:dyDescent="0.2">
      <c r="B510" s="4" t="s">
        <v>467</v>
      </c>
      <c r="C510" s="362" t="s">
        <v>473</v>
      </c>
      <c r="D510" s="347"/>
      <c r="E510" s="66"/>
    </row>
    <row r="511" spans="2:7" ht="20" customHeight="1" x14ac:dyDescent="0.2">
      <c r="B511" s="4" t="s">
        <v>469</v>
      </c>
      <c r="C511" s="362" t="str">
        <f t="array" ref="C511">IF(mgmt_domain_chosen="First Instance",sample_mgmt_nsxt_gm_vip_fqdn,sample_mgmt_existing_active_nsx_gm)</f>
        <v>sfo-m01-nsx-gm01.sfo.rainpole.io</v>
      </c>
      <c r="D511" s="343" t="str">
        <f t="array" ref="D511">IF(mgmt_domain_chosen="First Instance",mgmt_nsxt_gm_vip_fqdn,mgmt_existing_active_nsx_gm)</f>
        <v>Value Missing</v>
      </c>
      <c r="E511" s="66"/>
    </row>
    <row r="512" spans="2:7" ht="20" customHeight="1" x14ac:dyDescent="0.2">
      <c r="B512" s="4" t="s">
        <v>474</v>
      </c>
      <c r="C512" s="362" t="str">
        <f>CONCATENATE(this_instance,"-m01")</f>
        <v>sfo-m01</v>
      </c>
      <c r="D512" s="347"/>
      <c r="E512" s="66"/>
    </row>
    <row r="513" spans="2:5" ht="20" customHeight="1" x14ac:dyDescent="0.2">
      <c r="B513" s="4" t="s">
        <v>471</v>
      </c>
      <c r="C513" s="362" t="str">
        <f>sample_mgmt_nsxt_vip_fqdn</f>
        <v>sfo-m01-nsx01.sfo.rainpole.io</v>
      </c>
      <c r="D513" s="343" t="str">
        <f>mgmt_nsxt_vip_fqdn</f>
        <v>Value Missing</v>
      </c>
      <c r="E513" s="66"/>
    </row>
    <row r="514" spans="2:5" ht="20" customHeight="1" x14ac:dyDescent="0.2">
      <c r="B514" s="4" t="s">
        <v>27</v>
      </c>
      <c r="C514" s="362" t="s">
        <v>431</v>
      </c>
      <c r="D514" s="343"/>
      <c r="E514" s="66"/>
    </row>
    <row r="515" spans="2:5" ht="20" customHeight="1" x14ac:dyDescent="0.2">
      <c r="B515" s="4" t="s">
        <v>29</v>
      </c>
      <c r="C515" s="362" t="str">
        <f>sample_nsxt_lm_admin_password</f>
        <v>VMw@re1!VMw@re1!</v>
      </c>
      <c r="D515" s="343" t="str">
        <f>nsxt_lm_admin_password</f>
        <v>Value Missing</v>
      </c>
      <c r="E515" s="66"/>
    </row>
    <row r="516" spans="2:5" ht="20" customHeight="1" x14ac:dyDescent="0.2">
      <c r="B516" s="4" t="s">
        <v>467</v>
      </c>
      <c r="C516" s="362" t="str">
        <f>sample_mgmt_nsxt_lm_fingerprint</f>
        <v>676edbc9b8c639d9311aaea32a357c7c81226856ad4f8c73a68dd760652d6b5d</v>
      </c>
      <c r="D516" s="343" t="str">
        <f>mgmt_nsxt_lm_fingerprint</f>
        <v>Value Missing</v>
      </c>
      <c r="E516" s="66"/>
    </row>
    <row r="517" spans="2:5" ht="20" customHeight="1" x14ac:dyDescent="0.2">
      <c r="B517" s="4" t="s">
        <v>475</v>
      </c>
      <c r="C517" s="362" t="s">
        <v>476</v>
      </c>
      <c r="D517" s="343" t="s">
        <v>476</v>
      </c>
      <c r="E517" s="143"/>
    </row>
    <row r="518" spans="2:5" ht="20" customHeight="1" x14ac:dyDescent="0.2">
      <c r="B518" s="4" t="s">
        <v>477</v>
      </c>
      <c r="C518" s="362" t="str">
        <f>CONCATENATE(prefix_mgmt_az1_vlan,"20")</f>
        <v>1120</v>
      </c>
      <c r="D518" s="347"/>
      <c r="E518" s="66"/>
    </row>
    <row r="519" spans="2:5" ht="20" customHeight="1" x14ac:dyDescent="0.2">
      <c r="B519" s="4" t="s">
        <v>478</v>
      </c>
      <c r="C519" s="362" t="str">
        <f>sample_mgmt_az1_rtep_ip_pool_name</f>
        <v>sfo-m01-r01-ip-pool-rtep</v>
      </c>
      <c r="D519" s="343" t="str">
        <f>mgmt_az1_rtep_ip_pool_name</f>
        <v>Value Missing</v>
      </c>
      <c r="E519" s="66"/>
    </row>
    <row r="520" spans="2:5" ht="20" customHeight="1" x14ac:dyDescent="0.2">
      <c r="B520" s="505" t="s">
        <v>479</v>
      </c>
      <c r="C520" s="506"/>
      <c r="D520" s="506"/>
      <c r="E520" s="507"/>
    </row>
    <row r="521" spans="2:5" ht="20" customHeight="1" x14ac:dyDescent="0.2">
      <c r="B521" s="4" t="s">
        <v>447</v>
      </c>
      <c r="C521" s="362" t="str">
        <f>sample_mgmt_nsxt_gm_vip_fqdn</f>
        <v>sfo-m01-nsx-gm01.sfo.rainpole.io</v>
      </c>
      <c r="D521" s="343" t="str">
        <f>mgmt_nsxt_gm_vip_fqdn</f>
        <v>Value Missing</v>
      </c>
      <c r="E521" s="66"/>
    </row>
    <row r="522" spans="2:5" ht="20" customHeight="1" x14ac:dyDescent="0.2">
      <c r="B522" s="4" t="s">
        <v>480</v>
      </c>
      <c r="C522" s="85" t="str">
        <f>CONCATENATE(prefix_portable_component,"-m01-ec01-t1-gw01")</f>
        <v>flt-m01-ec01-t1-gw01</v>
      </c>
      <c r="D522" s="347"/>
      <c r="E522" s="66"/>
    </row>
    <row r="523" spans="2:5" ht="20" customHeight="1" x14ac:dyDescent="0.2">
      <c r="B523" s="4" t="s">
        <v>481</v>
      </c>
      <c r="C523" s="78" t="str">
        <f>CONCATENATE(this_instance,"-m01-ec01-t0-gw01")</f>
        <v>sfo-m01-ec01-t0-gw01</v>
      </c>
      <c r="D523" s="343"/>
      <c r="E523" s="66"/>
    </row>
    <row r="524" spans="2:5" ht="20" customHeight="1" x14ac:dyDescent="0.2">
      <c r="B524" s="300" t="s">
        <v>482</v>
      </c>
      <c r="C524" s="362" t="str">
        <f>sample_mgmt_nsxt_federation_location_name</f>
        <v>sfo-m01</v>
      </c>
      <c r="D524" s="337" t="str">
        <f>mgmt_nsxt_federation_location_name</f>
        <v>Value Missing</v>
      </c>
      <c r="E524" s="25"/>
    </row>
    <row r="525" spans="2:5" ht="20" customHeight="1" x14ac:dyDescent="0.2">
      <c r="B525" s="4" t="s">
        <v>88</v>
      </c>
      <c r="C525" s="362" t="str">
        <f>sample_mgmt_ec_name</f>
        <v>sfo-m01-ec01</v>
      </c>
      <c r="D525" s="343" t="str">
        <f>mgmt_ec_name</f>
        <v>Value Missing</v>
      </c>
      <c r="E525" s="66"/>
    </row>
    <row r="526" spans="2:5" ht="20" customHeight="1" x14ac:dyDescent="0.2">
      <c r="B526" s="505" t="s">
        <v>483</v>
      </c>
      <c r="C526" s="506"/>
      <c r="D526" s="506"/>
      <c r="E526" s="507"/>
    </row>
    <row r="527" spans="2:5" ht="20" customHeight="1" x14ac:dyDescent="0.2">
      <c r="B527" s="4" t="s">
        <v>447</v>
      </c>
      <c r="C527" s="362" t="str">
        <f>sample_mgmt_nsxt_gm_vip_fqdn</f>
        <v>sfo-m01-nsx-gm01.sfo.rainpole.io</v>
      </c>
      <c r="D527" s="343" t="str">
        <f>mgmt_nsxt_gm_vip_fqdn</f>
        <v>Value Missing</v>
      </c>
      <c r="E527" s="66"/>
    </row>
    <row r="528" spans="2:5" ht="20" customHeight="1" x14ac:dyDescent="0.2">
      <c r="B528" s="4" t="s">
        <v>484</v>
      </c>
      <c r="C528" s="362"/>
      <c r="D528" s="337"/>
      <c r="E528" s="66"/>
    </row>
    <row r="529" spans="2:7" ht="20" customHeight="1" x14ac:dyDescent="0.2">
      <c r="B529" s="4" t="s">
        <v>485</v>
      </c>
      <c r="C529" s="362" t="str">
        <f>sample_mgmt_nsxt_xreg_t1_name</f>
        <v>flt-m01-ec01-t1-gw01</v>
      </c>
      <c r="D529" s="343" t="str">
        <f>mgmt_nsxt_xreg_t1_name</f>
        <v>Value Missing</v>
      </c>
      <c r="E529" s="66"/>
    </row>
    <row r="530" spans="2:7" ht="20" customHeight="1" x14ac:dyDescent="0.2">
      <c r="B530" s="505" t="s">
        <v>486</v>
      </c>
      <c r="C530" s="506"/>
      <c r="D530" s="506"/>
      <c r="E530" s="507"/>
    </row>
    <row r="531" spans="2:7" ht="20" customHeight="1" x14ac:dyDescent="0.2">
      <c r="B531" s="4" t="s">
        <v>469</v>
      </c>
      <c r="C531" s="362" t="str">
        <f>IF(mgmt_domain_chosen="First Instance",CONCATENATE(this_instance,"-m01-nsx-gm01.",this_instance,".",sample_parent_dns_zone),CONCATENATE(other_instance,"-m01-nsx-gm01.",other_instance,".",sample_parent_dns_zone))</f>
        <v>sfo-m01-nsx-gm01.sfo.rainpole.io</v>
      </c>
      <c r="D531" s="343"/>
      <c r="E531" s="66"/>
    </row>
    <row r="532" spans="2:7" ht="20" customHeight="1" x14ac:dyDescent="0.2">
      <c r="B532" s="4" t="s">
        <v>487</v>
      </c>
      <c r="C532" s="78" t="str">
        <f>CONCATENATE(this_instance,"-m01-ec01-t0-gw01")</f>
        <v>sfo-m01-ec01-t0-gw01</v>
      </c>
      <c r="D532" s="94"/>
      <c r="E532" s="66"/>
    </row>
    <row r="533" spans="2:7" ht="20" customHeight="1" x14ac:dyDescent="0.2">
      <c r="B533" s="4" t="s">
        <v>482</v>
      </c>
      <c r="C533" s="78" t="str">
        <f>sample_mgmt_nsxt_federation_location_name</f>
        <v>sfo-m01</v>
      </c>
      <c r="D533" s="343" t="str">
        <f>mgmt_nsxt_federation_location_name</f>
        <v>Value Missing</v>
      </c>
      <c r="E533" s="25"/>
    </row>
    <row r="534" spans="2:7" ht="20" customHeight="1" x14ac:dyDescent="0.2">
      <c r="B534" s="4" t="s">
        <v>88</v>
      </c>
      <c r="C534" s="78" t="s">
        <v>488</v>
      </c>
      <c r="D534" s="343" t="str">
        <f>mgmt_ec_name</f>
        <v>Value Missing</v>
      </c>
      <c r="E534" s="66"/>
    </row>
    <row r="535" spans="2:7" ht="20" customHeight="1" x14ac:dyDescent="0.2">
      <c r="B535" s="4" t="s">
        <v>489</v>
      </c>
      <c r="C535" s="362" t="str">
        <f>CONCATENATE(sample_mgmt_az1_en1_hostname,"_VCF-edge_",sample_mgmt_ec_name,"_segment_",sample_mgmt_az1_uplink01_vlan,"_",sample_mgmt_az1_en1_uplink01_interface_cidr)</f>
        <v>sfo-m01-en1_VCF-edge_sfo-m01-ec01_segment_1117_10.11.17.2/24</v>
      </c>
      <c r="D535" s="343" t="str">
        <f>CONCATENATE(mgmt_az1_en1_hostname,"_VCF-edge_",mgmt_ec_name,"_segment_",mgmt_az1_uplink01_vlan,"_",mgmt_az1_en1_uplink01_interface_cidr)</f>
        <v>Value Missing_VCF-edge_Value Missing_segment_Value Missing_Value Missing</v>
      </c>
      <c r="E535" s="66"/>
    </row>
    <row r="536" spans="2:7" ht="20" customHeight="1" x14ac:dyDescent="0.2">
      <c r="B536" s="4" t="s">
        <v>490</v>
      </c>
      <c r="C536" s="362" t="str">
        <f>sample_mgmt_nsxt_federation_location_name</f>
        <v>sfo-m01</v>
      </c>
      <c r="D536" s="343" t="str">
        <f>mgmt_nsxt_federation_location_name</f>
        <v>Value Missing</v>
      </c>
      <c r="E536" s="66"/>
      <c r="G536" s="27"/>
    </row>
    <row r="537" spans="2:7" ht="20" customHeight="1" x14ac:dyDescent="0.2">
      <c r="B537" s="4" t="s">
        <v>491</v>
      </c>
      <c r="C537" s="362" t="str">
        <f>sample_mgmt_az1_en1_uplink01_interface_cidr</f>
        <v>10.11.17.2/24</v>
      </c>
      <c r="D537" s="343" t="str">
        <f>mgmt_az1_en1_uplink01_interface_cidr</f>
        <v>Value Missing</v>
      </c>
      <c r="E537" s="66"/>
    </row>
    <row r="538" spans="2:7" ht="20" customHeight="1" x14ac:dyDescent="0.2">
      <c r="B538" s="4" t="s">
        <v>492</v>
      </c>
      <c r="C538" s="362" t="str">
        <f>CONCATENATE("VCF-edge_",sample_mgmt_ec_name,"_segment_uplink1_",sample_mgmt_az1_uplink01_vlan)</f>
        <v>VCF-edge_sfo-m01-ec01_segment_uplink1_1117</v>
      </c>
      <c r="D538" s="343" t="str">
        <f>CONCATENATE("VCF-edge_",mgmt_ec_name,"_segment_uplink1_",mgmt_az1_uplink01_vlan)</f>
        <v>VCF-edge_Value Missing_segment_uplink1_Value Missing</v>
      </c>
      <c r="E538" s="66"/>
    </row>
    <row r="539" spans="2:7" ht="20" customHeight="1" x14ac:dyDescent="0.2">
      <c r="B539" s="4" t="s">
        <v>493</v>
      </c>
      <c r="C539" s="362" t="s">
        <v>494</v>
      </c>
      <c r="D539" s="343" t="str">
        <f>mgmt_az1_en1_hostname</f>
        <v>Value Missing</v>
      </c>
      <c r="E539" s="66"/>
    </row>
    <row r="540" spans="2:7" ht="20" customHeight="1" x14ac:dyDescent="0.2">
      <c r="B540" s="4" t="s">
        <v>495</v>
      </c>
      <c r="C540" s="362">
        <f>sample_mgmt_az1_uplink01_mtu</f>
        <v>9000</v>
      </c>
      <c r="D540" s="343" t="str">
        <f>mgmt_az1_uplink01_mtu</f>
        <v>Value Missing</v>
      </c>
      <c r="E540" s="66"/>
    </row>
    <row r="541" spans="2:7" ht="20" customHeight="1" x14ac:dyDescent="0.2">
      <c r="B541" s="4" t="s">
        <v>496</v>
      </c>
      <c r="C541" s="362" t="str">
        <f>CONCATENATE(sample_mgmt_az1_en1_hostname,"_VCF-edge_",sample_mgmt_ec_name,"_segment_",sample_mgmt_az1_uplink02_vlan,"_",sample_mgmt_az1_en1_uplink02_interface_cidr)</f>
        <v>sfo-m01-en1_VCF-edge_sfo-m01-ec01_segment_1118_10.11.18.2/24</v>
      </c>
      <c r="D541" s="343" t="str">
        <f>CONCATENATE(mgmt_az1_en1_hostname,"_VCF-edge_",mgmt_ec_name,"_segment_",mgmt_az1_uplink02_vlan,"_",mgmt_az1_en1_uplink02_interface_cidr)</f>
        <v>Value Missing_VCF-edge_Value Missing_segment_Value Missing_Value Missing</v>
      </c>
      <c r="E541" s="66"/>
    </row>
    <row r="542" spans="2:7" ht="20" customHeight="1" x14ac:dyDescent="0.2">
      <c r="B542" s="4" t="s">
        <v>497</v>
      </c>
      <c r="C542" s="78" t="str">
        <f>sample_mgmt_nsxt_federation_location_name</f>
        <v>sfo-m01</v>
      </c>
      <c r="D542" s="343" t="str">
        <f>mgmt_nsxt_federation_location_name</f>
        <v>Value Missing</v>
      </c>
      <c r="E542" s="66"/>
      <c r="G542" s="27"/>
    </row>
    <row r="543" spans="2:7" ht="20" customHeight="1" x14ac:dyDescent="0.2">
      <c r="B543" s="4" t="s">
        <v>498</v>
      </c>
      <c r="C543" s="362" t="str">
        <f>sample_mgmt_az1_en1_uplink02_interface_cidr</f>
        <v>10.11.18.2/24</v>
      </c>
      <c r="D543" s="343" t="str">
        <f>mgmt_az1_en1_uplink02_interface_cidr</f>
        <v>Value Missing</v>
      </c>
      <c r="E543" s="66"/>
    </row>
    <row r="544" spans="2:7" ht="20" customHeight="1" x14ac:dyDescent="0.2">
      <c r="B544" s="17" t="s">
        <v>499</v>
      </c>
      <c r="C544" s="362" t="str">
        <f>CONCATENATE("VCF-edge_",sample_mgmt_ec_name,"_segment_uplink2_",sample_mgmt_az1_uplink02_vlan)</f>
        <v>VCF-edge_sfo-m01-ec01_segment_uplink2_1118</v>
      </c>
      <c r="D544" s="343" t="str">
        <f>CONCATENATE("VCF-edge_",mgmt_ec_name,"_segment_uplink2_",mgmt_az1_uplink02_vlan)</f>
        <v>VCF-edge_Value Missing_segment_uplink2_Value Missing</v>
      </c>
      <c r="E544" s="66"/>
    </row>
    <row r="545" spans="2:5" ht="20" customHeight="1" x14ac:dyDescent="0.2">
      <c r="B545" s="4" t="s">
        <v>500</v>
      </c>
      <c r="C545" s="362" t="s">
        <v>501</v>
      </c>
      <c r="D545" s="343" t="str">
        <f>mgmt_az1_en1_hostname</f>
        <v>Value Missing</v>
      </c>
      <c r="E545" s="66"/>
    </row>
    <row r="546" spans="2:5" ht="20" customHeight="1" x14ac:dyDescent="0.2">
      <c r="B546" s="4" t="s">
        <v>502</v>
      </c>
      <c r="C546" s="362">
        <f>sample_mgmt_az1_uplink02_mtu</f>
        <v>9000</v>
      </c>
      <c r="D546" s="343" t="str">
        <f>mgmt_az1_uplink02_mtu</f>
        <v>Value Missing</v>
      </c>
      <c r="E546" s="66"/>
    </row>
    <row r="547" spans="2:5" ht="20" customHeight="1" x14ac:dyDescent="0.2">
      <c r="B547" s="4" t="s">
        <v>503</v>
      </c>
      <c r="C547" s="362" t="str">
        <f>CONCATENATE(sample_mgmt_az1_en2_hostname,"_VCF-edge_",sample_mgmt_ec_name,"_segment_",sample_mgmt_az1_uplink01_vlan,"_",sample_mgmt_az1_en2_uplink01_interface_cidr)</f>
        <v>sfo-m01-en2_VCF-edge_sfo-m01-ec01_segment_1117_10.11.17.3/24</v>
      </c>
      <c r="D547" s="343" t="str">
        <f>CONCATENATE(mgmt_az1_en2_hostname,"_VCF-edge_",mgmt_ec_name,"_segment_",mgmt_az1_uplink01_vlan,"_",mgmt_az1_en2_uplink01_interface_cidr)</f>
        <v>Value Missing_VCF-edge_Value Missing_segment_Value Missing_Value Missing</v>
      </c>
      <c r="E547" s="66"/>
    </row>
    <row r="548" spans="2:5" ht="20" customHeight="1" x14ac:dyDescent="0.2">
      <c r="B548" s="4" t="s">
        <v>504</v>
      </c>
      <c r="C548" s="362" t="str">
        <f>sample_mgmt_nsxt_federation_location_name</f>
        <v>sfo-m01</v>
      </c>
      <c r="D548" s="343" t="str">
        <f>mgmt_nsxt_federation_location_name</f>
        <v>Value Missing</v>
      </c>
      <c r="E548" s="66"/>
    </row>
    <row r="549" spans="2:5" ht="20" customHeight="1" x14ac:dyDescent="0.2">
      <c r="B549" s="4" t="s">
        <v>505</v>
      </c>
      <c r="C549" s="362" t="str">
        <f>sample_mgmt_az1_en2_uplink01_interface_cidr</f>
        <v>10.11.17.3/24</v>
      </c>
      <c r="D549" s="343" t="str">
        <f>mgmt_az1_en2_uplink01_interface_cidr</f>
        <v>Value Missing</v>
      </c>
      <c r="E549" s="66"/>
    </row>
    <row r="550" spans="2:5" ht="20" customHeight="1" x14ac:dyDescent="0.2">
      <c r="B550" s="17" t="s">
        <v>506</v>
      </c>
      <c r="C550" s="362" t="str">
        <f>CONCATENATE("VCF-edge_",sample_mgmt_ec_name,"_segment_uplink1_",sample_mgmt_az1_uplink01_vlan)</f>
        <v>VCF-edge_sfo-m01-ec01_segment_uplink1_1117</v>
      </c>
      <c r="D550" s="343" t="str">
        <f>CONCATENATE("VCF-edge_",mgmt_ec_name,"_segment_uplink1_",mgmt_az1_uplink01_vlan)</f>
        <v>VCF-edge_Value Missing_segment_uplink1_Value Missing</v>
      </c>
      <c r="E550" s="66"/>
    </row>
    <row r="551" spans="2:5" ht="20" customHeight="1" x14ac:dyDescent="0.2">
      <c r="B551" s="4" t="s">
        <v>507</v>
      </c>
      <c r="C551" s="362" t="str">
        <f>sample_mgmt_az1_en1_hostname</f>
        <v>sfo-m01-en1</v>
      </c>
      <c r="D551" s="343" t="str">
        <f>mgmt_az1_en2_hostname</f>
        <v>Value Missing</v>
      </c>
      <c r="E551" s="66"/>
    </row>
    <row r="552" spans="2:5" ht="20" customHeight="1" x14ac:dyDescent="0.2">
      <c r="B552" s="4" t="s">
        <v>508</v>
      </c>
      <c r="C552" s="362">
        <f>sample_mgmt_az1_uplink01_mtu</f>
        <v>9000</v>
      </c>
      <c r="D552" s="343" t="str">
        <f>mgmt_az1_uplink01_mtu</f>
        <v>Value Missing</v>
      </c>
      <c r="E552" s="66"/>
    </row>
    <row r="553" spans="2:5" ht="20" customHeight="1" x14ac:dyDescent="0.2">
      <c r="B553" s="4" t="s">
        <v>509</v>
      </c>
      <c r="C553" s="362" t="str">
        <f>CONCATENATE(sample_mgmt_az1_en2_hostname,"_VCF-edge_",sample_mgmt_ec_name,"_segment_",sample_mgmt_az1_uplink02_vlan,"_",sample_mgmt_az1_en2_uplink02_interface_cidr)</f>
        <v>sfo-m01-en2_VCF-edge_sfo-m01-ec01_segment_1118_10.11.18.3/24</v>
      </c>
      <c r="D553" s="343" t="str">
        <f>CONCATENATE(mgmt_az1_en2_hostname,"_VCF-edge_",mgmt_ec_name,"_segment_",mgmt_az1_uplink02_vlan,"_",mgmt_az1_en2_uplink02_interface_cidr)</f>
        <v>Value Missing_VCF-edge_Value Missing_segment_Value Missing_Value Missing</v>
      </c>
      <c r="E553" s="66"/>
    </row>
    <row r="554" spans="2:5" ht="20" customHeight="1" x14ac:dyDescent="0.2">
      <c r="B554" s="4" t="s">
        <v>510</v>
      </c>
      <c r="C554" s="362" t="str">
        <f>sample_mgmt_nsxt_federation_location_name</f>
        <v>sfo-m01</v>
      </c>
      <c r="D554" s="343" t="str">
        <f>mgmt_nsxt_federation_location_name</f>
        <v>Value Missing</v>
      </c>
      <c r="E554" s="66"/>
    </row>
    <row r="555" spans="2:5" ht="20" customHeight="1" x14ac:dyDescent="0.2">
      <c r="B555" s="4" t="s">
        <v>511</v>
      </c>
      <c r="C555" s="362" t="str">
        <f>sample_mgmt_az1_en2_uplink02_interface_cidr</f>
        <v>10.11.18.3/24</v>
      </c>
      <c r="D555" s="343" t="str">
        <f>mgmt_az1_en2_uplink02_interface_cidr</f>
        <v>Value Missing</v>
      </c>
      <c r="E555" s="66"/>
    </row>
    <row r="556" spans="2:5" ht="20" customHeight="1" x14ac:dyDescent="0.2">
      <c r="B556" s="17" t="s">
        <v>512</v>
      </c>
      <c r="C556" s="362" t="str">
        <f>CONCATENATE("VCF-edge_",sample_mgmt_ec_name,"_segment_uplink2_",sample_mgmt_az1_uplink02_vlan)</f>
        <v>VCF-edge_sfo-m01-ec01_segment_uplink2_1118</v>
      </c>
      <c r="D556" s="343" t="str">
        <f>CONCATENATE("VCF-edge_",mgmt_ec_name,"_segment_uplink2_",mgmt_az1_uplink02_vlan)</f>
        <v>VCF-edge_Value Missing_segment_uplink2_Value Missing</v>
      </c>
      <c r="E556" s="66"/>
    </row>
    <row r="557" spans="2:5" ht="20" customHeight="1" x14ac:dyDescent="0.2">
      <c r="B557" s="4" t="s">
        <v>513</v>
      </c>
      <c r="C557" s="362" t="str">
        <f t="array" ref="C557">sample_mgmt_az1_en2_hostname</f>
        <v>sfo-m01-en2</v>
      </c>
      <c r="D557" s="343" t="str">
        <f>mgmt_az1_en2_hostname</f>
        <v>Value Missing</v>
      </c>
      <c r="E557" s="66"/>
    </row>
    <row r="558" spans="2:5" ht="20" customHeight="1" x14ac:dyDescent="0.2">
      <c r="B558" s="4" t="s">
        <v>514</v>
      </c>
      <c r="C558" s="362">
        <f>sample_mgmt_az1_uplink02_mtu</f>
        <v>9000</v>
      </c>
      <c r="D558" s="343" t="str">
        <f>mgmt_az1_uplink02_mtu</f>
        <v>Value Missing</v>
      </c>
      <c r="E558" s="66"/>
    </row>
    <row r="559" spans="2:5" ht="20" customHeight="1" x14ac:dyDescent="0.2">
      <c r="B559" s="4" t="s">
        <v>515</v>
      </c>
      <c r="C559" s="362" t="str">
        <f>sample_mgmt_az1_tor1_peer_ip</f>
        <v>10.11.17.10</v>
      </c>
      <c r="D559" s="343" t="str">
        <f>mgmt_az1_tor1_peer_ip</f>
        <v>Value Missing</v>
      </c>
      <c r="E559" s="66"/>
    </row>
    <row r="560" spans="2:5" ht="20" customHeight="1" x14ac:dyDescent="0.2">
      <c r="B560" s="4" t="s">
        <v>516</v>
      </c>
      <c r="C560" s="362" t="str">
        <f>sample_mgmt_nsxt_federation_location_name</f>
        <v>sfo-m01</v>
      </c>
      <c r="D560" s="343" t="str">
        <f>mgmt_nsxt_federation_location_name</f>
        <v>Value Missing</v>
      </c>
      <c r="E560" s="66"/>
    </row>
    <row r="561" spans="2:5" ht="20" customHeight="1" x14ac:dyDescent="0.2">
      <c r="B561" s="4" t="s">
        <v>517</v>
      </c>
      <c r="C561" s="362" t="str">
        <f>sample_mgmt_az1_tor1_peer_asn</f>
        <v>65111</v>
      </c>
      <c r="D561" s="343" t="str">
        <f>mgmt_az1_tor1_peer_asn</f>
        <v>Value Missing</v>
      </c>
      <c r="E561" s="66"/>
    </row>
    <row r="562" spans="2:5" ht="20" customHeight="1" x14ac:dyDescent="0.2">
      <c r="B562" s="4" t="s">
        <v>518</v>
      </c>
      <c r="C562" s="362" t="str">
        <f>sample_mgmt_az1_en1_uplink01_interface_cidr</f>
        <v>10.11.17.2/24</v>
      </c>
      <c r="D562" s="343" t="str">
        <f>mgmt_az1_en1_uplink01_interface_cidr</f>
        <v>Value Missing</v>
      </c>
      <c r="E562" s="66"/>
    </row>
    <row r="563" spans="2:5" ht="20" customHeight="1" x14ac:dyDescent="0.2">
      <c r="B563" s="4" t="s">
        <v>519</v>
      </c>
      <c r="C563" s="362" t="str">
        <f>sample_mgmt_az1_en2_uplink01_interface_cidr</f>
        <v>10.11.17.3/24</v>
      </c>
      <c r="D563" s="343" t="str">
        <f>mgmt_az1_en2_uplink01_interface_cidr</f>
        <v>Value Missing</v>
      </c>
      <c r="E563" s="66"/>
    </row>
    <row r="564" spans="2:5" ht="20" customHeight="1" x14ac:dyDescent="0.2">
      <c r="B564" s="4" t="s">
        <v>520</v>
      </c>
      <c r="C564" s="362" t="str">
        <f>sample_mgmt_az1_tor1_peer_bgp_password</f>
        <v>VMw@re1!</v>
      </c>
      <c r="D564" s="343" t="str">
        <f>mgmt_az1_tor1_peer_bgp_password</f>
        <v>Value Missing</v>
      </c>
      <c r="E564" s="66"/>
    </row>
    <row r="565" spans="2:5" ht="20" customHeight="1" x14ac:dyDescent="0.2">
      <c r="B565" s="4" t="s">
        <v>521</v>
      </c>
      <c r="C565" s="362" t="str">
        <f>sample_mgmt_az1_tor2_peer_ip</f>
        <v>10.11.18.10</v>
      </c>
      <c r="D565" s="343" t="str">
        <f>mgmt_az1_tor2_peer_ip</f>
        <v>Value Missing</v>
      </c>
      <c r="E565" s="66"/>
    </row>
    <row r="566" spans="2:5" ht="20" customHeight="1" x14ac:dyDescent="0.2">
      <c r="B566" s="4" t="s">
        <v>522</v>
      </c>
      <c r="C566" s="362" t="str">
        <f>sample_mgmt_nsxt_federation_location_name</f>
        <v>sfo-m01</v>
      </c>
      <c r="D566" s="343" t="str">
        <f>mgmt_nsxt_federation_location_name</f>
        <v>Value Missing</v>
      </c>
      <c r="E566" s="66"/>
    </row>
    <row r="567" spans="2:5" ht="20" customHeight="1" x14ac:dyDescent="0.2">
      <c r="B567" s="4" t="s">
        <v>523</v>
      </c>
      <c r="C567" s="362" t="str">
        <f>sample_mgmt_az1_tor1_peer_asn</f>
        <v>65111</v>
      </c>
      <c r="D567" s="343" t="str">
        <f>mgmt_az1_tor1_peer_asn</f>
        <v>Value Missing</v>
      </c>
      <c r="E567" s="66"/>
    </row>
    <row r="568" spans="2:5" ht="20" customHeight="1" x14ac:dyDescent="0.2">
      <c r="B568" s="4" t="s">
        <v>524</v>
      </c>
      <c r="C568" s="362" t="str">
        <f>sample_mgmt_az1_en1_uplink02_interface_cidr</f>
        <v>10.11.18.2/24</v>
      </c>
      <c r="D568" s="343" t="str">
        <f>mgmt_az1_en1_uplink02_interface_cidr</f>
        <v>Value Missing</v>
      </c>
      <c r="E568" s="66"/>
    </row>
    <row r="569" spans="2:5" ht="20" customHeight="1" x14ac:dyDescent="0.2">
      <c r="B569" s="4" t="s">
        <v>525</v>
      </c>
      <c r="C569" s="362" t="str">
        <f>sample_mgmt_az1_en2_uplink02_interface_cidr</f>
        <v>10.11.18.3/24</v>
      </c>
      <c r="D569" s="343" t="str">
        <f>mgmt_az1_en2_uplink02_interface_cidr</f>
        <v>Value Missing</v>
      </c>
      <c r="E569" s="66"/>
    </row>
    <row r="570" spans="2:5" ht="20" customHeight="1" x14ac:dyDescent="0.2">
      <c r="B570" s="4" t="s">
        <v>526</v>
      </c>
      <c r="C570" s="362" t="str">
        <f>sample_mgmt_az1_tor2_peer_bgp_password</f>
        <v>VMw@re1!</v>
      </c>
      <c r="D570" s="343" t="str">
        <f>mgmt_az1_tor2_peer_bgp_password</f>
        <v>Value Missing</v>
      </c>
      <c r="E570" s="66"/>
    </row>
    <row r="571" spans="2:5" ht="20" customHeight="1" x14ac:dyDescent="0.2">
      <c r="B571" s="505" t="s">
        <v>527</v>
      </c>
      <c r="C571" s="506"/>
      <c r="D571" s="506"/>
      <c r="E571" s="507"/>
    </row>
    <row r="572" spans="2:5" ht="20" customHeight="1" x14ac:dyDescent="0.2">
      <c r="B572" s="4" t="s">
        <v>469</v>
      </c>
      <c r="C572" s="362" t="str">
        <f t="array" ref="C572">IF(mgmt_domain_chosen="First Instance",sample_mgmt_nsxt_gm_vip_fqdn,sample_mgmt_existing_active_nsx_gm)</f>
        <v>sfo-m01-nsx-gm01.sfo.rainpole.io</v>
      </c>
      <c r="D572" s="343" t="str">
        <f>IF(mgmt_domain_chosen="First Instance",mgmt_nsxt_gm_vip_fqdn,mgmt_existing_active_nsx_gm)</f>
        <v>Value Missing</v>
      </c>
      <c r="E572" s="66"/>
    </row>
    <row r="573" spans="2:5" ht="20" customHeight="1" x14ac:dyDescent="0.2">
      <c r="B573" s="4" t="s">
        <v>485</v>
      </c>
      <c r="C573" s="362" t="str">
        <f>sample_mgmt_nsxt_xreg_t1_name</f>
        <v>flt-m01-ec01-t1-gw01</v>
      </c>
      <c r="D573" s="343" t="str">
        <f>mgmt_nsxt_xreg_t1_name</f>
        <v>Value Missing</v>
      </c>
      <c r="E573" s="66"/>
    </row>
    <row r="574" spans="2:5" ht="20" customHeight="1" x14ac:dyDescent="0.2">
      <c r="B574" s="4" t="s">
        <v>482</v>
      </c>
      <c r="C574" s="362" t="str">
        <f>sample_mgmt_nsxt_federation_location_name</f>
        <v>sfo-m01</v>
      </c>
      <c r="D574" s="343" t="str">
        <f>mgmt_nsxt_federation_location_name</f>
        <v>Value Missing</v>
      </c>
      <c r="E574" s="25"/>
    </row>
    <row r="575" spans="2:5" ht="20" customHeight="1" x14ac:dyDescent="0.2">
      <c r="B575" s="4" t="s">
        <v>88</v>
      </c>
      <c r="C575" s="362" t="str">
        <f>sample_mgmt_ec_name</f>
        <v>sfo-m01-ec01</v>
      </c>
      <c r="D575" s="343" t="str">
        <f>mgmt_ec_name</f>
        <v>Value Missing</v>
      </c>
      <c r="E575" s="66"/>
    </row>
  </sheetData>
  <sheetProtection algorithmName="SHA-512" hashValue="qxS9zMbqZG8q6gaKafUIftX2V+QKP+SGoQ68HPLUBSMhbP9eRLd7jv1V9nD8z0rIqPYM5rSxshT7xLmrkR/Hdw==" saltValue="9JIskFAc5g4+b/R2NmgZNA==" spinCount="100000" sheet="1" selectLockedCells="1"/>
  <mergeCells count="77">
    <mergeCell ref="B209:E209"/>
    <mergeCell ref="B192:E192"/>
    <mergeCell ref="B196:E196"/>
    <mergeCell ref="B200:E200"/>
    <mergeCell ref="B267:E267"/>
    <mergeCell ref="B207:E207"/>
    <mergeCell ref="B220:E220"/>
    <mergeCell ref="B204:E204"/>
    <mergeCell ref="B247:E247"/>
    <mergeCell ref="B222:E222"/>
    <mergeCell ref="B229:E229"/>
    <mergeCell ref="B211:E211"/>
    <mergeCell ref="B205:E205"/>
    <mergeCell ref="B395:E395"/>
    <mergeCell ref="B379:E379"/>
    <mergeCell ref="B344:E344"/>
    <mergeCell ref="B328:E328"/>
    <mergeCell ref="B382:E382"/>
    <mergeCell ref="B342:E342"/>
    <mergeCell ref="B309:E309"/>
    <mergeCell ref="B276:E276"/>
    <mergeCell ref="B303:E303"/>
    <mergeCell ref="B333:E333"/>
    <mergeCell ref="B377:E377"/>
    <mergeCell ref="B277:E277"/>
    <mergeCell ref="B302:E302"/>
    <mergeCell ref="B375:E375"/>
    <mergeCell ref="B376:E376"/>
    <mergeCell ref="B2:E2"/>
    <mergeCell ref="B337:E337"/>
    <mergeCell ref="B19:E19"/>
    <mergeCell ref="B224:E224"/>
    <mergeCell ref="B251:E251"/>
    <mergeCell ref="B187:E187"/>
    <mergeCell ref="B259:E259"/>
    <mergeCell ref="B66:E66"/>
    <mergeCell ref="B46:E46"/>
    <mergeCell ref="B124:E124"/>
    <mergeCell ref="B3:E3"/>
    <mergeCell ref="B30:E30"/>
    <mergeCell ref="B157:E157"/>
    <mergeCell ref="B172:E172"/>
    <mergeCell ref="B190:E190"/>
    <mergeCell ref="B51:E51"/>
    <mergeCell ref="B36:E36"/>
    <mergeCell ref="B18:E18"/>
    <mergeCell ref="B31:E31"/>
    <mergeCell ref="B151:E151"/>
    <mergeCell ref="B94:E94"/>
    <mergeCell ref="B86:E86"/>
    <mergeCell ref="B89:E89"/>
    <mergeCell ref="B136:E136"/>
    <mergeCell ref="B87:E87"/>
    <mergeCell ref="B98:E98"/>
    <mergeCell ref="B91:E91"/>
    <mergeCell ref="B110:E110"/>
    <mergeCell ref="B41:E41"/>
    <mergeCell ref="B74:E74"/>
    <mergeCell ref="B57:E57"/>
    <mergeCell ref="B484:E484"/>
    <mergeCell ref="B473:E473"/>
    <mergeCell ref="B396:E396"/>
    <mergeCell ref="B477:E477"/>
    <mergeCell ref="B399:E399"/>
    <mergeCell ref="B451:E451"/>
    <mergeCell ref="B416:E416"/>
    <mergeCell ref="B433:E433"/>
    <mergeCell ref="B479:E479"/>
    <mergeCell ref="B467:E467"/>
    <mergeCell ref="B530:E530"/>
    <mergeCell ref="B571:E571"/>
    <mergeCell ref="B489:E489"/>
    <mergeCell ref="B526:E526"/>
    <mergeCell ref="B508:E508"/>
    <mergeCell ref="B499:E499"/>
    <mergeCell ref="B496:E496"/>
    <mergeCell ref="B520:E520"/>
  </mergeCells>
  <conditionalFormatting sqref="B12">
    <cfRule type="expression" dxfId="2086" priority="918">
      <formula>(mgmt_signed_certs_result="Included")</formula>
    </cfRule>
    <cfRule type="expression" dxfId="2085" priority="917">
      <formula>(mgmt_signed_certs_result="Excluded")</formula>
    </cfRule>
  </conditionalFormatting>
  <conditionalFormatting sqref="B13 D13:E13">
    <cfRule type="expression" dxfId="2084" priority="239">
      <formula>AND((mgmt_vns_chosen&lt;&gt;"Exclude"),(mgmt_vns_result="Excluded"))</formula>
    </cfRule>
  </conditionalFormatting>
  <conditionalFormatting sqref="B13">
    <cfRule type="expression" dxfId="2083" priority="923">
      <formula>(mgmt_vns_chosen&lt;&gt;"Include")</formula>
    </cfRule>
    <cfRule type="expression" dxfId="2082" priority="922">
      <formula>(mgmt_vns_result="Excluded")</formula>
    </cfRule>
  </conditionalFormatting>
  <conditionalFormatting sqref="B14 D14:E14">
    <cfRule type="expression" dxfId="2081" priority="908">
      <formula>AND((mgmt_avi_loadbalancer_chosen="Include"),(mgmt_avi_loadbalancer_result="Excluded"))</formula>
    </cfRule>
    <cfRule type="expression" dxfId="2080" priority="907">
      <formula>AND((mgmt_avi_loadbalancer_chosen="Include"),(mgmt_avi_loadbalancer_result="Included"))</formula>
    </cfRule>
    <cfRule type="expression" dxfId="2079" priority="906">
      <formula>AND((mgmt_avi_loadbalancer_chosen ="Exclude"),(mgmt_avi_loadbalancer_result="Excluded"))</formula>
    </cfRule>
  </conditionalFormatting>
  <conditionalFormatting sqref="B15 D15:E15">
    <cfRule type="expression" dxfId="2078" priority="924">
      <formula>AND((mgmt_stretched_cluster_chosen="Include"),(mgmt_stretched_cluster_result="Excluded"))</formula>
    </cfRule>
  </conditionalFormatting>
  <conditionalFormatting sqref="B15">
    <cfRule type="expression" dxfId="2077" priority="928">
      <formula>AND((mgmt_stretched_cluster_chosen="Include"),(mgmt_stretched_cluster_result="Included"))</formula>
    </cfRule>
    <cfRule type="expression" dxfId="2076" priority="926">
      <formula>(mgmt_stretched_cluster_chosen="Exclude")</formula>
    </cfRule>
  </conditionalFormatting>
  <conditionalFormatting sqref="B16 D16:E16">
    <cfRule type="expression" dxfId="2075" priority="909" stopIfTrue="1">
      <formula>AND((mgmt_nsxt_federation_chosen&lt;&gt;"Exclude"),(mgmt_nsxt_federation_result="Included"))</formula>
    </cfRule>
    <cfRule type="expression" dxfId="2074" priority="904">
      <formula>AND((mgmt_nsxt_federation_chosen&lt;&gt;"Exclude"),(mgmt_nsxt_federation_result="Excluded"))</formula>
    </cfRule>
  </conditionalFormatting>
  <conditionalFormatting sqref="B16">
    <cfRule type="expression" dxfId="2073" priority="919">
      <formula>(mgmt_nsxt_federation_chosen="Exclude")</formula>
    </cfRule>
  </conditionalFormatting>
  <conditionalFormatting sqref="C207:D207 C209:D209 C211:D211">
    <cfRule type="expression" dxfId="2072" priority="939">
      <formula>mgmt_avi_loadbalancer_result="Excluded"</formula>
    </cfRule>
  </conditionalFormatting>
  <conditionalFormatting sqref="D21:D28">
    <cfRule type="expression" dxfId="2071" priority="651">
      <formula>mgmt_domain_result="Excluded"</formula>
    </cfRule>
    <cfRule type="notContainsBlanks" dxfId="2069" priority="653">
      <formula>LEN(TRIM(D21))&gt;0</formula>
    </cfRule>
    <cfRule type="containsBlanks" dxfId="2068" priority="652">
      <formula>LEN(TRIM(D21))=0</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8 D380:D381 D383:D393 D398 D400:D415 D417:D432 D434:D450 D452:D466 D468:D472 D474:D476 D478 D480:D483 D485:D488 D490:D495 D497:D498 D500:D507 D509:D519 D521:D525 D527:D529 D531:D570 D572:D575">
    <cfRule type="notContainsBlanks" dxfId="2067" priority="955">
      <formula>LEN(TRIM(D33))&gt;0</formula>
    </cfRule>
    <cfRule type="containsBlanks" dxfId="2066" priority="893">
      <formula>LEN(TRIM(D33))=0</formula>
    </cfRule>
  </conditionalFormatting>
  <conditionalFormatting sqref="D33:D35 D37:D40 D42:D45 D47:D50 D52:D56 D58:D65">
    <cfRule type="expression" dxfId="2065" priority="799" stopIfTrue="1">
      <formula>OR((mgmt_signed_certs_result="Excluded"),(mgmt_signed_certs_chosen&lt;&gt;"Microsoft CA"))</formula>
    </cfRule>
  </conditionalFormatting>
  <conditionalFormatting sqref="D45 D50 D58:D65">
    <cfRule type="expression" dxfId="2064" priority="875">
      <formula>mgmt_domain_result="Excluded"</formula>
    </cfRule>
  </conditionalFormatting>
  <conditionalFormatting sqref="D45 D58:D65 C30:D30">
    <cfRule type="expression" dxfId="2063" priority="883">
      <formula>mgmt_signed_certs_result="Excluded"</formula>
    </cfRule>
  </conditionalFormatting>
  <conditionalFormatting sqref="D56">
    <cfRule type="expression" dxfId="2062" priority="804">
      <formula>OR((mgmt_signed_certs_result="Excluded"),(mgmt_signed_certs_chosen&lt;&gt;"Microsoft CA"))</formula>
    </cfRule>
  </conditionalFormatting>
  <conditionalFormatting sqref="D67:D73 D75:D84">
    <cfRule type="expression" dxfId="2061" priority="483">
      <formula>OR((mgmt_signed_certs_result="Excluded"),(mgmt_signed_certs_chosen&lt;&gt;"OpenSSL CA"))</formula>
    </cfRule>
  </conditionalFormatting>
  <conditionalFormatting sqref="D90 D92:D93 D95:D97 D99:D109 D111:D123 D125:D135 D137:D150 D152:D156 D158:D171 D173:D186 D188:D189 D191">
    <cfRule type="expression" dxfId="2060" priority="2">
      <formula>mgmt_vns_result="Excluded"</formula>
    </cfRule>
  </conditionalFormatting>
  <conditionalFormatting sqref="D92:D93">
    <cfRule type="expression" dxfId="2059" priority="234">
      <formula>mgmt_vns_chosen="Centralized Connectivity"</formula>
    </cfRule>
  </conditionalFormatting>
  <conditionalFormatting sqref="D103 D129">
    <cfRule type="expression" dxfId="2058" priority="472">
      <formula>mgmt_ec01_host_group_affinity_rule_chosen="No"</formula>
    </cfRule>
  </conditionalFormatting>
  <conditionalFormatting sqref="D107:D108 D133:D134">
    <cfRule type="expression" dxfId="2057" priority="473">
      <formula>mgmt_az1_en1_ip_allocation_chosen="DHCP"</formula>
    </cfRule>
  </conditionalFormatting>
  <conditionalFormatting sqref="D115:D123 D141:D147">
    <cfRule type="expression" dxfId="2056" priority="409">
      <formula>mgmt_ec01_use_host_overlay_chosen="Selected"</formula>
    </cfRule>
  </conditionalFormatting>
  <conditionalFormatting sqref="D117:D119">
    <cfRule type="expression" dxfId="2055" priority="474">
      <formula>mgmt_az1_en1_edge_overlay_network_ip_allocation_chosen&lt;&gt;"IP Pool"</formula>
    </cfRule>
  </conditionalFormatting>
  <conditionalFormatting sqref="D120:D121 D123">
    <cfRule type="expression" dxfId="2054" priority="471">
      <formula>mgmt_az1_en1_edge_overlay_network_ip_allocation_chosen&lt;&gt;"Static IP List"</formula>
    </cfRule>
  </conditionalFormatting>
  <conditionalFormatting sqref="D122">
    <cfRule type="expression" dxfId="2053" priority="233">
      <formula>input_mgmt_az1_edge_overlay_gateway_ip="DHCP"</formula>
    </cfRule>
  </conditionalFormatting>
  <conditionalFormatting sqref="D125:D135 D95:D97 D99:D109 D111:D123 D137:D150 D152:D156 D158:D171 D173:D186">
    <cfRule type="expression" dxfId="2052" priority="199">
      <formula>mgmt_vns_chosen="Distributed Connectivity"</formula>
    </cfRule>
  </conditionalFormatting>
  <conditionalFormatting sqref="D127">
    <cfRule type="expression" dxfId="2051" priority="3">
      <formula>$D$127="Value Missing"</formula>
    </cfRule>
  </conditionalFormatting>
  <conditionalFormatting sqref="D129">
    <cfRule type="expression" dxfId="2050" priority="479">
      <formula>input_mgmt_ec01_host_group_affinity_rule_chosen="No"</formula>
    </cfRule>
  </conditionalFormatting>
  <conditionalFormatting sqref="D131:D133 D120:D121 D144:D145 D174 D181 D99 D105:D106 D125 D166">
    <cfRule type="expression" dxfId="2049" priority="797">
      <formula>mgmt_vns_result="Excluded"</formula>
    </cfRule>
  </conditionalFormatting>
  <conditionalFormatting sqref="D143">
    <cfRule type="expression" dxfId="2048" priority="478">
      <formula>mgmt_az1_en1_edge_overlay_network_ip_allocation_chosen&lt;&gt;"IP Pool"</formula>
    </cfRule>
  </conditionalFormatting>
  <conditionalFormatting sqref="D144:D147">
    <cfRule type="expression" dxfId="2047" priority="445">
      <formula>mgmt_az1_en1_edge_overlay_network_ip_allocation_chosen&lt;&gt;"Static IP List"</formula>
    </cfRule>
  </conditionalFormatting>
  <conditionalFormatting sqref="D149:D150">
    <cfRule type="expression" dxfId="2046" priority="411">
      <formula>mgmt_az1_ec01_password_creation_chosen="Selected"</formula>
    </cfRule>
  </conditionalFormatting>
  <conditionalFormatting sqref="D153:D156">
    <cfRule type="expression" dxfId="2045" priority="7">
      <formula>mgmt_tier0_skip_chosen="Selected"</formula>
    </cfRule>
    <cfRule type="expression" dxfId="2044" priority="36">
      <formula>OR((mgmt_nsxt_federation_chosen="Standby Global Manager"),(mgmt_nsxt_federation_chosen="Connect Instance"))</formula>
    </cfRule>
  </conditionalFormatting>
  <conditionalFormatting sqref="D156 D160:D164 D167:D171 D175:D180 D183:D186">
    <cfRule type="expression" dxfId="2043" priority="235">
      <formula>mgmt_gateway_routing_type_chosen="STATIC"</formula>
    </cfRule>
  </conditionalFormatting>
  <conditionalFormatting sqref="D158:D171 D173:D186 D188:D189">
    <cfRule type="expression" dxfId="2042" priority="187">
      <formula>AND((mgmt_tier0_skip_chosen="Selected"),(mgmt_nsxt_federation_chosen="Exclude"))</formula>
    </cfRule>
  </conditionalFormatting>
  <conditionalFormatting sqref="D173:D186">
    <cfRule type="expression" dxfId="2041" priority="245">
      <formula>OR((mgmt_domain_result="Excluded"),(mgmt_vns_result="Excluded"))</formula>
    </cfRule>
  </conditionalFormatting>
  <conditionalFormatting sqref="D191 D193 D197">
    <cfRule type="expression" dxfId="2040" priority="4">
      <formula>mgmt_ec_api_chosen="Exclude"</formula>
    </cfRule>
  </conditionalFormatting>
  <conditionalFormatting sqref="D191">
    <cfRule type="expression" dxfId="2039" priority="6">
      <formula>mgmt_ec_api_chosen="Include"</formula>
    </cfRule>
  </conditionalFormatting>
  <conditionalFormatting sqref="D193:D195">
    <cfRule type="expression" dxfId="2038" priority="28">
      <formula>AND((mgmt_tier0_skip_chosen="Selected"),OR((gmt_nsxt_federation_chosen="Standby Global Manager"),(mgmt_nsxt_federation_chosen="Connect Instance")))</formula>
    </cfRule>
    <cfRule type="expression" dxfId="2037" priority="29">
      <formula>mgmt_vns_chosen="Distributed Connectivity"</formula>
    </cfRule>
    <cfRule type="expression" dxfId="2036" priority="34">
      <formula>mgmt_gateway_routing_type_chosen="STATIC"</formula>
    </cfRule>
    <cfRule type="expression" dxfId="2035" priority="35">
      <formula>OR((mgmt_domain_result="Excluded"),(mgmt_vns_result="Excluded"))</formula>
    </cfRule>
    <cfRule type="expression" dxfId="2034" priority="27">
      <formula>mgmt_vns_result="Excluded"</formula>
    </cfRule>
  </conditionalFormatting>
  <conditionalFormatting sqref="D197:D199">
    <cfRule type="expression" dxfId="2033" priority="25">
      <formula>mgmt_gateway_routing_type_chosen="STATIC"</formula>
    </cfRule>
    <cfRule type="expression" dxfId="2032" priority="26">
      <formula>OR((mgmt_domain_result="Excluded"),(mgmt_vns_result="Excluded"))</formula>
    </cfRule>
    <cfRule type="expression" dxfId="2031" priority="20">
      <formula>mgmt_vns_chosen="Distributed Connectivity"</formula>
    </cfRule>
    <cfRule type="expression" dxfId="2030" priority="19">
      <formula>AND((mgmt_tier0_skip_chosen="Selected"),OR((gmt_nsxt_federation_chosen="Standby Global Manager"),(mgmt_nsxt_federation_chosen="Connect Instance")))</formula>
    </cfRule>
    <cfRule type="expression" dxfId="2029" priority="18">
      <formula>mgmt_vns_result="Excluded"</formula>
    </cfRule>
  </conditionalFormatting>
  <conditionalFormatting sqref="D200">
    <cfRule type="containsBlanks" dxfId="2028" priority="220">
      <formula>LEN(TRIM(D200))=0</formula>
    </cfRule>
    <cfRule type="notContainsBlanks" dxfId="2027" priority="219">
      <formula>LEN(TRIM(D200))&gt;0</formula>
    </cfRule>
    <cfRule type="expression" dxfId="2025" priority="217">
      <formula>mgmt_domain_existing_vcenter_chosen="Selected"</formula>
    </cfRule>
    <cfRule type="expression" dxfId="2024" priority="216">
      <formula>input_mgmt_principal_storage_chosen="VMFS on Fibre Channel (FC)"</formula>
    </cfRule>
  </conditionalFormatting>
  <conditionalFormatting sqref="D201:D202">
    <cfRule type="expression" dxfId="2023" priority="15">
      <formula>mgmt_vns_chosen="Distributed Connectivity"</formula>
    </cfRule>
    <cfRule type="expression" dxfId="2022" priority="14">
      <formula>AND((mgmt_tier0_skip_chosen="Selected"),OR((gmt_nsxt_federation_chosen="Standby Global Manager"),(mgmt_nsxt_federation_chosen="Connect Instance")))</formula>
    </cfRule>
    <cfRule type="expression" dxfId="2021" priority="17">
      <formula>OR((mgmt_domain_result="Excluded"),(mgmt_vns_result="Excluded"))</formula>
    </cfRule>
    <cfRule type="expression" dxfId="2020" priority="8">
      <formula>mgmt_vns_result="Excluded"</formula>
    </cfRule>
    <cfRule type="expression" dxfId="2019" priority="16">
      <formula>mgmt_gateway_routing_type_chosen="STATIC"</formula>
    </cfRule>
  </conditionalFormatting>
  <conditionalFormatting sqref="D208">
    <cfRule type="expression" dxfId="2018" priority="710">
      <formula>mgmt_domain_result="Excluded"</formula>
    </cfRule>
    <cfRule type="expression" dxfId="2017" priority="707">
      <formula>mgmt_avi_loadbalancer_result="Excluded"</formula>
    </cfRule>
  </conditionalFormatting>
  <conditionalFormatting sqref="D210">
    <cfRule type="expression" dxfId="2016" priority="482">
      <formula>mgmt_avi_loadbalancer_result="Excluded"</formula>
    </cfRule>
  </conditionalFormatting>
  <conditionalFormatting sqref="D212:D218">
    <cfRule type="expression" dxfId="2015" priority="711">
      <formula>mgmt_avi_loadbalancer_result="Excluded"</formula>
    </cfRule>
  </conditionalFormatting>
  <conditionalFormatting sqref="D225:D228">
    <cfRule type="expression" dxfId="2014" priority="321">
      <formula>mgmt_stretched_cluster_result="Excluded"</formula>
    </cfRule>
  </conditionalFormatting>
  <conditionalFormatting sqref="D230:D245">
    <cfRule type="expression" dxfId="2013" priority="320">
      <formula>mgmt_stretched_cluster_result="Excluded"</formula>
    </cfRule>
  </conditionalFormatting>
  <conditionalFormatting sqref="D249">
    <cfRule type="expression" dxfId="2012" priority="63">
      <formula>OR((mgmt_domain_result="Excluded"),(mgmt_stretched_cluster_result="Excluded"))</formula>
    </cfRule>
  </conditionalFormatting>
  <conditionalFormatting sqref="D250">
    <cfRule type="expression" dxfId="2011" priority="360">
      <formula>OR((mgmt_domain_result="Excluded"),(mgmt_stretched_cluster_result="Excluded"))</formula>
    </cfRule>
  </conditionalFormatting>
  <conditionalFormatting sqref="D252:D258 D260:D266 D268:D274">
    <cfRule type="expression" dxfId="2010" priority="60">
      <formula>mgmt_az2_reuse_vcf_networkpool_chosen="Re-use an existing VCF Network Pool"</formula>
    </cfRule>
  </conditionalFormatting>
  <conditionalFormatting sqref="D259">
    <cfRule type="expression" dxfId="2009" priority="463">
      <formula>input_mgmt_principal_storage_chosen="VMFS on Fibre Channel (FC)"</formula>
    </cfRule>
    <cfRule type="notContainsBlanks" dxfId="2007" priority="467">
      <formula>LEN(TRIM(D259))&gt;0</formula>
    </cfRule>
    <cfRule type="expression" dxfId="2006" priority="464">
      <formula>mgmt_domain_existing_vcenter_chosen="Selected"</formula>
    </cfRule>
    <cfRule type="containsBlanks" dxfId="2005" priority="466">
      <formula>LEN(TRIM(D259))=0</formula>
    </cfRule>
  </conditionalFormatting>
  <conditionalFormatting sqref="D268:D274 D252:D258 D260:D266">
    <cfRule type="expression" dxfId="2004" priority="246">
      <formula>mgmt_stretched_cluster_result="Excluded"</formula>
    </cfRule>
  </conditionalFormatting>
  <conditionalFormatting sqref="D268:D274">
    <cfRule type="expression" dxfId="2003" priority="186">
      <formula>mgmt_principal_storage_chosen&lt;&gt;"NFSv3"</formula>
    </cfRule>
  </conditionalFormatting>
  <conditionalFormatting sqref="D272">
    <cfRule type="expression" dxfId="2002" priority="401">
      <formula>AND((wld_host_overlay_addressing_result="Included"),(ISBLANK(input_wld_az1_host_overlay_gateway_ip)))</formula>
    </cfRule>
  </conditionalFormatting>
  <conditionalFormatting sqref="D279:D300">
    <cfRule type="expression" dxfId="2001" priority="373">
      <formula>mgmt_stretched_cluster_result="Excluded"</formula>
    </cfRule>
  </conditionalFormatting>
  <conditionalFormatting sqref="D303">
    <cfRule type="expression" dxfId="2000" priority="366">
      <formula>mgmt_domain_existing_vcenter_chosen="Selected"</formula>
    </cfRule>
  </conditionalFormatting>
  <conditionalFormatting sqref="D305:D308">
    <cfRule type="expression" dxfId="1999" priority="309">
      <formula>mgmt_stretched_cluster_result="Excluded"</formula>
    </cfRule>
  </conditionalFormatting>
  <conditionalFormatting sqref="D310:D327 D345:D374">
    <cfRule type="expression" dxfId="1998" priority="64" stopIfTrue="1">
      <formula>mgmt_stretched_cluster_result="Excluded"</formula>
    </cfRule>
  </conditionalFormatting>
  <conditionalFormatting sqref="D327">
    <cfRule type="expression" dxfId="1997" priority="480">
      <formula>AND((mgmt_stretched_cluster_result="Excluded"),(wld_stretched_cluster_result="Excluded"))</formula>
    </cfRule>
  </conditionalFormatting>
  <conditionalFormatting sqref="D329:D332 D334:D336 D338:D340 D378 D380:D381 D383:D393">
    <cfRule type="expression" dxfId="1996" priority="247" stopIfTrue="1">
      <formula>mgmt_stretched_cluster_result="Excluded"</formula>
    </cfRule>
  </conditionalFormatting>
  <conditionalFormatting sqref="D378 D380:D381 D383:D393">
    <cfRule type="expression" dxfId="1995" priority="394">
      <formula>OR((mgmt_stretched_cluster_result="Excluded"),(mgmt_vns_chosen&lt;&gt;"Centralized Connectivity"))</formula>
    </cfRule>
  </conditionalFormatting>
  <conditionalFormatting sqref="D398 D400:D415 D417:D432 D434:D450 D452:D466 D474:D476">
    <cfRule type="expression" dxfId="1994" priority="37">
      <formula>OR((mgmt_nsxt_federation_result="Excluded"),(mgmt_nsxt_federation_chosen="Connect Instance"))</formula>
    </cfRule>
  </conditionalFormatting>
  <conditionalFormatting sqref="D453:D454">
    <cfRule type="expression" dxfId="1993" priority="705">
      <formula>OR((mgmt_domain_result="Excluded"),(mgmt_nsxt_federation_result="Excluded"))</formula>
    </cfRule>
    <cfRule type="expression" dxfId="1992" priority="706">
      <formula>mgmt_domain_result="Excluded"</formula>
    </cfRule>
  </conditionalFormatting>
  <conditionalFormatting sqref="D468:D472">
    <cfRule type="expression" dxfId="1991" priority="702">
      <formula>OR((mgmt_nsxt_federation_result="Excluded"),(mgmt_nsxt_federation_chosen="Connect Instance"))</formula>
    </cfRule>
  </conditionalFormatting>
  <conditionalFormatting sqref="D469">
    <cfRule type="expression" dxfId="1990" priority="701">
      <formula>mgmt_domain_result="Excluded"</formula>
    </cfRule>
  </conditionalFormatting>
  <conditionalFormatting sqref="D475">
    <cfRule type="expression" dxfId="1989" priority="692">
      <formula>mgmt_nsxt_federation_result="Excluded"</formula>
    </cfRule>
  </conditionalFormatting>
  <conditionalFormatting sqref="D478">
    <cfRule type="expression" dxfId="1988" priority="59">
      <formula>OR((mgmt_nsxt_federation_result="Excluded"),(mgmt_nsxt_federation_chosen="Connect Instance"),(mgmt_signed_certs_result="Excluded"))</formula>
    </cfRule>
  </conditionalFormatting>
  <conditionalFormatting sqref="D480:D483">
    <cfRule type="expression" dxfId="1987" priority="58">
      <formula>OR((mgmt_nsxt_federation_result="Excluded"),(mgmt_nsxt_federation_chosen="Connect Instance"),(mgmt_signed_certs_result="Excluded"))</formula>
    </cfRule>
  </conditionalFormatting>
  <conditionalFormatting sqref="D481">
    <cfRule type="expression" dxfId="1986" priority="683">
      <formula>OR((mgmt_nsxt_federation_result="Excluded"),(mgmt_nsxt_federation_chosen="Connect Instance"))</formula>
    </cfRule>
    <cfRule type="expression" dxfId="1985" priority="676">
      <formula>mgmt_domain_result="Excluded"</formula>
    </cfRule>
  </conditionalFormatting>
  <conditionalFormatting sqref="D485:D488">
    <cfRule type="expression" dxfId="1984" priority="46">
      <formula>OR((mgmt_nsxt_federation_result="Excluded"),(mgmt_nsxt_federation_chosen="Connect Instance"),(mgmt_signed_certs_result="Excluded"))</formula>
    </cfRule>
  </conditionalFormatting>
  <conditionalFormatting sqref="D486">
    <cfRule type="expression" dxfId="1983" priority="54">
      <formula>mgmt_domain_result="Excluded"</formula>
    </cfRule>
    <cfRule type="expression" dxfId="1982" priority="57">
      <formula>OR((mgmt_nsxt_federation_result="Excluded"),(mgmt_nsxt_federation_chosen="Connect Instance"))</formula>
    </cfRule>
  </conditionalFormatting>
  <conditionalFormatting sqref="D490:D491 D509:D519">
    <cfRule type="expression" dxfId="1981" priority="507">
      <formula>mgmt_nsxt_federation_result="Excluded"</formula>
    </cfRule>
  </conditionalFormatting>
  <conditionalFormatting sqref="D492:D493">
    <cfRule type="expression" dxfId="1980" priority="672">
      <formula>mgmt_nsxt_federation_result="Excluded"</formula>
    </cfRule>
  </conditionalFormatting>
  <conditionalFormatting sqref="D494:D495">
    <cfRule type="expression" dxfId="1979" priority="675" stopIfTrue="1">
      <formula>mgmt_nsxt_federation_result="Excluded"</formula>
    </cfRule>
  </conditionalFormatting>
  <conditionalFormatting sqref="D497:D498">
    <cfRule type="expression" dxfId="1978" priority="45">
      <formula>OR((mgmt_nsxt_federation_result="Excluded"),(mgmt_nsxt_federation_chosen&lt;&gt;"Active Global Manager"))</formula>
    </cfRule>
  </conditionalFormatting>
  <conditionalFormatting sqref="D500 D502:D507">
    <cfRule type="expression" dxfId="1977" priority="885">
      <formula>OR((mgmt_nsxt_federation_result="Excluded"),(mgmt_nsxt_federation_chosen&lt;&gt;"Standby Global Manager"))</formula>
    </cfRule>
  </conditionalFormatting>
  <conditionalFormatting sqref="D501">
    <cfRule type="expression" dxfId="1975" priority="671">
      <formula>mgmt_domain_result="Excluded"</formula>
    </cfRule>
    <cfRule type="expression" dxfId="1974" priority="661">
      <formula>OR((mgmt_nsxt_federation_result="Excluded"),(mgmt_nsxt_federation_chosen="Active Global Manager"),(mgmt_nsxt_federation_chosen="Connect Instance"))</formula>
    </cfRule>
  </conditionalFormatting>
  <conditionalFormatting sqref="D510">
    <cfRule type="expression" dxfId="1973" priority="656">
      <formula>mgmt_domain_result="Excluded"</formula>
    </cfRule>
    <cfRule type="expression" dxfId="1972" priority="534">
      <formula>OR((mgmt_domain_result="Excluded"),(mgmt_nsxt_federation_result="Excluded"))</formula>
    </cfRule>
  </conditionalFormatting>
  <conditionalFormatting sqref="D521:D525">
    <cfRule type="expression" dxfId="1971" priority="43">
      <formula>OR((mgmt_nsxt_federation_result="Excluded"),(mgmt_nsxt_federation_chosen&lt;&gt;"Active Global Manager"))</formula>
    </cfRule>
  </conditionalFormatting>
  <conditionalFormatting sqref="D523 D531:D570 D572:D575">
    <cfRule type="expression" dxfId="1970" priority="370">
      <formula>OR((mgmt_nsxt_federation_result="Excluded"),(mgmt_nsxt_federation_chosen="Active Global Manager"))</formula>
    </cfRule>
  </conditionalFormatting>
  <conditionalFormatting sqref="D527:D529">
    <cfRule type="expression" dxfId="1969" priority="38">
      <formula>OR((mgmt_nsxt_federation_result="Excluded"),(mgmt_nsxt_federation_chosen&lt;&gt;"Active Global Manager"))</formula>
    </cfRule>
  </conditionalFormatting>
  <conditionalFormatting sqref="D12:E12 B12">
    <cfRule type="expression" dxfId="1968" priority="238">
      <formula>AND((mgmt_signed_certs_chosen&lt;&gt;"Exclude"),(mgmt_signed_certs_result="Excluded"))</formula>
    </cfRule>
  </conditionalFormatting>
  <conditionalFormatting sqref="D12:E12">
    <cfRule type="expression" dxfId="1967" priority="913">
      <formula>(mgmt_signed_certs_chosen&lt;&gt;"Exclude")</formula>
    </cfRule>
    <cfRule type="expression" dxfId="1966" priority="912">
      <formula>(mgmt_signed_certs_result="Excluded")</formula>
    </cfRule>
  </conditionalFormatting>
  <conditionalFormatting sqref="D13:E13">
    <cfRule type="expression" dxfId="1965" priority="914">
      <formula>(mgmt_vns_result="Excluded")</formula>
    </cfRule>
    <cfRule type="expression" dxfId="1964" priority="915">
      <formula>(mgmt_vns_result="Included")</formula>
    </cfRule>
  </conditionalFormatting>
  <conditionalFormatting sqref="D15:E15">
    <cfRule type="expression" dxfId="1963" priority="925">
      <formula>(mgmt_stretched_cluster_result="Excluded")</formula>
    </cfRule>
    <cfRule type="expression" dxfId="1962" priority="927">
      <formula>AND((mgmt_stretched_cluster_chosen="Include"),(mgmt_stretched_cluster_result="Included"))</formula>
    </cfRule>
  </conditionalFormatting>
  <conditionalFormatting sqref="D16:E16">
    <cfRule type="expression" dxfId="1961" priority="911">
      <formula>(mgmt_nsxt_federation_chosen="Exclude")</formula>
    </cfRule>
    <cfRule type="expression" dxfId="1960" priority="910">
      <formula>AND((vcf_granular_option_chosen&lt;&gt;"Deploy a VCF Instance in an existing VCF fleet"),(vcf_granular_option_chosen&lt;&gt;"Deploy a new VCF fleet"),(vcf_granular_option_chosen&lt;&gt;"Cluster"),(vcf_granular_option_chosen&lt;&gt;"One or More VVDs"))</formula>
    </cfRule>
    <cfRule type="expression" dxfId="1959" priority="921">
      <formula>AND((mgmt_nsxt_federation_chosen&lt;&gt;"Exclude"),(mgmt_nsxt_federation_result="Excluded"))</formula>
    </cfRule>
  </conditionalFormatting>
  <conditionalFormatting sqref="E15">
    <cfRule type="containsText" dxfId="1957" priority="916" operator="containsText" text="Note:">
      <formula>NOT(ISERROR(SEARCH("Note:",E15)))</formula>
    </cfRule>
  </conditionalFormatting>
  <conditionalFormatting sqref="E279:E294">
    <cfRule type="expression" dxfId="1956" priority="470">
      <formula>OR((wld_vlcm_model_result="Excluded"),(wld_vlcm_model_chosen="Baselines"))</formula>
    </cfRule>
  </conditionalFormatting>
  <dataValidations count="17">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210" xr:uid="{8510D5E3-76F3-4F48-A320-4202661526C0}">
      <formula1>"Small,Medium,Large"</formula1>
    </dataValidation>
    <dataValidation type="list" allowBlank="1" showInputMessage="1" showErrorMessage="1" sqref="B14:B15 D191" xr:uid="{C69FA742-5038-9D45-BD6D-BB0D8DB6294F}">
      <formula1>"Include,Exclude"</formula1>
    </dataValidation>
    <dataValidation type="list" allowBlank="1" showInputMessage="1" showErrorMessage="1" sqref="D105"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48 D109" xr:uid="{EB1D5431-E355-8349-92B7-98699093D262}">
      <formula1>"Selected,Unselected"</formula1>
    </dataValidation>
    <dataValidation type="list" allowBlank="1" showInputMessage="1" showErrorMessage="1" sqref="D155" xr:uid="{B5F4A4EE-17C2-E74F-8366-A5915E1CDDA9}">
      <formula1>"BGP,STATIC"</formula1>
    </dataValidation>
    <dataValidation type="list" allowBlank="1" showInputMessage="1" showErrorMessage="1" sqref="D161 D152 D176" xr:uid="{445EF43D-0D75-3D4A-A2ED-D8E3CC33620C}">
      <formula1>"Unselected,Selected"</formula1>
    </dataValidation>
    <dataValidation type="list" allowBlank="1" showInputMessage="1" showErrorMessage="1" sqref="D154" xr:uid="{B7DAA969-9775-E54D-8FB3-20D65C5FE37E}">
      <formula1>"Active Active,Active Standby"</formula1>
    </dataValidation>
    <dataValidation type="list" allowBlank="1" showInputMessage="1" showErrorMessage="1" sqref="D97" xr:uid="{FD3C196B-0CE6-C940-BEFC-D531A62BD32C}">
      <formula1>sizing_nsxt_edge_sizing_list</formula1>
    </dataValidation>
    <dataValidation type="list" allowBlank="1" showInputMessage="1" showErrorMessage="1" sqref="D249" xr:uid="{3A8139DA-5760-284F-92B4-C643E6BDFED4}">
      <formula1>"Re-use an existing VCF Network Pool,Create a new VCF Network Pool"</formula1>
    </dataValidation>
    <dataValidation type="list" allowBlank="1" showInputMessage="1" showErrorMessage="1" sqref="D362" xr:uid="{87787DC0-6963-C243-9CE6-A77E9D967B7A}">
      <formula1>"Re-use an existing Pool,Create New Static IP Pool"</formula1>
    </dataValidation>
    <dataValidation type="list" allowBlank="1" showInputMessage="1" showErrorMessage="1" sqref="D123 D255 D263 D271" xr:uid="{951D9857-4EE1-9C47-88BC-3A61688F0E59}">
      <formula1>table_masks</formula1>
    </dataValidation>
    <dataValidation type="list" allowBlank="1" showInputMessage="1" showErrorMessage="1" sqref="D403" xr:uid="{7E60ABCF-9E78-D341-A124-AF768C695917}">
      <formula1>"Small,Medium,Large,X-Large"</formula1>
    </dataValidation>
    <dataValidation type="list" allowBlank="1" showInputMessage="1" showErrorMessage="1" sqref="D116" xr:uid="{E9886013-30A8-D142-BF14-FD432DB2FF83}">
      <formula1>"Static IP List,DHCP,IP Pool"</formula1>
    </dataValidation>
  </dataValidations>
  <hyperlinks>
    <hyperlink ref="B5" location="'Configure Management Domain'!navigation_configure_sftp_mgmt_domain" display="Configure SFTP Backups for SDDC Manager and NSX" xr:uid="{00000000-0004-0000-0400-000000000000}"/>
    <hyperlink ref="C5" location="'Configure Management Domain'!navigation_apply_signed_certs_mgmt_domain" display="Apply Signed Certificates" xr:uid="{00000000-0004-0000-0400-000001000000}"/>
    <hyperlink ref="D5" location="'Configure Management Domain'!navigation_nsx_routing_mgmt_domain" display="NSX Network Connectivity for the MGMT Workload Domain" xr:uid="{00000000-0004-0000-0400-000002000000}"/>
    <hyperlink ref="E5" location="'Configure Management Domain'!navigation_avi_lb_mgmt_domain" display="Deploy AVI Loadbalancer " xr:uid="{00000000-0004-0000-0400-000003000000}"/>
    <hyperlink ref="B7" location="'Configure Management Domain'!navigation_stretched_cluster_mgmt_domain" display="Stretched Cluster" xr:uid="{00000000-0004-0000-0400-000004000000}"/>
    <hyperlink ref="C7" location="'Configure Management Domain'!navigation_nsx_federation_for_management_domain" display="NSX Federation for Management Domain" xr:uid="{00000000-0004-0000-0400-000005000000}"/>
    <hyperlink ref="E100" location="'Deploy Management Domain'!L94" display="Values are set based on vSphere Cluster configuration in the Deploy Management Domain Tab" xr:uid="{00000000-0004-0000-0400-000006000000}"/>
    <hyperlink ref="E104" location="'Deploy Management Domain'!L115" display="Values are set based on Datastoreconfiguration in the Deploy Management Domain Tab" xr:uid="{00000000-0004-0000-0400-000007000000}"/>
    <hyperlink ref="E106" location="'Deploy Management Domain'!L199" display="Values are set based on VM Management Network configuration in the Deploy Management Domain Tab" xr:uid="{00000000-0004-0000-0400-000008000000}"/>
    <hyperlink ref="E108" location="'Deploy Management Domain'!L155" display="'Deploy Management Domain'!L155" xr:uid="{00000000-0004-0000-0400-000009000000}"/>
    <hyperlink ref="E126" location="'Deploy Management Domain'!L94" display="Values are set based on vSphere Cluster configuration in the Deploy Management Domain Tab" xr:uid="{00000000-0004-0000-0400-00000A000000}"/>
    <hyperlink ref="E130" location="'Deploy Management Domain'!L115" display="Values are set based on Datastoreconfiguration in the Deploy Management Domain Tab" xr:uid="{00000000-0004-0000-0400-00000B000000}"/>
    <hyperlink ref="E132" location="'Deploy Management Domain'!L199" display="Values are set based on VM Management Network configuration in the Deploy Management Domain Tab" xr:uid="{00000000-0004-0000-0400-00000C000000}"/>
    <hyperlink ref="E134" location="'Deploy Management Domain'!L155" display="'Deploy Management Domain'!L155" xr:uid="{00000000-0004-0000-0400-00000D000000}"/>
  </hyperlinks>
  <pageMargins left="0.7" right="0.7" top="0.75" bottom="0.75" header="0.3" footer="0.3"/>
  <pageSetup paperSize="9" orientation="portrait" horizontalDpi="0" verticalDpi="0"/>
  <ignoredErrors>
    <ignoredError sqref="C119"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654" operator="containsText" id="{584294CF-2D97-274B-9221-49162D0606ED}">
            <xm:f>NOT(ISERROR(SEARCH("Missing Value",D21)))</xm:f>
            <xm:f>"Missing Value"</xm:f>
            <x14:dxf>
              <font>
                <color theme="1"/>
              </font>
              <fill>
                <patternFill>
                  <bgColor rgb="FFFFBE29"/>
                </patternFill>
              </fill>
            </x14:dxf>
          </x14:cfRule>
          <xm:sqref>D21:D28</xm:sqref>
        </x14:conditionalFormatting>
        <x14:conditionalFormatting xmlns:xm="http://schemas.microsoft.com/office/excel/2006/main">
          <x14:cfRule type="containsText" priority="218" stopIfTrue="1" operator="containsText" id="{3C06E0A5-FDD6-DE41-81F7-DD786C1C7398}">
            <xm:f>NOT(ISERROR(SEARCH("Value Missing",D200)))</xm:f>
            <xm:f>"Value Missing"</xm:f>
            <x14:dxf>
              <font>
                <color rgb="FF0E223A"/>
              </font>
              <fill>
                <patternFill>
                  <bgColor rgb="FFFFBE29"/>
                </patternFill>
              </fill>
            </x14:dxf>
          </x14:cfRule>
          <xm:sqref>D200</xm:sqref>
        </x14:conditionalFormatting>
        <x14:conditionalFormatting xmlns:xm="http://schemas.microsoft.com/office/excel/2006/main">
          <x14:cfRule type="containsText" priority="465" stopIfTrue="1" operator="containsText" id="{A05D282B-402D-8641-81EE-7253E8565A90}">
            <xm:f>NOT(ISERROR(SEARCH("Value Missing",D259)))</xm:f>
            <xm:f>"Value Missing"</xm:f>
            <x14:dxf>
              <font>
                <color rgb="FF0E223A"/>
              </font>
              <fill>
                <patternFill>
                  <bgColor rgb="FFFFBE29"/>
                </patternFill>
              </fill>
            </x14:dxf>
          </x14:cfRule>
          <xm:sqref>D259</xm:sqref>
        </x14:conditionalFormatting>
        <x14:conditionalFormatting xmlns:xm="http://schemas.microsoft.com/office/excel/2006/main">
          <x14:cfRule type="containsText" priority="887" operator="containsText" id="{F97B184A-B8B2-B345-9B5B-582787CFAD3C}">
            <xm:f>NOT(ISERROR(SEARCH("Value Missing",D33)))</xm:f>
            <xm:f>"Value Missing"</xm:f>
            <x14:dxf>
              <font>
                <color rgb="FF0E223A"/>
              </font>
              <fill>
                <patternFill>
                  <bgColor rgb="FFFFBE29"/>
                </patternFill>
              </fill>
            </x14:dxf>
          </x14:cfRule>
          <xm:sqref>D500:D507 D42:D45 D58:D65 D47:D50 D52:D56 D33:D35 D37:D40 D99:D109 D111:D123 D125:D135 D137:D150 D158:D171 D173:D186 D212:D218 D208 D452:D466 D468:D472 D474:D476 D480:D483 D490:D495 D509:D519 D67:D73 D75:D84 D210 D310:D327 D268:D274 D378 D380:D381 D383:D393 D279:D300 D521:D525 D531:D570 D572:D575 D249:D250 D225:D228 D230:D245 D305:D308 D329:D332 D334:D336 D338:D340 D252:D258 D260:D266 D152:D156 D92:D93 D95:D97 D188:D189 D345:D374 D478 D485:D488 D497:D498 D527:D529 D398 D400:D415 D417:D432 D434:D450 D193:D195 D197:D199 D201:D202 D191 D90</xm:sqref>
        </x14:conditionalFormatting>
        <x14:conditionalFormatting xmlns:xm="http://schemas.microsoft.com/office/excel/2006/main">
          <x14:cfRule type="containsText" priority="1"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G360"/>
  <sheetViews>
    <sheetView showGridLines="0" workbookViewId="0">
      <pane ySplit="4" topLeftCell="A5" activePane="bottomLeft" state="frozen"/>
      <selection pane="bottomLeft"/>
    </sheetView>
  </sheetViews>
  <sheetFormatPr baseColWidth="10" defaultColWidth="11" defaultRowHeight="16" x14ac:dyDescent="0.2"/>
  <cols>
    <col min="1" max="1" width="2.83203125" customWidth="1"/>
    <col min="2" max="3" width="75.83203125" customWidth="1"/>
    <col min="4" max="4" width="75.83203125" style="303" customWidth="1"/>
    <col min="5" max="5" width="128.6640625" style="303" customWidth="1"/>
  </cols>
  <sheetData>
    <row r="1" spans="1:7" s="8" customFormat="1" x14ac:dyDescent="0.2">
      <c r="A1" s="118"/>
      <c r="D1" s="2"/>
      <c r="E1" s="2"/>
    </row>
    <row r="2" spans="1:7" s="8" customFormat="1" ht="54" customHeight="1" x14ac:dyDescent="0.2">
      <c r="A2" s="121"/>
      <c r="B2" s="517" t="s">
        <v>528</v>
      </c>
      <c r="C2" s="517"/>
      <c r="D2" s="517"/>
      <c r="E2" s="517"/>
    </row>
    <row r="3" spans="1:7" s="19" customFormat="1" ht="20" customHeight="1" x14ac:dyDescent="0.2">
      <c r="A3" s="42"/>
      <c r="B3" s="519" t="s">
        <v>1</v>
      </c>
      <c r="C3" s="519"/>
      <c r="D3" s="519"/>
      <c r="E3" s="519"/>
    </row>
    <row r="4" spans="1:7" s="8" customFormat="1" x14ac:dyDescent="0.2">
      <c r="D4" s="2"/>
      <c r="E4" s="2"/>
    </row>
    <row r="5" spans="1:7" s="8" customFormat="1" ht="34" customHeight="1" x14ac:dyDescent="0.2">
      <c r="B5" s="340" t="s">
        <v>529</v>
      </c>
      <c r="C5" s="341"/>
      <c r="D5" s="341"/>
      <c r="E5" s="309"/>
    </row>
    <row r="6" spans="1:7" s="8" customFormat="1" ht="20" customHeight="1" x14ac:dyDescent="0.2">
      <c r="B6" s="346" t="s">
        <v>9</v>
      </c>
      <c r="C6" s="346" t="s">
        <v>10</v>
      </c>
      <c r="D6" s="346" t="s">
        <v>11</v>
      </c>
      <c r="E6" s="310" t="s">
        <v>12</v>
      </c>
    </row>
    <row r="7" spans="1:7" s="8" customFormat="1" ht="20" customHeight="1" x14ac:dyDescent="0.2">
      <c r="A7" s="120"/>
      <c r="B7" s="281" t="s">
        <v>530</v>
      </c>
      <c r="C7" s="255" t="s">
        <v>531</v>
      </c>
      <c r="D7" s="282" t="str">
        <f>IF(flt_custom_network_chosen="Exclude","Excluded",
IF(AND(flt_custom_network_chosen="NSX Overlay Segment",mgmt_vns_chosen&lt;&gt;"Centralized Connectivity"),"Excluded","Included"))</f>
        <v>Included</v>
      </c>
      <c r="E7" s="282"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120"/>
      <c r="G7" s="120"/>
    </row>
    <row r="8" spans="1:7" s="8" customFormat="1" ht="20" customHeight="1" x14ac:dyDescent="0.2">
      <c r="A8" s="120"/>
      <c r="B8" s="281" t="s">
        <v>13</v>
      </c>
      <c r="C8" s="255" t="s">
        <v>532</v>
      </c>
      <c r="D8" s="282"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282"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20"/>
      <c r="G8" s="120"/>
    </row>
    <row r="9" spans="1:7" s="8" customFormat="1" ht="20" customHeight="1" x14ac:dyDescent="0.2">
      <c r="B9" s="355" t="s">
        <v>13</v>
      </c>
      <c r="C9" s="362" t="s">
        <v>533</v>
      </c>
      <c r="D9" s="112" t="str">
        <f>IF(mgmt_domain_deployment_type_chosen="VMware vSphere Foundation","Excluded",IF(flt_vidb_chosen&lt;&gt;"Exclude","Included","Excluded"))</f>
        <v>Excluded</v>
      </c>
      <c r="E9" s="112"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 Appliance","A Clustered VIDB model will be deployed. 3 additional VMSP appliances are required as part of this configuration ",IF(flt_vidb_chosen="Identity Broker (Embedded)","A Non-clustered VIDB model will be deployed. No additional appliance will be deployed as part of this configuration ")))))</f>
        <v>Cause: Not Selected. VCF Authentication will not be configured</v>
      </c>
    </row>
    <row r="10" spans="1:7" s="8" customFormat="1" ht="20" customHeight="1" x14ac:dyDescent="0.2">
      <c r="A10" s="120"/>
      <c r="B10" s="281" t="s">
        <v>13</v>
      </c>
      <c r="C10" s="84" t="s">
        <v>534</v>
      </c>
      <c r="D10" s="282" t="str">
        <f>IF(mgmt_domain_deployment_type_chosen="VMware vSphere Foundation","Excluded",IF(flt_logs_chosen&lt;&gt;"Exclude","Included","Excluded"))</f>
        <v>Excluded</v>
      </c>
      <c r="E10" s="282"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20"/>
      <c r="G10" s="120"/>
    </row>
    <row r="11" spans="1:7" s="8" customFormat="1" ht="20" customHeight="1" x14ac:dyDescent="0.2">
      <c r="A11" s="120"/>
      <c r="B11" s="281" t="s">
        <v>13</v>
      </c>
      <c r="C11" s="84" t="s">
        <v>535</v>
      </c>
      <c r="D11" s="282" t="str">
        <f>IF(mgmt_domain_deployment_type_chosen="VMware vSphere Foundation","Excluded",IF(flt_net_chosen&lt;&gt;"Exclude","Included","Excluded"))</f>
        <v>Excluded</v>
      </c>
      <c r="E11" s="282"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20"/>
      <c r="G11" s="120"/>
    </row>
    <row r="13" spans="1:7" s="8" customFormat="1" ht="34" customHeight="1" x14ac:dyDescent="0.2">
      <c r="B13" s="522" t="s">
        <v>536</v>
      </c>
      <c r="C13" s="523"/>
      <c r="D13" s="523"/>
      <c r="E13" s="524"/>
    </row>
    <row r="14" spans="1:7" s="8" customFormat="1" ht="20" customHeight="1" x14ac:dyDescent="0.2">
      <c r="A14" s="120"/>
      <c r="B14" s="346" t="s">
        <v>17</v>
      </c>
      <c r="C14" s="346" t="s">
        <v>18</v>
      </c>
      <c r="D14" s="346" t="s">
        <v>19</v>
      </c>
      <c r="E14" s="310" t="s">
        <v>20</v>
      </c>
      <c r="F14" s="120"/>
      <c r="G14" s="120"/>
    </row>
    <row r="15" spans="1:7" s="8" customFormat="1" ht="20" customHeight="1" x14ac:dyDescent="0.2">
      <c r="B15" s="4" t="s">
        <v>537</v>
      </c>
      <c r="C15" s="362" t="s">
        <v>538</v>
      </c>
      <c r="D15" s="347" t="s">
        <v>538</v>
      </c>
      <c r="E15" s="337" t="s">
        <v>539</v>
      </c>
    </row>
    <row r="16" spans="1:7" s="8" customFormat="1" ht="20" customHeight="1" x14ac:dyDescent="0.2">
      <c r="B16" s="465" t="s">
        <v>540</v>
      </c>
      <c r="C16" s="466"/>
      <c r="D16" s="466"/>
      <c r="E16" s="467"/>
    </row>
    <row r="17" spans="2:5" s="8" customFormat="1" ht="20" customHeight="1" x14ac:dyDescent="0.2">
      <c r="B17" s="4" t="s">
        <v>541</v>
      </c>
      <c r="C17" s="362" t="str">
        <f>CONCATENATE(this_instance,"-m01-cl01-vds01-pg-vm-mgmt")</f>
        <v>sfo-m01-cl01-vds01-pg-vm-mgmt</v>
      </c>
      <c r="D17" s="287"/>
      <c r="E17" s="337"/>
    </row>
    <row r="18" spans="2:5" s="8" customFormat="1" ht="20" customHeight="1" x14ac:dyDescent="0.2">
      <c r="B18" s="4" t="s">
        <v>542</v>
      </c>
      <c r="C18" s="362" t="s">
        <v>128</v>
      </c>
      <c r="D18" s="347"/>
      <c r="E18" s="337"/>
    </row>
    <row r="19" spans="2:5" s="8" customFormat="1" ht="20" customHeight="1" x14ac:dyDescent="0.2">
      <c r="B19" s="4" t="s">
        <v>543</v>
      </c>
      <c r="C19" s="362" t="str">
        <f>IF(AND( LEFT(vcf_version_chosen,3)&lt;&gt;"9.0",mgmt_domain_ops_automation_later_chosen="Selected",flt_custom_network_chosen="Dedicated Management Network"),
IF(
mgmt_dpg_reuse_result="Included",
CONCATENATE(prefix_flt_shared_cidr,".1"),
CONCATENATE(prefix_flt_shared_cidr,".1")
),
IF(AND( LEFT(vcf_version_chosen,3)&lt;&gt;"9.0",mgmt_domain_ops_automation_later_chosen="Selected",flt_custom_network_chosen="Shared Management Network"),
IF(
mgmt_dpg_reuse_result="Included",
CONCATENATE(prefix_mgmt_az1_cidr,"10.1"),
CONCATENATE(prefix_mgmt_az1_cidr,"11.1")
),
IF(AND( LEFT(vcf_version_chosen,3)&lt;&gt;"9.0",mgmt_domain_ops_automation_later_chosen="Selected",flt_custom_network_chosen="NSX Overlay Segment"),
CONCATENATE(prefix_xreg_cidr,".1"),
IF(AND( LEFT(vcf_version_chosen,3)&lt;&gt;"9.0",mgmt_domain_ops_automation_later_chosen="Selected",flt_custom_network_chosen="NSX VLAN Segment"),
CONCATENATE(prefix_flt_shared_cidr,".1"),
IF(mgmt_dpg_reuse_result="Included",
CONCATENATE(prefix_mgmt_az1_cidr,"10.11"),
CONCATENATE(prefix_mgmt_az1_cidr,"11.11")
)
))))</f>
        <v>10.11.10.11</v>
      </c>
      <c r="D19" s="287"/>
      <c r="E19" s="337"/>
    </row>
    <row r="20" spans="2:5" s="8" customFormat="1" ht="20" customHeight="1" x14ac:dyDescent="0.2">
      <c r="B20" s="465" t="s">
        <v>544</v>
      </c>
      <c r="C20" s="466"/>
      <c r="D20" s="466"/>
      <c r="E20" s="467"/>
    </row>
    <row r="21" spans="2:5" s="8" customFormat="1" ht="20" customHeight="1" x14ac:dyDescent="0.2">
      <c r="B21" s="4" t="s">
        <v>541</v>
      </c>
      <c r="C21"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1" s="287"/>
      <c r="E21" s="337" t="s">
        <v>545</v>
      </c>
    </row>
    <row r="22" spans="2:5" s="8" customFormat="1" ht="20" customHeight="1" x14ac:dyDescent="0.2">
      <c r="B22" s="4" t="s">
        <v>542</v>
      </c>
      <c r="C22" s="362" t="s">
        <v>128</v>
      </c>
      <c r="D22" s="347"/>
      <c r="E22" s="337"/>
    </row>
    <row r="23" spans="2:5" s="8" customFormat="1" ht="20" customHeight="1" x14ac:dyDescent="0.2">
      <c r="B23" s="4" t="s">
        <v>543</v>
      </c>
      <c r="C2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3" s="287"/>
      <c r="E23" s="337"/>
    </row>
    <row r="24" spans="2:5" s="8" customFormat="1" ht="20" customHeight="1" x14ac:dyDescent="0.2">
      <c r="B24" s="465" t="s">
        <v>546</v>
      </c>
      <c r="C24" s="466"/>
      <c r="D24" s="466"/>
      <c r="E24" s="467"/>
    </row>
    <row r="25" spans="2:5" s="8" customFormat="1" ht="20" customHeight="1" x14ac:dyDescent="0.2">
      <c r="B25" s="4" t="s">
        <v>547</v>
      </c>
      <c r="C25" s="362" t="b">
        <v>0</v>
      </c>
      <c r="D25" s="347"/>
      <c r="E25" s="337"/>
    </row>
    <row r="26" spans="2:5" s="8" customFormat="1" ht="20" customHeight="1" x14ac:dyDescent="0.2">
      <c r="B26" s="4" t="s">
        <v>38</v>
      </c>
      <c r="C26" s="362" t="str">
        <f>CONCATENATE(prefix_portable_component,"-fm01.",sample_parent_dns_zone)</f>
        <v>flt-fm01.rainpole.io</v>
      </c>
      <c r="D26" s="347"/>
      <c r="E26" s="337"/>
    </row>
    <row r="27" spans="2:5" s="8" customFormat="1" ht="20" customHeight="1" x14ac:dyDescent="0.2">
      <c r="B27" s="4" t="s">
        <v>548</v>
      </c>
      <c r="C27" s="362" t="str">
        <f>IF(flt_custom_network_chosen="Shared Management Network",IF(mgmt_dpg_reuse_result="Included",CONCATENATE(prefix_mgmt_az1_cidr,"10.28"),CONCATENATE(prefix_mgmt_az1_cidr,"11.28")),IF(flt_custom_network_chosen="NSX Overlay Segment",CONCATENATE(prefix_xreg_cidr,".28"),CONCATENATE(prefix_flt_shared_cidr,".28")))</f>
        <v>10.11.10.28</v>
      </c>
      <c r="D27" s="347"/>
      <c r="E27" s="337"/>
    </row>
    <row r="28" spans="2:5" s="8" customFormat="1" ht="20" customHeight="1" x14ac:dyDescent="0.2">
      <c r="B28" s="4" t="s">
        <v>549</v>
      </c>
      <c r="C28" s="362" t="s">
        <v>141</v>
      </c>
      <c r="D28" s="347"/>
      <c r="E28" s="337"/>
    </row>
    <row r="29" spans="2:5" s="8" customFormat="1" ht="20" customHeight="1" x14ac:dyDescent="0.2">
      <c r="B29" s="4" t="s">
        <v>550</v>
      </c>
      <c r="C29" s="362" t="s">
        <v>141</v>
      </c>
      <c r="D29" s="347"/>
      <c r="E29" s="337"/>
    </row>
    <row r="30" spans="2:5" s="8" customFormat="1" ht="20" customHeight="1" x14ac:dyDescent="0.2">
      <c r="B30" s="465" t="s">
        <v>551</v>
      </c>
      <c r="C30" s="466"/>
      <c r="D30" s="466"/>
      <c r="E30" s="467"/>
    </row>
    <row r="31" spans="2:5" s="8" customFormat="1" ht="20" customHeight="1" x14ac:dyDescent="0.2">
      <c r="B31" s="4" t="s">
        <v>547</v>
      </c>
      <c r="C31" s="362" t="b">
        <v>0</v>
      </c>
      <c r="D31" s="347"/>
      <c r="E31" s="337"/>
    </row>
    <row r="32" spans="2:5" s="8" customFormat="1" ht="20" customHeight="1" x14ac:dyDescent="0.2">
      <c r="B32" s="4" t="s">
        <v>552</v>
      </c>
      <c r="C32" s="362" t="str">
        <f>CONCATENATE(prefix_portable_component,"-ops01.",sample_parent_dns_zone)</f>
        <v>flt-ops01.rainpole.io</v>
      </c>
      <c r="D32" s="347"/>
      <c r="E32" s="337"/>
    </row>
    <row r="33" spans="2:5" s="8" customFormat="1" ht="20" customHeight="1" x14ac:dyDescent="0.2">
      <c r="B33" s="4" t="s">
        <v>553</v>
      </c>
      <c r="C33" s="80" t="str">
        <f>CONCATENATE(prefix_portable_component,"-ops01a.",sample_parent_dns_zone)</f>
        <v>flt-ops01a.rainpole.io</v>
      </c>
      <c r="D33" s="347"/>
      <c r="E33" s="337"/>
    </row>
    <row r="34" spans="2:5" s="8" customFormat="1" ht="20" customHeight="1" x14ac:dyDescent="0.2">
      <c r="B34" s="4" t="s">
        <v>554</v>
      </c>
      <c r="C34" s="80" t="str">
        <f>CONCATENATE(prefix_portable_component,"-ops01b.",sample_parent_dns_zone)</f>
        <v>flt-ops01b.rainpole.io</v>
      </c>
      <c r="D34" s="347"/>
      <c r="E34" s="337"/>
    </row>
    <row r="35" spans="2:5" s="8" customFormat="1" ht="20" customHeight="1" x14ac:dyDescent="0.2">
      <c r="B35" s="4" t="s">
        <v>555</v>
      </c>
      <c r="C35" s="80" t="str">
        <f>CONCATENATE(prefix_portable_component,"-ops01c.",sample_parent_dns_zone)</f>
        <v>flt-ops01c.rainpole.io</v>
      </c>
      <c r="D35" s="347"/>
      <c r="E35" s="337"/>
    </row>
    <row r="36" spans="2:5" s="8" customFormat="1" ht="20" customHeight="1" x14ac:dyDescent="0.2">
      <c r="B36" s="4" t="s">
        <v>556</v>
      </c>
      <c r="C36" s="80" t="str">
        <f>IF(flt_custom_network_chosen="Shared Management Network",IF(mgmt_dpg_reuse_result="Included",CONCATENATE(prefix_mgmt_az1_cidr,"10.21"),CONCATENATE(prefix_mgmt_az1_cidr,"11.21")),IF(flt_custom_network_chosen="NSX Overlay Segment",CONCATENATE(prefix_xreg_cidr,".21"),CONCATENATE(prefix_flt_shared_cidr,".21")))</f>
        <v>10.11.10.21</v>
      </c>
      <c r="D36" s="347"/>
      <c r="E36" s="337" t="s">
        <v>557</v>
      </c>
    </row>
    <row r="37" spans="2:5" s="8" customFormat="1" ht="20" customHeight="1" x14ac:dyDescent="0.2">
      <c r="B37" s="4" t="s">
        <v>558</v>
      </c>
      <c r="C37" s="80"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37" s="347"/>
      <c r="E37" s="337"/>
    </row>
    <row r="38" spans="2:5" s="8" customFormat="1" ht="20" customHeight="1" x14ac:dyDescent="0.2">
      <c r="B38" s="4" t="s">
        <v>559</v>
      </c>
      <c r="C38" s="80"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38" s="347"/>
      <c r="E38" s="337"/>
    </row>
    <row r="39" spans="2:5" s="8" customFormat="1" ht="20" customHeight="1" x14ac:dyDescent="0.2">
      <c r="B39" s="4" t="s">
        <v>560</v>
      </c>
      <c r="C39" s="80"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39" s="347"/>
      <c r="E39" s="337"/>
    </row>
    <row r="40" spans="2:5" s="8" customFormat="1" ht="20" customHeight="1" x14ac:dyDescent="0.2">
      <c r="B40" s="4" t="s">
        <v>561</v>
      </c>
      <c r="C40" s="362" t="s">
        <v>93</v>
      </c>
      <c r="D40" s="347" t="s">
        <v>93</v>
      </c>
      <c r="E40" s="337"/>
    </row>
    <row r="41" spans="2:5" s="8" customFormat="1" ht="20" customHeight="1" x14ac:dyDescent="0.2">
      <c r="B41" s="4" t="s">
        <v>562</v>
      </c>
      <c r="C41" s="362" t="s">
        <v>141</v>
      </c>
      <c r="D41" s="347"/>
      <c r="E41" s="337"/>
    </row>
    <row r="42" spans="2:5" s="8" customFormat="1" ht="20" customHeight="1" x14ac:dyDescent="0.2">
      <c r="B42" s="4" t="s">
        <v>199</v>
      </c>
      <c r="C42" s="362" t="s">
        <v>141</v>
      </c>
      <c r="D42" s="347"/>
      <c r="E42" s="337"/>
    </row>
    <row r="43" spans="2:5" s="8" customFormat="1" ht="20" customHeight="1" x14ac:dyDescent="0.2">
      <c r="B43" s="465" t="s">
        <v>563</v>
      </c>
      <c r="C43" s="466"/>
      <c r="D43" s="466"/>
      <c r="E43" s="467"/>
    </row>
    <row r="44" spans="2:5" s="8" customFormat="1" ht="20" customHeight="1" x14ac:dyDescent="0.2">
      <c r="B44" s="4" t="s">
        <v>38</v>
      </c>
      <c r="C44" s="362" t="str">
        <f>CONCATENATE(this_instance,"-cp01.",sample_child_dns_zone)</f>
        <v>sfo-cp01.sfo.rainpole.io</v>
      </c>
      <c r="D44" s="347"/>
      <c r="E44" s="337"/>
    </row>
    <row r="45" spans="2:5" s="8" customFormat="1" ht="20" customHeight="1" x14ac:dyDescent="0.2">
      <c r="B45" s="4" t="s">
        <v>283</v>
      </c>
      <c r="C45" s="362" t="str">
        <f>IF(AND( LEFT(vcf_version_chosen,3)&lt;&gt;"9.0",mgmt_domain_ops_automation_later_chosen="Selected",flt_custom_network_chosen="Dedicated Management Network"),
IF(
mgmt_dpg_reuse_result="Included",
CONCATENATE(prefix_flt_shared_cidr,".12"),
CONCATENATE(prefix_flt_shared_cidr,".12")
),
IF(AND( LEFT(vcf_version_chosen,3)&lt;&gt;"9.0",mgmt_domain_ops_automation_later_chosen="Selected",flt_custom_network_chosen="Shared Management Network"),
IF(
mgmt_dpg_reuse_result="Included",
CONCATENATE(prefix_mgmt_az1_cidr,"10.12"),
CONCATENATE(prefix_mgmt_az1_cidr,"11.12")
),
IF(AND( LEFT(vcf_version_chosen,3)&lt;&gt;"9.0",mgmt_domain_ops_automation_later_chosen="Selected",flt_custom_network_chosen="NSX Overlay Segment"),
CONCATENATE(prefix_xreg_cidr,".12"),
IF(AND( LEFT(vcf_version_chosen,3)&lt;&gt;"9.0",mgmt_domain_ops_automation_later_chosen="Selected",flt_custom_network_chosen="NSX VLAN Segment"),
CONCATENATE(prefix_flt_shared_cidr,".12"
),
IF(mgmt_dpg_reuse_result="Included",
CONCATENATE(prefix_mgmt_az1_cidr,"10.12"),
CONCATENATE(prefix_mgmt_az1_cidr,"11.12")
)
))))</f>
        <v>10.11.10.12</v>
      </c>
      <c r="D45" s="347"/>
      <c r="E45" s="337"/>
    </row>
    <row r="46" spans="2:5" s="8" customFormat="1" ht="20" customHeight="1" x14ac:dyDescent="0.2">
      <c r="B46" s="4" t="s">
        <v>195</v>
      </c>
      <c r="C46" s="362" t="s">
        <v>564</v>
      </c>
      <c r="D46" s="347"/>
      <c r="E46" s="337"/>
    </row>
    <row r="47" spans="2:5" s="8" customFormat="1" ht="20" customHeight="1" x14ac:dyDescent="0.2">
      <c r="B47" s="4" t="s">
        <v>561</v>
      </c>
      <c r="C47" s="362" t="s">
        <v>538</v>
      </c>
      <c r="D47" s="347" t="s">
        <v>538</v>
      </c>
      <c r="E47" s="337"/>
    </row>
    <row r="48" spans="2:5" s="8" customFormat="1" ht="20" customHeight="1" x14ac:dyDescent="0.2">
      <c r="B48" s="4" t="s">
        <v>562</v>
      </c>
      <c r="C48" s="362" t="s">
        <v>141</v>
      </c>
      <c r="D48" s="347"/>
      <c r="E48" s="337"/>
    </row>
    <row r="49" spans="2:5" s="8" customFormat="1" ht="20" customHeight="1" x14ac:dyDescent="0.2">
      <c r="B49" s="465" t="s">
        <v>565</v>
      </c>
      <c r="C49" s="466"/>
      <c r="D49" s="466"/>
      <c r="E49" s="467"/>
    </row>
    <row r="50" spans="2:5" s="8" customFormat="1" ht="20" customHeight="1" x14ac:dyDescent="0.2">
      <c r="B50" s="4" t="s">
        <v>38</v>
      </c>
      <c r="C50" s="362" t="str">
        <f>CONCATENATE(prefix_portable_component,"-auto01.",sample_parent_dns_zone)</f>
        <v>flt-auto01.rainpole.io</v>
      </c>
      <c r="D50" s="347"/>
      <c r="E50" s="337"/>
    </row>
    <row r="51" spans="2:5" s="8" customFormat="1" ht="20" customHeight="1" x14ac:dyDescent="0.2">
      <c r="B51" s="4" t="s">
        <v>566</v>
      </c>
      <c r="C51" s="362" t="str">
        <f>CONCATENATE(prefix_portable_component,"-auto")</f>
        <v>flt-auto</v>
      </c>
      <c r="D51" s="347"/>
      <c r="E51" s="337" t="s">
        <v>567</v>
      </c>
    </row>
    <row r="52" spans="2:5" s="8" customFormat="1" ht="20" customHeight="1" x14ac:dyDescent="0.2">
      <c r="B52" s="4" t="s">
        <v>283</v>
      </c>
      <c r="C52" s="362"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52" s="347"/>
      <c r="E52" s="337"/>
    </row>
    <row r="53" spans="2:5" s="8" customFormat="1" ht="20" customHeight="1" x14ac:dyDescent="0.2">
      <c r="B53" s="4" t="s">
        <v>568</v>
      </c>
      <c r="C53" s="362"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53" s="347"/>
      <c r="E53" s="337" t="s">
        <v>569</v>
      </c>
    </row>
    <row r="54" spans="2:5" s="8" customFormat="1" ht="20" customHeight="1" x14ac:dyDescent="0.2">
      <c r="B54" s="4" t="s">
        <v>570</v>
      </c>
      <c r="C54" s="362"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54" s="347"/>
      <c r="E54" s="337"/>
    </row>
    <row r="55" spans="2:5" s="8" customFormat="1" ht="20" customHeight="1" x14ac:dyDescent="0.2">
      <c r="B55" s="4" t="s">
        <v>571</v>
      </c>
      <c r="C55" s="362"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55" s="347"/>
      <c r="E55" s="337"/>
    </row>
    <row r="56" spans="2:5" s="8" customFormat="1" ht="20" customHeight="1" x14ac:dyDescent="0.2">
      <c r="B56" s="4" t="s">
        <v>572</v>
      </c>
      <c r="C56" s="362"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56" s="347"/>
      <c r="E56" s="337"/>
    </row>
    <row r="57" spans="2:5" s="8" customFormat="1" ht="20" customHeight="1" x14ac:dyDescent="0.2">
      <c r="B57" s="4" t="s">
        <v>573</v>
      </c>
      <c r="C57" s="362" t="s">
        <v>574</v>
      </c>
      <c r="D57" s="347" t="s">
        <v>574</v>
      </c>
      <c r="E57" s="337" t="s">
        <v>575</v>
      </c>
    </row>
    <row r="58" spans="2:5" ht="20" customHeight="1" x14ac:dyDescent="0.2">
      <c r="B58" s="4" t="s">
        <v>550</v>
      </c>
      <c r="C58" s="362" t="s">
        <v>141</v>
      </c>
      <c r="D58" s="347"/>
      <c r="E58" s="337"/>
    </row>
    <row r="59" spans="2:5" s="8" customFormat="1" ht="16" customHeight="1" x14ac:dyDescent="0.2">
      <c r="D59" s="303"/>
      <c r="E59" s="303"/>
    </row>
    <row r="60" spans="2:5" ht="34" customHeight="1" x14ac:dyDescent="0.2">
      <c r="B60" s="541" t="s">
        <v>576</v>
      </c>
      <c r="C60" s="542"/>
      <c r="D60" s="542"/>
      <c r="E60" s="543"/>
    </row>
    <row r="61" spans="2:5" ht="20" customHeight="1" x14ac:dyDescent="0.2">
      <c r="B61" s="544" t="s">
        <v>577</v>
      </c>
      <c r="C61" s="545"/>
      <c r="D61" s="545"/>
      <c r="E61" s="546"/>
    </row>
    <row r="62" spans="2:5" ht="20" customHeight="1" x14ac:dyDescent="0.2">
      <c r="B62" s="346" t="s">
        <v>17</v>
      </c>
      <c r="C62" s="346" t="s">
        <v>18</v>
      </c>
      <c r="D62" s="346" t="s">
        <v>19</v>
      </c>
      <c r="E62" s="310" t="s">
        <v>20</v>
      </c>
    </row>
    <row r="63" spans="2:5" ht="20" customHeight="1" x14ac:dyDescent="0.2">
      <c r="B63" s="4" t="s">
        <v>578</v>
      </c>
      <c r="C63" s="362" t="s">
        <v>579</v>
      </c>
      <c r="D63" s="347" t="s">
        <v>579</v>
      </c>
      <c r="E63" s="337" t="s">
        <v>580</v>
      </c>
    </row>
    <row r="64" spans="2:5" ht="20" customHeight="1" x14ac:dyDescent="0.2">
      <c r="B64" s="4" t="s">
        <v>195</v>
      </c>
      <c r="C64" s="362" t="s">
        <v>564</v>
      </c>
      <c r="D64" s="347"/>
      <c r="E64" s="337"/>
    </row>
    <row r="65" spans="2:5" ht="20" customHeight="1" x14ac:dyDescent="0.2">
      <c r="B65" s="4" t="s">
        <v>537</v>
      </c>
      <c r="C65" s="362" t="s">
        <v>581</v>
      </c>
      <c r="D65" s="347" t="s">
        <v>581</v>
      </c>
      <c r="E65" s="337"/>
    </row>
    <row r="66" spans="2:5" ht="20" customHeight="1" x14ac:dyDescent="0.2">
      <c r="B66" s="465" t="s">
        <v>582</v>
      </c>
      <c r="C66" s="466"/>
      <c r="D66" s="466"/>
      <c r="E66" s="467"/>
    </row>
    <row r="67" spans="2:5" ht="20" customHeight="1" x14ac:dyDescent="0.2">
      <c r="B67" s="4" t="s">
        <v>583</v>
      </c>
      <c r="C67" s="101" t="s">
        <v>584</v>
      </c>
      <c r="D67" s="347" t="s">
        <v>584</v>
      </c>
      <c r="E67" s="337"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68" spans="2:5" ht="20" customHeight="1" x14ac:dyDescent="0.2">
      <c r="B68" s="4" t="s">
        <v>585</v>
      </c>
      <c r="C68" s="101" t="str">
        <f>CONCATENATE(prefix_portable_component,"-auto01","-cert")</f>
        <v>flt-auto01-cert</v>
      </c>
      <c r="D68" s="347"/>
      <c r="E68" s="337"/>
    </row>
    <row r="69" spans="2:5" ht="20" customHeight="1" x14ac:dyDescent="0.2">
      <c r="B69" s="4" t="s">
        <v>586</v>
      </c>
      <c r="C69" s="101" t="str">
        <f>CONCATENATE(prefix_portable_component,"-auto01","-cert.pem")</f>
        <v>flt-auto01-cert.pem</v>
      </c>
      <c r="D69" s="347"/>
      <c r="E69" s="337"/>
    </row>
    <row r="70" spans="2:5" ht="20" customHeight="1" x14ac:dyDescent="0.2">
      <c r="B70" s="4" t="s">
        <v>587</v>
      </c>
      <c r="C70" s="101" t="str">
        <f>CONCATENATE(prefix_portable_component,"-auto01.",sample_parent_dns_zone)</f>
        <v>flt-auto01.rainpole.io</v>
      </c>
      <c r="D70" s="347"/>
      <c r="E70" s="337"/>
    </row>
    <row r="71" spans="2:5" ht="20" customHeight="1" x14ac:dyDescent="0.2">
      <c r="B71" s="4" t="s">
        <v>588</v>
      </c>
      <c r="C71" s="101" t="s">
        <v>59</v>
      </c>
      <c r="D71" s="347"/>
      <c r="E71" s="337"/>
    </row>
    <row r="72" spans="2:5" ht="20" customHeight="1" x14ac:dyDescent="0.2">
      <c r="B72" s="4" t="s">
        <v>589</v>
      </c>
      <c r="C72" s="101" t="s">
        <v>61</v>
      </c>
      <c r="D72" s="347"/>
      <c r="E72" s="337"/>
    </row>
    <row r="73" spans="2:5" ht="20" customHeight="1" x14ac:dyDescent="0.2">
      <c r="B73" s="4" t="s">
        <v>590</v>
      </c>
      <c r="C73" s="101" t="s">
        <v>63</v>
      </c>
      <c r="D73" s="347"/>
      <c r="E73" s="337"/>
    </row>
    <row r="74" spans="2:5" ht="20" customHeight="1" x14ac:dyDescent="0.2">
      <c r="B74" s="4" t="s">
        <v>591</v>
      </c>
      <c r="C74" s="101" t="s">
        <v>67</v>
      </c>
      <c r="D74" s="347"/>
      <c r="E74" s="337"/>
    </row>
    <row r="75" spans="2:5" ht="20" customHeight="1" x14ac:dyDescent="0.2">
      <c r="B75" s="4" t="s">
        <v>592</v>
      </c>
      <c r="C75" s="101" t="s">
        <v>65</v>
      </c>
      <c r="D75" s="347"/>
      <c r="E75" s="337"/>
    </row>
    <row r="76" spans="2:5" ht="20" customHeight="1" x14ac:dyDescent="0.2">
      <c r="B76" s="4" t="s">
        <v>593</v>
      </c>
      <c r="C76" s="101">
        <v>4096</v>
      </c>
      <c r="D76" s="347" t="s">
        <v>594</v>
      </c>
      <c r="E76" s="337"/>
    </row>
    <row r="77" spans="2:5" ht="20" customHeight="1" x14ac:dyDescent="0.2">
      <c r="B77" s="4" t="s">
        <v>595</v>
      </c>
      <c r="C77" s="101" t="str">
        <f>CONCATENATE(prefix_portable_component,"-auto01.",sample_parent_dns_zone)</f>
        <v>flt-auto01.rainpole.io</v>
      </c>
      <c r="D77" s="347"/>
      <c r="E77" s="337" t="s">
        <v>596</v>
      </c>
    </row>
    <row r="78" spans="2:5" ht="20" customHeight="1" x14ac:dyDescent="0.2">
      <c r="B78" s="17" t="s">
        <v>283</v>
      </c>
      <c r="C78" s="362"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78" s="347"/>
      <c r="E78" s="337"/>
    </row>
    <row r="79" spans="2:5" ht="20" customHeight="1" x14ac:dyDescent="0.2">
      <c r="B79" s="4" t="s">
        <v>597</v>
      </c>
      <c r="C79" s="362" t="str">
        <f>sample_vcf_automation_cert_alias</f>
        <v>flt-auto01-cert</v>
      </c>
      <c r="D79" s="347"/>
      <c r="E79" s="337"/>
    </row>
    <row r="80" spans="2:5" ht="20" customHeight="1" x14ac:dyDescent="0.2">
      <c r="B80" s="465" t="s">
        <v>598</v>
      </c>
      <c r="C80" s="466"/>
      <c r="D80" s="466"/>
      <c r="E80" s="467"/>
    </row>
    <row r="81" spans="2:5" ht="20" customHeight="1" x14ac:dyDescent="0.2">
      <c r="B81" s="4" t="s">
        <v>599</v>
      </c>
      <c r="C81" s="362" t="str">
        <f>sample_mgmt_vc_fqdn</f>
        <v>sfo-m01-vc01.sfo.rainpole.io</v>
      </c>
      <c r="D81" s="337" t="str">
        <f>mgmt_vc_fqdn</f>
        <v>Value Missing</v>
      </c>
      <c r="E81" s="337"/>
    </row>
    <row r="82" spans="2:5" ht="20" customHeight="1" x14ac:dyDescent="0.2">
      <c r="B82" s="4" t="s">
        <v>600</v>
      </c>
      <c r="C82" s="362" t="str">
        <f>CONCATENATE(sample_mgmt_datacenter,"#",sample_mgmt_cl01_cluster)</f>
        <v>sfo-m01-dc01#sfo-m01-cl01</v>
      </c>
      <c r="D82" s="347"/>
      <c r="E82" s="337"/>
    </row>
    <row r="83" spans="2:5" ht="20" customHeight="1" x14ac:dyDescent="0.2">
      <c r="B83" s="4" t="s">
        <v>601</v>
      </c>
      <c r="C83" s="362" t="str">
        <f>CONCATENATE(this_instance,"-m01-cl01-fd-vcfauto01")</f>
        <v>sfo-m01-cl01-fd-vcfauto01</v>
      </c>
      <c r="D83" s="347"/>
      <c r="E83" s="337" t="s">
        <v>602</v>
      </c>
    </row>
    <row r="84" spans="2:5" ht="20" customHeight="1" x14ac:dyDescent="0.2">
      <c r="B84" s="4" t="s">
        <v>603</v>
      </c>
      <c r="C84" s="362" t="str">
        <f>CONCATENATE(this_instance,"-m01-cl01-rp-vcfauto01")</f>
        <v>sfo-m01-cl01-rp-vcfauto01</v>
      </c>
      <c r="D84" s="347"/>
      <c r="E84" s="337" t="s">
        <v>602</v>
      </c>
    </row>
    <row r="85" spans="2:5" ht="20" customHeight="1" x14ac:dyDescent="0.2">
      <c r="B85" s="4" t="s">
        <v>604</v>
      </c>
      <c r="C85"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85" s="347"/>
      <c r="E85" s="337" t="s">
        <v>602</v>
      </c>
    </row>
    <row r="86" spans="2:5" ht="20" customHeight="1" x14ac:dyDescent="0.2">
      <c r="B86" s="4" t="s">
        <v>605</v>
      </c>
      <c r="C86" s="362" t="str">
        <f>sample_mgmt_cl01_vsan_datastore</f>
        <v>sfo-m01-cl01-ds-vsan01</v>
      </c>
      <c r="D86" s="337"/>
      <c r="E86" s="337"/>
    </row>
    <row r="87" spans="2:5" ht="20" customHeight="1" x14ac:dyDescent="0.2">
      <c r="B87" s="465" t="s">
        <v>252</v>
      </c>
      <c r="C87" s="466"/>
      <c r="D87" s="466"/>
      <c r="E87" s="467"/>
    </row>
    <row r="88" spans="2:5" ht="20" customHeight="1" x14ac:dyDescent="0.2">
      <c r="B88" s="4" t="s">
        <v>606</v>
      </c>
      <c r="C88" s="362" t="str">
        <f>sample_parent_dns_zone</f>
        <v>rainpole.io</v>
      </c>
      <c r="D88" s="337" t="str">
        <f>parent_dns_zone</f>
        <v>Value Missing</v>
      </c>
      <c r="E88" s="337"/>
    </row>
    <row r="89" spans="2:5" ht="20" customHeight="1" x14ac:dyDescent="0.2">
      <c r="B89" s="4" t="s">
        <v>607</v>
      </c>
      <c r="C89" s="362" t="str">
        <f>sample_parent_dns_zone</f>
        <v>rainpole.io</v>
      </c>
      <c r="D89" s="337" t="str">
        <f>parent_dns_zone</f>
        <v>Value Missing</v>
      </c>
      <c r="E89" s="337"/>
    </row>
    <row r="90" spans="2:5" ht="20" customHeight="1" x14ac:dyDescent="0.2">
      <c r="B90" s="4" t="s">
        <v>608</v>
      </c>
      <c r="C90" s="126" t="str">
        <f>CONCATENATE(sample_region_dns1_ip,",",sample_region_dns2_ip)</f>
        <v>10.11.10.4,10.11.10.5</v>
      </c>
      <c r="D90" s="337" t="str">
        <f>CONCATENATE(region_dns1_ip,",",region_dns2_ip)</f>
        <v>Value Missing,Value Missing</v>
      </c>
      <c r="E90" s="337"/>
    </row>
    <row r="91" spans="2:5" ht="20" customHeight="1" x14ac:dyDescent="0.2">
      <c r="B91" s="4" t="s">
        <v>609</v>
      </c>
      <c r="C91" s="126" t="s">
        <v>610</v>
      </c>
      <c r="D91" s="347" t="s">
        <v>610</v>
      </c>
      <c r="E91" s="337"/>
    </row>
    <row r="92" spans="2:5" ht="20" customHeight="1" x14ac:dyDescent="0.2">
      <c r="B92" s="4" t="s">
        <v>299</v>
      </c>
      <c r="C92" s="362" t="str">
        <f>CONCATENATE(sample_region_ntp1_server,",",sample_region_ntp2_server)</f>
        <v>ntp0.sfo.rainpole.io,ntp1.sfo.rainpole.io</v>
      </c>
      <c r="D92" s="337" t="str">
        <f>CONCATENATE(region_ntp1_server,",",region_ntp2_server)</f>
        <v>Value Missing,Value Missing</v>
      </c>
      <c r="E92" s="337"/>
    </row>
    <row r="93" spans="2:5" ht="20" customHeight="1" x14ac:dyDescent="0.2">
      <c r="B93" s="4" t="s">
        <v>611</v>
      </c>
      <c r="C9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93" s="337"/>
      <c r="E93" s="337"/>
    </row>
    <row r="94" spans="2:5" ht="20" customHeight="1" x14ac:dyDescent="0.2">
      <c r="B94" s="4" t="s">
        <v>612</v>
      </c>
      <c r="C94" s="362" t="s">
        <v>128</v>
      </c>
      <c r="D94" s="337"/>
      <c r="E94" s="337"/>
    </row>
    <row r="95" spans="2:5" ht="20" customHeight="1" x14ac:dyDescent="0.2">
      <c r="B95" s="465" t="s">
        <v>613</v>
      </c>
      <c r="C95" s="466"/>
      <c r="D95" s="466"/>
      <c r="E95" s="467"/>
    </row>
    <row r="96" spans="2:5" ht="20" customHeight="1" x14ac:dyDescent="0.2">
      <c r="B96" s="17" t="s">
        <v>614</v>
      </c>
      <c r="C96" s="283" t="s">
        <v>615</v>
      </c>
      <c r="D96" s="284"/>
      <c r="E96" s="337"/>
    </row>
    <row r="97" spans="2:5" ht="20" customHeight="1" x14ac:dyDescent="0.2">
      <c r="B97" s="22" t="s">
        <v>616</v>
      </c>
      <c r="C97" s="285" t="s">
        <v>141</v>
      </c>
      <c r="D97" s="284"/>
      <c r="E97" s="337"/>
    </row>
    <row r="98" spans="2:5" ht="20" customHeight="1" x14ac:dyDescent="0.2">
      <c r="B98" s="22" t="s">
        <v>617</v>
      </c>
      <c r="C98" s="285" t="s">
        <v>618</v>
      </c>
      <c r="D98" s="284"/>
      <c r="E98" s="337"/>
    </row>
    <row r="99" spans="2:5" ht="20" customHeight="1" x14ac:dyDescent="0.2">
      <c r="B99" s="22" t="s">
        <v>619</v>
      </c>
      <c r="C99" s="285" t="s">
        <v>431</v>
      </c>
      <c r="D99" s="284"/>
      <c r="E99" s="337"/>
    </row>
    <row r="100" spans="2:5" ht="20" customHeight="1" x14ac:dyDescent="0.2">
      <c r="B100" s="4" t="s">
        <v>620</v>
      </c>
      <c r="C100" s="101" t="str">
        <f>CONCATENATE(prefix_portable_component,"-auto01","-password")</f>
        <v>flt-auto01-password</v>
      </c>
      <c r="D100" s="347"/>
      <c r="E100" s="337"/>
    </row>
    <row r="101" spans="2:5" ht="20" customHeight="1" x14ac:dyDescent="0.2">
      <c r="B101" s="4" t="s">
        <v>562</v>
      </c>
      <c r="C101" s="101" t="s">
        <v>141</v>
      </c>
      <c r="D101" s="347"/>
      <c r="E101" s="337"/>
    </row>
    <row r="102" spans="2:5" ht="20" customHeight="1" x14ac:dyDescent="0.2">
      <c r="B102" s="4" t="s">
        <v>621</v>
      </c>
      <c r="C102" s="101" t="s">
        <v>622</v>
      </c>
      <c r="D102" s="347"/>
      <c r="E102" s="337"/>
    </row>
    <row r="103" spans="2:5" ht="20" customHeight="1" x14ac:dyDescent="0.2">
      <c r="B103" s="4" t="s">
        <v>623</v>
      </c>
      <c r="C103" s="87" t="s">
        <v>269</v>
      </c>
      <c r="D103" s="86"/>
      <c r="E103" s="337"/>
    </row>
    <row r="104" spans="2:5" ht="20" customHeight="1" x14ac:dyDescent="0.2">
      <c r="B104" s="4" t="s">
        <v>624</v>
      </c>
      <c r="C104" s="101" t="str">
        <f>sample_mgmt_vc_fqdn</f>
        <v>sfo-m01-vc01.sfo.rainpole.io</v>
      </c>
      <c r="D104" s="86"/>
      <c r="E104" s="337"/>
    </row>
    <row r="105" spans="2:5" ht="20" customHeight="1" x14ac:dyDescent="0.2">
      <c r="B105" s="22" t="s">
        <v>38</v>
      </c>
      <c r="C105" s="87" t="str">
        <f>sample_vcf_automation_vip_fqdn</f>
        <v>flt-auto01.rainpole.io</v>
      </c>
      <c r="D105" s="337" t="str">
        <f t="array" ref="D105">vcf_automation_vip_fqdn</f>
        <v>Value Missing</v>
      </c>
      <c r="E105" s="337"/>
    </row>
    <row r="106" spans="2:5" ht="20" customHeight="1" x14ac:dyDescent="0.2">
      <c r="B106" s="22" t="s">
        <v>582</v>
      </c>
      <c r="C106" s="87" t="str">
        <f>sample_vcf_automation_cert_alias</f>
        <v>flt-auto01-cert</v>
      </c>
      <c r="D106" s="337" t="str">
        <f t="array" ref="D106">vcf_automation_cert_alias</f>
        <v>Value Missing</v>
      </c>
      <c r="E106" s="337"/>
    </row>
    <row r="107" spans="2:5" ht="20" customHeight="1" x14ac:dyDescent="0.2">
      <c r="B107" s="22" t="s">
        <v>38</v>
      </c>
      <c r="C107" s="87" t="str">
        <f>sample_vcf_automation_vip_fqdn</f>
        <v>flt-auto01.rainpole.io</v>
      </c>
      <c r="D107" s="337" t="str">
        <f t="array" ref="D107">vcf_automation_vip_fqdn</f>
        <v>Value Missing</v>
      </c>
      <c r="E107" s="337"/>
    </row>
    <row r="108" spans="2:5" ht="20" customHeight="1" x14ac:dyDescent="0.2">
      <c r="B108" s="22" t="s">
        <v>625</v>
      </c>
      <c r="C108" s="87" t="s">
        <v>626</v>
      </c>
      <c r="D108" s="347" t="s">
        <v>626</v>
      </c>
      <c r="E108" s="337"/>
    </row>
    <row r="109" spans="2:5" ht="20" customHeight="1" x14ac:dyDescent="0.2">
      <c r="B109" s="22" t="s">
        <v>566</v>
      </c>
      <c r="C109" s="87" t="str">
        <f>CONCATENATE(prefix_portable_component,"-auto")</f>
        <v>flt-auto</v>
      </c>
      <c r="D109" s="347" t="s">
        <v>627</v>
      </c>
      <c r="E109" s="337" t="s">
        <v>567</v>
      </c>
    </row>
    <row r="110" spans="2:5" ht="20" customHeight="1" x14ac:dyDescent="0.2">
      <c r="B110" s="22" t="s">
        <v>628</v>
      </c>
      <c r="C110" s="362" t="str">
        <f>sample_vcf_automation_vip_ip</f>
        <v>10.11.10.25</v>
      </c>
      <c r="D110" s="337" t="str">
        <f t="array" ref="D110">vcf_automation_vip_ip</f>
        <v>Value Missing</v>
      </c>
      <c r="E110" s="337"/>
    </row>
    <row r="111" spans="2:5" ht="20" customHeight="1" x14ac:dyDescent="0.2">
      <c r="B111" s="22" t="s">
        <v>629</v>
      </c>
      <c r="C111" s="87" t="s">
        <v>630</v>
      </c>
      <c r="D111" s="347" t="s">
        <v>630</v>
      </c>
      <c r="E111" s="337" t="s">
        <v>575</v>
      </c>
    </row>
    <row r="112" spans="2:5" ht="20" customHeight="1" x14ac:dyDescent="0.2">
      <c r="B112" s="22" t="s">
        <v>631</v>
      </c>
      <c r="C112" s="87" t="s">
        <v>632</v>
      </c>
      <c r="D112" s="347"/>
      <c r="E112" s="337"/>
    </row>
    <row r="113" spans="2:5" ht="20" customHeight="1" x14ac:dyDescent="0.2">
      <c r="B113" s="22" t="s">
        <v>633</v>
      </c>
      <c r="C113" s="362"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113" s="347"/>
      <c r="E113" s="337"/>
    </row>
    <row r="114" spans="2:5" ht="20" customHeight="1" x14ac:dyDescent="0.2">
      <c r="B114" s="22" t="s">
        <v>634</v>
      </c>
      <c r="C114" s="362"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114" s="347"/>
      <c r="E114" s="337"/>
    </row>
    <row r="115" spans="2:5" ht="20" customHeight="1" x14ac:dyDescent="0.2">
      <c r="B115" s="22" t="s">
        <v>635</v>
      </c>
      <c r="C115" s="362"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115" s="347"/>
      <c r="E115" s="337"/>
    </row>
    <row r="116" spans="2:5" ht="20" customHeight="1" x14ac:dyDescent="0.2">
      <c r="B116" s="22" t="s">
        <v>636</v>
      </c>
      <c r="C116" s="362"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116" s="347"/>
      <c r="E116" s="337"/>
    </row>
    <row r="117" spans="2:5" s="8" customFormat="1" ht="16" customHeight="1" x14ac:dyDescent="0.2">
      <c r="D117" s="2"/>
      <c r="E117" s="2"/>
    </row>
    <row r="118" spans="2:5" s="8" customFormat="1" ht="34" customHeight="1" x14ac:dyDescent="0.2">
      <c r="B118" s="547" t="s">
        <v>637</v>
      </c>
      <c r="C118" s="548"/>
      <c r="D118" s="548"/>
      <c r="E118" s="549"/>
    </row>
    <row r="119" spans="2:5" s="8" customFormat="1" ht="16" customHeight="1" x14ac:dyDescent="0.2">
      <c r="D119" s="2"/>
      <c r="E119" s="2"/>
    </row>
    <row r="120" spans="2:5" s="8" customFormat="1" ht="34" customHeight="1" x14ac:dyDescent="0.2">
      <c r="B120" s="541" t="s">
        <v>638</v>
      </c>
      <c r="C120" s="542"/>
      <c r="D120" s="542"/>
      <c r="E120" s="543"/>
    </row>
    <row r="121" spans="2:5" s="8" customFormat="1" ht="20" customHeight="1" x14ac:dyDescent="0.2">
      <c r="B121" s="544" t="s">
        <v>577</v>
      </c>
      <c r="C121" s="545"/>
      <c r="D121" s="545"/>
      <c r="E121" s="546"/>
    </row>
    <row r="122" spans="2:5" s="8" customFormat="1" ht="20" customHeight="1" x14ac:dyDescent="0.2">
      <c r="B122" s="346" t="s">
        <v>17</v>
      </c>
      <c r="C122" s="346" t="s">
        <v>18</v>
      </c>
      <c r="D122" s="346" t="s">
        <v>19</v>
      </c>
      <c r="E122" s="310" t="s">
        <v>20</v>
      </c>
    </row>
    <row r="123" spans="2:5" s="8" customFormat="1" ht="20" customHeight="1" x14ac:dyDescent="0.2">
      <c r="B123" s="4" t="s">
        <v>578</v>
      </c>
      <c r="C123" s="362" t="s">
        <v>579</v>
      </c>
      <c r="D123" s="347" t="s">
        <v>579</v>
      </c>
      <c r="E123" s="337"/>
    </row>
    <row r="124" spans="2:5" s="8" customFormat="1" ht="20" customHeight="1" x14ac:dyDescent="0.2">
      <c r="B124" s="4" t="s">
        <v>195</v>
      </c>
      <c r="C124" s="362" t="s">
        <v>564</v>
      </c>
      <c r="D124" s="347"/>
      <c r="E124" s="337"/>
    </row>
    <row r="125" spans="2:5" s="8" customFormat="1" ht="20" customHeight="1" x14ac:dyDescent="0.2">
      <c r="B125" s="4" t="s">
        <v>537</v>
      </c>
      <c r="C125" s="362" t="s">
        <v>581</v>
      </c>
      <c r="D125" s="347" t="s">
        <v>581</v>
      </c>
      <c r="E125" s="337"/>
    </row>
    <row r="126" spans="2:5" s="8" customFormat="1" ht="20" customHeight="1" x14ac:dyDescent="0.2">
      <c r="B126" s="465" t="s">
        <v>582</v>
      </c>
      <c r="C126" s="466"/>
      <c r="D126" s="466"/>
      <c r="E126" s="467"/>
    </row>
    <row r="127" spans="2:5" s="8" customFormat="1" ht="20" customHeight="1" x14ac:dyDescent="0.2">
      <c r="B127" s="4" t="s">
        <v>583</v>
      </c>
      <c r="C127" s="101" t="s">
        <v>584</v>
      </c>
      <c r="D127" s="347" t="s">
        <v>584</v>
      </c>
      <c r="E127" s="337" t="str">
        <f>IF(flt_vidb_cert_type_chosen="Generate Certificate","Create a self signed cert in VMware Cloud Foundation Operations",IF(flt_vidb_cert_type_chosen="Import Certificate","Import a signed cert from your CA",""))</f>
        <v>Create a self signed cert in VMware Cloud Foundation Operations</v>
      </c>
    </row>
    <row r="128" spans="2:5" s="8" customFormat="1" ht="20" customHeight="1" x14ac:dyDescent="0.2">
      <c r="B128" s="4" t="s">
        <v>585</v>
      </c>
      <c r="C128" s="101" t="str">
        <f>CONCATENATE(prefix_portable_component,"-idb01","-cert")</f>
        <v>flt-idb01-cert</v>
      </c>
      <c r="D128" s="347"/>
      <c r="E128" s="337"/>
    </row>
    <row r="129" spans="2:5" s="8" customFormat="1" ht="20" customHeight="1" x14ac:dyDescent="0.2">
      <c r="B129" s="4" t="s">
        <v>586</v>
      </c>
      <c r="C129" s="101" t="str">
        <f>CONCATENATE(prefix_portable_component,"-idb01","-cert.pem")</f>
        <v>flt-idb01-cert.pem</v>
      </c>
      <c r="D129" s="347"/>
      <c r="E129" s="337"/>
    </row>
    <row r="130" spans="2:5" s="8" customFormat="1" ht="20" customHeight="1" x14ac:dyDescent="0.2">
      <c r="B130" s="4" t="s">
        <v>587</v>
      </c>
      <c r="C130" s="101" t="str">
        <f>CONCATENATE(prefix_portable_component,"-idb01",".",sample_parent_dns_zone)</f>
        <v>flt-idb01.rainpole.io</v>
      </c>
      <c r="D130" s="347"/>
      <c r="E130" s="337"/>
    </row>
    <row r="131" spans="2:5" s="8" customFormat="1" ht="20" customHeight="1" x14ac:dyDescent="0.2">
      <c r="B131" s="4" t="s">
        <v>588</v>
      </c>
      <c r="C131" s="101" t="s">
        <v>59</v>
      </c>
      <c r="D131" s="347"/>
      <c r="E131" s="337"/>
    </row>
    <row r="132" spans="2:5" s="8" customFormat="1" ht="20" customHeight="1" x14ac:dyDescent="0.2">
      <c r="B132" s="4" t="s">
        <v>589</v>
      </c>
      <c r="C132" s="101" t="s">
        <v>61</v>
      </c>
      <c r="D132" s="347"/>
      <c r="E132" s="337"/>
    </row>
    <row r="133" spans="2:5" s="8" customFormat="1" ht="20" customHeight="1" x14ac:dyDescent="0.2">
      <c r="B133" s="4" t="s">
        <v>590</v>
      </c>
      <c r="C133" s="101" t="s">
        <v>63</v>
      </c>
      <c r="D133" s="347"/>
      <c r="E133" s="337"/>
    </row>
    <row r="134" spans="2:5" s="8" customFormat="1" ht="20" customHeight="1" x14ac:dyDescent="0.2">
      <c r="B134" s="4" t="s">
        <v>591</v>
      </c>
      <c r="C134" s="101" t="s">
        <v>67</v>
      </c>
      <c r="D134" s="347"/>
      <c r="E134" s="337"/>
    </row>
    <row r="135" spans="2:5" s="8" customFormat="1" ht="20" customHeight="1" x14ac:dyDescent="0.2">
      <c r="B135" s="4" t="s">
        <v>592</v>
      </c>
      <c r="C135" s="101" t="s">
        <v>65</v>
      </c>
      <c r="D135" s="347"/>
      <c r="E135" s="337"/>
    </row>
    <row r="136" spans="2:5" s="8" customFormat="1" ht="20" customHeight="1" x14ac:dyDescent="0.2">
      <c r="B136" s="4" t="s">
        <v>593</v>
      </c>
      <c r="C136" s="101">
        <v>4096</v>
      </c>
      <c r="D136" s="347" t="s">
        <v>594</v>
      </c>
      <c r="E136" s="337"/>
    </row>
    <row r="137" spans="2:5" s="8" customFormat="1" ht="20" customHeight="1" x14ac:dyDescent="0.2">
      <c r="B137" s="4" t="s">
        <v>639</v>
      </c>
      <c r="C137" s="101" t="str">
        <f>CONCATENATE(prefix_portable_component,"-idb01",".",sample_parent_dns_zone)</f>
        <v>flt-idb01.rainpole.io</v>
      </c>
      <c r="D137" s="347"/>
      <c r="E137" s="337"/>
    </row>
    <row r="138" spans="2:5" s="8" customFormat="1" ht="20" customHeight="1" x14ac:dyDescent="0.2">
      <c r="B138" s="4" t="s">
        <v>640</v>
      </c>
      <c r="C138" s="101" t="str">
        <f>IF(flt_custom_network_chosen="Shared Management Network",IF(mgmt_dpg_reuse_result="Included",CONCATENATE(prefix_mgmt_az1_cidr,"10.23"),CONCATENATE(prefix_mgmt_az1_cidr,"11.23")),
IF(flt_custom_network_chosen="NSX Overlay Segment",CONCATENATE(prefix_xreg_cidr,".60"),CONCATENATE(prefix_flt_shared_cidr,".16")))</f>
        <v>10.11.10.23</v>
      </c>
      <c r="D138" s="347"/>
      <c r="E138" s="337"/>
    </row>
    <row r="139" spans="2:5" s="8" customFormat="1" ht="20" customHeight="1" x14ac:dyDescent="0.2">
      <c r="B139" s="4" t="s">
        <v>597</v>
      </c>
      <c r="C139" s="362" t="str">
        <f>sample_flt_vidb_cert_alias</f>
        <v>flt-idb01-cert</v>
      </c>
      <c r="D139" s="337" t="str">
        <f>flt_vidb_cert_alias</f>
        <v>Value Missing</v>
      </c>
      <c r="E139" s="337"/>
    </row>
    <row r="140" spans="2:5" s="8" customFormat="1" ht="20" customHeight="1" x14ac:dyDescent="0.2">
      <c r="B140" s="465" t="s">
        <v>598</v>
      </c>
      <c r="C140" s="466"/>
      <c r="D140" s="466"/>
      <c r="E140" s="467"/>
    </row>
    <row r="141" spans="2:5" s="8" customFormat="1" ht="20" customHeight="1" x14ac:dyDescent="0.2">
      <c r="B141" s="4" t="s">
        <v>599</v>
      </c>
      <c r="C141" s="362" t="str">
        <f>CONCATENATE(this_instance,"-m01-vc01.",sample_child_dns_zone)</f>
        <v>sfo-m01-vc01.sfo.rainpole.io</v>
      </c>
      <c r="D141" s="347"/>
      <c r="E141" s="337"/>
    </row>
    <row r="142" spans="2:5" s="8" customFormat="1" ht="20" customHeight="1" x14ac:dyDescent="0.2">
      <c r="B142" s="4" t="s">
        <v>600</v>
      </c>
      <c r="C142" s="362" t="str">
        <f>CONCATENATE(sample_mgmt_datacenter,"#",sample_mgmt_cl01_cluster)</f>
        <v>sfo-m01-dc01#sfo-m01-cl01</v>
      </c>
      <c r="D142" s="347"/>
      <c r="E142" s="337"/>
    </row>
    <row r="143" spans="2:5" s="8" customFormat="1" ht="20" customHeight="1" x14ac:dyDescent="0.2">
      <c r="B143" s="4" t="s">
        <v>601</v>
      </c>
      <c r="C143" s="362" t="str">
        <f>CONCATENATE(this_instance,"-m01-cl01-fd-vcfauth01")</f>
        <v>sfo-m01-cl01-fd-vcfauth01</v>
      </c>
      <c r="D143" s="347"/>
      <c r="E143" s="337" t="s">
        <v>602</v>
      </c>
    </row>
    <row r="144" spans="2:5" s="8" customFormat="1" ht="20" customHeight="1" x14ac:dyDescent="0.2">
      <c r="B144" s="4" t="s">
        <v>603</v>
      </c>
      <c r="C144" s="362" t="str">
        <f>CONCATENATE(this_instance,"-m01-cl01-rp-vcfauth01")</f>
        <v>sfo-m01-cl01-rp-vcfauth01</v>
      </c>
      <c r="D144" s="347"/>
      <c r="E144" s="337" t="s">
        <v>602</v>
      </c>
    </row>
    <row r="145" spans="2:5" s="8" customFormat="1" ht="20" customHeight="1" x14ac:dyDescent="0.2">
      <c r="B145" s="4" t="s">
        <v>604</v>
      </c>
      <c r="C145"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145" s="347"/>
      <c r="E145" s="337" t="s">
        <v>602</v>
      </c>
    </row>
    <row r="146" spans="2:5" s="8" customFormat="1" ht="20" customHeight="1" x14ac:dyDescent="0.2">
      <c r="B146" s="4" t="s">
        <v>605</v>
      </c>
      <c r="C146" s="362" t="str">
        <f>IF(mgmt_principal_storage_chosen="VMFS on Fibre Channel (FC)",CONCATENATE(this_instance,"-m01-cl01-ds-vmfs01"),IF(mgmt_principal_storage_chosen="NFSv3",CONCATENATE(this_instance,"-m01-cl01-ds-nfs01"),CONCATENATE(this_instance,"-m01-cl01-ds-vsan01")))</f>
        <v>sfo-m01-cl01-ds-vsan01</v>
      </c>
      <c r="D146" s="347"/>
      <c r="E146" s="337"/>
    </row>
    <row r="147" spans="2:5" s="8" customFormat="1" ht="20" customHeight="1" x14ac:dyDescent="0.2">
      <c r="B147" s="465" t="s">
        <v>252</v>
      </c>
      <c r="C147" s="466"/>
      <c r="D147" s="466"/>
      <c r="E147" s="467"/>
    </row>
    <row r="148" spans="2:5" s="8" customFormat="1" ht="20" customHeight="1" x14ac:dyDescent="0.2">
      <c r="B148" s="4" t="s">
        <v>606</v>
      </c>
      <c r="C148" s="362" t="str">
        <f>sample_parent_dns_zone</f>
        <v>rainpole.io</v>
      </c>
      <c r="D148" s="347" t="str">
        <f>parent_dns_zone</f>
        <v>Value Missing</v>
      </c>
      <c r="E148" s="337"/>
    </row>
    <row r="149" spans="2:5" s="8" customFormat="1" ht="20" customHeight="1" x14ac:dyDescent="0.2">
      <c r="B149" s="4" t="s">
        <v>607</v>
      </c>
      <c r="C149" s="362" t="str">
        <f>sample_parent_dns_zone</f>
        <v>rainpole.io</v>
      </c>
      <c r="D149" s="347" t="str">
        <f>parent_dns_zone</f>
        <v>Value Missing</v>
      </c>
      <c r="E149" s="337"/>
    </row>
    <row r="150" spans="2:5" s="8" customFormat="1" ht="20" customHeight="1" x14ac:dyDescent="0.2">
      <c r="B150" s="4" t="s">
        <v>608</v>
      </c>
      <c r="C150" s="126" t="str">
        <f>CONCATENATE(sample_region_dns1_ip,",",sample_region_dns2_ip)</f>
        <v>10.11.10.4,10.11.10.5</v>
      </c>
      <c r="D150" s="347" t="str">
        <f>CONCATENATE(region_dns1_ip,",",region_dns2_ip)</f>
        <v>Value Missing,Value Missing</v>
      </c>
      <c r="E150" s="337"/>
    </row>
    <row r="151" spans="2:5" s="8" customFormat="1" ht="20" customHeight="1" x14ac:dyDescent="0.2">
      <c r="B151" s="4" t="s">
        <v>609</v>
      </c>
      <c r="C151" s="126" t="s">
        <v>610</v>
      </c>
      <c r="D151" s="347" t="s">
        <v>641</v>
      </c>
      <c r="E151" s="337"/>
    </row>
    <row r="152" spans="2:5" s="8" customFormat="1" ht="20" customHeight="1" x14ac:dyDescent="0.2">
      <c r="B152" s="4" t="s">
        <v>299</v>
      </c>
      <c r="C152" s="362" t="str">
        <f>CONCATENATE(sample_region_ntp1_server,",",sample_region_ntp2_server)</f>
        <v>ntp0.sfo.rainpole.io,ntp1.sfo.rainpole.io</v>
      </c>
      <c r="D152" s="347"/>
      <c r="E152" s="337"/>
    </row>
    <row r="153" spans="2:5" s="8" customFormat="1" ht="20" customHeight="1" x14ac:dyDescent="0.2">
      <c r="B153" s="4" t="s">
        <v>611</v>
      </c>
      <c r="C15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153" s="347"/>
      <c r="E153" s="337"/>
    </row>
    <row r="154" spans="2:5" s="8" customFormat="1" ht="20" customHeight="1" x14ac:dyDescent="0.2">
      <c r="B154" s="4" t="s">
        <v>612</v>
      </c>
      <c r="C154" s="362" t="s">
        <v>128</v>
      </c>
      <c r="D154" s="347"/>
      <c r="E154" s="337"/>
    </row>
    <row r="155" spans="2:5" s="8" customFormat="1" ht="20" customHeight="1" x14ac:dyDescent="0.2">
      <c r="B155" s="465" t="s">
        <v>613</v>
      </c>
      <c r="C155" s="466"/>
      <c r="D155" s="466"/>
      <c r="E155" s="467"/>
    </row>
    <row r="156" spans="2:5" s="8" customFormat="1" ht="20" customHeight="1" x14ac:dyDescent="0.2">
      <c r="B156" s="17" t="s">
        <v>642</v>
      </c>
      <c r="C156" s="101" t="str">
        <f>CONCATENATE(prefix_portable_component,"-idb01","-admin-password")</f>
        <v>flt-idb01-admin-password</v>
      </c>
      <c r="D156" s="347"/>
      <c r="E156" s="337"/>
    </row>
    <row r="157" spans="2:5" s="8" customFormat="1" ht="20" customHeight="1" x14ac:dyDescent="0.2">
      <c r="B157" s="22" t="s">
        <v>616</v>
      </c>
      <c r="C157" s="101" t="s">
        <v>141</v>
      </c>
      <c r="D157" s="347"/>
      <c r="E157" s="337"/>
    </row>
    <row r="158" spans="2:5" s="8" customFormat="1" ht="20" customHeight="1" x14ac:dyDescent="0.2">
      <c r="B158" s="22" t="s">
        <v>617</v>
      </c>
      <c r="C158" s="101" t="s">
        <v>643</v>
      </c>
      <c r="D158" s="347"/>
      <c r="E158" s="337"/>
    </row>
    <row r="159" spans="2:5" s="8" customFormat="1" ht="20" customHeight="1" x14ac:dyDescent="0.2">
      <c r="B159" s="4" t="s">
        <v>620</v>
      </c>
      <c r="C159" s="101" t="str">
        <f>CONCATENATE(prefix_portable_component,"-idb01","-password")</f>
        <v>flt-idb01-password</v>
      </c>
      <c r="D159" s="347"/>
      <c r="E159" s="337"/>
    </row>
    <row r="160" spans="2:5" s="8" customFormat="1" ht="20" customHeight="1" x14ac:dyDescent="0.2">
      <c r="B160" s="4" t="s">
        <v>562</v>
      </c>
      <c r="C160" s="101" t="s">
        <v>141</v>
      </c>
      <c r="D160" s="347"/>
      <c r="E160" s="337"/>
    </row>
    <row r="161" spans="2:5" s="8" customFormat="1" ht="20" customHeight="1" x14ac:dyDescent="0.2">
      <c r="B161" s="4" t="s">
        <v>621</v>
      </c>
      <c r="C161" s="101" t="str">
        <f>CONCATENATE(prefix_portable_component,"-idb01","-password")</f>
        <v>flt-idb01-password</v>
      </c>
      <c r="D161" s="347"/>
      <c r="E161" s="337"/>
    </row>
    <row r="162" spans="2:5" s="8" customFormat="1" ht="20" customHeight="1" x14ac:dyDescent="0.2">
      <c r="B162" s="4" t="s">
        <v>27</v>
      </c>
      <c r="C162" s="101" t="s">
        <v>269</v>
      </c>
      <c r="D162" s="347"/>
      <c r="E162" s="337"/>
    </row>
    <row r="163" spans="2:5" s="8" customFormat="1" ht="20" customHeight="1" x14ac:dyDescent="0.2">
      <c r="B163" s="4" t="s">
        <v>624</v>
      </c>
      <c r="C163" s="101" t="str">
        <f>CONCATENATE(this_instance,"-m01-vc01.",sample_child_dns_zone)</f>
        <v>sfo-m01-vc01.sfo.rainpole.io</v>
      </c>
      <c r="D163" s="347"/>
      <c r="E163" s="337"/>
    </row>
    <row r="164" spans="2:5" s="8" customFormat="1" ht="20" customHeight="1" x14ac:dyDescent="0.2">
      <c r="B164" s="4" t="s">
        <v>38</v>
      </c>
      <c r="C164" s="101" t="str">
        <f>sample_flt_vidb_vip_fqdn</f>
        <v>flt-idb01.rainpole.io</v>
      </c>
      <c r="D164" s="337" t="str">
        <f>flt_vidb_vip_fqdn</f>
        <v>Value Missing</v>
      </c>
      <c r="E164" s="337"/>
    </row>
    <row r="165" spans="2:5" s="8" customFormat="1" ht="20" customHeight="1" x14ac:dyDescent="0.2">
      <c r="B165" s="4" t="s">
        <v>582</v>
      </c>
      <c r="C165" s="362" t="str">
        <f>sample_flt_vidb_cert_alias</f>
        <v>flt-idb01-cert</v>
      </c>
      <c r="D165" s="337" t="str">
        <f>flt_vidb_cert_alias</f>
        <v>Value Missing</v>
      </c>
      <c r="E165" s="337"/>
    </row>
    <row r="166" spans="2:5" s="8" customFormat="1" ht="20" customHeight="1" x14ac:dyDescent="0.2">
      <c r="B166" s="4" t="s">
        <v>566</v>
      </c>
      <c r="C166" s="101" t="str">
        <f>CONCATENATE(prefix_portable_component,"-idb")</f>
        <v>flt-idb</v>
      </c>
      <c r="D166" s="347"/>
      <c r="E166" s="337" t="s">
        <v>644</v>
      </c>
    </row>
    <row r="167" spans="2:5" s="8" customFormat="1" ht="20" customHeight="1" x14ac:dyDescent="0.2">
      <c r="B167" s="4" t="s">
        <v>629</v>
      </c>
      <c r="C167" s="101" t="s">
        <v>645</v>
      </c>
      <c r="D167" s="347" t="s">
        <v>645</v>
      </c>
      <c r="E167" s="337" t="s">
        <v>575</v>
      </c>
    </row>
    <row r="168" spans="2:5" s="8" customFormat="1" ht="20" customHeight="1" x14ac:dyDescent="0.2">
      <c r="B168" s="4" t="s">
        <v>628</v>
      </c>
      <c r="C168" s="101" t="str">
        <f>sample_flt_vidb_vip_ip</f>
        <v>10.11.10.23</v>
      </c>
      <c r="D168" s="337" t="str">
        <f t="array" ref="D168">flt_vidb_vip_ip</f>
        <v>Value Missing</v>
      </c>
      <c r="E168" s="337"/>
    </row>
    <row r="169" spans="2:5" s="8" customFormat="1" ht="20" customHeight="1" x14ac:dyDescent="0.2">
      <c r="B169" s="4" t="s">
        <v>631</v>
      </c>
      <c r="C169" s="101" t="s">
        <v>632</v>
      </c>
      <c r="D169" s="347"/>
      <c r="E169" s="337"/>
    </row>
    <row r="170" spans="2:5" s="8" customFormat="1" ht="20" customHeight="1" x14ac:dyDescent="0.2">
      <c r="B170" s="4" t="s">
        <v>633</v>
      </c>
      <c r="C170" s="101" t="str">
        <f>IF(flt_custom_network_chosen="Shared Management Network",IF(mgmt_dpg_reuse_result="Included",CONCATENATE(prefix_mgmt_az1_cidr,"10.55"),CONCATENATE(prefix_mgmt_az1_cidr,"11.55")),IF(flt_custom_network_chosen="NSX Overlay Segment",CONCATENATE(prefix_xreg_cidr,".55"),CONCATENATE(prefix_flt_shared_cidr,".55")))</f>
        <v>10.11.10.55</v>
      </c>
      <c r="D170" s="347"/>
      <c r="E170" s="337"/>
    </row>
    <row r="171" spans="2:5" s="8" customFormat="1" ht="20" customHeight="1" x14ac:dyDescent="0.2">
      <c r="B171" s="4" t="s">
        <v>634</v>
      </c>
      <c r="C171" s="101" t="str">
        <f>IF(flt_custom_network_chosen="Shared Management Network",IF(mgmt_dpg_reuse_result="Included",CONCATENATE(prefix_mgmt_az1_cidr,"10.56"),CONCATENATE(prefix_mgmt_az1_cidr,"11.56")),IF(flt_custom_network_chosen="NSX Overlay Segment",CONCATENATE(prefix_xreg_cidr,".56"),CONCATENATE(prefix_flt_shared_cidr,".56")))</f>
        <v>10.11.10.56</v>
      </c>
      <c r="D171" s="347"/>
      <c r="E171" s="337"/>
    </row>
    <row r="172" spans="2:5" s="8" customFormat="1" ht="20" customHeight="1" x14ac:dyDescent="0.2">
      <c r="B172" s="74" t="s">
        <v>635</v>
      </c>
      <c r="C172" s="101" t="str">
        <f>IF(flt_custom_network_chosen="Shared Management Network",IF(mgmt_dpg_reuse_result="Included",CONCATENATE(prefix_mgmt_az1_cidr,"10.57"),CONCATENATE(prefix_mgmt_az1_cidr,"11.57")),IF(flt_custom_network_chosen="NSX Overlay Segment",CONCATENATE(prefix_xreg_cidr,".57"),CONCATENATE(prefix_flt_shared_cidr,".57")))</f>
        <v>10.11.10.57</v>
      </c>
      <c r="D172" s="347"/>
      <c r="E172" s="186"/>
    </row>
    <row r="173" spans="2:5" s="8" customFormat="1" ht="20" customHeight="1" x14ac:dyDescent="0.2">
      <c r="B173" s="4" t="s">
        <v>636</v>
      </c>
      <c r="C173" s="98" t="str">
        <f>IF(flt_custom_network_chosen="Shared Management Network",IF(mgmt_dpg_reuse_result="Included",CONCATENATE(prefix_mgmt_az1_cidr,"10.58"),CONCATENATE(prefix_mgmt_az1_cidr,"11.58")),IF(flt_custom_network_chosen="NSX Overlay Segment",CONCATENATE(prefix_xreg_cidr,".58"),CONCATENATE(prefix_flt_shared_cidr,".58")))</f>
        <v>10.11.10.58</v>
      </c>
      <c r="D173" s="347"/>
      <c r="E173" s="337"/>
    </row>
    <row r="174" spans="2:5" s="8" customFormat="1" ht="20" customHeight="1" x14ac:dyDescent="0.2">
      <c r="B174" s="465" t="s">
        <v>646</v>
      </c>
      <c r="C174" s="466"/>
      <c r="D174" s="466"/>
      <c r="E174" s="467"/>
    </row>
    <row r="175" spans="2:5" s="8" customFormat="1" ht="20" customHeight="1" x14ac:dyDescent="0.2">
      <c r="B175" s="346" t="s">
        <v>17</v>
      </c>
      <c r="C175" s="346" t="s">
        <v>18</v>
      </c>
      <c r="D175" s="346" t="s">
        <v>19</v>
      </c>
      <c r="E175" s="310" t="s">
        <v>20</v>
      </c>
    </row>
    <row r="176" spans="2:5" s="8" customFormat="1" ht="20" customHeight="1" x14ac:dyDescent="0.2">
      <c r="B176" s="4" t="s">
        <v>647</v>
      </c>
      <c r="C176" s="362" t="str">
        <f>sample_vcf_instance_name</f>
        <v>San Francisco</v>
      </c>
      <c r="D176" s="337" t="str">
        <f>vcf_instance_name</f>
        <v>Value Missing</v>
      </c>
      <c r="E176" s="337"/>
    </row>
    <row r="177" spans="2:5" s="8" customFormat="1" ht="20" customHeight="1" x14ac:dyDescent="0.2">
      <c r="B177" s="4" t="s">
        <v>648</v>
      </c>
      <c r="C177" s="362" t="s">
        <v>649</v>
      </c>
      <c r="D177" s="337" t="str">
        <f>flt_vidb_chosen</f>
        <v>Exclude</v>
      </c>
      <c r="E177" s="337"/>
    </row>
    <row r="178" spans="2:5" s="8" customFormat="1" ht="20" customHeight="1" x14ac:dyDescent="0.2">
      <c r="B178" s="4" t="s">
        <v>650</v>
      </c>
      <c r="C178" s="362" t="s">
        <v>651</v>
      </c>
      <c r="D178" s="347" t="s">
        <v>651</v>
      </c>
      <c r="E178" s="337"/>
    </row>
    <row r="179" spans="2:5" s="8" customFormat="1" ht="20" customHeight="1" x14ac:dyDescent="0.2">
      <c r="B179" s="4" t="s">
        <v>652</v>
      </c>
      <c r="C179" s="362" t="s">
        <v>59</v>
      </c>
      <c r="D179" s="347"/>
      <c r="E179" s="337"/>
    </row>
    <row r="180" spans="2:5" s="8" customFormat="1" ht="20" customHeight="1" x14ac:dyDescent="0.2">
      <c r="B180" s="4" t="s">
        <v>653</v>
      </c>
      <c r="C180" s="362" t="s">
        <v>159</v>
      </c>
      <c r="D180" s="347" t="s">
        <v>159</v>
      </c>
      <c r="E180" s="337" t="s">
        <v>654</v>
      </c>
    </row>
    <row r="181" spans="2:5" s="8" customFormat="1" ht="20" customHeight="1" x14ac:dyDescent="0.2">
      <c r="B181" s="4" t="s">
        <v>655</v>
      </c>
      <c r="C181" s="362" t="s">
        <v>145</v>
      </c>
      <c r="D181" s="347" t="s">
        <v>145</v>
      </c>
      <c r="E181" s="337" t="s">
        <v>656</v>
      </c>
    </row>
    <row r="182" spans="2:5" s="8" customFormat="1" ht="20" customHeight="1" x14ac:dyDescent="0.2">
      <c r="B182" s="4" t="s">
        <v>657</v>
      </c>
      <c r="C182" s="362" t="s">
        <v>145</v>
      </c>
      <c r="D182" s="347" t="s">
        <v>145</v>
      </c>
      <c r="E182" s="337" t="s">
        <v>658</v>
      </c>
    </row>
    <row r="183" spans="2:5" s="8" customFormat="1" ht="20" customHeight="1" x14ac:dyDescent="0.2">
      <c r="B183" s="4" t="s">
        <v>659</v>
      </c>
      <c r="C183" s="362" t="s">
        <v>660</v>
      </c>
      <c r="D183" s="347"/>
      <c r="E183" s="337" t="s">
        <v>661</v>
      </c>
    </row>
    <row r="184" spans="2:5" s="8" customFormat="1" ht="20" customHeight="1" x14ac:dyDescent="0.2">
      <c r="B184" s="4" t="s">
        <v>662</v>
      </c>
      <c r="C184" s="362" t="s">
        <v>663</v>
      </c>
      <c r="D184" s="347"/>
      <c r="E184" s="337"/>
    </row>
    <row r="185" spans="2:5" s="8" customFormat="1" ht="20" customHeight="1" x14ac:dyDescent="0.2">
      <c r="B185" s="4" t="s">
        <v>664</v>
      </c>
      <c r="C185" s="362">
        <v>636</v>
      </c>
      <c r="D185" s="347"/>
      <c r="E185" s="337"/>
    </row>
    <row r="186" spans="2:5" s="8" customFormat="1" ht="20" customHeight="1" x14ac:dyDescent="0.2">
      <c r="B186" s="4" t="s">
        <v>665</v>
      </c>
      <c r="C186" s="362" t="str">
        <f>CONCATENATE(this_instance,"-m01-ad01.",sample_child_dns_zone)</f>
        <v>sfo-m01-ad01.sfo.rainpole.io</v>
      </c>
      <c r="D186" s="347"/>
      <c r="E186" s="337"/>
    </row>
    <row r="187" spans="2:5" s="8" customFormat="1" ht="20" customHeight="1" x14ac:dyDescent="0.2">
      <c r="B187" s="4" t="s">
        <v>666</v>
      </c>
      <c r="C187" s="362">
        <v>636</v>
      </c>
      <c r="D187" s="347"/>
      <c r="E187" s="337"/>
    </row>
    <row r="188" spans="2:5" s="8" customFormat="1" ht="20" customHeight="1" x14ac:dyDescent="0.2">
      <c r="B188" s="4" t="s">
        <v>667</v>
      </c>
      <c r="C188" s="362" t="s">
        <v>668</v>
      </c>
      <c r="D188" s="347" t="s">
        <v>668</v>
      </c>
      <c r="E188" s="337"/>
    </row>
    <row r="189" spans="2:5" s="8" customFormat="1" ht="20" customHeight="1" x14ac:dyDescent="0.2">
      <c r="B189" s="4" t="s">
        <v>669</v>
      </c>
      <c r="C189" s="362" t="s">
        <v>670</v>
      </c>
      <c r="D189" s="347"/>
      <c r="E189" s="337"/>
    </row>
    <row r="190" spans="2:5" s="8" customFormat="1" ht="20" customHeight="1" x14ac:dyDescent="0.2">
      <c r="B190" s="4" t="s">
        <v>671</v>
      </c>
      <c r="C190" s="362" t="s">
        <v>672</v>
      </c>
      <c r="D190" s="347"/>
      <c r="E190" s="337" t="s">
        <v>673</v>
      </c>
    </row>
    <row r="191" spans="2:5" s="8" customFormat="1" ht="20" customHeight="1" x14ac:dyDescent="0.2">
      <c r="B191" s="4" t="s">
        <v>674</v>
      </c>
      <c r="C191" s="362" t="s">
        <v>30</v>
      </c>
      <c r="D191" s="347"/>
      <c r="E191" s="337"/>
    </row>
    <row r="192" spans="2:5" s="8" customFormat="1" ht="20" customHeight="1" x14ac:dyDescent="0.2">
      <c r="B192" s="547" t="s">
        <v>675</v>
      </c>
      <c r="C192" s="548"/>
      <c r="D192" s="548"/>
      <c r="E192" s="549"/>
    </row>
    <row r="193" spans="2:5" s="8" customFormat="1" ht="20" customHeight="1" x14ac:dyDescent="0.2">
      <c r="B193" s="465" t="s">
        <v>676</v>
      </c>
      <c r="C193" s="466"/>
      <c r="D193" s="466"/>
      <c r="E193" s="467"/>
    </row>
    <row r="194" spans="2:5" s="8" customFormat="1" ht="20" customHeight="1" x14ac:dyDescent="0.2">
      <c r="B194" s="4" t="s">
        <v>677</v>
      </c>
      <c r="C194" s="362" t="s">
        <v>668</v>
      </c>
      <c r="D194" s="347"/>
      <c r="E194" s="337"/>
    </row>
    <row r="195" spans="2:5" s="8" customFormat="1" ht="20" customHeight="1" x14ac:dyDescent="0.2">
      <c r="B195" s="4" t="s">
        <v>678</v>
      </c>
      <c r="C195" s="362" t="s">
        <v>679</v>
      </c>
      <c r="D195" s="347"/>
      <c r="E195" s="337"/>
    </row>
    <row r="196" spans="2:5" s="8" customFormat="1" ht="20" customHeight="1" x14ac:dyDescent="0.2">
      <c r="B196" s="4" t="s">
        <v>680</v>
      </c>
      <c r="C196" s="362" t="s">
        <v>681</v>
      </c>
      <c r="D196" s="347"/>
      <c r="E196" s="337"/>
    </row>
    <row r="197" spans="2:5" s="8" customFormat="1" ht="20" customHeight="1" x14ac:dyDescent="0.2">
      <c r="B197" s="4" t="s">
        <v>682</v>
      </c>
      <c r="C197" s="362" t="s">
        <v>683</v>
      </c>
      <c r="D197" s="347"/>
      <c r="E197" s="337"/>
    </row>
    <row r="198" spans="2:5" s="8" customFormat="1" ht="20" customHeight="1" x14ac:dyDescent="0.2">
      <c r="B198" s="4" t="s">
        <v>684</v>
      </c>
      <c r="C198" s="362" t="s">
        <v>684</v>
      </c>
      <c r="D198" s="347"/>
      <c r="E198" s="337"/>
    </row>
    <row r="199" spans="2:5" s="8" customFormat="1" ht="20" customHeight="1" x14ac:dyDescent="0.2">
      <c r="B199" s="4" t="s">
        <v>685</v>
      </c>
      <c r="C199" s="362" t="s">
        <v>686</v>
      </c>
      <c r="D199" s="347"/>
      <c r="E199" s="337"/>
    </row>
    <row r="200" spans="2:5" s="8" customFormat="1" ht="20" customHeight="1" x14ac:dyDescent="0.2">
      <c r="B200" s="4" t="s">
        <v>687</v>
      </c>
      <c r="C200" s="362" t="s">
        <v>687</v>
      </c>
      <c r="D200" s="347"/>
      <c r="E200" s="337"/>
    </row>
    <row r="201" spans="2:5" s="8" customFormat="1" ht="20" customHeight="1" x14ac:dyDescent="0.2">
      <c r="B201" s="465" t="s">
        <v>688</v>
      </c>
      <c r="C201" s="466"/>
      <c r="D201" s="466"/>
      <c r="E201" s="467"/>
    </row>
    <row r="202" spans="2:5" s="8" customFormat="1" ht="20" customHeight="1" x14ac:dyDescent="0.2">
      <c r="B202" s="4" t="s">
        <v>689</v>
      </c>
      <c r="C202" s="362" t="s">
        <v>690</v>
      </c>
      <c r="D202" s="347"/>
      <c r="E202" s="337"/>
    </row>
    <row r="203" spans="2:5" s="8" customFormat="1" ht="20" customHeight="1" x14ac:dyDescent="0.2">
      <c r="B203" s="465" t="s">
        <v>691</v>
      </c>
      <c r="C203" s="466"/>
      <c r="D203" s="466"/>
      <c r="E203" s="467"/>
    </row>
    <row r="204" spans="2:5" ht="20" customHeight="1" x14ac:dyDescent="0.2">
      <c r="B204" s="4" t="s">
        <v>692</v>
      </c>
      <c r="C204" s="362" t="s">
        <v>693</v>
      </c>
      <c r="D204" s="347"/>
      <c r="E204" s="337"/>
    </row>
    <row r="205" spans="2:5" s="8" customFormat="1" ht="16" customHeight="1" x14ac:dyDescent="0.2">
      <c r="D205" s="303"/>
      <c r="E205" s="303"/>
    </row>
    <row r="206" spans="2:5" s="8" customFormat="1" ht="34" customHeight="1" x14ac:dyDescent="0.2">
      <c r="B206" s="522" t="s">
        <v>694</v>
      </c>
      <c r="C206" s="523"/>
      <c r="D206" s="523"/>
      <c r="E206" s="524"/>
    </row>
    <row r="207" spans="2:5" s="8" customFormat="1" ht="20" customHeight="1" x14ac:dyDescent="0.2">
      <c r="B207" s="346" t="s">
        <v>17</v>
      </c>
      <c r="C207" s="346" t="s">
        <v>18</v>
      </c>
      <c r="D207" s="346" t="s">
        <v>19</v>
      </c>
      <c r="E207" s="310" t="s">
        <v>20</v>
      </c>
    </row>
    <row r="208" spans="2:5" s="8" customFormat="1" ht="20" customHeight="1" x14ac:dyDescent="0.2">
      <c r="B208" s="465" t="s">
        <v>577</v>
      </c>
      <c r="C208" s="466"/>
      <c r="D208" s="466"/>
      <c r="E208" s="467"/>
    </row>
    <row r="209" spans="2:5" s="8" customFormat="1" ht="20" customHeight="1" x14ac:dyDescent="0.2">
      <c r="B209" s="4" t="s">
        <v>578</v>
      </c>
      <c r="C209" s="362" t="s">
        <v>579</v>
      </c>
      <c r="D209" s="347" t="s">
        <v>579</v>
      </c>
      <c r="E209" s="337"/>
    </row>
    <row r="210" spans="2:5" s="8" customFormat="1" ht="20" customHeight="1" x14ac:dyDescent="0.2">
      <c r="B210" s="4" t="s">
        <v>195</v>
      </c>
      <c r="C210" s="362" t="s">
        <v>564</v>
      </c>
      <c r="D210" s="347"/>
      <c r="E210" s="337"/>
    </row>
    <row r="211" spans="2:5" s="8" customFormat="1" ht="20" customHeight="1" x14ac:dyDescent="0.2">
      <c r="B211" s="4" t="s">
        <v>537</v>
      </c>
      <c r="C211" s="362" t="s">
        <v>538</v>
      </c>
      <c r="D211" s="347" t="s">
        <v>538</v>
      </c>
      <c r="E211" s="337"/>
    </row>
    <row r="212" spans="2:5" s="8" customFormat="1" ht="20" customHeight="1" x14ac:dyDescent="0.2">
      <c r="B212" s="465" t="s">
        <v>582</v>
      </c>
      <c r="C212" s="466"/>
      <c r="D212" s="466"/>
      <c r="E212" s="467"/>
    </row>
    <row r="213" spans="2:5" s="8" customFormat="1" ht="20" customHeight="1" x14ac:dyDescent="0.2">
      <c r="B213" s="4" t="s">
        <v>583</v>
      </c>
      <c r="C213" s="101" t="s">
        <v>584</v>
      </c>
      <c r="D213" s="347" t="s">
        <v>584</v>
      </c>
      <c r="E213" s="337"/>
    </row>
    <row r="214" spans="2:5" s="8" customFormat="1" ht="20" customHeight="1" x14ac:dyDescent="0.2">
      <c r="B214" s="4" t="s">
        <v>585</v>
      </c>
      <c r="C214" s="101" t="str">
        <f>CONCATENATE(prefix_portable_component,"-logs01","-cert")</f>
        <v>flt-logs01-cert</v>
      </c>
      <c r="D214" s="347"/>
      <c r="E214" s="337"/>
    </row>
    <row r="215" spans="2:5" s="8" customFormat="1" ht="20" customHeight="1" x14ac:dyDescent="0.2">
      <c r="B215" s="4" t="s">
        <v>695</v>
      </c>
      <c r="C215" s="101" t="s">
        <v>141</v>
      </c>
      <c r="D215" s="347"/>
      <c r="E215" s="337"/>
    </row>
    <row r="216" spans="2:5" s="8" customFormat="1" ht="20" customHeight="1" x14ac:dyDescent="0.2">
      <c r="B216" s="4" t="s">
        <v>586</v>
      </c>
      <c r="C216" s="101" t="str">
        <f>CONCATENATE(prefix_portable_component,"-logs01","-cert.pem")</f>
        <v>flt-logs01-cert.pem</v>
      </c>
      <c r="D216" s="347"/>
      <c r="E216" s="337"/>
    </row>
    <row r="217" spans="2:5" s="8" customFormat="1" ht="20" customHeight="1" x14ac:dyDescent="0.2">
      <c r="B217" s="4" t="s">
        <v>587</v>
      </c>
      <c r="C217" s="101" t="str">
        <f>CONCATENATE(prefix_portable_component,"-logs01",".",sample_parent_dns_zone)</f>
        <v>flt-logs01.rainpole.io</v>
      </c>
      <c r="D217" s="347"/>
      <c r="E217" s="337"/>
    </row>
    <row r="218" spans="2:5" s="8" customFormat="1" ht="20" customHeight="1" x14ac:dyDescent="0.2">
      <c r="B218" s="4" t="s">
        <v>588</v>
      </c>
      <c r="C218" s="101" t="s">
        <v>59</v>
      </c>
      <c r="D218" s="347"/>
      <c r="E218" s="337"/>
    </row>
    <row r="219" spans="2:5" s="8" customFormat="1" ht="20" customHeight="1" x14ac:dyDescent="0.2">
      <c r="B219" s="4" t="s">
        <v>589</v>
      </c>
      <c r="C219" s="101" t="s">
        <v>61</v>
      </c>
      <c r="D219" s="347"/>
      <c r="E219" s="337"/>
    </row>
    <row r="220" spans="2:5" s="8" customFormat="1" ht="20" customHeight="1" x14ac:dyDescent="0.2">
      <c r="B220" s="4" t="s">
        <v>590</v>
      </c>
      <c r="C220" s="101" t="s">
        <v>63</v>
      </c>
      <c r="D220" s="347"/>
      <c r="E220" s="337"/>
    </row>
    <row r="221" spans="2:5" s="8" customFormat="1" ht="20" customHeight="1" x14ac:dyDescent="0.2">
      <c r="B221" s="4" t="s">
        <v>591</v>
      </c>
      <c r="C221" s="101" t="s">
        <v>67</v>
      </c>
      <c r="D221" s="347"/>
      <c r="E221" s="337"/>
    </row>
    <row r="222" spans="2:5" s="8" customFormat="1" ht="20" customHeight="1" x14ac:dyDescent="0.2">
      <c r="B222" s="4" t="s">
        <v>592</v>
      </c>
      <c r="C222" s="101" t="s">
        <v>65</v>
      </c>
      <c r="D222" s="347"/>
      <c r="E222" s="337"/>
    </row>
    <row r="223" spans="2:5" s="8" customFormat="1" ht="20" customHeight="1" x14ac:dyDescent="0.2">
      <c r="B223" s="4" t="s">
        <v>593</v>
      </c>
      <c r="C223" s="101">
        <v>4096</v>
      </c>
      <c r="D223" s="347" t="s">
        <v>594</v>
      </c>
      <c r="E223" s="337"/>
    </row>
    <row r="224" spans="2:5" s="8" customFormat="1" ht="20" customHeight="1" x14ac:dyDescent="0.2">
      <c r="B224" s="4" t="s">
        <v>696</v>
      </c>
      <c r="C224" s="101" t="str">
        <f>CONCATENATE(prefix_portable_component,"-logs01",".",sample_parent_dns_zone)</f>
        <v>flt-logs01.rainpole.io</v>
      </c>
      <c r="D224" s="347"/>
      <c r="E224" s="337"/>
    </row>
    <row r="225" spans="2:5" s="8" customFormat="1" ht="20" customHeight="1" x14ac:dyDescent="0.2">
      <c r="B225" s="4" t="s">
        <v>697</v>
      </c>
      <c r="C225" s="101" t="str">
        <f>CONCATENATE(prefix_portable_component,"-logs01a",".",sample_parent_dns_zone)</f>
        <v>flt-logs01a.rainpole.io</v>
      </c>
      <c r="D225" s="347"/>
      <c r="E225" s="337"/>
    </row>
    <row r="226" spans="2:5" s="8" customFormat="1" ht="20" customHeight="1" x14ac:dyDescent="0.2">
      <c r="B226" s="4" t="s">
        <v>698</v>
      </c>
      <c r="C226" s="101" t="str">
        <f>CONCATENATE(prefix_portable_component,"-logs01b",".",sample_parent_dns_zone)</f>
        <v>flt-logs01b.rainpole.io</v>
      </c>
      <c r="D226" s="347"/>
      <c r="E226" s="337"/>
    </row>
    <row r="227" spans="2:5" s="8" customFormat="1" ht="20" customHeight="1" x14ac:dyDescent="0.2">
      <c r="B227" s="4" t="s">
        <v>699</v>
      </c>
      <c r="C227" s="101" t="str">
        <f>CONCATENATE(prefix_portable_component,"-logs01c",".",sample_parent_dns_zone)</f>
        <v>flt-logs01c.rainpole.io</v>
      </c>
      <c r="D227" s="347"/>
      <c r="E227" s="337"/>
    </row>
    <row r="228" spans="2:5" s="8" customFormat="1" ht="20" customHeight="1" x14ac:dyDescent="0.2">
      <c r="B228" s="4" t="s">
        <v>700</v>
      </c>
      <c r="C228" s="362" t="str">
        <f>IF(flt_custom_network_chosen="Shared Management Network",IF(mgmt_dpg_reuse_result="Included",CONCATENATE(prefix_mgmt_az1_cidr,"10.26"),CONCATENATE(prefix_mgmt_az1_cidr,"11.26")),IF(flt_custom_network_chosen="NSX Overlay Segment",CONCATENATE(prefix_xreg_cidr,".26"),CONCATENATE(prefix_flt_shared_cidr,".26")))</f>
        <v>10.11.10.26</v>
      </c>
      <c r="D228" s="347"/>
      <c r="E228" s="337"/>
    </row>
    <row r="229" spans="2:5" s="8" customFormat="1" ht="20" customHeight="1" x14ac:dyDescent="0.2">
      <c r="B229" s="4" t="s">
        <v>701</v>
      </c>
      <c r="C229" s="362" t="str">
        <f>IF(flt_custom_network_chosen="Shared Management Network",IF(mgmt_dpg_reuse_result="Included",CONCATENATE(prefix_mgmt_az1_cidr,"10.59"),CONCATENATE(prefix_mgmt_az1_cidr,"11.59")),IF(flt_custom_network_chosen="NSX Overlay Segment",CONCATENATE(prefix_xreg_cidr,".59"),CONCATENATE(prefix_flt_shared_cidr,".59")))</f>
        <v>10.11.10.59</v>
      </c>
      <c r="D229" s="347"/>
      <c r="E229" s="337"/>
    </row>
    <row r="230" spans="2:5" s="8" customFormat="1" ht="20" customHeight="1" x14ac:dyDescent="0.2">
      <c r="B230" s="4" t="s">
        <v>702</v>
      </c>
      <c r="C230" s="362" t="str">
        <f>IF(flt_custom_network_chosen="Shared Management Network",IF(mgmt_dpg_reuse_result="Included",CONCATENATE(prefix_mgmt_az1_cidr,"10.60"),CONCATENATE(prefix_mgmt_az1_cidr,"11.60")),IF(flt_custom_network_chosen="NSX Overlay Segment",CONCATENATE(prefix_xreg_cidr,".60"),CONCATENATE(prefix_flt_shared_cidr,".60")))</f>
        <v>10.11.10.60</v>
      </c>
      <c r="D230" s="347"/>
      <c r="E230" s="337"/>
    </row>
    <row r="231" spans="2:5" s="8" customFormat="1" ht="20" customHeight="1" x14ac:dyDescent="0.2">
      <c r="B231" s="4" t="s">
        <v>703</v>
      </c>
      <c r="C231" s="362" t="str">
        <f>IF(flt_custom_network_chosen="Shared Management Network",IF(mgmt_dpg_reuse_result="Included",CONCATENATE(prefix_mgmt_az1_cidr,"10.61"),CONCATENATE(prefix_mgmt_az1_cidr,"11.61")),IF(flt_custom_network_chosen="NSX Overlay Segment",CONCATENATE(prefix_xreg_cidr,".61"),CONCATENATE(prefix_flt_shared_cidr,".61")))</f>
        <v>10.11.10.61</v>
      </c>
      <c r="D231" s="347"/>
      <c r="E231" s="337"/>
    </row>
    <row r="232" spans="2:5" s="8" customFormat="1" ht="20" customHeight="1" x14ac:dyDescent="0.2">
      <c r="B232" s="4" t="s">
        <v>597</v>
      </c>
      <c r="C232" s="362" t="str">
        <f>sample_flt_logs_cert_alias</f>
        <v>flt-logs01-cert</v>
      </c>
      <c r="D232" s="337" t="str">
        <f t="array" ref="D232">flt_logs_cert_alias</f>
        <v>Value Missing</v>
      </c>
      <c r="E232" s="337"/>
    </row>
    <row r="233" spans="2:5" s="8" customFormat="1" ht="20" customHeight="1" x14ac:dyDescent="0.2">
      <c r="B233" s="465" t="s">
        <v>598</v>
      </c>
      <c r="C233" s="466"/>
      <c r="D233" s="466"/>
      <c r="E233" s="467"/>
    </row>
    <row r="234" spans="2:5" s="8" customFormat="1" ht="20" customHeight="1" x14ac:dyDescent="0.2">
      <c r="B234" s="4" t="s">
        <v>599</v>
      </c>
      <c r="C234" s="362" t="str">
        <f>CONCATENATE(this_instance,"-m01-vc01.",sample_child_dns_zone)</f>
        <v>sfo-m01-vc01.sfo.rainpole.io</v>
      </c>
      <c r="D234" s="347"/>
      <c r="E234" s="337"/>
    </row>
    <row r="235" spans="2:5" s="8" customFormat="1" ht="20" customHeight="1" x14ac:dyDescent="0.2">
      <c r="B235" s="4" t="s">
        <v>600</v>
      </c>
      <c r="C235" s="362" t="str">
        <f>CONCATENATE(sample_mgmt_datacenter,"#",sample_mgmt_cl01_cluster)</f>
        <v>sfo-m01-dc01#sfo-m01-cl01</v>
      </c>
      <c r="D235" s="347"/>
      <c r="E235" s="337"/>
    </row>
    <row r="236" spans="2:5" s="8" customFormat="1" ht="20" customHeight="1" x14ac:dyDescent="0.2">
      <c r="B236" s="4" t="s">
        <v>601</v>
      </c>
      <c r="C236" s="362" t="str">
        <f>CONCATENATE(this_instance,"-m01-cl01-fd-flt-logs01")</f>
        <v>sfo-m01-cl01-fd-flt-logs01</v>
      </c>
      <c r="D236" s="347"/>
      <c r="E236" s="337" t="s">
        <v>602</v>
      </c>
    </row>
    <row r="237" spans="2:5" s="8" customFormat="1" ht="20" customHeight="1" x14ac:dyDescent="0.2">
      <c r="B237" s="4" t="s">
        <v>603</v>
      </c>
      <c r="C237" s="362" t="str">
        <f>CONCATENATE(this_instance,"-m01-cl01-rp-flt-logs01")</f>
        <v>sfo-m01-cl01-rp-flt-logs01</v>
      </c>
      <c r="D237" s="347"/>
      <c r="E237" s="337" t="s">
        <v>602</v>
      </c>
    </row>
    <row r="238" spans="2:5" s="8" customFormat="1" ht="20" customHeight="1" x14ac:dyDescent="0.2">
      <c r="B238" s="4" t="s">
        <v>604</v>
      </c>
      <c r="C238"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38" s="347"/>
      <c r="E238" s="337"/>
    </row>
    <row r="239" spans="2:5" s="8" customFormat="1" ht="20" customHeight="1" x14ac:dyDescent="0.2">
      <c r="B239" s="4" t="s">
        <v>605</v>
      </c>
      <c r="C239" s="362" t="str">
        <f>IF(mgmt_principal_storage_chosen="VMFS on Fibre Channel (FC)",CONCATENATE(this_instance,"-m01-cl01-ds-vmfs01"),IF(mgmt_principal_storage_chosen="NFSv3",CONCATENATE(this_instance,"-m01-cl01-ds-nfs01"),CONCATENATE(this_instance,"-m01-cl01-ds-vsan01")))</f>
        <v>sfo-m01-cl01-ds-vsan01</v>
      </c>
      <c r="D239" s="347"/>
      <c r="E239" s="337"/>
    </row>
    <row r="240" spans="2:5" s="8" customFormat="1" ht="20" customHeight="1" x14ac:dyDescent="0.2">
      <c r="B240" s="4" t="s">
        <v>704</v>
      </c>
      <c r="C240" s="362" t="s">
        <v>705</v>
      </c>
      <c r="D240" s="347" t="s">
        <v>705</v>
      </c>
      <c r="E240" s="337"/>
    </row>
    <row r="241" spans="2:5" s="8" customFormat="1" ht="20" customHeight="1" x14ac:dyDescent="0.2">
      <c r="B241" s="465" t="s">
        <v>252</v>
      </c>
      <c r="C241" s="466"/>
      <c r="D241" s="466"/>
      <c r="E241" s="467"/>
    </row>
    <row r="242" spans="2:5" s="8" customFormat="1" ht="20" customHeight="1" x14ac:dyDescent="0.2">
      <c r="B242" s="4" t="s">
        <v>606</v>
      </c>
      <c r="C242" s="362" t="str">
        <f>sample_parent_dns_zone</f>
        <v>rainpole.io</v>
      </c>
      <c r="D242" s="347" t="str">
        <f>parent_dns_zone</f>
        <v>Value Missing</v>
      </c>
      <c r="E242" s="337"/>
    </row>
    <row r="243" spans="2:5" s="8" customFormat="1" ht="20" customHeight="1" x14ac:dyDescent="0.2">
      <c r="B243" s="4" t="s">
        <v>607</v>
      </c>
      <c r="C243" s="362" t="str">
        <f>sample_parent_dns_zone</f>
        <v>rainpole.io</v>
      </c>
      <c r="D243" s="347" t="str">
        <f>parent_dns_zone</f>
        <v>Value Missing</v>
      </c>
      <c r="E243" s="337"/>
    </row>
    <row r="244" spans="2:5" s="8" customFormat="1" ht="20" customHeight="1" x14ac:dyDescent="0.2">
      <c r="B244" s="4" t="s">
        <v>608</v>
      </c>
      <c r="C244" s="126" t="str">
        <f>CONCATENATE(sample_region_dns1_ip,",",sample_region_dns2_ip)</f>
        <v>10.11.10.4,10.11.10.5</v>
      </c>
      <c r="D244" s="347" t="str">
        <f>CONCATENATE(region_dns1_ip,",",region_dns2_ip)</f>
        <v>Value Missing,Value Missing</v>
      </c>
      <c r="E244" s="337"/>
    </row>
    <row r="245" spans="2:5" s="8" customFormat="1" ht="20" customHeight="1" x14ac:dyDescent="0.2">
      <c r="B245" s="4" t="s">
        <v>609</v>
      </c>
      <c r="C245" s="126" t="s">
        <v>610</v>
      </c>
      <c r="D245" s="347" t="s">
        <v>610</v>
      </c>
      <c r="E245" s="337"/>
    </row>
    <row r="246" spans="2:5" s="8" customFormat="1" ht="20" customHeight="1" x14ac:dyDescent="0.2">
      <c r="B246" s="4" t="s">
        <v>299</v>
      </c>
      <c r="C246" s="362" t="str">
        <f>CONCATENATE(sample_region_ntp1_server,",",sample_region_ntp2_server)</f>
        <v>ntp0.sfo.rainpole.io,ntp1.sfo.rainpole.io</v>
      </c>
      <c r="D246" s="337" t="str">
        <f>CONCATENATE(region_ntp1_server,",",region_ntp2_server)</f>
        <v>Value Missing,Value Missing</v>
      </c>
      <c r="E246" s="337"/>
    </row>
    <row r="247" spans="2:5" s="8" customFormat="1" ht="20" customHeight="1" x14ac:dyDescent="0.2">
      <c r="B247" s="4" t="s">
        <v>611</v>
      </c>
      <c r="C247"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47" s="347"/>
      <c r="E247" s="337"/>
    </row>
    <row r="248" spans="2:5" s="8" customFormat="1" ht="20" customHeight="1" x14ac:dyDescent="0.2">
      <c r="B248" s="4" t="s">
        <v>612</v>
      </c>
      <c r="C248" s="362" t="s">
        <v>128</v>
      </c>
      <c r="D248" s="347"/>
      <c r="E248" s="337"/>
    </row>
    <row r="249" spans="2:5" s="8" customFormat="1" ht="20" customHeight="1" x14ac:dyDescent="0.2">
      <c r="B249" s="465" t="s">
        <v>613</v>
      </c>
      <c r="C249" s="466"/>
      <c r="D249" s="466"/>
      <c r="E249" s="467"/>
    </row>
    <row r="250" spans="2:5" s="8" customFormat="1" ht="20" customHeight="1" x14ac:dyDescent="0.2">
      <c r="B250" s="4" t="s">
        <v>706</v>
      </c>
      <c r="C250" s="101" t="str">
        <f>CONCATENATE(prefix_portable_component,"-logs01","-admin-password")</f>
        <v>flt-logs01-admin-password</v>
      </c>
      <c r="D250" s="347"/>
      <c r="E250" s="337"/>
    </row>
    <row r="251" spans="2:5" s="8" customFormat="1" ht="20" customHeight="1" x14ac:dyDescent="0.2">
      <c r="B251" s="4" t="s">
        <v>199</v>
      </c>
      <c r="C251" s="101" t="s">
        <v>141</v>
      </c>
      <c r="D251" s="347"/>
      <c r="E251" s="337"/>
    </row>
    <row r="252" spans="2:5" s="8" customFormat="1" ht="20" customHeight="1" x14ac:dyDescent="0.2">
      <c r="B252" s="4" t="s">
        <v>707</v>
      </c>
      <c r="C252" s="101" t="s">
        <v>708</v>
      </c>
      <c r="D252" s="347"/>
      <c r="E252" s="337"/>
    </row>
    <row r="253" spans="2:5" s="8" customFormat="1" ht="20" customHeight="1" x14ac:dyDescent="0.2">
      <c r="B253" s="4" t="s">
        <v>709</v>
      </c>
      <c r="C253" s="101" t="s">
        <v>431</v>
      </c>
      <c r="D253" s="347"/>
      <c r="E253" s="337"/>
    </row>
    <row r="254" spans="2:5" s="8" customFormat="1" ht="20" customHeight="1" x14ac:dyDescent="0.2">
      <c r="B254" s="4" t="s">
        <v>620</v>
      </c>
      <c r="C254" s="101" t="str">
        <f>CONCATENATE(prefix_portable_component,"-logs01","-root-password")</f>
        <v>flt-logs01-root-password</v>
      </c>
      <c r="D254" s="347"/>
      <c r="E254" s="337"/>
    </row>
    <row r="255" spans="2:5" s="8" customFormat="1" ht="20" customHeight="1" x14ac:dyDescent="0.2">
      <c r="B255" s="4" t="s">
        <v>562</v>
      </c>
      <c r="C255" s="101" t="s">
        <v>141</v>
      </c>
      <c r="D255" s="347"/>
      <c r="E255" s="337"/>
    </row>
    <row r="256" spans="2:5" s="8" customFormat="1" ht="20" customHeight="1" x14ac:dyDescent="0.2">
      <c r="B256" s="4" t="s">
        <v>621</v>
      </c>
      <c r="C256" s="101" t="s">
        <v>710</v>
      </c>
      <c r="D256" s="347"/>
      <c r="E256" s="337"/>
    </row>
    <row r="257" spans="2:5" s="8" customFormat="1" ht="20" customHeight="1" x14ac:dyDescent="0.2">
      <c r="B257" s="4" t="s">
        <v>623</v>
      </c>
      <c r="C257" s="101" t="s">
        <v>269</v>
      </c>
      <c r="D257" s="347"/>
      <c r="E257" s="337"/>
    </row>
    <row r="258" spans="2:5" s="8" customFormat="1" ht="20" customHeight="1" x14ac:dyDescent="0.2">
      <c r="B258" s="4" t="s">
        <v>624</v>
      </c>
      <c r="C258" s="98" t="str">
        <f>sample_mgmt_vc_fqdn</f>
        <v>sfo-m01-vc01.sfo.rainpole.io</v>
      </c>
      <c r="D258" s="347"/>
      <c r="E258" s="337" t="s">
        <v>711</v>
      </c>
    </row>
    <row r="259" spans="2:5" s="8" customFormat="1" ht="20" customHeight="1" x14ac:dyDescent="0.2">
      <c r="B259" s="4" t="s">
        <v>712</v>
      </c>
      <c r="C259" s="362" t="s">
        <v>93</v>
      </c>
      <c r="D259" s="347" t="s">
        <v>93</v>
      </c>
      <c r="E259" s="337"/>
    </row>
    <row r="260" spans="2:5" s="8" customFormat="1" ht="20" customHeight="1" x14ac:dyDescent="0.2">
      <c r="B260" s="4" t="s">
        <v>713</v>
      </c>
      <c r="C260" s="362" t="s">
        <v>159</v>
      </c>
      <c r="D260" s="347" t="s">
        <v>159</v>
      </c>
      <c r="E260" s="337"/>
    </row>
    <row r="261" spans="2:5" s="8" customFormat="1" ht="20" customHeight="1" x14ac:dyDescent="0.2">
      <c r="B261" s="4" t="s">
        <v>714</v>
      </c>
      <c r="C261" s="362" t="str">
        <f>sample_flt_logs_cert_alias</f>
        <v>flt-logs01-cert</v>
      </c>
      <c r="D261" s="337" t="str">
        <f t="array" ref="D261">flt_logs_cert_alias</f>
        <v>Value Missing</v>
      </c>
      <c r="E261" s="337" t="s">
        <v>715</v>
      </c>
    </row>
    <row r="262" spans="2:5" s="8" customFormat="1" ht="20" customHeight="1" x14ac:dyDescent="0.2">
      <c r="B262" s="4" t="s">
        <v>716</v>
      </c>
      <c r="C262" s="362" t="s">
        <v>159</v>
      </c>
      <c r="D262" s="347" t="s">
        <v>159</v>
      </c>
      <c r="E262" s="337"/>
    </row>
    <row r="263" spans="2:5" s="8" customFormat="1" ht="20" customHeight="1" x14ac:dyDescent="0.2">
      <c r="B263" s="4" t="s">
        <v>717</v>
      </c>
      <c r="C263" s="362" t="s">
        <v>159</v>
      </c>
      <c r="D263" s="347" t="s">
        <v>159</v>
      </c>
      <c r="E263" s="337"/>
    </row>
    <row r="264" spans="2:5" s="8" customFormat="1" ht="20" customHeight="1" x14ac:dyDescent="0.2">
      <c r="B264" s="4" t="s">
        <v>718</v>
      </c>
      <c r="C264" s="362" t="s">
        <v>159</v>
      </c>
      <c r="D264" s="347" t="s">
        <v>159</v>
      </c>
      <c r="E264" s="337"/>
    </row>
    <row r="265" spans="2:5" s="8" customFormat="1" ht="20" customHeight="1" x14ac:dyDescent="0.2">
      <c r="B265" s="4" t="s">
        <v>719</v>
      </c>
      <c r="C265" s="362" t="s">
        <v>159</v>
      </c>
      <c r="D265" s="347" t="s">
        <v>159</v>
      </c>
      <c r="E265" s="337" t="s">
        <v>720</v>
      </c>
    </row>
    <row r="266" spans="2:5" s="8" customFormat="1" ht="20" customHeight="1" x14ac:dyDescent="0.2">
      <c r="B266" s="4" t="s">
        <v>721</v>
      </c>
      <c r="C266" s="362" t="s">
        <v>69</v>
      </c>
      <c r="D266" s="347"/>
      <c r="E266" s="337"/>
    </row>
    <row r="267" spans="2:5" s="8" customFormat="1" ht="20" customHeight="1" x14ac:dyDescent="0.2">
      <c r="B267" s="4" t="s">
        <v>722</v>
      </c>
      <c r="C267" s="362" t="str">
        <f>sample_flt_logs_admin_password_alias</f>
        <v>flt-logs01-admin-password</v>
      </c>
      <c r="D267" s="337" t="str">
        <f>flt_logs_root_password_alias</f>
        <v>Value Missing</v>
      </c>
      <c r="E267" s="337"/>
    </row>
    <row r="268" spans="2:5" s="8" customFormat="1" ht="20" customHeight="1" x14ac:dyDescent="0.2">
      <c r="B268" s="4" t="s">
        <v>609</v>
      </c>
      <c r="C268" s="362" t="s">
        <v>610</v>
      </c>
      <c r="D268" s="347" t="s">
        <v>610</v>
      </c>
      <c r="E268" s="337"/>
    </row>
    <row r="269" spans="2:5" s="8" customFormat="1" ht="20" customHeight="1" x14ac:dyDescent="0.2">
      <c r="B269" s="465" t="s">
        <v>723</v>
      </c>
      <c r="C269" s="466"/>
      <c r="D269" s="466"/>
      <c r="E269" s="467"/>
    </row>
    <row r="270" spans="2:5" s="8" customFormat="1" ht="20" customHeight="1" x14ac:dyDescent="0.2">
      <c r="B270" s="4" t="s">
        <v>38</v>
      </c>
      <c r="C270" s="362" t="str">
        <f>sample_flt_logs_vip_fqdn</f>
        <v>flt-logs01.rainpole.io</v>
      </c>
      <c r="D270" s="337" t="str">
        <f t="array" ref="D270">flt_logs_vip_fqdn</f>
        <v>Value Missing</v>
      </c>
      <c r="E270" s="337"/>
    </row>
    <row r="271" spans="2:5" s="8" customFormat="1" ht="20" customHeight="1" x14ac:dyDescent="0.2">
      <c r="B271" s="4" t="s">
        <v>283</v>
      </c>
      <c r="C271" s="362" t="str">
        <f>sample_flt_logs_vip_ip</f>
        <v>10.11.10.26</v>
      </c>
      <c r="D271" s="337" t="str">
        <f>flt_logs_vip_ip</f>
        <v>Value Missing</v>
      </c>
      <c r="E271" s="337"/>
    </row>
    <row r="272" spans="2:5" s="8" customFormat="1" ht="20" customHeight="1" x14ac:dyDescent="0.2">
      <c r="B272" s="465" t="s">
        <v>724</v>
      </c>
      <c r="C272" s="466"/>
      <c r="D272" s="466"/>
      <c r="E272" s="467"/>
    </row>
    <row r="273" spans="2:5" s="8" customFormat="1" ht="20" customHeight="1" x14ac:dyDescent="0.2">
      <c r="B273" s="4" t="s">
        <v>725</v>
      </c>
      <c r="C273" s="362" t="s">
        <v>726</v>
      </c>
      <c r="D273" s="347"/>
      <c r="E273" s="337"/>
    </row>
    <row r="274" spans="2:5" s="8" customFormat="1" ht="20" customHeight="1" x14ac:dyDescent="0.2">
      <c r="B274" s="4" t="s">
        <v>38</v>
      </c>
      <c r="C274" s="362" t="str">
        <f>sample_flt_logs_nodea_fqdn</f>
        <v>flt-logs01a.rainpole.io</v>
      </c>
      <c r="D274" s="337" t="str">
        <f t="array" ref="D274">flt_logs_nodea_fqdn</f>
        <v>Value Missing</v>
      </c>
      <c r="E274" s="337"/>
    </row>
    <row r="275" spans="2:5" s="8" customFormat="1" ht="20" customHeight="1" x14ac:dyDescent="0.2">
      <c r="B275" s="4" t="s">
        <v>283</v>
      </c>
      <c r="C275" s="362" t="str">
        <f>sample_flt_logs_nodea_ip</f>
        <v>10.11.10.59</v>
      </c>
      <c r="D275" s="337" t="str">
        <f>flt_logs_nodea_ip</f>
        <v>Value Missing</v>
      </c>
      <c r="E275" s="337"/>
    </row>
    <row r="276" spans="2:5" s="8" customFormat="1" ht="20" customHeight="1" x14ac:dyDescent="0.2">
      <c r="B276" s="465" t="s">
        <v>727</v>
      </c>
      <c r="C276" s="466"/>
      <c r="D276" s="466"/>
      <c r="E276" s="467"/>
    </row>
    <row r="277" spans="2:5" s="8" customFormat="1" ht="20" customHeight="1" x14ac:dyDescent="0.2">
      <c r="B277" s="4" t="s">
        <v>725</v>
      </c>
      <c r="C277" s="362" t="s">
        <v>728</v>
      </c>
      <c r="D277" s="347"/>
      <c r="E277" s="2"/>
    </row>
    <row r="278" spans="2:5" s="8" customFormat="1" ht="20" customHeight="1" x14ac:dyDescent="0.2">
      <c r="B278" s="4" t="s">
        <v>38</v>
      </c>
      <c r="C278" s="362" t="str">
        <f>sample_flt_logs_nodeb_fqdn</f>
        <v>flt-logs01b.rainpole.io</v>
      </c>
      <c r="D278" s="337" t="str">
        <f t="array" ref="D278">flt_logs_nodeb_fqdn</f>
        <v>Value Missing</v>
      </c>
      <c r="E278" s="337"/>
    </row>
    <row r="279" spans="2:5" s="8" customFormat="1" ht="20" customHeight="1" x14ac:dyDescent="0.2">
      <c r="B279" s="4" t="s">
        <v>283</v>
      </c>
      <c r="C279" s="362" t="str">
        <f>sample_flt_logs_nodeb_ip</f>
        <v>10.11.10.60</v>
      </c>
      <c r="D279" s="337" t="str">
        <f>flt_logs_nodeb_ip</f>
        <v>Value Missing</v>
      </c>
      <c r="E279" s="337"/>
    </row>
    <row r="280" spans="2:5" s="8" customFormat="1" ht="20" customHeight="1" x14ac:dyDescent="0.2">
      <c r="B280" s="465" t="s">
        <v>729</v>
      </c>
      <c r="C280" s="466"/>
      <c r="D280" s="466"/>
      <c r="E280" s="467"/>
    </row>
    <row r="281" spans="2:5" s="8" customFormat="1" ht="20" customHeight="1" x14ac:dyDescent="0.2">
      <c r="B281" s="4" t="s">
        <v>725</v>
      </c>
      <c r="C281" s="362" t="s">
        <v>730</v>
      </c>
      <c r="D281" s="347"/>
      <c r="E281" s="337"/>
    </row>
    <row r="282" spans="2:5" s="8" customFormat="1" ht="20" customHeight="1" x14ac:dyDescent="0.2">
      <c r="B282" s="4" t="s">
        <v>38</v>
      </c>
      <c r="C282" s="362" t="str">
        <f>sample_flt_logs_nodec_fqdn</f>
        <v>flt-logs01c.rainpole.io</v>
      </c>
      <c r="D282" s="337" t="str">
        <f t="array" ref="D282">flt_logs_nodec_fqdn</f>
        <v>Value Missing</v>
      </c>
      <c r="E282" s="337"/>
    </row>
    <row r="283" spans="2:5" s="8" customFormat="1" ht="20" customHeight="1" x14ac:dyDescent="0.2">
      <c r="B283" s="4" t="s">
        <v>283</v>
      </c>
      <c r="C283" s="362" t="str">
        <f>sample_flt_logs_nodec_ip</f>
        <v>10.11.10.61</v>
      </c>
      <c r="D283" s="337" t="str">
        <f>flt_logs_nodec_ip</f>
        <v>Value Missing</v>
      </c>
      <c r="E283" s="337"/>
    </row>
    <row r="284" spans="2:5" s="8" customFormat="1" ht="16" customHeight="1" x14ac:dyDescent="0.2">
      <c r="D284" s="2"/>
      <c r="E284" s="2"/>
    </row>
    <row r="285" spans="2:5" s="8" customFormat="1" ht="34" customHeight="1" x14ac:dyDescent="0.2">
      <c r="B285" s="522" t="s">
        <v>731</v>
      </c>
      <c r="C285" s="523"/>
      <c r="D285" s="523"/>
      <c r="E285" s="524"/>
    </row>
    <row r="286" spans="2:5" s="8" customFormat="1" ht="20" customHeight="1" x14ac:dyDescent="0.2">
      <c r="B286" s="346" t="s">
        <v>17</v>
      </c>
      <c r="C286" s="346" t="s">
        <v>18</v>
      </c>
      <c r="D286" s="346" t="s">
        <v>19</v>
      </c>
      <c r="E286" s="310" t="s">
        <v>20</v>
      </c>
    </row>
    <row r="287" spans="2:5" s="8" customFormat="1" ht="20" customHeight="1" x14ac:dyDescent="0.2">
      <c r="B287" s="465" t="s">
        <v>577</v>
      </c>
      <c r="C287" s="466"/>
      <c r="D287" s="466"/>
      <c r="E287" s="467"/>
    </row>
    <row r="288" spans="2:5" s="8" customFormat="1" ht="20" customHeight="1" x14ac:dyDescent="0.2">
      <c r="B288" s="4" t="s">
        <v>578</v>
      </c>
      <c r="C288" s="362" t="s">
        <v>579</v>
      </c>
      <c r="D288" s="347" t="s">
        <v>579</v>
      </c>
      <c r="E288" s="337"/>
    </row>
    <row r="289" spans="2:5" s="8" customFormat="1" ht="20" customHeight="1" x14ac:dyDescent="0.2">
      <c r="B289" s="4" t="s">
        <v>195</v>
      </c>
      <c r="C289" s="362" t="s">
        <v>564</v>
      </c>
      <c r="D289" s="347"/>
      <c r="E289" s="337"/>
    </row>
    <row r="290" spans="2:5" s="8" customFormat="1" ht="20" customHeight="1" x14ac:dyDescent="0.2">
      <c r="B290" s="4" t="s">
        <v>537</v>
      </c>
      <c r="C290" s="362" t="s">
        <v>732</v>
      </c>
      <c r="D290" s="347" t="s">
        <v>732</v>
      </c>
      <c r="E290" s="337"/>
    </row>
    <row r="291" spans="2:5" s="8" customFormat="1" ht="20" customHeight="1" x14ac:dyDescent="0.2">
      <c r="B291" s="538" t="s">
        <v>582</v>
      </c>
      <c r="C291" s="539"/>
      <c r="D291" s="539"/>
      <c r="E291" s="540"/>
    </row>
    <row r="292" spans="2:5" s="8" customFormat="1" ht="20" customHeight="1" x14ac:dyDescent="0.2">
      <c r="B292" s="4" t="s">
        <v>583</v>
      </c>
      <c r="C292" s="101" t="s">
        <v>584</v>
      </c>
      <c r="D292" s="347" t="s">
        <v>584</v>
      </c>
      <c r="E292" s="337"/>
    </row>
    <row r="293" spans="2:5" s="8" customFormat="1" ht="20" customHeight="1" x14ac:dyDescent="0.2">
      <c r="B293" s="4" t="s">
        <v>585</v>
      </c>
      <c r="C293" s="101" t="str">
        <f>CONCATENATE(prefix_portable_component,"-net01","-cert")</f>
        <v>flt-net01-cert</v>
      </c>
      <c r="D293" s="347"/>
      <c r="E293" s="337"/>
    </row>
    <row r="294" spans="2:5" s="8" customFormat="1" ht="20" customHeight="1" x14ac:dyDescent="0.2">
      <c r="B294" s="4" t="s">
        <v>586</v>
      </c>
      <c r="C294" s="101" t="str">
        <f>CONCATENATE(prefix_portable_component,"-net01","-cert.pem")</f>
        <v>flt-net01-cert.pem</v>
      </c>
      <c r="D294" s="347"/>
      <c r="E294" s="337"/>
    </row>
    <row r="295" spans="2:5" s="8" customFormat="1" ht="20" customHeight="1" x14ac:dyDescent="0.2">
      <c r="B295" s="4" t="s">
        <v>587</v>
      </c>
      <c r="C295" s="101" t="str">
        <f>CONCATENATE(prefix_portable_component,"-net01",".",sample_parent_dns_zone)</f>
        <v>flt-net01.rainpole.io</v>
      </c>
      <c r="D295" s="347"/>
      <c r="E295" s="337"/>
    </row>
    <row r="296" spans="2:5" s="8" customFormat="1" ht="20" customHeight="1" x14ac:dyDescent="0.2">
      <c r="B296" s="4" t="s">
        <v>588</v>
      </c>
      <c r="C296" s="101" t="s">
        <v>59</v>
      </c>
      <c r="D296" s="347"/>
      <c r="E296" s="337"/>
    </row>
    <row r="297" spans="2:5" s="8" customFormat="1" ht="20" customHeight="1" x14ac:dyDescent="0.2">
      <c r="B297" s="4" t="s">
        <v>589</v>
      </c>
      <c r="C297" s="101" t="s">
        <v>61</v>
      </c>
      <c r="D297" s="347"/>
      <c r="E297" s="337"/>
    </row>
    <row r="298" spans="2:5" s="8" customFormat="1" ht="20" customHeight="1" x14ac:dyDescent="0.2">
      <c r="B298" s="4" t="s">
        <v>590</v>
      </c>
      <c r="C298" s="101" t="s">
        <v>63</v>
      </c>
      <c r="D298" s="347"/>
      <c r="E298" s="337"/>
    </row>
    <row r="299" spans="2:5" s="8" customFormat="1" ht="20" customHeight="1" x14ac:dyDescent="0.2">
      <c r="B299" s="4" t="s">
        <v>591</v>
      </c>
      <c r="C299" s="101" t="s">
        <v>67</v>
      </c>
      <c r="D299" s="347"/>
      <c r="E299" s="337"/>
    </row>
    <row r="300" spans="2:5" s="8" customFormat="1" ht="20" customHeight="1" x14ac:dyDescent="0.2">
      <c r="B300" s="4" t="s">
        <v>592</v>
      </c>
      <c r="C300" s="101" t="s">
        <v>65</v>
      </c>
      <c r="D300" s="347"/>
      <c r="E300" s="337"/>
    </row>
    <row r="301" spans="2:5" s="8" customFormat="1" ht="20" customHeight="1" x14ac:dyDescent="0.2">
      <c r="B301" s="4" t="s">
        <v>593</v>
      </c>
      <c r="C301" s="101">
        <v>4096</v>
      </c>
      <c r="D301" s="347" t="s">
        <v>594</v>
      </c>
      <c r="E301" s="337"/>
    </row>
    <row r="302" spans="2:5" s="8" customFormat="1" ht="20" customHeight="1" x14ac:dyDescent="0.2">
      <c r="B302" s="4" t="s">
        <v>733</v>
      </c>
      <c r="C302" s="101" t="str">
        <f>CONCATENATE(prefix_portable_component,"-net01a",".",sample_parent_dns_zone)</f>
        <v>flt-net01a.rainpole.io</v>
      </c>
      <c r="D302" s="347"/>
      <c r="E302" s="337"/>
    </row>
    <row r="303" spans="2:5" s="8" customFormat="1" ht="20" customHeight="1" x14ac:dyDescent="0.2">
      <c r="B303" s="4" t="s">
        <v>734</v>
      </c>
      <c r="C303" s="101" t="str">
        <f>CONCATENATE(prefix_portable_component,"-net01b",".",sample_parent_dns_zone)</f>
        <v>flt-net01b.rainpole.io</v>
      </c>
      <c r="D303" s="347"/>
      <c r="E303" s="337"/>
    </row>
    <row r="304" spans="2:5" s="8" customFormat="1" ht="20" customHeight="1" x14ac:dyDescent="0.2">
      <c r="B304" s="4" t="s">
        <v>735</v>
      </c>
      <c r="C304" s="101" t="str">
        <f>CONCATENATE(prefix_portable_component,"-net01c",".",sample_parent_dns_zone)</f>
        <v>flt-net01c.rainpole.io</v>
      </c>
      <c r="D304" s="347"/>
      <c r="E304" s="337"/>
    </row>
    <row r="305" spans="2:5" s="8" customFormat="1" ht="20" customHeight="1" x14ac:dyDescent="0.2">
      <c r="B305" s="4" t="s">
        <v>736</v>
      </c>
      <c r="C305" s="101" t="str">
        <f>CONCATENATE(this_instance,"-netc01.",sample_child_dns_zone)</f>
        <v>sfo-netc01.sfo.rainpole.io</v>
      </c>
      <c r="D305" s="347"/>
      <c r="E305" s="337"/>
    </row>
    <row r="306" spans="2:5" s="8" customFormat="1" ht="20" customHeight="1" x14ac:dyDescent="0.2">
      <c r="B306" s="4" t="s">
        <v>737</v>
      </c>
      <c r="C306" s="80" t="str">
        <f>IF(flt_custom_network_chosen="Shared Management Network",IF(mgmt_dpg_reuse_result="Included",CONCATENATE(prefix_mgmt_az1_cidr,"10.62"),CONCATENATE(prefix_mgmt_az1_cidr,"11.62")),IF(flt_custom_network_chosen="NSX Overlay Segment",CONCATENATE(prefix_xreg_cidr,".62"),CONCATENATE(prefix_flt_shared_cidr,".62")))</f>
        <v>10.11.10.62</v>
      </c>
      <c r="D306" s="86"/>
      <c r="E306" s="186"/>
    </row>
    <row r="307" spans="2:5" s="8" customFormat="1" ht="20" customHeight="1" x14ac:dyDescent="0.2">
      <c r="B307" s="4" t="s">
        <v>738</v>
      </c>
      <c r="C307" s="80" t="str">
        <f>IF(flt_custom_network_chosen="Shared Management Network",IF(mgmt_dpg_reuse_result="Included",CONCATENATE(prefix_mgmt_az1_cidr,"10.63"),CONCATENATE(prefix_mgmt_az1_cidr,"11.63")),IF(flt_custom_network_chosen="NSX Overlay Segment",CONCATENATE(prefix_xreg_cidr,".63"),CONCATENATE(prefix_flt_shared_cidr,".63")))</f>
        <v>10.11.10.63</v>
      </c>
      <c r="D307" s="347"/>
      <c r="E307" s="337"/>
    </row>
    <row r="308" spans="2:5" s="8" customFormat="1" ht="20" customHeight="1" x14ac:dyDescent="0.2">
      <c r="B308" s="4" t="s">
        <v>739</v>
      </c>
      <c r="C308" s="80" t="str">
        <f>IF(flt_custom_network_chosen="Shared Management Network",IF(mgmt_dpg_reuse_result="Included",CONCATENATE(prefix_mgmt_az1_cidr,"10.64"),CONCATENATE(prefix_mgmt_az1_cidr,"11.64")),IF(flt_custom_network_chosen="NSX Overlay Segment",CONCATENATE(prefix_xreg_cidr,".64"),CONCATENATE(prefix_flt_shared_cidr,".64")))</f>
        <v>10.11.10.64</v>
      </c>
      <c r="D308" s="347"/>
      <c r="E308" s="337"/>
    </row>
    <row r="309" spans="2:5" s="8" customFormat="1" ht="20" customHeight="1" x14ac:dyDescent="0.2">
      <c r="B309" s="4" t="s">
        <v>740</v>
      </c>
      <c r="C309" s="80" t="str">
        <f>IF(mgmt_dpg_reuse_result="Included",CONCATENATE(prefix_mgmt_az1_cidr,"10.14"),CONCATENATE(prefix_mgmt_az1_cidr,"11.14"))</f>
        <v>10.11.10.14</v>
      </c>
      <c r="D309" s="347"/>
      <c r="E309" s="337"/>
    </row>
    <row r="310" spans="2:5" s="8" customFormat="1" ht="20" customHeight="1" x14ac:dyDescent="0.2">
      <c r="B310" s="4" t="s">
        <v>597</v>
      </c>
      <c r="C310" s="362" t="str">
        <f>sample_flt_net_cert_alias</f>
        <v>flt-net01-cert</v>
      </c>
      <c r="D310" s="337" t="str">
        <f>flt_net_cert_alias</f>
        <v>Value Missing</v>
      </c>
      <c r="E310" s="337"/>
    </row>
    <row r="311" spans="2:5" s="8" customFormat="1" ht="20" customHeight="1" x14ac:dyDescent="0.2">
      <c r="B311" s="465" t="s">
        <v>598</v>
      </c>
      <c r="C311" s="466"/>
      <c r="D311" s="466"/>
      <c r="E311" s="467"/>
    </row>
    <row r="312" spans="2:5" s="8" customFormat="1" ht="20" customHeight="1" x14ac:dyDescent="0.2">
      <c r="B312" s="4" t="s">
        <v>599</v>
      </c>
      <c r="C312" s="362" t="str">
        <f>CONCATENATE(this_instance,"-m01-vc01.",sample_child_dns_zone)</f>
        <v>sfo-m01-vc01.sfo.rainpole.io</v>
      </c>
      <c r="D312" s="347"/>
      <c r="E312" s="337"/>
    </row>
    <row r="313" spans="2:5" s="8" customFormat="1" ht="20" customHeight="1" x14ac:dyDescent="0.2">
      <c r="B313" s="4" t="s">
        <v>600</v>
      </c>
      <c r="C313" s="362" t="str">
        <f>CONCATENATE(sample_mgmt_datacenter,"#",sample_mgmt_cl01_cluster)</f>
        <v>sfo-m01-dc01#sfo-m01-cl01</v>
      </c>
      <c r="D313" s="347"/>
      <c r="E313" s="337"/>
    </row>
    <row r="314" spans="2:5" s="8" customFormat="1" ht="20" customHeight="1" x14ac:dyDescent="0.2">
      <c r="B314" s="4" t="s">
        <v>601</v>
      </c>
      <c r="C314" s="362" t="str">
        <f>CONCATENATE(this_instance,"-m01-cl01-fd-flt-net01")</f>
        <v>sfo-m01-cl01-fd-flt-net01</v>
      </c>
      <c r="D314" s="347"/>
      <c r="E314" s="337" t="s">
        <v>741</v>
      </c>
    </row>
    <row r="315" spans="2:5" s="8" customFormat="1" ht="20" customHeight="1" x14ac:dyDescent="0.2">
      <c r="B315" s="4" t="s">
        <v>603</v>
      </c>
      <c r="C315" s="362" t="str">
        <f>CONCATENATE(this_instance,"-m01-cl01-rp-flt-net01")</f>
        <v>sfo-m01-cl01-rp-flt-net01</v>
      </c>
      <c r="D315" s="347"/>
      <c r="E315" s="337" t="s">
        <v>741</v>
      </c>
    </row>
    <row r="316" spans="2:5" s="8" customFormat="1" ht="20" customHeight="1" x14ac:dyDescent="0.2">
      <c r="B316" s="4" t="s">
        <v>604</v>
      </c>
      <c r="C316"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316" s="347"/>
      <c r="E316" s="337"/>
    </row>
    <row r="317" spans="2:5" s="8" customFormat="1" ht="20" customHeight="1" x14ac:dyDescent="0.2">
      <c r="B317" s="4" t="s">
        <v>605</v>
      </c>
      <c r="C317" s="362" t="str">
        <f>IF(mgmt_principal_storage_chosen="VMFS on Fibre Channel (FC)",CONCATENATE(this_instance,"-m01-cl01-ds-vmfs01"),IF(mgmt_principal_storage_chosen="NFSv3",CONCATENATE(this_instance,"-m01-cl01-ds-nfs01"),CONCATENATE(this_instance,"-m01-cl01-ds-vsan01")))</f>
        <v>sfo-m01-cl01-ds-vsan01</v>
      </c>
      <c r="D317" s="347"/>
      <c r="E317" s="337"/>
    </row>
    <row r="318" spans="2:5" s="8" customFormat="1" ht="20" customHeight="1" x14ac:dyDescent="0.2">
      <c r="B318" s="4" t="s">
        <v>704</v>
      </c>
      <c r="C318" s="362" t="s">
        <v>705</v>
      </c>
      <c r="D318" s="347" t="s">
        <v>705</v>
      </c>
      <c r="E318" s="337"/>
    </row>
    <row r="319" spans="2:5" s="8" customFormat="1" ht="20" customHeight="1" x14ac:dyDescent="0.2">
      <c r="B319" s="465" t="s">
        <v>252</v>
      </c>
      <c r="C319" s="466"/>
      <c r="D319" s="466"/>
      <c r="E319" s="467"/>
    </row>
    <row r="320" spans="2:5" s="8" customFormat="1" ht="20" customHeight="1" x14ac:dyDescent="0.2">
      <c r="B320" s="4" t="s">
        <v>606</v>
      </c>
      <c r="C320" s="362" t="str">
        <f>sample_parent_dns_zone</f>
        <v>rainpole.io</v>
      </c>
      <c r="D320" s="347" t="str">
        <f>parent_dns_zone</f>
        <v>Value Missing</v>
      </c>
      <c r="E320" s="337"/>
    </row>
    <row r="321" spans="2:5" s="8" customFormat="1" ht="20" customHeight="1" x14ac:dyDescent="0.2">
      <c r="B321" s="4" t="s">
        <v>607</v>
      </c>
      <c r="C321" s="362" t="str">
        <f>sample_parent_dns_zone</f>
        <v>rainpole.io</v>
      </c>
      <c r="D321" s="347" t="str">
        <f>parent_dns_zone</f>
        <v>Value Missing</v>
      </c>
      <c r="E321" s="337"/>
    </row>
    <row r="322" spans="2:5" s="8" customFormat="1" ht="20" customHeight="1" x14ac:dyDescent="0.2">
      <c r="B322" s="4" t="s">
        <v>608</v>
      </c>
      <c r="C322" s="126" t="str">
        <f>CONCATENATE(sample_region_dns1_ip,",",sample_region_dns2_ip)</f>
        <v>10.11.10.4,10.11.10.5</v>
      </c>
      <c r="D322" s="347" t="str">
        <f>CONCATENATE(region_dns1_ip,",",region_dns2_ip)</f>
        <v>Value Missing,Value Missing</v>
      </c>
      <c r="E322" s="337"/>
    </row>
    <row r="323" spans="2:5" s="8" customFormat="1" ht="20" customHeight="1" x14ac:dyDescent="0.2">
      <c r="B323" s="4" t="s">
        <v>609</v>
      </c>
      <c r="C323" s="126" t="s">
        <v>610</v>
      </c>
      <c r="D323" s="347" t="s">
        <v>610</v>
      </c>
      <c r="E323" s="337"/>
    </row>
    <row r="324" spans="2:5" s="8" customFormat="1" ht="20" customHeight="1" x14ac:dyDescent="0.2">
      <c r="B324" s="4" t="s">
        <v>299</v>
      </c>
      <c r="C324" s="362" t="str">
        <f>CONCATENATE(sample_region_ntp1_server,",",sample_region_ntp2_server)</f>
        <v>ntp0.sfo.rainpole.io,ntp1.sfo.rainpole.io</v>
      </c>
      <c r="D324" s="337" t="str">
        <f>CONCATENATE(region_ntp1_server,",",region_ntp2_server)</f>
        <v>Value Missing,Value Missing</v>
      </c>
      <c r="E324" s="337"/>
    </row>
    <row r="325" spans="2:5" s="8" customFormat="1" ht="20" customHeight="1" x14ac:dyDescent="0.2">
      <c r="B325" s="4" t="s">
        <v>611</v>
      </c>
      <c r="C325"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25" s="347"/>
      <c r="E325" s="337"/>
    </row>
    <row r="326" spans="2:5" s="8" customFormat="1" ht="20" customHeight="1" x14ac:dyDescent="0.2">
      <c r="B326" s="4" t="s">
        <v>612</v>
      </c>
      <c r="C326" s="362" t="s">
        <v>128</v>
      </c>
      <c r="D326" s="347"/>
      <c r="E326" s="337"/>
    </row>
    <row r="327" spans="2:5" s="8" customFormat="1" ht="20" customHeight="1" x14ac:dyDescent="0.2">
      <c r="B327" s="465" t="s">
        <v>613</v>
      </c>
      <c r="C327" s="466"/>
      <c r="D327" s="466"/>
      <c r="E327" s="467"/>
    </row>
    <row r="328" spans="2:5" s="8" customFormat="1" ht="20" customHeight="1" x14ac:dyDescent="0.2">
      <c r="B328" s="4" t="s">
        <v>706</v>
      </c>
      <c r="C328" s="101" t="str">
        <f>CONCATENATE(prefix_portable_component,"-net01a","-admin-password")</f>
        <v>flt-net01a-admin-password</v>
      </c>
      <c r="D328" s="347"/>
      <c r="E328" s="337"/>
    </row>
    <row r="329" spans="2:5" s="8" customFormat="1" ht="20" customHeight="1" x14ac:dyDescent="0.2">
      <c r="B329" s="4" t="s">
        <v>199</v>
      </c>
      <c r="C329" s="101" t="s">
        <v>141</v>
      </c>
      <c r="D329" s="347"/>
      <c r="E329" s="337"/>
    </row>
    <row r="330" spans="2:5" s="8" customFormat="1" ht="20" customHeight="1" x14ac:dyDescent="0.2">
      <c r="B330" s="4" t="s">
        <v>707</v>
      </c>
      <c r="C330" s="101" t="s">
        <v>742</v>
      </c>
      <c r="D330" s="347"/>
      <c r="E330" s="337"/>
    </row>
    <row r="331" spans="2:5" s="8" customFormat="1" ht="20" customHeight="1" x14ac:dyDescent="0.2">
      <c r="B331" s="4" t="s">
        <v>709</v>
      </c>
      <c r="C331" s="101" t="s">
        <v>431</v>
      </c>
      <c r="D331" s="347"/>
      <c r="E331" s="337"/>
    </row>
    <row r="332" spans="2:5" s="8" customFormat="1" ht="20" customHeight="1" x14ac:dyDescent="0.2">
      <c r="B332" s="4" t="s">
        <v>713</v>
      </c>
      <c r="C332" s="362" t="s">
        <v>159</v>
      </c>
      <c r="D332" s="347" t="s">
        <v>159</v>
      </c>
      <c r="E332" s="337" t="s">
        <v>715</v>
      </c>
    </row>
    <row r="333" spans="2:5" s="8" customFormat="1" ht="20" customHeight="1" x14ac:dyDescent="0.2">
      <c r="B333" s="4" t="s">
        <v>714</v>
      </c>
      <c r="C333" s="362" t="str">
        <f>sample_flt_net_cert_alias</f>
        <v>flt-net01-cert</v>
      </c>
      <c r="D333" s="337" t="str">
        <f>flt_net_cert_alias</f>
        <v>Value Missing</v>
      </c>
      <c r="E333" s="337"/>
    </row>
    <row r="334" spans="2:5" s="8" customFormat="1" ht="20" customHeight="1" x14ac:dyDescent="0.2">
      <c r="B334" s="4" t="s">
        <v>716</v>
      </c>
      <c r="C334" s="362" t="s">
        <v>159</v>
      </c>
      <c r="D334" s="347" t="s">
        <v>159</v>
      </c>
      <c r="E334" s="337"/>
    </row>
    <row r="335" spans="2:5" s="8" customFormat="1" ht="20" customHeight="1" x14ac:dyDescent="0.2">
      <c r="B335" s="4" t="s">
        <v>743</v>
      </c>
      <c r="C335" s="362" t="s">
        <v>159</v>
      </c>
      <c r="D335" s="347" t="s">
        <v>159</v>
      </c>
      <c r="E335" s="337"/>
    </row>
    <row r="336" spans="2:5" s="8" customFormat="1" ht="20" customHeight="1" x14ac:dyDescent="0.2">
      <c r="B336" s="4" t="s">
        <v>299</v>
      </c>
      <c r="C336" s="362" t="str">
        <f>CONCATENATE(sample_region_ntp1_server,",",sample_region_ntp2_server)</f>
        <v>ntp0.sfo.rainpole.io,ntp1.sfo.rainpole.io</v>
      </c>
      <c r="D336" s="337" t="str">
        <f>CONCATENATE(region_ntp1_server,",",region_ntp2_server)</f>
        <v>Value Missing,Value Missing</v>
      </c>
      <c r="E336" s="337"/>
    </row>
    <row r="337" spans="2:5" s="8" customFormat="1" ht="20" customHeight="1" x14ac:dyDescent="0.2">
      <c r="B337" s="4" t="s">
        <v>744</v>
      </c>
      <c r="C337" s="362" t="s">
        <v>141</v>
      </c>
      <c r="D337" s="347"/>
      <c r="E337" s="337"/>
    </row>
    <row r="338" spans="2:5" s="8" customFormat="1" ht="20" customHeight="1" x14ac:dyDescent="0.2">
      <c r="B338" s="4" t="s">
        <v>745</v>
      </c>
      <c r="C338" s="362" t="s">
        <v>141</v>
      </c>
      <c r="D338" s="347"/>
      <c r="E338" s="337"/>
    </row>
    <row r="339" spans="2:5" s="8" customFormat="1" ht="20" customHeight="1" x14ac:dyDescent="0.2">
      <c r="B339" s="4" t="s">
        <v>746</v>
      </c>
      <c r="C339" s="362" t="s">
        <v>141</v>
      </c>
      <c r="D339" s="347"/>
      <c r="E339" s="337"/>
    </row>
    <row r="340" spans="2:5" s="8" customFormat="1" ht="20" customHeight="1" x14ac:dyDescent="0.2">
      <c r="B340" s="4" t="s">
        <v>624</v>
      </c>
      <c r="C340" s="98" t="str">
        <f>CONCATENATE(this_instance,"-m01-vc01.",sample_child_dns_zone)</f>
        <v>sfo-m01-vc01.sfo.rainpole.io</v>
      </c>
      <c r="D340" s="347"/>
      <c r="E340" s="337" t="s">
        <v>747</v>
      </c>
    </row>
    <row r="341" spans="2:5" s="8" customFormat="1" ht="20" customHeight="1" x14ac:dyDescent="0.2">
      <c r="B341" s="465" t="s">
        <v>748</v>
      </c>
      <c r="C341" s="466"/>
      <c r="D341" s="466"/>
      <c r="E341" s="467"/>
    </row>
    <row r="342" spans="2:5" s="8" customFormat="1" ht="20" customHeight="1" x14ac:dyDescent="0.2">
      <c r="B342" s="4" t="s">
        <v>725</v>
      </c>
      <c r="C342" s="362" t="s">
        <v>749</v>
      </c>
      <c r="D342" s="337" t="str">
        <f>flt_net_nodea_hostname</f>
        <v>Value Missing</v>
      </c>
      <c r="E342" s="337"/>
    </row>
    <row r="343" spans="2:5" s="8" customFormat="1" ht="20" customHeight="1" x14ac:dyDescent="0.2">
      <c r="B343" s="4" t="s">
        <v>283</v>
      </c>
      <c r="C343" s="362" t="str">
        <f>sample_flt_net_nodea_ip</f>
        <v>10.11.10.62</v>
      </c>
      <c r="D343" s="337" t="str">
        <f t="array" ref="D343">flt_net_nodea_ip</f>
        <v>Value Missing</v>
      </c>
      <c r="E343" s="337"/>
    </row>
    <row r="344" spans="2:5" s="8" customFormat="1" ht="20" customHeight="1" x14ac:dyDescent="0.2">
      <c r="B344" s="4" t="s">
        <v>750</v>
      </c>
      <c r="C344" s="362" t="s">
        <v>751</v>
      </c>
      <c r="D344" s="347" t="s">
        <v>751</v>
      </c>
      <c r="E344" s="337"/>
    </row>
    <row r="345" spans="2:5" s="8" customFormat="1" ht="20" customHeight="1" x14ac:dyDescent="0.2">
      <c r="B345" s="465" t="s">
        <v>748</v>
      </c>
      <c r="C345" s="466"/>
      <c r="D345" s="466"/>
      <c r="E345" s="467"/>
    </row>
    <row r="346" spans="2:5" s="8" customFormat="1" ht="20" customHeight="1" x14ac:dyDescent="0.2">
      <c r="B346" s="4" t="s">
        <v>725</v>
      </c>
      <c r="C346" s="362" t="s">
        <v>752</v>
      </c>
      <c r="D346" s="337" t="str">
        <f>flt_net_nodeb_hostname</f>
        <v>Value Missing</v>
      </c>
      <c r="E346" s="337"/>
    </row>
    <row r="347" spans="2:5" s="8" customFormat="1" ht="20" customHeight="1" x14ac:dyDescent="0.2">
      <c r="B347" s="4" t="s">
        <v>283</v>
      </c>
      <c r="C347" s="362" t="str">
        <f>sample_flt_net_nodeb_ip</f>
        <v>10.11.10.63</v>
      </c>
      <c r="D347" s="337" t="str">
        <f t="array" ref="D347">flt_net_nodeb_ip</f>
        <v>Value Missing</v>
      </c>
      <c r="E347" s="337"/>
    </row>
    <row r="348" spans="2:5" s="8" customFormat="1" ht="20" customHeight="1" x14ac:dyDescent="0.2">
      <c r="B348" s="4" t="s">
        <v>750</v>
      </c>
      <c r="C348" s="362" t="s">
        <v>751</v>
      </c>
      <c r="D348" s="347" t="s">
        <v>751</v>
      </c>
      <c r="E348" s="337"/>
    </row>
    <row r="349" spans="2:5" s="8" customFormat="1" ht="20" customHeight="1" x14ac:dyDescent="0.2">
      <c r="B349" s="465" t="s">
        <v>748</v>
      </c>
      <c r="C349" s="466"/>
      <c r="D349" s="466"/>
      <c r="E349" s="467"/>
    </row>
    <row r="350" spans="2:5" s="8" customFormat="1" ht="20" customHeight="1" x14ac:dyDescent="0.2">
      <c r="B350" s="4" t="s">
        <v>725</v>
      </c>
      <c r="C350" s="362" t="s">
        <v>753</v>
      </c>
      <c r="D350" s="337" t="str">
        <f>flt_net_nodec_hostname</f>
        <v>Value Missing</v>
      </c>
      <c r="E350" s="337"/>
    </row>
    <row r="351" spans="2:5" s="8" customFormat="1" ht="20" customHeight="1" x14ac:dyDescent="0.2">
      <c r="B351" s="4" t="s">
        <v>283</v>
      </c>
      <c r="C351" s="362" t="str">
        <f>sample_flt_net_nodec_ip</f>
        <v>10.11.10.64</v>
      </c>
      <c r="D351" s="337" t="str">
        <f t="array" ref="D351">flt_net_nodec_ip</f>
        <v>Value Missing</v>
      </c>
      <c r="E351" s="337"/>
    </row>
    <row r="352" spans="2:5" s="8" customFormat="1" ht="20" customHeight="1" x14ac:dyDescent="0.2">
      <c r="B352" s="4" t="s">
        <v>750</v>
      </c>
      <c r="C352" s="362" t="s">
        <v>751</v>
      </c>
      <c r="D352" s="347" t="s">
        <v>751</v>
      </c>
      <c r="E352" s="337"/>
    </row>
    <row r="353" spans="2:5" s="8" customFormat="1" ht="20" customHeight="1" x14ac:dyDescent="0.2">
      <c r="B353" s="465" t="s">
        <v>754</v>
      </c>
      <c r="C353" s="466"/>
      <c r="D353" s="466"/>
      <c r="E353" s="467"/>
    </row>
    <row r="354" spans="2:5" s="8" customFormat="1" ht="20" customHeight="1" x14ac:dyDescent="0.2">
      <c r="B354" s="4" t="s">
        <v>725</v>
      </c>
      <c r="C354" s="362" t="str">
        <f>CONCATENATE(this_instance,"-netc01")</f>
        <v>sfo-netc01</v>
      </c>
      <c r="D354" s="347" t="str">
        <f>flt_net_prxy_hostname</f>
        <v>Value Missing</v>
      </c>
      <c r="E354" s="337"/>
    </row>
    <row r="355" spans="2:5" s="8" customFormat="1" ht="20" customHeight="1" x14ac:dyDescent="0.2">
      <c r="B355" s="4" t="s">
        <v>283</v>
      </c>
      <c r="C355" s="362" t="str">
        <f>sample_flt_net_prxy_ip</f>
        <v>10.11.10.14</v>
      </c>
      <c r="D355" s="337" t="str">
        <f t="array" ref="D355">flt_net_prxy_ip</f>
        <v>Value Missing</v>
      </c>
      <c r="E355" s="337"/>
    </row>
    <row r="356" spans="2:5" s="8" customFormat="1" ht="20" customHeight="1" x14ac:dyDescent="0.2">
      <c r="B356" s="4" t="s">
        <v>611</v>
      </c>
      <c r="C356" s="362" t="str">
        <f>IF(mgmt_dpg_reuse_result="Included",CONCATENATE(prefix_mgmt_az1_cidr,"10.1"),CONCATENATE(prefix_mgmt_az1_cidr,"11.1"))</f>
        <v>10.11.10.1</v>
      </c>
      <c r="D356" s="347"/>
      <c r="E356" s="337"/>
    </row>
    <row r="357" spans="2:5" s="8" customFormat="1" ht="20" customHeight="1" x14ac:dyDescent="0.2">
      <c r="B357" s="4" t="s">
        <v>612</v>
      </c>
      <c r="C357" s="362" t="s">
        <v>128</v>
      </c>
      <c r="D357" s="347"/>
      <c r="E357" s="337"/>
    </row>
    <row r="358" spans="2:5" s="8" customFormat="1" ht="20" customHeight="1" x14ac:dyDescent="0.2">
      <c r="B358" s="4" t="s">
        <v>252</v>
      </c>
      <c r="C358" s="362" t="str">
        <f>CONCATENATE(this_instance,"-m01-cl01-vds01-pg-vm-mgmt")</f>
        <v>sfo-m01-cl01-vds01-pg-vm-mgmt</v>
      </c>
      <c r="D358" s="347"/>
      <c r="E358" s="337"/>
    </row>
    <row r="359" spans="2:5" s="8" customFormat="1" ht="20" customHeight="1" x14ac:dyDescent="0.2">
      <c r="B359" s="4" t="s">
        <v>750</v>
      </c>
      <c r="C359" s="362" t="s">
        <v>93</v>
      </c>
      <c r="D359" s="347" t="s">
        <v>93</v>
      </c>
      <c r="E359" s="337"/>
    </row>
    <row r="360" spans="2:5" x14ac:dyDescent="0.2">
      <c r="B360" s="8"/>
      <c r="C360" s="8"/>
      <c r="D360" s="2"/>
      <c r="E360" s="2"/>
    </row>
  </sheetData>
  <sheetProtection algorithmName="SHA-512" hashValue="cgl2AEEfcDUrbxU5l3JBs79/Dfis1mAtLvMy5Kt3z4KGA1QBaOJvnefj3QpB+b0vqZymg1Xb/WYV4CrI+7D6SQ==" saltValue="Mc2dAZE4rsieDNFbgzPWVw==" spinCount="100000" sheet="1" selectLockedCells="1"/>
  <mergeCells count="47">
    <mergeCell ref="B60:E60"/>
    <mergeCell ref="B61:E61"/>
    <mergeCell ref="B66:E66"/>
    <mergeCell ref="B80:E80"/>
    <mergeCell ref="B87:E87"/>
    <mergeCell ref="B2:E2"/>
    <mergeCell ref="B3:E3"/>
    <mergeCell ref="B203:E203"/>
    <mergeCell ref="B155:E155"/>
    <mergeCell ref="B120:E120"/>
    <mergeCell ref="B121:E121"/>
    <mergeCell ref="B126:E126"/>
    <mergeCell ref="B140:E140"/>
    <mergeCell ref="B147:E147"/>
    <mergeCell ref="B192:E192"/>
    <mergeCell ref="B118:E118"/>
    <mergeCell ref="B174:E174"/>
    <mergeCell ref="B193:E193"/>
    <mergeCell ref="B201:E201"/>
    <mergeCell ref="B13:E13"/>
    <mergeCell ref="B16:E16"/>
    <mergeCell ref="B272:E272"/>
    <mergeCell ref="B276:E276"/>
    <mergeCell ref="B280:E280"/>
    <mergeCell ref="B24:E24"/>
    <mergeCell ref="B20:E20"/>
    <mergeCell ref="B233:E233"/>
    <mergeCell ref="B241:E241"/>
    <mergeCell ref="B249:E249"/>
    <mergeCell ref="B269:E269"/>
    <mergeCell ref="B30:E30"/>
    <mergeCell ref="B43:E43"/>
    <mergeCell ref="B49:E49"/>
    <mergeCell ref="B206:E206"/>
    <mergeCell ref="B208:E208"/>
    <mergeCell ref="B212:E212"/>
    <mergeCell ref="B95:E95"/>
    <mergeCell ref="B285:E285"/>
    <mergeCell ref="B287:E287"/>
    <mergeCell ref="B291:E291"/>
    <mergeCell ref="B311:E311"/>
    <mergeCell ref="B319:E319"/>
    <mergeCell ref="B327:E327"/>
    <mergeCell ref="B341:E341"/>
    <mergeCell ref="B345:E345"/>
    <mergeCell ref="B349:E349"/>
    <mergeCell ref="B353:E353"/>
  </mergeCells>
  <conditionalFormatting sqref="B7 D7:E7">
    <cfRule type="expression" dxfId="1955" priority="9">
      <formula>$E$7="NSX Centralized Connectivity is required to configure the Fleet appliance on NSX Overlay Segment"</formula>
    </cfRule>
  </conditionalFormatting>
  <conditionalFormatting sqref="B8 D8:E8">
    <cfRule type="expression" dxfId="1954" priority="90">
      <formula>flt_custom_network_vcf_ops_automation_result="Included"</formula>
    </cfRule>
    <cfRule type="expression" dxfId="1953" priority="11">
      <formula>$E$8="Cause: VCF Operations is required to Deploy VCF Automation. Deploy VCF Operations during MGMT Domain Deploy or Day-N"</formula>
    </cfRule>
    <cfRule type="expression" dxfId="1952" priority="88">
      <formula>$E$8="Cause: Custom networking for VCF Operations and VCF Automation not selected in Deploy Management Domain Tab"</formula>
    </cfRule>
    <cfRule type="expression" dxfId="1951" priority="13">
      <formula>$E$8="Cause: I want to connect a VCF Automation instance later option not selected in Deploy Management Domain Tab"</formula>
    </cfRule>
    <cfRule type="expression" dxfId="1950" priority="15">
      <formula>$E$8="Cause: VCF Operations and Automation will be deployed during Managment Domain Deployment"</formula>
    </cfRule>
    <cfRule type="expression" dxfId="1949" priority="16">
      <formula>$E$8="VCF Ops and Automation will be skipped during MGMT Domain deployment. Ensure they are planned as part of fleet Management Day-N"</formula>
    </cfRule>
  </conditionalFormatting>
  <conditionalFormatting sqref="B9 D9:E9">
    <cfRule type="expression" dxfId="1948" priority="149" stopIfTrue="1">
      <formula>(flt_vidb_result="Included")</formula>
    </cfRule>
    <cfRule type="expression" dxfId="1947" priority="148">
      <formula>(flt_vidb_result="Excluded")</formula>
    </cfRule>
    <cfRule type="expression" dxfId="1946" priority="147">
      <formula>AND((flt_vidb_chosen&lt;&gt;"Exclude"),(flt_vidb_result="Excluded"))</formula>
    </cfRule>
  </conditionalFormatting>
  <conditionalFormatting sqref="B10 D10:E10">
    <cfRule type="expression" dxfId="1945" priority="92">
      <formula>flt_logs_result="Excluded"</formula>
    </cfRule>
  </conditionalFormatting>
  <conditionalFormatting sqref="B10:B11 D10:E11 B7 D7:E7">
    <cfRule type="expression" dxfId="1944" priority="102">
      <formula>flt_custom_network_result="Included"</formula>
    </cfRule>
  </conditionalFormatting>
  <conditionalFormatting sqref="B11 D11:E11">
    <cfRule type="expression" dxfId="1943" priority="91">
      <formula>flt_net_result="Excluded"</formula>
    </cfRule>
  </conditionalFormatting>
  <conditionalFormatting sqref="C77 C156:C164">
    <cfRule type="expression" dxfId="1942" priority="80">
      <formula>OR((private_cloud_result="Excluded"),(private_cloud_chosen="Connect Instance"))</formula>
    </cfRule>
  </conditionalFormatting>
  <conditionalFormatting sqref="C100:C109">
    <cfRule type="expression" dxfId="1941" priority="18">
      <formula>OR((private_cloud_result="Excluded"),(private_cloud_chosen="Connect Instance"))</formula>
    </cfRule>
  </conditionalFormatting>
  <conditionalFormatting sqref="C111:C112">
    <cfRule type="expression" dxfId="1940" priority="35">
      <formula>OR((private_cloud_result="Excluded"),(private_cloud_chosen="Connect Instance"))</formula>
    </cfRule>
  </conditionalFormatting>
  <conditionalFormatting sqref="C137">
    <cfRule type="expression" dxfId="1939" priority="218">
      <formula>OR((private_cloud_result="Excluded"),(private_cloud_chosen="Connect Instance"))</formula>
    </cfRule>
  </conditionalFormatting>
  <conditionalFormatting 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
    <cfRule type="notContainsBlanks" dxfId="1938" priority="222">
      <formula>LEN(TRIM(D15))&gt;0</formula>
    </cfRule>
  </conditionalFormatting>
  <conditionalFormatting sqref="D15 D17:D19 D21:D23 D25:D29 D31:D42 D44:D48 D50:D58">
    <cfRule type="expression" dxfId="1936" priority="7">
      <formula>OR((flt_custom_network_vcf_ops_automation_chosen="Deploy VCF Automation"),(flt_custom_network_vcf_ops_automation_chosen="Exclude"))</formula>
    </cfRule>
    <cfRule type="expression" dxfId="1935" priority="27">
      <formula>AND((flt_custom_network_vcf_ops_automation_chosen="Deploy VCF Operations and Automation"),(flt_custom_network_vcf_ops_automation_result="Excluded"))</formula>
    </cfRule>
  </conditionalFormatting>
  <conditionalFormatting sqref="D32">
    <cfRule type="expression" dxfId="1934" priority="1">
      <formula>flt_custom_network_ha_mode_chosen="Standard"</formula>
    </cfRule>
  </conditionalFormatting>
  <conditionalFormatting sqref="D34:D36">
    <cfRule type="expression" dxfId="1933" priority="2">
      <formula>flt_custom_network_ha_mode_chosen="Standard"</formula>
    </cfRule>
  </conditionalFormatting>
  <conditionalFormatting sqref="D38:D39">
    <cfRule type="expression" dxfId="1932" priority="4">
      <formula>flt_custom_network_ha_mode_chosen="Standard"</formula>
    </cfRule>
  </conditionalFormatting>
  <conditionalFormatting sqref="D55:D56">
    <cfRule type="expression" dxfId="1931" priority="3">
      <formula>flt_custom_network_ha_mode_chosen="Standard"</formula>
    </cfRule>
  </conditionalFormatting>
  <conditionalFormatting sqref="D63:D65 D67:D79 D81:D86 D88:D94 D96:D116">
    <cfRule type="expression" dxfId="1930" priority="8">
      <formula>AND((flt_custom_network_vcf_ops_automation_chosen="Deploy VCF Automation"),(flt_custom_network_vcf_ops_automation_result="Excluded"))</formula>
    </cfRule>
    <cfRule type="expression" dxfId="1929" priority="6">
      <formula>OR((flt_custom_network_vcf_ops_automation_chosen="Exclude"),(flt_custom_network_vcf_ops_automation_chosen ="Deploy VCF Operations and Automation"))</formula>
    </cfRule>
  </conditionalFormatting>
  <conditionalFormatting sqref="D65 D67:D77 D79 D81:D86 D88:D94 D105:D116">
    <cfRule type="expression" dxfId="1928" priority="10">
      <formula>vcf_automation_type="Import"</formula>
    </cfRule>
  </conditionalFormatting>
  <conditionalFormatting sqref="D69">
    <cfRule type="expression" dxfId="1927" priority="17">
      <formula>vcf_automation_cert_type_chosen="Generate Certificate"</formula>
    </cfRule>
  </conditionalFormatting>
  <conditionalFormatting sqref="D70:D76">
    <cfRule type="expression" dxfId="1926" priority="12">
      <formula>vcf_automation_cert_type_chosen="Import Certificate"</formula>
    </cfRule>
  </conditionalFormatting>
  <conditionalFormatting sqref="D123:D125 D127:D139 D141:D146 D148:D154 D156:D173">
    <cfRule type="expression" dxfId="1925" priority="105">
      <formula>OR((flt_vidb_chosen="Identity Broker (Embedded)"),(flt_vidb_chosen="Exclude"))</formula>
    </cfRule>
  </conditionalFormatting>
  <conditionalFormatting sqref="D124:D125 D127:D136 D138:D139">
    <cfRule type="expression" dxfId="1924" priority="127">
      <formula>flt_vidb_type_chosen="Import"</formula>
    </cfRule>
  </conditionalFormatting>
  <conditionalFormatting sqref="D129">
    <cfRule type="expression" dxfId="1923" priority="87">
      <formula>flt_vidb_cert_type_chosen="Create Certificate"</formula>
    </cfRule>
    <cfRule type="expression" dxfId="1922" priority="103">
      <formula>flt_logs_install_type_chosen="Import"</formula>
    </cfRule>
    <cfRule type="expression" dxfId="1921" priority="95">
      <formula>flt_logs_cert_type_chosen="Create Certificate"</formula>
    </cfRule>
  </conditionalFormatting>
  <conditionalFormatting sqref="D130:D136">
    <cfRule type="expression" dxfId="1920" priority="86">
      <formula>flt_vidb_cert_type_chosen="Import Certificate"</formula>
    </cfRule>
  </conditionalFormatting>
  <conditionalFormatting sqref="D141:D146">
    <cfRule type="expression" dxfId="1919" priority="123">
      <formula>flt_vidb_type_chosen="Import"</formula>
    </cfRule>
  </conditionalFormatting>
  <conditionalFormatting sqref="D148:D154">
    <cfRule type="expression" dxfId="1918" priority="116">
      <formula>flt_vidb_type_chosen="Import"</formula>
    </cfRule>
  </conditionalFormatting>
  <conditionalFormatting sqref="D159:D162">
    <cfRule type="expression" dxfId="1917" priority="106">
      <formula>flt_vidb_type_chosen="Import"</formula>
    </cfRule>
  </conditionalFormatting>
  <conditionalFormatting sqref="D164:D173">
    <cfRule type="expression" dxfId="1916" priority="107">
      <formula>flt_vidb_type_chosen="Import"</formula>
    </cfRule>
  </conditionalFormatting>
  <conditionalFormatting sqref="D176:D177">
    <cfRule type="expression" dxfId="1915" priority="23">
      <formula>flt_vidb_type_chosen="Import"</formula>
    </cfRule>
    <cfRule type="expression" dxfId="1914" priority="22">
      <formula>OR((flt_vidb_chosen="Identity Broker (Embedded)"),(flt_vidb_chosen="Exclude"))</formula>
    </cfRule>
  </conditionalFormatting>
  <conditionalFormatting sqref="D176:D191 D194:D200 D202 D204 D213:D232 D234:D240 D242:D248 D250:D268 D270:D271 D273:D275 D277:D279 D281:D283 D312:D318 D320:D326 D328:D340 D342:D344 D346:D348 D350:D352 D354:D359 D292:D310 D209:D211 D288:D290 D123:D125 D127:D139 D141:D146 D148:D154 D156:D173 D15 D17:D19 D21:D23 D25:D29 D31:D42 D44:D48 D50:D58 D67:D79 D63:D65 D81:D86 D88:D94 D96:D116">
    <cfRule type="containsBlanks" dxfId="1913" priority="209">
      <formula>LEN(TRIM(D15))=0</formula>
    </cfRule>
  </conditionalFormatting>
  <conditionalFormatting sqref="D178:D191 D194:D200 D202 D204">
    <cfRule type="expression" dxfId="1912" priority="208">
      <formula>flt_vidb_chosen="Exclude"</formula>
    </cfRule>
  </conditionalFormatting>
  <conditionalFormatting sqref="D181">
    <cfRule type="expression" dxfId="1911" priority="26">
      <formula>flt_vidb_server_location_chosen="Selected"</formula>
    </cfRule>
  </conditionalFormatting>
  <conditionalFormatting sqref="D182:D183">
    <cfRule type="expression" dxfId="1910" priority="187">
      <formula>flt_vidb_server_location_chosen="Unselected"</formula>
    </cfRule>
  </conditionalFormatting>
  <conditionalFormatting sqref="D183">
    <cfRule type="expression" dxfId="1909" priority="176">
      <formula>flt_vidb_encrypted_connection_chosen="Unselected"</formula>
    </cfRule>
  </conditionalFormatting>
  <conditionalFormatting sqref="D184:D187">
    <cfRule type="expression" dxfId="1908" priority="188">
      <formula>flt_vidb_server_location_chosen="Selected"</formula>
    </cfRule>
  </conditionalFormatting>
  <conditionalFormatting sqref="D209:D211 D213:D232 D234:D240 D242:D248 D250:D268 D270:D271 D273:D275 D277:D279 D281:D283">
    <cfRule type="expression" dxfId="1907" priority="20">
      <formula>flt_logs_result="Excluded"</formula>
    </cfRule>
  </conditionalFormatting>
  <conditionalFormatting sqref="D210:D211 D213:D224">
    <cfRule type="expression" dxfId="1906" priority="162">
      <formula>flt_logs_install_type_chosen="Import"</formula>
    </cfRule>
  </conditionalFormatting>
  <conditionalFormatting sqref="D213 D292:D305">
    <cfRule type="expression" dxfId="1905" priority="21">
      <formula>flt_net_install_type_chosen="Import"</formula>
    </cfRule>
  </conditionalFormatting>
  <conditionalFormatting sqref="D215:D216">
    <cfRule type="expression" dxfId="1904" priority="135">
      <formula>flt_logs_cert_type_chosen="Generate Certificate"</formula>
    </cfRule>
  </conditionalFormatting>
  <conditionalFormatting sqref="D217:D223">
    <cfRule type="expression" dxfId="1903" priority="128">
      <formula>flt_logs_cert_type_chosen="Import Certificate"</formula>
    </cfRule>
  </conditionalFormatting>
  <conditionalFormatting sqref="D226:D227">
    <cfRule type="expression" dxfId="1902" priority="161">
      <formula>flt_logs_ha_mode_chosen="Standard"</formula>
    </cfRule>
  </conditionalFormatting>
  <conditionalFormatting sqref="D226:D232 D234:D240 D242:D248 D259:D265 D267:D268 D270:D271 D273:D275 D277:D279 D281:D283">
    <cfRule type="expression" dxfId="1901" priority="172">
      <formula>flt_logs_install_type_chosen="Import"</formula>
    </cfRule>
  </conditionalFormatting>
  <conditionalFormatting sqref="D230:D231">
    <cfRule type="expression" dxfId="1900" priority="160">
      <formula>flt_logs_ha_mode_chosen="Standard"</formula>
    </cfRule>
  </conditionalFormatting>
  <conditionalFormatting sqref="D250:D253 D258">
    <cfRule type="expression" dxfId="1899" priority="171">
      <formula>flt_logs_install_type_chosen="New Install"</formula>
    </cfRule>
  </conditionalFormatting>
  <conditionalFormatting sqref="D288:D290 D292:D310 D312:D318 D320:D326 D328:D340 D342:D344 D346:D348 D350:D352 D354:D359">
    <cfRule type="expression" dxfId="1898" priority="24">
      <formula>flt_net_result="Excluded"</formula>
    </cfRule>
  </conditionalFormatting>
  <conditionalFormatting sqref="D289:D290 D307:D310">
    <cfRule type="expression" dxfId="1897" priority="159">
      <formula>flt_net_install_type_chosen="Import"</formula>
    </cfRule>
  </conditionalFormatting>
  <conditionalFormatting sqref="D294:D296">
    <cfRule type="expression" dxfId="1896" priority="140">
      <formula>flt_net_cert_type_chosen="Generate Certificate"</formula>
    </cfRule>
  </conditionalFormatting>
  <conditionalFormatting sqref="D297:D301">
    <cfRule type="expression" dxfId="1895" priority="150">
      <formula>flt_net_cert_type_chosen="Upload Certificate"</formula>
    </cfRule>
  </conditionalFormatting>
  <conditionalFormatting sqref="D303:D304 D346:D348 D350:D352">
    <cfRule type="expression" dxfId="1894" priority="165">
      <formula>flt_net_ha_mode_chosen="Standard"</formula>
    </cfRule>
  </conditionalFormatting>
  <conditionalFormatting sqref="D307:D308">
    <cfRule type="expression" dxfId="1893" priority="155">
      <formula>flt_net_ha_mode_chosen="Standard"</formula>
    </cfRule>
  </conditionalFormatting>
  <conditionalFormatting sqref="D312:D318 D320:D326 D328:D336 D342:D344 D346:D348 D350:D352">
    <cfRule type="expression" dxfId="1892" priority="167">
      <formula>flt_net_install_type_chosen="Import"</formula>
    </cfRule>
  </conditionalFormatting>
  <conditionalFormatting sqref="D337:D340">
    <cfRule type="expression" dxfId="1891" priority="5">
      <formula>flt_net_install_type_chosen="New Install"</formula>
    </cfRule>
  </conditionalFormatting>
  <conditionalFormatting sqref="D354:D359">
    <cfRule type="expression" dxfId="1890" priority="166">
      <formula>flt_net_install_type_chosen="Import"</formula>
    </cfRule>
  </conditionalFormatting>
  <dataValidations count="25">
    <dataValidation type="list" allowBlank="1" showInputMessage="1" showErrorMessage="1" sqref="D178" xr:uid="{994766C4-40A3-CC42-B17C-17610B205720}">
      <formula1>"AD/LDAP,Open LDAP"</formula1>
    </dataValidation>
    <dataValidation type="list" allowBlank="1" showInputMessage="1" showErrorMessage="1" sqref="D136 D76 D301 D223" xr:uid="{7143FC7E-7305-1444-9565-F8667B6757B2}">
      <formula1>"2048,4096"</formula1>
    </dataValidation>
    <dataValidation type="list" allowBlank="1" showInputMessage="1" showErrorMessage="1" sqref="D167 D57 D111" xr:uid="{8824C7EC-CB26-EB4D-8898-DCAD5633727D}">
      <formula1>"198.18.0.0/15,240.0.0.0/15,250.0.0.0/15"</formula1>
    </dataValidation>
    <dataValidation type="list" allowBlank="1" showInputMessage="1" showErrorMessage="1" sqref="D151 D245 D323 D91" xr:uid="{4D64331C-7C4C-904C-BDEB-9EA82E3E962B}">
      <formula1>"Use NTP Server,Use Host Time"</formula1>
    </dataValidation>
    <dataValidation type="list" allowBlank="1" showInputMessage="1" showErrorMessage="1" sqref="D185" xr:uid="{3C92F9A4-B2F2-E94C-8BC4-E554D8C0E132}">
      <formula1>"Selected,Deselected"</formula1>
    </dataValidation>
    <dataValidation type="list" allowBlank="1" showInputMessage="1" showErrorMessage="1" sqref="D188" xr:uid="{AB1E007F-70EC-5F44-8A9A-128E2A1822D0}">
      <formula1>"sAMAccountName,userPrincipalName"</formula1>
    </dataValidation>
    <dataValidation type="list" allowBlank="1" showInputMessage="1" showErrorMessage="1" sqref="D180:D182 D260 D262:D265 D332 D334:D335" xr:uid="{EB1D5431-E355-8349-92B7-98699093D262}">
      <formula1>"Selected,Unselected"</formula1>
    </dataValidation>
    <dataValidation type="list" allowBlank="1" showInputMessage="1" showErrorMessage="1" sqref="D40" xr:uid="{4FBF4F04-1285-DD4D-90F3-B6E8801DE825}">
      <formula1>"Extra Small,Small,Medium,Large,Extra Large"</formula1>
    </dataValidation>
    <dataValidation type="list" allowBlank="1" showInputMessage="1" showErrorMessage="1" sqref="D25 D31" xr:uid="{D1F92E03-AD45-2F47-9558-09D7FD271440}">
      <formula1>"True,False"</formula1>
    </dataValidation>
    <dataValidation type="list" allowBlank="1" showInputMessage="1" showErrorMessage="1" sqref="D292 D213" xr:uid="{84A6AA19-92FD-1745-9B01-EB23753E23EA}">
      <formula1>"Generate Certificate, Upload Certificate"</formula1>
    </dataValidation>
    <dataValidation type="list" allowBlank="1" showInputMessage="1" showErrorMessage="1" sqref="D359 D344 D348 D352" xr:uid="{F3F74E46-3475-AD4A-B8A4-F0E8E8574DF1}">
      <formula1>"Small,Medium,Large,Extra Large,Extra Extra Large"</formula1>
    </dataValidation>
    <dataValidation type="list" allowBlank="1" showInputMessage="1" showErrorMessage="1" sqref="D268" xr:uid="{6D173F54-4752-734E-9316-23FEDCA5CB2C}">
      <formula1>"Use NTP Server,Use Host Time,Use Infra Selection"</formula1>
    </dataValidation>
    <dataValidation type="list" allowBlank="1" showInputMessage="1" showErrorMessage="1" sqref="D240 D318" xr:uid="{3BD8D73E-4484-794A-A874-11BC4777E021}">
      <formula1>"Thick,Thin"</formula1>
    </dataValidation>
    <dataValidation type="list" allowBlank="1" showInputMessage="1" showErrorMessage="1" sqref="D288 D123 D63 D209" xr:uid="{B8E55E4A-6EFC-B048-AFF4-21E5B78AF445}">
      <formula1>"New Install,Import"</formula1>
    </dataValidation>
    <dataValidation type="list" allowBlank="1" showInputMessage="1" showErrorMessage="1" sqref="D211 D290 D15" xr:uid="{230E7CF5-A976-A547-8367-385D57937F44}">
      <formula1>"Standard,Cluster"</formula1>
    </dataValidation>
    <dataValidation type="list" allowBlank="1" showInputMessage="1" showErrorMessage="1" sqref="D259 D65" xr:uid="{8510D5E3-76F3-4F48-A320-4202661526C0}">
      <formula1>"Small,Medium,Large"</formula1>
    </dataValidation>
    <dataValidation type="list" allowBlank="1" showInputMessage="1" showErrorMessage="1" sqref="B9" xr:uid="{7740F528-FF66-FF43-88FF-19B5D54B3382}">
      <formula1>"Exclude,Identity Broker (Embedded), Identity Broker Appliance"</formula1>
    </dataValidation>
    <dataValidation type="list" allowBlank="1" showInputMessage="1" showErrorMessage="1" sqref="D125" xr:uid="{E07E5276-DDD6-4642-967E-363713C03056}">
      <formula1>"Small"</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10:B11" xr:uid="{1C6D1F2F-2024-BF43-9E09-1369086DFFDD}">
      <formula1>"Exclude,Include"</formula1>
    </dataValidation>
    <dataValidation type="list" allowBlank="1" showInputMessage="1" showErrorMessage="1" sqref="D47" xr:uid="{BF0092FD-F5BE-0549-98EB-42FB37933424}">
      <formula1>"Small,Standard"</formula1>
    </dataValidation>
    <dataValidation type="list" allowBlank="1" showInputMessage="1" showErrorMessage="1" sqref="D18 D22 D154 D248 D326 D94 D357" xr:uid="{AF7C602C-7F1C-7A4C-AED7-127F9A94DBC9}">
      <formula1>table_masks</formula1>
    </dataValidation>
    <dataValidation type="list" allowBlank="1" showInputMessage="1" showErrorMessage="1" sqref="D108:D109" xr:uid="{BA2A58DB-A6BD-BA47-AEDB-5812ACF09ED2}">
      <formula1>"Internal Load Balancer, Others"</formula1>
    </dataValidation>
    <dataValidation type="list" allowBlank="1" showInputMessage="1" showErrorMessage="1" sqref="D67 D127" xr:uid="{ACAEE1EB-150C-A14A-8278-1F506B21EB1E}">
      <formula1>"Generate Certificate, Import Certificate"</formula1>
    </dataValidation>
    <dataValidation type="list" allowBlank="1" showInputMessage="1" showErrorMessage="1" sqref="B8" xr:uid="{B25EF55C-E2AA-B94F-AF1D-47D1A0610B97}">
      <formula1>"Exclude,Deploy VCF Operations and Automation,Deploy VCF Automation"</formula1>
    </dataValidation>
  </dataValidations>
  <pageMargins left="0.7" right="0.7" top="0.75" bottom="0.75" header="0.3" footer="0.3"/>
  <pageSetup paperSize="9" orientation="portrait" horizontalDpi="0" verticalDpi="0"/>
  <ignoredErrors>
    <ignoredError sqref="C106:D106" formula="1"/>
    <ignoredError sqref="D354" unlocked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210" operator="containsText" id="{8C65F81A-2E61-5646-925D-414FD40D4206}">
            <xm:f>NOT(ISERROR(SEARCH("Value Missing",D15)))</xm:f>
            <xm:f>"Value Missing"</xm:f>
            <x14:dxf>
              <font>
                <color rgb="FF0E223A"/>
              </font>
              <fill>
                <patternFill>
                  <bgColor rgb="FFFFBE29"/>
                </patternFill>
              </fill>
            </x14:dxf>
          </x14:cfRule>
          <xm: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34"/>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8" customWidth="1"/>
    <col min="2" max="2" width="75.83203125" style="8" customWidth="1"/>
    <col min="3" max="3" width="76.1640625" style="8" customWidth="1"/>
    <col min="4" max="4" width="75.83203125" style="8" customWidth="1"/>
    <col min="5" max="5" width="109.1640625" style="8" customWidth="1"/>
    <col min="6" max="6" width="10.83203125" style="8" customWidth="1"/>
    <col min="7" max="14" width="11" style="8" customWidth="1"/>
    <col min="15" max="16384" width="11" style="8"/>
  </cols>
  <sheetData>
    <row r="1" spans="1:10" s="2" customFormat="1" ht="16" customHeight="1" x14ac:dyDescent="0.2">
      <c r="A1" s="1"/>
      <c r="F1" s="8"/>
      <c r="G1" s="8"/>
      <c r="H1" s="8"/>
      <c r="I1" s="8"/>
      <c r="J1" s="8"/>
    </row>
    <row r="2" spans="1:10" s="2" customFormat="1" ht="54" customHeight="1" x14ac:dyDescent="0.2">
      <c r="B2" s="550" t="s">
        <v>755</v>
      </c>
      <c r="C2" s="551"/>
      <c r="D2" s="551"/>
      <c r="E2" s="552"/>
      <c r="F2" s="8"/>
      <c r="G2" s="8"/>
      <c r="H2" s="8"/>
      <c r="I2" s="8"/>
      <c r="J2" s="8"/>
    </row>
    <row r="3" spans="1:10" s="2" customFormat="1" ht="20" customHeight="1" x14ac:dyDescent="0.2">
      <c r="B3" s="553" t="s">
        <v>756</v>
      </c>
      <c r="C3" s="554"/>
      <c r="D3" s="554"/>
      <c r="E3" s="555"/>
      <c r="F3" s="8"/>
      <c r="G3" s="8"/>
      <c r="H3" s="8"/>
      <c r="I3" s="8"/>
      <c r="J3" s="8"/>
    </row>
    <row r="4" spans="1:10" s="2" customFormat="1" x14ac:dyDescent="0.2">
      <c r="D4" s="10"/>
      <c r="E4" s="3"/>
      <c r="F4" s="3"/>
    </row>
    <row r="5" spans="1:10" ht="16" customHeight="1" x14ac:dyDescent="0.2"/>
    <row r="6" spans="1:10" ht="34" customHeight="1" x14ac:dyDescent="0.2">
      <c r="B6" s="556" t="s">
        <v>757</v>
      </c>
      <c r="C6" s="557"/>
      <c r="D6" s="557"/>
      <c r="E6" s="557"/>
    </row>
    <row r="8" spans="1:10" ht="34" customHeight="1" x14ac:dyDescent="0.2">
      <c r="B8" s="369" t="s">
        <v>758</v>
      </c>
      <c r="C8" s="370"/>
      <c r="D8" s="370"/>
      <c r="E8" s="371"/>
    </row>
    <row r="9" spans="1:10" ht="20" customHeight="1" x14ac:dyDescent="0.2">
      <c r="B9" s="346" t="s">
        <v>9</v>
      </c>
      <c r="C9" s="346" t="s">
        <v>10</v>
      </c>
      <c r="D9" s="346" t="s">
        <v>11</v>
      </c>
      <c r="E9" s="346" t="s">
        <v>12</v>
      </c>
    </row>
    <row r="10" spans="1:10" ht="20" customHeight="1" x14ac:dyDescent="0.2">
      <c r="B10" s="355" t="s">
        <v>13</v>
      </c>
      <c r="C10" s="362" t="str">
        <f>IF(vcf_granular_option_chosen="Additional WLD Cluster","Deploy Additional Workload Cluster","Deploy Virtual Infrastructure (VI) Workload Domain")</f>
        <v>Deploy Virtual Infrastructure (VI) Workload Domain</v>
      </c>
      <c r="D10" s="112"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VI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12" t="str">
        <f>IF(mgmt_domain_deployment_type_chosen="VMware vSphere Foundation","Cannot be performed on a VMware vSphere Foundation deployment",
IF(vcf_granular_option_chosen="Create Cluster","Create VI Workload Domain or Deploy a new VCF fleet not selected on VCF &amp; VVF Planning Tab",
IF(AND(vcf_granular_option_chosen&lt;&gt;"Deploy a new VCF fleet",vcf_granular_option_chosen&lt;&gt;"Deploy a VCF Instance in an existing VCF fleet",vcf_granular_option_chosen&lt;&gt;"Create VI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20" customHeight="1" x14ac:dyDescent="0.2">
      <c r="B11" s="254" t="s">
        <v>13</v>
      </c>
      <c r="C11" s="362" t="s">
        <v>759</v>
      </c>
      <c r="D11" s="112" t="str">
        <f>IF(mgmt_domain_deployment_type_chosen="VMware vSphere Foundation","Excluded",
IF(AND(vcf_granular_option_chosen&lt;&gt;"Deploy a new VCF fleet",vcf_granular_option_chosen&lt;&gt;"Deploy a VCF Instance in an existing VCF fleet",vcf_granular_option_chosen&lt;&gt;"Create VI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337"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IF(AND(wld_multirack_calc="Include",wld_multirack_result="Excluded"),"Cause: Multi Rack prerequistes not set. Define the number of additional racks.",
IF(wld_multirack_calc="Exclude","Cause: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VI Workload Domain Required</v>
      </c>
    </row>
    <row r="12" spans="1:10" ht="20" customHeight="1" x14ac:dyDescent="0.2">
      <c r="B12" s="254" t="s">
        <v>13</v>
      </c>
      <c r="C12" s="362" t="s">
        <v>760</v>
      </c>
      <c r="D12"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IF(wld_domain_chosen="Deploy Workload Domain with a Single-Rack / Multi-Rack Layer 2 Cluster","Excluded",
IF(wld_multirack_result="Excluded","Excluded",IF(wld_multi_rack_count_chosen="Exclude","Excluded","Included")))))</f>
        <v>Excluded</v>
      </c>
      <c r="E12" s="337"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VI Workload Domain"),"Option Not Required for current deployment type",
IF(wld_multirack_calc="Exclude","Cause: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VI Workload Domain Required</v>
      </c>
    </row>
    <row r="13" spans="1:10" ht="20" customHeight="1" x14ac:dyDescent="0.2">
      <c r="B13" s="347" t="s">
        <v>13</v>
      </c>
      <c r="C13" s="362" t="s">
        <v>761</v>
      </c>
      <c r="D13" s="337" t="str">
        <f>IF(mgmt_domain_deployment_type_chosen="VMware vSphere Foundation",IF(wld_dpg_separation_chosen="Exclude","Excluded"),"Included")</f>
        <v>Included</v>
      </c>
      <c r="E13" s="337"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IF(wld_domain_chosen="Import VI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VI Workload Domain Required</v>
      </c>
    </row>
    <row r="14" spans="1:10" ht="20" customHeight="1" x14ac:dyDescent="0.2">
      <c r="B14" s="145" t="s">
        <v>762</v>
      </c>
      <c r="C14" s="362" t="s">
        <v>763</v>
      </c>
      <c r="D14" s="337" t="str">
        <f>IF(mgmt_domain_deployment_type_chosen="VMware vSphere Foundation","Excluded",IF(wld_domain_chosen="Import VI Workload Domain","Excluded",
IF((wld_domain_result="Excluded"),"Excluded",
IF(AND(wld_multirack_calc="Include",AND(wld_principal_storage_chosen&lt;&gt;"vSAN-ESA",wld_principal_storage_chosen&lt;&gt;"vSAN-OSA",wld_principal_storage_chosen&lt;&gt;"vSAN Compute Cluster")),"Excluded",
IF(vcf_version_chosen="No Version Selected","Excluded","Included")))))</f>
        <v>Excluded</v>
      </c>
      <c r="E14" s="337"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IF(AND(wld_multirack_calc="Include",AND(wld_principal_storage_chosen&lt;&gt;"vSAN-ESA",wld_principal_storage_chosen&lt;&gt;"vSAN-OSA",wld_principal_storage_chosen&lt;&gt;"vSAN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IF(wld_principal_storage_chosen="NFSv3","Principal Storage will be NFS based",
IF(wld_principal_storage_chosen="VMFS on Fibre Channel (FC)","Principal Storage will be VMFS on FC based",""))))))))))</f>
        <v>Cause: Standard VI Workload Domain Required</v>
      </c>
    </row>
    <row r="15" spans="1:10" ht="20" customHeight="1" x14ac:dyDescent="0.2">
      <c r="B15" s="79" t="s">
        <v>249</v>
      </c>
      <c r="C15" s="362" t="s">
        <v>764</v>
      </c>
      <c r="D15" s="77" t="str">
        <f>IF((wld_domain_result="Excluded"),"Excluded",
IF(wld_domain_chosen="Import Workload Domain","Excluded","Included"))</f>
        <v>Excluded</v>
      </c>
      <c r="E15" s="112" t="str">
        <f>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VI Workload Domain Required</v>
      </c>
    </row>
    <row r="16" spans="1:10" ht="20" customHeight="1" x14ac:dyDescent="0.2">
      <c r="B16" s="355" t="s">
        <v>13</v>
      </c>
      <c r="C16" s="362" t="str">
        <f>IF(wld_principal_storage_chosen="vSAN Storage Cluster","Prepare vSAN Storage Cluster with a vSAN Client Network","Prepare Workload Domain with a Secondary Storage Network")</f>
        <v>Prepare Workload Domain with a Secondary Storage Network</v>
      </c>
      <c r="D16" s="112"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IF(wld_secondary_storage_chosen="Exclude","Cause: Not Selected. Workload Domain will not be prepared with Secondary Storage Network",
IF(wld_domain_result="Excluded","Cause: Standard VI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VI Workload Domain Required</v>
      </c>
    </row>
    <row r="17" spans="2:7" ht="20" customHeight="1" x14ac:dyDescent="0.2">
      <c r="B17" s="146" t="s">
        <v>13</v>
      </c>
      <c r="C17" s="362" t="s">
        <v>765</v>
      </c>
      <c r="D17" s="112" t="str">
        <f>IF(wld_domain_result="Excluded","Excluded",
IF(mgmt_domain_deployment_type_chosen="VMware vSphere Foundation","Excluded",IF(wld_esxi_external_certs_chosen="Include","Included","Excluded")))</f>
        <v>Excluded</v>
      </c>
      <c r="E17"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ESXi hosts with External Certificates",IF(wld_domain_result="Excluded","Cause: Standard Workload Domain Required")))))))</f>
        <v>Cause: Standard VI Workload Domain Required</v>
      </c>
    </row>
    <row r="18" spans="2:7" ht="20" customHeight="1" x14ac:dyDescent="0.2">
      <c r="B18" s="355" t="s">
        <v>13</v>
      </c>
      <c r="C18" s="362" t="s">
        <v>766</v>
      </c>
      <c r="D18" s="112" t="str">
        <f>IF(mgmt_domain_deployment_type_chosen="VMware vSphere Foundation","Excluded",
IF(wld_domain_result="Excluded","Excluded",
IF(wld_stretched_cluster_chosen="Include","Excluded",
IF(wld_iaas_chosen="Include","Included","Excluded"))))</f>
        <v>Excluded</v>
      </c>
      <c r="E18"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VI Workload Domain Required</v>
      </c>
      <c r="G18" s="27"/>
    </row>
    <row r="19" spans="2:7" ht="16" customHeight="1" x14ac:dyDescent="0.2">
      <c r="G19" s="27"/>
    </row>
    <row r="20" spans="2:7" ht="34" customHeight="1" x14ac:dyDescent="0.2">
      <c r="B20" s="425" t="s">
        <v>767</v>
      </c>
      <c r="C20" s="426"/>
      <c r="D20" s="426"/>
      <c r="E20" s="427"/>
      <c r="G20" s="27"/>
    </row>
    <row r="21" spans="2:7" ht="20" customHeight="1" x14ac:dyDescent="0.2">
      <c r="B21" s="492" t="s">
        <v>768</v>
      </c>
      <c r="C21" s="493"/>
      <c r="D21" s="493"/>
      <c r="E21" s="494"/>
      <c r="G21" s="27"/>
    </row>
    <row r="22" spans="2:7" ht="20" customHeight="1" x14ac:dyDescent="0.2">
      <c r="B22" s="346" t="s">
        <v>17</v>
      </c>
      <c r="C22" s="346" t="s">
        <v>18</v>
      </c>
      <c r="D22" s="346" t="s">
        <v>19</v>
      </c>
      <c r="E22" s="346" t="s">
        <v>20</v>
      </c>
      <c r="G22" s="27"/>
    </row>
    <row r="23" spans="2:7" ht="20" customHeight="1" x14ac:dyDescent="0.2">
      <c r="B23" s="4" t="s">
        <v>769</v>
      </c>
      <c r="C23" s="89" t="str">
        <f>CONCATENATE(this_instance,"-w0",wld_domain_number_chosen)</f>
        <v>sfo-w01</v>
      </c>
      <c r="D23" s="347"/>
      <c r="E23" s="25" t="str">
        <f>IF(wld_domain_chosen="Import Workload Domain","Use this section for Import Workload Domain","")</f>
        <v/>
      </c>
      <c r="G23" s="27"/>
    </row>
    <row r="24" spans="2:7" ht="16" customHeight="1" x14ac:dyDescent="0.2">
      <c r="G24" s="27"/>
    </row>
    <row r="25" spans="2:7" ht="34" customHeight="1" x14ac:dyDescent="0.2">
      <c r="B25" s="522" t="s">
        <v>770</v>
      </c>
      <c r="C25" s="523"/>
      <c r="D25" s="523"/>
      <c r="E25" s="524"/>
      <c r="G25" s="27"/>
    </row>
    <row r="26" spans="2:7" ht="20" customHeight="1" x14ac:dyDescent="0.2">
      <c r="B26" s="492" t="s">
        <v>768</v>
      </c>
      <c r="C26" s="493"/>
      <c r="D26" s="493"/>
      <c r="E26" s="494"/>
      <c r="G26" s="27"/>
    </row>
    <row r="27" spans="2:7" ht="20" customHeight="1" x14ac:dyDescent="0.2">
      <c r="B27" s="346" t="s">
        <v>17</v>
      </c>
      <c r="C27" s="346" t="s">
        <v>18</v>
      </c>
      <c r="D27" s="346" t="s">
        <v>19</v>
      </c>
      <c r="E27" s="346" t="s">
        <v>20</v>
      </c>
      <c r="G27" s="27"/>
    </row>
    <row r="28" spans="2:7" ht="20" customHeight="1" x14ac:dyDescent="0.2">
      <c r="B28" s="4" t="s">
        <v>771</v>
      </c>
      <c r="C28" s="89" t="s">
        <v>772</v>
      </c>
      <c r="D28" s="347" t="s">
        <v>772</v>
      </c>
      <c r="E28" s="32"/>
      <c r="G28" s="27"/>
    </row>
    <row r="29" spans="2:7" ht="20" customHeight="1" x14ac:dyDescent="0.2">
      <c r="B29" s="4" t="s">
        <v>773</v>
      </c>
      <c r="C29" s="89" t="str">
        <f>CONCATENATE(this_instance,"-w0",wld_domain_number_chosen,"-vc01",".",sample_child_dns_zone)</f>
        <v>sfo-w01-vc01.sfo.rainpole.io</v>
      </c>
      <c r="D29" s="347"/>
      <c r="E29" s="32"/>
      <c r="G29" s="27"/>
    </row>
    <row r="30" spans="2:7" ht="20" customHeight="1" x14ac:dyDescent="0.2">
      <c r="B30" s="4" t="s">
        <v>774</v>
      </c>
      <c r="C30" s="89" t="s">
        <v>141</v>
      </c>
      <c r="D30" s="347"/>
      <c r="E30" s="147"/>
      <c r="G30" s="27"/>
    </row>
    <row r="31" spans="2:7" ht="20" customHeight="1" x14ac:dyDescent="0.2">
      <c r="B31" s="4" t="s">
        <v>775</v>
      </c>
      <c r="C31" s="89" t="str">
        <f>CONCATENATE("administrator@",this_instance,"-w0",wld_domain_number_chosen,".local")</f>
        <v>administrator@sfo-w01.local</v>
      </c>
      <c r="D31" s="347"/>
      <c r="E31" s="147"/>
      <c r="G31" s="27"/>
    </row>
    <row r="32" spans="2:7" ht="20" customHeight="1" x14ac:dyDescent="0.2">
      <c r="B32" s="4" t="s">
        <v>776</v>
      </c>
      <c r="C32" s="89" t="s">
        <v>141</v>
      </c>
      <c r="D32" s="347"/>
      <c r="E32" s="147"/>
      <c r="G32" s="27"/>
    </row>
    <row r="33" spans="2:7" ht="20" customHeight="1" x14ac:dyDescent="0.2">
      <c r="B33" s="4" t="s">
        <v>777</v>
      </c>
      <c r="C33" s="89" t="s">
        <v>159</v>
      </c>
      <c r="D33" s="347" t="s">
        <v>159</v>
      </c>
      <c r="E33" s="147"/>
      <c r="G33" s="27"/>
    </row>
    <row r="34" spans="2:7" ht="16" customHeight="1" x14ac:dyDescent="0.2"/>
    <row r="35" spans="2:7" ht="34" customHeight="1" x14ac:dyDescent="0.2">
      <c r="B35" s="522" t="s">
        <v>778</v>
      </c>
      <c r="C35" s="523"/>
      <c r="D35" s="523"/>
      <c r="E35" s="524"/>
    </row>
    <row r="36" spans="2:7" ht="20" customHeight="1" x14ac:dyDescent="0.2">
      <c r="B36" s="492" t="s">
        <v>779</v>
      </c>
      <c r="C36" s="493"/>
      <c r="D36" s="493"/>
      <c r="E36" s="494"/>
    </row>
    <row r="37" spans="2:7" ht="20" customHeight="1" x14ac:dyDescent="0.2">
      <c r="B37" s="346" t="s">
        <v>17</v>
      </c>
      <c r="C37" s="346" t="s">
        <v>18</v>
      </c>
      <c r="D37" s="346" t="s">
        <v>19</v>
      </c>
      <c r="E37" s="346" t="s">
        <v>20</v>
      </c>
      <c r="G37" s="27"/>
    </row>
    <row r="38" spans="2:7" ht="20" customHeight="1" x14ac:dyDescent="0.2">
      <c r="B38" s="17" t="s">
        <v>780</v>
      </c>
      <c r="C38" s="362" t="s">
        <v>781</v>
      </c>
      <c r="D38" s="347" t="s">
        <v>781</v>
      </c>
      <c r="E38" s="32"/>
    </row>
    <row r="39" spans="2:7" ht="20" customHeight="1" x14ac:dyDescent="0.2">
      <c r="B39" s="17" t="s">
        <v>782</v>
      </c>
      <c r="C39" s="362" t="s">
        <v>783</v>
      </c>
      <c r="D39" s="347" t="s">
        <v>783</v>
      </c>
      <c r="E39" s="32"/>
    </row>
    <row r="40" spans="2:7" ht="20" customHeight="1" x14ac:dyDescent="0.2">
      <c r="B40" s="17" t="s">
        <v>784</v>
      </c>
      <c r="C40" s="362" t="s">
        <v>93</v>
      </c>
      <c r="D40" s="347" t="s">
        <v>93</v>
      </c>
      <c r="E40" s="32"/>
    </row>
    <row r="41" spans="2:7" ht="20" customHeight="1" x14ac:dyDescent="0.2">
      <c r="B41" s="17" t="s">
        <v>785</v>
      </c>
      <c r="C41" s="126" t="str">
        <f>CONCATENATE(this_instance,"-w0",wld_domain_number_chosen,"-nsx01a",".",sample_child_dns_zone)</f>
        <v>sfo-w01-nsx01a.sfo.rainpole.io</v>
      </c>
      <c r="D41" s="347"/>
      <c r="E41" s="337" t="s">
        <v>786</v>
      </c>
    </row>
    <row r="42" spans="2:7" ht="20" customHeight="1" x14ac:dyDescent="0.2">
      <c r="B42" s="17" t="s">
        <v>787</v>
      </c>
      <c r="C42" s="126" t="str">
        <f>CONCATENATE(this_instance,"-w0",wld_domain_number_chosen,"-nsx01b",".",sample_child_dns_zone)</f>
        <v>sfo-w01-nsx01b.sfo.rainpole.io</v>
      </c>
      <c r="D42" s="347"/>
      <c r="E42" s="337" t="s">
        <v>788</v>
      </c>
    </row>
    <row r="43" spans="2:7" ht="20" customHeight="1" x14ac:dyDescent="0.2">
      <c r="B43" s="17" t="s">
        <v>789</v>
      </c>
      <c r="C43" s="126" t="str">
        <f>CONCATENATE(this_instance,"-w0",wld_domain_number_chosen,"-nsx01c",".",sample_child_dns_zone)</f>
        <v>sfo-w01-nsx01c.sfo.rainpole.io</v>
      </c>
      <c r="D43" s="347"/>
      <c r="E43" s="337" t="s">
        <v>790</v>
      </c>
    </row>
    <row r="44" spans="2:7" ht="20" customHeight="1" x14ac:dyDescent="0.2">
      <c r="B44" s="17" t="s">
        <v>791</v>
      </c>
      <c r="C44" s="126" t="str">
        <f>CONCATENATE(this_instance,"-w0",wld_domain_number_chosen,"-nsx01",".",sample_child_dns_zone)</f>
        <v>sfo-w01-nsx01.sfo.rainpole.io</v>
      </c>
      <c r="D44" s="347"/>
      <c r="E44" s="337" t="s">
        <v>792</v>
      </c>
      <c r="G44" s="27"/>
    </row>
    <row r="45" spans="2:7" ht="20" customHeight="1" x14ac:dyDescent="0.2">
      <c r="B45" s="4" t="s">
        <v>793</v>
      </c>
      <c r="C45" s="89" t="s">
        <v>159</v>
      </c>
      <c r="D45" s="347" t="s">
        <v>159</v>
      </c>
      <c r="E45" s="337" t="s">
        <v>794</v>
      </c>
    </row>
    <row r="46" spans="2:7" ht="20" customHeight="1" x14ac:dyDescent="0.2">
      <c r="B46" s="17" t="s">
        <v>795</v>
      </c>
      <c r="C46" s="362" t="s">
        <v>159</v>
      </c>
      <c r="D46" s="347" t="s">
        <v>159</v>
      </c>
      <c r="E46" s="337" t="s">
        <v>796</v>
      </c>
    </row>
    <row r="47" spans="2:7" ht="20" customHeight="1" x14ac:dyDescent="0.2">
      <c r="B47" s="17" t="s">
        <v>797</v>
      </c>
      <c r="C47" s="362" t="s">
        <v>145</v>
      </c>
      <c r="D47" s="347" t="s">
        <v>145</v>
      </c>
      <c r="E47" s="337"/>
    </row>
    <row r="48" spans="2:7" ht="20" customHeight="1" x14ac:dyDescent="0.2">
      <c r="B48" s="4" t="s">
        <v>798</v>
      </c>
      <c r="C48" s="89" t="s">
        <v>141</v>
      </c>
      <c r="D48" s="347"/>
      <c r="E48" s="337" t="s">
        <v>200</v>
      </c>
    </row>
    <row r="49" spans="2:7" ht="20" customHeight="1" x14ac:dyDescent="0.2">
      <c r="B49" s="4" t="s">
        <v>799</v>
      </c>
      <c r="C49" s="89" t="s">
        <v>141</v>
      </c>
      <c r="D49" s="347"/>
      <c r="E49" s="337" t="s">
        <v>200</v>
      </c>
    </row>
    <row r="50" spans="2:7" ht="20" customHeight="1" x14ac:dyDescent="0.2">
      <c r="B50" s="4" t="s">
        <v>800</v>
      </c>
      <c r="C50" s="89" t="s">
        <v>141</v>
      </c>
      <c r="D50" s="347"/>
      <c r="E50" s="337" t="s">
        <v>200</v>
      </c>
      <c r="G50" s="27"/>
    </row>
    <row r="51" spans="2:7" ht="16" customHeight="1" x14ac:dyDescent="0.2">
      <c r="G51" s="27"/>
    </row>
    <row r="52" spans="2:7" ht="34" customHeight="1" x14ac:dyDescent="0.2">
      <c r="B52" s="558" t="s">
        <v>801</v>
      </c>
      <c r="C52" s="559"/>
      <c r="D52" s="559"/>
      <c r="E52" s="560"/>
      <c r="G52" s="27"/>
    </row>
    <row r="53" spans="2:7" ht="20" customHeight="1" x14ac:dyDescent="0.2"/>
    <row r="54" spans="2:7" ht="36" customHeight="1" x14ac:dyDescent="0.2">
      <c r="B54" s="522" t="s">
        <v>802</v>
      </c>
      <c r="C54" s="523"/>
      <c r="D54" s="523"/>
      <c r="E54" s="524"/>
    </row>
    <row r="55" spans="2:7" ht="20" customHeight="1" x14ac:dyDescent="0.2">
      <c r="B55" s="492"/>
      <c r="C55" s="493"/>
      <c r="D55" s="493"/>
      <c r="E55" s="494"/>
    </row>
    <row r="56" spans="2:7" ht="20" customHeight="1" x14ac:dyDescent="0.2">
      <c r="B56" s="346" t="s">
        <v>17</v>
      </c>
      <c r="C56" s="346" t="s">
        <v>18</v>
      </c>
      <c r="D56" s="346" t="s">
        <v>19</v>
      </c>
      <c r="E56" s="346" t="s">
        <v>20</v>
      </c>
    </row>
    <row r="57" spans="2:7" ht="20" customHeight="1" x14ac:dyDescent="0.2">
      <c r="B57" s="492" t="s">
        <v>213</v>
      </c>
      <c r="C57" s="493"/>
      <c r="D57" s="493"/>
      <c r="E57" s="494"/>
    </row>
    <row r="58" spans="2:7" ht="20" customHeight="1" x14ac:dyDescent="0.2">
      <c r="B58" s="4" t="s">
        <v>85</v>
      </c>
      <c r="C58" s="80" t="str">
        <f>CONCATENATE(prefix_wld_az1_vlan,"11")</f>
        <v>1311</v>
      </c>
      <c r="D58" s="347"/>
      <c r="E58" s="93"/>
    </row>
    <row r="59" spans="2:7" ht="20" customHeight="1" x14ac:dyDescent="0.2">
      <c r="B59" s="4" t="s">
        <v>187</v>
      </c>
      <c r="C59" s="80" t="str">
        <f>CONCATENATE(prefix_wld_az1_cidr,"11.1")</f>
        <v>10.13.11.1</v>
      </c>
      <c r="D59" s="347"/>
      <c r="E59" s="32"/>
    </row>
    <row r="60" spans="2:7" ht="20" customHeight="1" x14ac:dyDescent="0.2">
      <c r="B60" s="4" t="s">
        <v>188</v>
      </c>
      <c r="C60" s="80" t="str">
        <f>CONCATENATE(prefix_wld_az1_cidr,"11.0/24")</f>
        <v>10.13.11.0/24</v>
      </c>
      <c r="D60" s="347"/>
      <c r="E60" s="32"/>
    </row>
    <row r="61" spans="2:7" ht="20" customHeight="1" x14ac:dyDescent="0.2">
      <c r="B61" s="4" t="s">
        <v>160</v>
      </c>
      <c r="C61" s="80">
        <v>1500</v>
      </c>
      <c r="D61" s="347"/>
      <c r="E61" s="32"/>
    </row>
    <row r="62" spans="2:7" ht="20" customHeight="1" x14ac:dyDescent="0.2">
      <c r="B62" s="535" t="s">
        <v>214</v>
      </c>
      <c r="C62" s="536"/>
      <c r="D62" s="536"/>
      <c r="E62" s="537"/>
    </row>
    <row r="63" spans="2:7" ht="20" customHeight="1" x14ac:dyDescent="0.2">
      <c r="B63" s="17" t="s">
        <v>215</v>
      </c>
      <c r="C63" s="89" t="str">
        <f>CONCATENATE(prefix_wld_az1_cidr,"11.101")</f>
        <v>10.13.11.101</v>
      </c>
      <c r="D63" s="347"/>
      <c r="E63" s="132" t="s">
        <v>216</v>
      </c>
    </row>
    <row r="64" spans="2:7" ht="20" customHeight="1" x14ac:dyDescent="0.2">
      <c r="B64" s="17" t="s">
        <v>217</v>
      </c>
      <c r="C64" s="89" t="str">
        <f>CONCATENATE(prefix_wld_az1_cidr,"11.102")</f>
        <v>10.13.11.102</v>
      </c>
      <c r="D64" s="347"/>
      <c r="E64" s="132" t="s">
        <v>218</v>
      </c>
    </row>
    <row r="65" spans="2:7" ht="20" customHeight="1" x14ac:dyDescent="0.2">
      <c r="B65" s="17" t="s">
        <v>219</v>
      </c>
      <c r="C65" s="89" t="str">
        <f>CONCATENATE(prefix_wld_az1_cidr,"11.103")</f>
        <v>10.13.11.103</v>
      </c>
      <c r="D65" s="347"/>
      <c r="E65" s="132" t="s">
        <v>803</v>
      </c>
    </row>
    <row r="66" spans="2:7" ht="20" customHeight="1" x14ac:dyDescent="0.2">
      <c r="B66" s="17" t="s">
        <v>221</v>
      </c>
      <c r="C66" s="89" t="str">
        <f>CONCATENATE(prefix_wld_az1_cidr,"11.104")</f>
        <v>10.13.11.104</v>
      </c>
      <c r="D66" s="347"/>
      <c r="E66" s="132" t="s">
        <v>222</v>
      </c>
    </row>
    <row r="67" spans="2:7" ht="20" customHeight="1" x14ac:dyDescent="0.2">
      <c r="B67" s="17" t="s">
        <v>223</v>
      </c>
      <c r="C67" s="89" t="str">
        <f>CONCATENATE(prefix_wld_az1_cidr,"11.105")</f>
        <v>10.13.11.105</v>
      </c>
      <c r="D67" s="347"/>
      <c r="E67" s="132" t="s">
        <v>224</v>
      </c>
    </row>
    <row r="68" spans="2:7" ht="20" customHeight="1" x14ac:dyDescent="0.2">
      <c r="B68" s="17" t="s">
        <v>225</v>
      </c>
      <c r="C68" s="89" t="str">
        <f>CONCATENATE(prefix_wld_az1_cidr,"11.106")</f>
        <v>10.13.11.106</v>
      </c>
      <c r="D68" s="347"/>
      <c r="E68" s="132" t="s">
        <v>226</v>
      </c>
    </row>
    <row r="69" spans="2:7" ht="20" customHeight="1" x14ac:dyDescent="0.2">
      <c r="B69" s="17" t="s">
        <v>227</v>
      </c>
      <c r="C69" s="89" t="str">
        <f>CONCATENATE(prefix_wld_az1_cidr,"11.107")</f>
        <v>10.13.11.107</v>
      </c>
      <c r="D69" s="347"/>
      <c r="E69" s="132" t="s">
        <v>228</v>
      </c>
    </row>
    <row r="70" spans="2:7" ht="20" customHeight="1" x14ac:dyDescent="0.2">
      <c r="B70" s="17" t="s">
        <v>229</v>
      </c>
      <c r="C70" s="89" t="str">
        <f>CONCATENATE(prefix_wld_az1_cidr,"11.108")</f>
        <v>10.13.11.108</v>
      </c>
      <c r="D70" s="347"/>
      <c r="E70" s="132" t="s">
        <v>230</v>
      </c>
    </row>
    <row r="71" spans="2:7" ht="20" customHeight="1" x14ac:dyDescent="0.2">
      <c r="B71" s="17" t="s">
        <v>231</v>
      </c>
      <c r="C71" s="89" t="str">
        <f>CONCATENATE(prefix_wld_az1_cidr,"11.109")</f>
        <v>10.13.11.109</v>
      </c>
      <c r="D71" s="347"/>
      <c r="E71" s="132" t="s">
        <v>232</v>
      </c>
    </row>
    <row r="72" spans="2:7" ht="20" customHeight="1" x14ac:dyDescent="0.2">
      <c r="B72" s="17" t="s">
        <v>233</v>
      </c>
      <c r="C72" s="89" t="str">
        <f>CONCATENATE(prefix_wld_az1_cidr,"11.110")</f>
        <v>10.13.11.110</v>
      </c>
      <c r="D72" s="347"/>
      <c r="E72" s="132" t="s">
        <v>234</v>
      </c>
    </row>
    <row r="73" spans="2:7" ht="20" customHeight="1" x14ac:dyDescent="0.2">
      <c r="B73" s="17" t="s">
        <v>235</v>
      </c>
      <c r="C73" s="89" t="str">
        <f>CONCATENATE(prefix_wld_az1_cidr,"11.111")</f>
        <v>10.13.11.111</v>
      </c>
      <c r="D73" s="347"/>
      <c r="E73" s="132" t="s">
        <v>236</v>
      </c>
    </row>
    <row r="74" spans="2:7" ht="20" customHeight="1" x14ac:dyDescent="0.2">
      <c r="B74" s="17" t="s">
        <v>237</v>
      </c>
      <c r="C74" s="89" t="str">
        <f>CONCATENATE(prefix_wld_az1_cidr,"11.112")</f>
        <v>10.13.11.112</v>
      </c>
      <c r="D74" s="347"/>
      <c r="E74" s="132" t="s">
        <v>238</v>
      </c>
    </row>
    <row r="75" spans="2:7" ht="20" customHeight="1" x14ac:dyDescent="0.2">
      <c r="B75" s="17" t="s">
        <v>239</v>
      </c>
      <c r="C75" s="89" t="str">
        <f>CONCATENATE(prefix_wld_az1_cidr,"11.113")</f>
        <v>10.13.11.113</v>
      </c>
      <c r="D75" s="347"/>
      <c r="E75" s="132" t="s">
        <v>240</v>
      </c>
    </row>
    <row r="76" spans="2:7" ht="20" customHeight="1" x14ac:dyDescent="0.2">
      <c r="B76" s="17" t="s">
        <v>241</v>
      </c>
      <c r="C76" s="89" t="str">
        <f>CONCATENATE(prefix_wld_az1_cidr,"11.114")</f>
        <v>10.13.11.114</v>
      </c>
      <c r="D76" s="347"/>
      <c r="E76" s="132" t="s">
        <v>242</v>
      </c>
    </row>
    <row r="77" spans="2:7" ht="20" customHeight="1" x14ac:dyDescent="0.2">
      <c r="B77" s="17" t="s">
        <v>243</v>
      </c>
      <c r="C77" s="89" t="str">
        <f>CONCATENATE(prefix_wld_az1_cidr,"11.115")</f>
        <v>10.13.11.115</v>
      </c>
      <c r="D77" s="347"/>
      <c r="E77" s="132" t="s">
        <v>244</v>
      </c>
    </row>
    <row r="78" spans="2:7" ht="20" customHeight="1" x14ac:dyDescent="0.2">
      <c r="B78" s="17" t="s">
        <v>245</v>
      </c>
      <c r="C78" s="89" t="str">
        <f>CONCATENATE(prefix_wld_az1_cidr,"11.116")</f>
        <v>10.13.11.116</v>
      </c>
      <c r="D78" s="347"/>
      <c r="E78" s="132" t="s">
        <v>246</v>
      </c>
      <c r="G78" s="27"/>
    </row>
    <row r="79" spans="2:7" ht="16" customHeight="1" x14ac:dyDescent="0.2"/>
    <row r="80" spans="2:7" ht="34" customHeight="1" x14ac:dyDescent="0.2">
      <c r="B80" s="522" t="s">
        <v>804</v>
      </c>
      <c r="C80" s="523"/>
      <c r="D80" s="523"/>
      <c r="E80" s="524"/>
    </row>
    <row r="81" spans="2:5" ht="20" customHeight="1" x14ac:dyDescent="0.2">
      <c r="B81" s="492"/>
      <c r="C81" s="493"/>
      <c r="D81" s="493"/>
      <c r="E81" s="494"/>
    </row>
    <row r="82" spans="2:5" ht="20" customHeight="1" x14ac:dyDescent="0.2">
      <c r="B82" s="346" t="s">
        <v>17</v>
      </c>
      <c r="C82" s="346" t="s">
        <v>18</v>
      </c>
      <c r="D82" s="346" t="s">
        <v>19</v>
      </c>
      <c r="E82" s="346" t="s">
        <v>20</v>
      </c>
    </row>
    <row r="83" spans="2:5" ht="20" customHeight="1" x14ac:dyDescent="0.2">
      <c r="B83" s="17" t="s">
        <v>250</v>
      </c>
      <c r="C83" s="80" t="str">
        <f>CONCATENATE(this_instance,"01-w0",wld_domain_number_chosen,"-r01-network-pool-01")</f>
        <v>sfo01-w01-r01-network-pool-01</v>
      </c>
      <c r="D83" s="347"/>
      <c r="E83" s="32"/>
    </row>
    <row r="84" spans="2:5" ht="20" customHeight="1" x14ac:dyDescent="0.2">
      <c r="B84" s="492" t="s">
        <v>251</v>
      </c>
      <c r="C84" s="493"/>
      <c r="D84" s="493"/>
      <c r="E84" s="494"/>
    </row>
    <row r="85" spans="2:5" ht="20" customHeight="1" x14ac:dyDescent="0.2">
      <c r="B85" s="4" t="s">
        <v>85</v>
      </c>
      <c r="C85" s="80" t="str">
        <f>CONCATENATE(prefix_wld_az1_vlan,"12")</f>
        <v>1312</v>
      </c>
      <c r="D85" s="347"/>
      <c r="E85" s="93"/>
    </row>
    <row r="86" spans="2:5" ht="20" customHeight="1" x14ac:dyDescent="0.2">
      <c r="B86" s="4" t="s">
        <v>160</v>
      </c>
      <c r="C86" s="80">
        <v>9000</v>
      </c>
      <c r="D86" s="347"/>
      <c r="E86" s="32"/>
    </row>
    <row r="87" spans="2:5" ht="20" customHeight="1" x14ac:dyDescent="0.2">
      <c r="B87" s="4" t="s">
        <v>188</v>
      </c>
      <c r="C87" s="80" t="str">
        <f>CONCATENATE(prefix_wld_az1_cidr,"12.0")</f>
        <v>10.13.12.0</v>
      </c>
      <c r="D87" s="347"/>
      <c r="E87" s="32"/>
    </row>
    <row r="88" spans="2:5" ht="20" customHeight="1" x14ac:dyDescent="0.2">
      <c r="B88" s="4" t="s">
        <v>285</v>
      </c>
      <c r="C88" s="80" t="s">
        <v>128</v>
      </c>
      <c r="D88" s="347"/>
      <c r="E88" s="32"/>
    </row>
    <row r="89" spans="2:5" ht="20" customHeight="1" x14ac:dyDescent="0.2">
      <c r="B89" s="4" t="s">
        <v>187</v>
      </c>
      <c r="C89" s="80" t="str">
        <f>CONCATENATE(prefix_wld_az1_cidr,"12.1")</f>
        <v>10.13.12.1</v>
      </c>
      <c r="D89" s="347"/>
      <c r="E89" s="32"/>
    </row>
    <row r="90" spans="2:5" ht="20" customHeight="1" x14ac:dyDescent="0.2">
      <c r="B90" s="17" t="s">
        <v>255</v>
      </c>
      <c r="C90" s="80" t="str">
        <f>CONCATENATE(prefix_wld_az1_cidr,"12.101")</f>
        <v>10.13.12.101</v>
      </c>
      <c r="D90" s="347"/>
      <c r="E90" s="32"/>
    </row>
    <row r="91" spans="2:5" ht="20" customHeight="1" x14ac:dyDescent="0.2">
      <c r="B91" s="17" t="s">
        <v>256</v>
      </c>
      <c r="C91" s="80" t="str">
        <f>CONCATENATE(prefix_wld_az1_cidr,"12.116")</f>
        <v>10.13.12.116</v>
      </c>
      <c r="D91" s="347"/>
      <c r="E91" s="32"/>
    </row>
    <row r="92" spans="2:5" ht="20" customHeight="1" x14ac:dyDescent="0.2">
      <c r="B92" s="492" t="str">
        <f>IF(wld_principal_storage_chosen="NFSv3","NFS Network","vSAN Network")</f>
        <v>vSAN Network</v>
      </c>
      <c r="C92" s="493"/>
      <c r="D92" s="493"/>
      <c r="E92" s="494"/>
    </row>
    <row r="93" spans="2:5" ht="20" customHeight="1" x14ac:dyDescent="0.2">
      <c r="B93" s="4" t="s">
        <v>85</v>
      </c>
      <c r="C93" s="80" t="str">
        <f>CONCATENATE(prefix_wld_az1_vlan,"13")</f>
        <v>1313</v>
      </c>
      <c r="D93" s="148"/>
      <c r="E93" s="32"/>
    </row>
    <row r="94" spans="2:5" ht="20" customHeight="1" x14ac:dyDescent="0.2">
      <c r="B94" s="4" t="s">
        <v>160</v>
      </c>
      <c r="C94" s="80">
        <v>9000</v>
      </c>
      <c r="D94" s="347"/>
      <c r="E94" s="32"/>
    </row>
    <row r="95" spans="2:5" ht="20" customHeight="1" x14ac:dyDescent="0.2">
      <c r="B95" s="4" t="s">
        <v>188</v>
      </c>
      <c r="C95" s="80" t="str">
        <f>CONCATENATE(prefix_wld_az1_cidr,"13.0")</f>
        <v>10.13.13.0</v>
      </c>
      <c r="D95" s="347"/>
      <c r="E95" s="56"/>
    </row>
    <row r="96" spans="2:5" ht="20" customHeight="1" x14ac:dyDescent="0.2">
      <c r="B96" s="4" t="s">
        <v>285</v>
      </c>
      <c r="C96" s="80" t="s">
        <v>128</v>
      </c>
      <c r="D96" s="347"/>
      <c r="E96" s="32"/>
    </row>
    <row r="97" spans="2:5" ht="20" customHeight="1" x14ac:dyDescent="0.2">
      <c r="B97" s="4" t="s">
        <v>187</v>
      </c>
      <c r="C97" s="80" t="str">
        <f>CONCATENATE(prefix_wld_az1_cidr,"13.1")</f>
        <v>10.13.13.1</v>
      </c>
      <c r="D97" s="347"/>
      <c r="E97" s="32" t="str">
        <f>IF(AND(mgmt_stretched_cluster_result="Included",mgmt_dpg_reuse_result="Excluded"),"Stretched L2","")</f>
        <v/>
      </c>
    </row>
    <row r="98" spans="2:5" ht="20" customHeight="1" x14ac:dyDescent="0.2">
      <c r="B98" s="17" t="s">
        <v>255</v>
      </c>
      <c r="C98" s="80" t="str">
        <f>CONCATENATE(prefix_wld_az1_cidr,"13.101")</f>
        <v>10.13.13.101</v>
      </c>
      <c r="D98" s="347"/>
      <c r="E98" s="56"/>
    </row>
    <row r="99" spans="2:5" ht="20" customHeight="1" x14ac:dyDescent="0.2">
      <c r="B99" s="17" t="s">
        <v>256</v>
      </c>
      <c r="C99" s="80" t="str">
        <f>CONCATENATE(prefix_wld_az1_cidr,"13.116")</f>
        <v>10.13.13.116</v>
      </c>
      <c r="D99" s="347"/>
      <c r="E99" s="56"/>
    </row>
    <row r="100" spans="2:5" ht="20" customHeight="1" x14ac:dyDescent="0.2">
      <c r="B100" s="492" t="str">
        <f>IF(wld_secondary_storage_chosen="Secondary NFS Storage Network","NFS Storage Network","vSAN Storage Client")</f>
        <v>vSAN Storage Client</v>
      </c>
      <c r="C100" s="493"/>
      <c r="D100" s="493"/>
      <c r="E100" s="494"/>
    </row>
    <row r="101" spans="2:5" ht="20" customHeight="1" x14ac:dyDescent="0.2">
      <c r="B101" s="4" t="s">
        <v>85</v>
      </c>
      <c r="C101" s="80" t="str">
        <f>CONCATENATE(prefix_wld_az1_vlan,"15")</f>
        <v>1315</v>
      </c>
      <c r="D101" s="347"/>
      <c r="E101" s="32"/>
    </row>
    <row r="102" spans="2:5" ht="20" customHeight="1" x14ac:dyDescent="0.2">
      <c r="B102" s="4" t="s">
        <v>160</v>
      </c>
      <c r="C102" s="80">
        <v>9000</v>
      </c>
      <c r="D102" s="347"/>
      <c r="E102" s="56"/>
    </row>
    <row r="103" spans="2:5" ht="20" customHeight="1" x14ac:dyDescent="0.2">
      <c r="B103" s="4" t="s">
        <v>188</v>
      </c>
      <c r="C103" s="80" t="str">
        <f>CONCATENATE(prefix_wld_az1_cidr,"15.0")</f>
        <v>10.13.15.0</v>
      </c>
      <c r="D103" s="347"/>
      <c r="E103" s="32"/>
    </row>
    <row r="104" spans="2:5" ht="20" customHeight="1" x14ac:dyDescent="0.2">
      <c r="B104" s="4" t="s">
        <v>285</v>
      </c>
      <c r="C104" s="80" t="s">
        <v>128</v>
      </c>
      <c r="D104" s="347"/>
      <c r="E104" s="32"/>
    </row>
    <row r="105" spans="2:5" ht="20" customHeight="1" x14ac:dyDescent="0.2">
      <c r="B105" s="4" t="s">
        <v>187</v>
      </c>
      <c r="C105" s="80" t="str">
        <f>CONCATENATE(prefix_wld_az1_cidr,"15.1")</f>
        <v>10.13.15.1</v>
      </c>
      <c r="D105" s="347"/>
      <c r="E105" s="32" t="str">
        <f>IF(AND(mgmt_stretched_cluster_result="Included",mgmt_dpg_reuse_result="Excluded"),"Stretched L2","")</f>
        <v/>
      </c>
    </row>
    <row r="106" spans="2:5" ht="20" customHeight="1" x14ac:dyDescent="0.2">
      <c r="B106" s="17" t="s">
        <v>255</v>
      </c>
      <c r="C106" s="80" t="str">
        <f>CONCATENATE(prefix_wld_az1_cidr,"15.101")</f>
        <v>10.13.15.101</v>
      </c>
      <c r="D106" s="347"/>
      <c r="E106" s="56"/>
    </row>
    <row r="107" spans="2:5" ht="20" customHeight="1" x14ac:dyDescent="0.2">
      <c r="B107" s="17" t="s">
        <v>256</v>
      </c>
      <c r="C107" s="80" t="str">
        <f>CONCATENATE(prefix_wld_az1_cidr,"15.116")</f>
        <v>10.13.15.116</v>
      </c>
      <c r="D107" s="347"/>
      <c r="E107" s="56"/>
    </row>
    <row r="108" spans="2:5" ht="20" customHeight="1" x14ac:dyDescent="0.2">
      <c r="B108" s="492" t="s">
        <v>805</v>
      </c>
      <c r="C108" s="493"/>
      <c r="D108" s="493"/>
      <c r="E108" s="494"/>
    </row>
    <row r="109" spans="2:5" ht="20" customHeight="1" x14ac:dyDescent="0.2">
      <c r="B109" s="4" t="s">
        <v>85</v>
      </c>
      <c r="C109" s="80" t="str">
        <f>CONCATENATE(prefix_wld_az1_vlan,"16")</f>
        <v>1316</v>
      </c>
      <c r="D109" s="347"/>
      <c r="E109" s="32"/>
    </row>
    <row r="110" spans="2:5" ht="20" customHeight="1" x14ac:dyDescent="0.2">
      <c r="B110" s="4" t="s">
        <v>160</v>
      </c>
      <c r="C110" s="80">
        <v>9000</v>
      </c>
      <c r="D110" s="347"/>
      <c r="E110" s="56"/>
    </row>
    <row r="111" spans="2:5" ht="20" customHeight="1" x14ac:dyDescent="0.2">
      <c r="B111" s="4" t="s">
        <v>188</v>
      </c>
      <c r="C111" s="80" t="str">
        <f>CONCATENATE(prefix_wld_az1_cidr,"16.0")</f>
        <v>10.13.16.0</v>
      </c>
      <c r="D111" s="347"/>
      <c r="E111" s="32"/>
    </row>
    <row r="112" spans="2:5" ht="20" customHeight="1" x14ac:dyDescent="0.2">
      <c r="B112" s="4" t="s">
        <v>285</v>
      </c>
      <c r="C112" s="80" t="s">
        <v>128</v>
      </c>
      <c r="D112" s="347"/>
      <c r="E112" s="32"/>
    </row>
    <row r="113" spans="2:5" ht="20" customHeight="1" x14ac:dyDescent="0.2">
      <c r="B113" s="4" t="s">
        <v>187</v>
      </c>
      <c r="C113" s="80" t="str">
        <f>CONCATENATE(prefix_wld_az1_cidr,"16.1")</f>
        <v>10.13.16.1</v>
      </c>
      <c r="D113" s="347"/>
      <c r="E113" s="32" t="str">
        <f>IF(AND(mgmt_stretched_cluster_result="Included",mgmt_dpg_reuse_result="Excluded"),"Stretched L2","")</f>
        <v/>
      </c>
    </row>
    <row r="114" spans="2:5" ht="20" customHeight="1" x14ac:dyDescent="0.2">
      <c r="B114" s="17" t="s">
        <v>255</v>
      </c>
      <c r="C114" s="80" t="str">
        <f>CONCATENATE(prefix_wld_az1_cidr,"16.101")</f>
        <v>10.13.16.101</v>
      </c>
      <c r="D114" s="347"/>
      <c r="E114" s="56"/>
    </row>
    <row r="115" spans="2:5" ht="20" customHeight="1" x14ac:dyDescent="0.2">
      <c r="B115" s="17" t="s">
        <v>256</v>
      </c>
      <c r="C115" s="80" t="str">
        <f>CONCATENATE(prefix_wld_az1_cidr,"16.116")</f>
        <v>10.13.16.116</v>
      </c>
      <c r="D115" s="347"/>
      <c r="E115" s="56"/>
    </row>
    <row r="116" spans="2:5" ht="16" customHeight="1" x14ac:dyDescent="0.2"/>
    <row r="117" spans="2:5" ht="34" customHeight="1" x14ac:dyDescent="0.2">
      <c r="B117" s="522" t="s">
        <v>806</v>
      </c>
      <c r="C117" s="523"/>
      <c r="D117" s="523"/>
      <c r="E117" s="524"/>
    </row>
    <row r="118" spans="2:5" ht="20" customHeight="1" x14ac:dyDescent="0.2">
      <c r="B118" s="492"/>
      <c r="C118" s="493"/>
      <c r="D118" s="493"/>
      <c r="E118" s="494"/>
    </row>
    <row r="119" spans="2:5" ht="20" customHeight="1" x14ac:dyDescent="0.2">
      <c r="B119" s="346" t="s">
        <v>17</v>
      </c>
      <c r="C119" s="346" t="s">
        <v>18</v>
      </c>
      <c r="D119" s="346" t="s">
        <v>19</v>
      </c>
      <c r="E119" s="346" t="s">
        <v>20</v>
      </c>
    </row>
    <row r="120" spans="2:5" ht="20" customHeight="1" x14ac:dyDescent="0.2">
      <c r="B120" s="17" t="s">
        <v>215</v>
      </c>
      <c r="C120" s="89" t="str">
        <f>CONCATENATE(this_instance,"01-w0",wld_domain_number_chosen,"-r01-esx01",".",sample_child_dns_zone)</f>
        <v>sfo01-w01-r01-esx01.sfo.rainpole.io</v>
      </c>
      <c r="D120" s="347"/>
      <c r="E120" s="32"/>
    </row>
    <row r="121" spans="2:5" ht="20" customHeight="1" x14ac:dyDescent="0.2">
      <c r="B121" s="17" t="s">
        <v>217</v>
      </c>
      <c r="C121" s="149" t="str">
        <f>CONCATENATE(this_instance,"01-w0",wld_domain_number_chosen,"-r01-esx02",".",sample_child_dns_zone)</f>
        <v>sfo01-w01-r01-esx02.sfo.rainpole.io</v>
      </c>
      <c r="D121" s="347"/>
      <c r="E121" s="32"/>
    </row>
    <row r="122" spans="2:5" ht="20" customHeight="1" x14ac:dyDescent="0.2">
      <c r="B122" s="17" t="s">
        <v>219</v>
      </c>
      <c r="C122" s="149" t="str">
        <f>CONCATENATE(this_instance,"01-w0",wld_domain_number_chosen,"-r01-esx03",".",sample_child_dns_zone)</f>
        <v>sfo01-w01-r01-esx03.sfo.rainpole.io</v>
      </c>
      <c r="D122" s="347"/>
      <c r="E122" s="32"/>
    </row>
    <row r="123" spans="2:5" ht="20" customHeight="1" x14ac:dyDescent="0.2">
      <c r="B123" s="17" t="s">
        <v>221</v>
      </c>
      <c r="C123" s="149" t="str">
        <f>CONCATENATE(this_instance,"01-w0",wld_domain_number_chosen,"-r01-esx04",".",sample_child_dns_zone)</f>
        <v>sfo01-w01-r01-esx04.sfo.rainpole.io</v>
      </c>
      <c r="D123" s="347"/>
      <c r="E123" s="32"/>
    </row>
    <row r="124" spans="2:5" ht="20" customHeight="1" x14ac:dyDescent="0.2">
      <c r="B124" s="17" t="s">
        <v>223</v>
      </c>
      <c r="C124" s="149" t="str">
        <f>CONCATENATE(this_instance,"01-w0",wld_domain_number_chosen,"-r01-esx05",".",sample_child_dns_zone)</f>
        <v>sfo01-w01-r01-esx05.sfo.rainpole.io</v>
      </c>
      <c r="D124" s="347"/>
      <c r="E124" s="32"/>
    </row>
    <row r="125" spans="2:5" ht="20" customHeight="1" x14ac:dyDescent="0.2">
      <c r="B125" s="17" t="s">
        <v>225</v>
      </c>
      <c r="C125" s="149" t="str">
        <f>CONCATENATE(this_instance,"01-w0",wld_domain_number_chosen,"-r01-esx06",".",sample_child_dns_zone)</f>
        <v>sfo01-w01-r01-esx06.sfo.rainpole.io</v>
      </c>
      <c r="D125" s="347"/>
      <c r="E125" s="32"/>
    </row>
    <row r="126" spans="2:5" ht="20" customHeight="1" x14ac:dyDescent="0.2">
      <c r="B126" s="17" t="s">
        <v>227</v>
      </c>
      <c r="C126" s="149" t="str">
        <f>CONCATENATE(this_instance,"01-w0",wld_domain_number_chosen,"-r01-esx07",".",sample_child_dns_zone)</f>
        <v>sfo01-w01-r01-esx07.sfo.rainpole.io</v>
      </c>
      <c r="D126" s="347"/>
      <c r="E126" s="32"/>
    </row>
    <row r="127" spans="2:5" ht="20" customHeight="1" x14ac:dyDescent="0.2">
      <c r="B127" s="17" t="s">
        <v>229</v>
      </c>
      <c r="C127" s="149" t="str">
        <f>CONCATENATE(this_instance,"01-w0",wld_domain_number_chosen,"-r01-esx08",".",sample_child_dns_zone)</f>
        <v>sfo01-w01-r01-esx08.sfo.rainpole.io</v>
      </c>
      <c r="D127" s="347"/>
      <c r="E127" s="32"/>
    </row>
    <row r="128" spans="2:5" ht="20" customHeight="1" x14ac:dyDescent="0.2">
      <c r="B128" s="17" t="s">
        <v>231</v>
      </c>
      <c r="C128" s="149" t="str">
        <f>CONCATENATE(this_instance,"01-w0",wld_domain_number_chosen,"-r01-esx09",".",sample_child_dns_zone)</f>
        <v>sfo01-w01-r01-esx09.sfo.rainpole.io</v>
      </c>
      <c r="D128" s="347"/>
      <c r="E128" s="32"/>
    </row>
    <row r="129" spans="2:9" ht="20" customHeight="1" x14ac:dyDescent="0.2">
      <c r="B129" s="17" t="s">
        <v>233</v>
      </c>
      <c r="C129" s="149" t="str">
        <f>CONCATENATE(this_instance,"01-w0",wld_domain_number_chosen,"-r01-esx10",".",sample_child_dns_zone)</f>
        <v>sfo01-w01-r01-esx10.sfo.rainpole.io</v>
      </c>
      <c r="D129" s="347"/>
      <c r="E129" s="32"/>
    </row>
    <row r="130" spans="2:9" ht="20" customHeight="1" x14ac:dyDescent="0.2">
      <c r="B130" s="17" t="s">
        <v>235</v>
      </c>
      <c r="C130" s="149" t="str">
        <f>CONCATENATE(this_instance,"01-w0",wld_domain_number_chosen,"-r01-esx11",".",sample_child_dns_zone)</f>
        <v>sfo01-w01-r01-esx11.sfo.rainpole.io</v>
      </c>
      <c r="D130" s="347"/>
      <c r="E130" s="32"/>
    </row>
    <row r="131" spans="2:9" ht="20" customHeight="1" x14ac:dyDescent="0.2">
      <c r="B131" s="17" t="s">
        <v>237</v>
      </c>
      <c r="C131" s="149" t="str">
        <f>CONCATENATE(this_instance,"01-w0",wld_domain_number_chosen,"-r01-esx12",".",sample_child_dns_zone)</f>
        <v>sfo01-w01-r01-esx12.sfo.rainpole.io</v>
      </c>
      <c r="D131" s="347"/>
      <c r="E131" s="32"/>
    </row>
    <row r="132" spans="2:9" ht="20" customHeight="1" x14ac:dyDescent="0.2">
      <c r="B132" s="17" t="s">
        <v>239</v>
      </c>
      <c r="C132" s="149" t="str">
        <f>CONCATENATE(this_instance,"01-w0",wld_domain_number_chosen,"-r01-esx13",".",sample_child_dns_zone)</f>
        <v>sfo01-w01-r01-esx13.sfo.rainpole.io</v>
      </c>
      <c r="D132" s="347"/>
      <c r="E132" s="32"/>
    </row>
    <row r="133" spans="2:9" ht="20" customHeight="1" x14ac:dyDescent="0.2">
      <c r="B133" s="17" t="s">
        <v>241</v>
      </c>
      <c r="C133" s="149" t="str">
        <f>CONCATENATE(this_instance,"01-w0",wld_domain_number_chosen,"-r01-esx14",".",sample_child_dns_zone)</f>
        <v>sfo01-w01-r01-esx14.sfo.rainpole.io</v>
      </c>
      <c r="D133" s="347"/>
      <c r="E133" s="32"/>
    </row>
    <row r="134" spans="2:9" ht="20" customHeight="1" x14ac:dyDescent="0.2">
      <c r="B134" s="17" t="s">
        <v>243</v>
      </c>
      <c r="C134" s="149" t="str">
        <f>CONCATENATE(this_instance,"01-w0",wld_domain_number_chosen,"-r01-esx15",".",sample_child_dns_zone)</f>
        <v>sfo01-w01-r01-esx15.sfo.rainpole.io</v>
      </c>
      <c r="D134" s="347"/>
      <c r="E134" s="32"/>
    </row>
    <row r="135" spans="2:9" ht="20" customHeight="1" x14ac:dyDescent="0.2">
      <c r="B135" s="17" t="s">
        <v>245</v>
      </c>
      <c r="C135" s="149" t="str">
        <f>CONCATENATE(this_instance,"01-w0",wld_domain_number_chosen,"-r01-esx16",".",sample_child_dns_zone)</f>
        <v>sfo01-w01-r01-esx16.sfo.rainpole.io</v>
      </c>
      <c r="D135" s="347"/>
      <c r="E135" s="32"/>
    </row>
    <row r="136" spans="2:9" ht="20" customHeight="1" x14ac:dyDescent="0.2">
      <c r="B136" s="17" t="s">
        <v>264</v>
      </c>
      <c r="C136" s="78" t="s">
        <v>265</v>
      </c>
      <c r="D136" s="337"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36" s="32"/>
    </row>
    <row r="137" spans="2:9" ht="20" customHeight="1" x14ac:dyDescent="0.2">
      <c r="B137" s="17" t="s">
        <v>266</v>
      </c>
      <c r="C137" s="78" t="s">
        <v>267</v>
      </c>
      <c r="D137" s="337" t="str">
        <f>IF(wld_principal_storage_chosen="vSAN Storage Cluster","vSAN Storage",IF(wld_principal_storage_chosen="vSAN Compute Cluster","Compute Cluster",IF(OR(wld_principal_storage_chosen="vSAN-ESA",wld_principal_storage_chosen="vSAN-OSA"),"vSAN HCI","")))</f>
        <v>vSAN HCI</v>
      </c>
      <c r="E137" s="32"/>
    </row>
    <row r="138" spans="2:9" ht="20" customHeight="1" x14ac:dyDescent="0.2">
      <c r="B138" s="17" t="s">
        <v>268</v>
      </c>
      <c r="C138" s="78" t="s">
        <v>159</v>
      </c>
      <c r="D138" s="337" t="str">
        <f>IF(OR(wld_principal_storage_chosen="vSAN-ESA",wld_principal_storage_chosen="vSAN Storage Cluster",wld_principal_storage_chosen="vSAN Compute Cluster"),"Selected","Unselected")</f>
        <v>Selected</v>
      </c>
      <c r="E138" s="32"/>
    </row>
    <row r="139" spans="2:9" ht="20" customHeight="1" x14ac:dyDescent="0.2">
      <c r="B139" s="17" t="s">
        <v>250</v>
      </c>
      <c r="C139" s="78" t="str">
        <f>sample_wld_az1_pool_name</f>
        <v>sfo01-w01-r01-network-pool-01</v>
      </c>
      <c r="D139" s="337" t="str">
        <f>wld_az1_pool_name</f>
        <v>Value Missing</v>
      </c>
      <c r="E139" s="32"/>
    </row>
    <row r="140" spans="2:9" ht="20" customHeight="1" x14ac:dyDescent="0.2">
      <c r="B140" s="17" t="s">
        <v>46</v>
      </c>
      <c r="C140" s="78" t="s">
        <v>269</v>
      </c>
      <c r="D140" s="347"/>
      <c r="E140" s="32"/>
    </row>
    <row r="141" spans="2:9" s="7" customFormat="1" ht="20" customHeight="1" x14ac:dyDescent="0.2">
      <c r="B141" s="17" t="s">
        <v>29</v>
      </c>
      <c r="C141" s="78" t="s">
        <v>30</v>
      </c>
      <c r="D141" s="347"/>
      <c r="E141" s="32"/>
      <c r="I141" s="40"/>
    </row>
    <row r="142" spans="2:9" ht="16" customHeight="1" x14ac:dyDescent="0.2">
      <c r="B142" s="7"/>
      <c r="C142" s="7"/>
      <c r="D142" s="7"/>
      <c r="E142" s="7"/>
    </row>
    <row r="143" spans="2:9" ht="34" customHeight="1" x14ac:dyDescent="0.2">
      <c r="B143" s="522" t="s">
        <v>807</v>
      </c>
      <c r="C143" s="523"/>
      <c r="D143" s="523"/>
      <c r="E143" s="524"/>
    </row>
    <row r="144" spans="2:9" ht="16" customHeight="1" x14ac:dyDescent="0.2">
      <c r="B144" s="7"/>
      <c r="C144" s="7"/>
      <c r="D144" s="7"/>
      <c r="E144" s="7"/>
    </row>
    <row r="145" spans="2:5" ht="34" customHeight="1" x14ac:dyDescent="0.2">
      <c r="B145" s="425" t="s">
        <v>808</v>
      </c>
      <c r="C145" s="426"/>
      <c r="D145" s="426"/>
      <c r="E145" s="427"/>
    </row>
    <row r="146" spans="2:5" ht="20" customHeight="1" x14ac:dyDescent="0.2">
      <c r="B146" s="492" t="s">
        <v>768</v>
      </c>
      <c r="C146" s="493"/>
      <c r="D146" s="493"/>
      <c r="E146" s="494"/>
    </row>
    <row r="147" spans="2:5" ht="20" customHeight="1" x14ac:dyDescent="0.2">
      <c r="B147" s="346" t="s">
        <v>17</v>
      </c>
      <c r="C147" s="346" t="s">
        <v>18</v>
      </c>
      <c r="D147" s="346" t="s">
        <v>19</v>
      </c>
      <c r="E147" s="346" t="s">
        <v>20</v>
      </c>
    </row>
    <row r="148" spans="2:5" ht="20" customHeight="1" x14ac:dyDescent="0.2">
      <c r="B148" s="17" t="s">
        <v>769</v>
      </c>
      <c r="C148" s="362" t="str">
        <f>CONCATENATE(this_instance,"-w0",wld_domain_number_chosen)</f>
        <v>sfo-w01</v>
      </c>
      <c r="D148" s="347"/>
      <c r="E148" s="32"/>
    </row>
    <row r="149" spans="2:5" ht="20" customHeight="1" x14ac:dyDescent="0.2">
      <c r="B149" s="150" t="s">
        <v>809</v>
      </c>
      <c r="C149" s="362" t="s">
        <v>183</v>
      </c>
      <c r="D149" s="337" t="str">
        <f>wld_iaas_chosen</f>
        <v>Exclude</v>
      </c>
      <c r="E149" s="150" t="s">
        <v>810</v>
      </c>
    </row>
    <row r="150" spans="2:5" ht="20" customHeight="1" x14ac:dyDescent="0.2">
      <c r="B150" s="17" t="s">
        <v>811</v>
      </c>
      <c r="C150" s="362" t="str">
        <f>CONCATENATE(this_instance,"-w0",wld_domain_number_chosen,".local")</f>
        <v>sfo-w01.local</v>
      </c>
      <c r="D150" s="347"/>
      <c r="E150" s="32"/>
    </row>
    <row r="151" spans="2:5" ht="20" customHeight="1" x14ac:dyDescent="0.2">
      <c r="B151" s="17" t="s">
        <v>812</v>
      </c>
      <c r="C151" s="362" t="s">
        <v>145</v>
      </c>
      <c r="D151" s="347" t="s">
        <v>145</v>
      </c>
      <c r="E151" s="32"/>
    </row>
    <row r="152" spans="2:5" ht="20" customHeight="1" x14ac:dyDescent="0.2">
      <c r="B152" s="17" t="s">
        <v>813</v>
      </c>
      <c r="C152" s="362" t="s">
        <v>141</v>
      </c>
      <c r="D152" s="347"/>
      <c r="E152" s="32"/>
    </row>
    <row r="153" spans="2:5" ht="16" customHeight="1" x14ac:dyDescent="0.2">
      <c r="B153" s="7"/>
      <c r="C153" s="7"/>
      <c r="D153" s="7"/>
      <c r="E153" s="7"/>
    </row>
    <row r="154" spans="2:5" ht="34" customHeight="1" x14ac:dyDescent="0.2">
      <c r="B154" s="425" t="s">
        <v>814</v>
      </c>
      <c r="C154" s="426"/>
      <c r="D154" s="426"/>
      <c r="E154" s="427"/>
    </row>
    <row r="155" spans="2:5" ht="20" customHeight="1" x14ac:dyDescent="0.2">
      <c r="B155" s="492" t="s">
        <v>814</v>
      </c>
      <c r="C155" s="493"/>
      <c r="D155" s="493"/>
      <c r="E155" s="494"/>
    </row>
    <row r="156" spans="2:5" ht="20" customHeight="1" x14ac:dyDescent="0.2">
      <c r="B156" s="346" t="s">
        <v>17</v>
      </c>
      <c r="C156" s="346" t="s">
        <v>18</v>
      </c>
      <c r="D156" s="346" t="s">
        <v>19</v>
      </c>
      <c r="E156" s="346" t="s">
        <v>20</v>
      </c>
    </row>
    <row r="157" spans="2:5" ht="19" customHeight="1" x14ac:dyDescent="0.2">
      <c r="B157" s="17" t="s">
        <v>815</v>
      </c>
      <c r="C157" s="126" t="str">
        <f>CONCATENATE(this_instance,"-w0",wld_domain_number_chosen,"-vc01",".",sample_child_dns_zone)</f>
        <v>sfo-w01-vc01.sfo.rainpole.io</v>
      </c>
      <c r="D157" s="347"/>
      <c r="E157" s="32"/>
    </row>
    <row r="158" spans="2:5" ht="19" customHeight="1" x14ac:dyDescent="0.2">
      <c r="B158" s="17" t="s">
        <v>816</v>
      </c>
      <c r="C158" s="126" t="s">
        <v>141</v>
      </c>
      <c r="D158" s="347"/>
      <c r="E158" s="32"/>
    </row>
    <row r="159" spans="2:5" ht="16" customHeight="1" x14ac:dyDescent="0.2">
      <c r="B159" s="7"/>
      <c r="C159" s="7"/>
      <c r="D159" s="7"/>
      <c r="E159" s="7"/>
    </row>
    <row r="160" spans="2:5" ht="34" customHeight="1" x14ac:dyDescent="0.2">
      <c r="B160" s="425" t="s">
        <v>732</v>
      </c>
      <c r="C160" s="426"/>
      <c r="D160" s="426"/>
      <c r="E160" s="427"/>
    </row>
    <row r="161" spans="2:5" ht="20" customHeight="1" x14ac:dyDescent="0.2">
      <c r="B161" s="492" t="s">
        <v>817</v>
      </c>
      <c r="C161" s="493"/>
      <c r="D161" s="493"/>
      <c r="E161" s="494"/>
    </row>
    <row r="162" spans="2:5" ht="20" customHeight="1" x14ac:dyDescent="0.2">
      <c r="B162" s="346" t="s">
        <v>17</v>
      </c>
      <c r="C162" s="346" t="s">
        <v>18</v>
      </c>
      <c r="D162" s="346" t="s">
        <v>19</v>
      </c>
      <c r="E162" s="346" t="s">
        <v>20</v>
      </c>
    </row>
    <row r="163" spans="2:5" ht="20" customHeight="1" x14ac:dyDescent="0.2">
      <c r="B163" s="17" t="s">
        <v>210</v>
      </c>
      <c r="C163" s="362" t="str">
        <f>CONCATENATE(this_instance,"-w0",wld_domain_number_chosen,"-cl01")</f>
        <v>sfo-w01-cl01</v>
      </c>
      <c r="D163" s="347"/>
      <c r="E163" s="32"/>
    </row>
    <row r="164" spans="2:5" ht="19" customHeight="1" x14ac:dyDescent="0.2">
      <c r="B164" s="17" t="s">
        <v>818</v>
      </c>
      <c r="C164" s="362" t="s">
        <v>819</v>
      </c>
      <c r="D164" s="347"/>
      <c r="E164" s="337" t="str">
        <f>IF(wld_iaas_chosen="Exclude","This value is masked out as you have chosen not to deploy vSphere Supervisor with NSX VPC Networking")</f>
        <v>This value is masked out as you have chosen not to deploy vSphere Supervisor with NSX VPC Networking</v>
      </c>
    </row>
    <row r="165" spans="2:5" ht="16" customHeight="1" x14ac:dyDescent="0.2">
      <c r="B165" s="7"/>
      <c r="C165" s="7"/>
      <c r="D165" s="7"/>
      <c r="E165" s="7"/>
    </row>
    <row r="166" spans="2:5" ht="34" customHeight="1" x14ac:dyDescent="0.2">
      <c r="B166" s="425" t="s">
        <v>820</v>
      </c>
      <c r="C166" s="426"/>
      <c r="D166" s="426"/>
      <c r="E166" s="427"/>
    </row>
    <row r="167" spans="2:5" ht="20" customHeight="1" x14ac:dyDescent="0.2">
      <c r="B167" s="492" t="s">
        <v>821</v>
      </c>
      <c r="C167" s="493"/>
      <c r="D167" s="493"/>
      <c r="E167" s="494"/>
    </row>
    <row r="168" spans="2:5" ht="19" customHeight="1" x14ac:dyDescent="0.2">
      <c r="B168" s="17" t="s">
        <v>820</v>
      </c>
      <c r="C168" s="362" t="str">
        <f>CONCATENATE(this_instance,"-w0",wld_domain_number_chosen,"-cl01")</f>
        <v>sfo-w01-cl01</v>
      </c>
      <c r="D168" s="347"/>
      <c r="E168" s="32"/>
    </row>
    <row r="169" spans="2:5" ht="16" customHeight="1" x14ac:dyDescent="0.2">
      <c r="B169" s="7"/>
      <c r="C169" s="7"/>
      <c r="D169" s="7"/>
      <c r="E169" s="7"/>
    </row>
    <row r="170" spans="2:5" ht="34" customHeight="1" x14ac:dyDescent="0.2">
      <c r="B170" s="425" t="s">
        <v>778</v>
      </c>
      <c r="C170" s="426"/>
      <c r="D170" s="426"/>
      <c r="E170" s="427"/>
    </row>
    <row r="171" spans="2:5" ht="20" customHeight="1" x14ac:dyDescent="0.2">
      <c r="B171" s="492" t="s">
        <v>779</v>
      </c>
      <c r="C171" s="493"/>
      <c r="D171" s="493"/>
      <c r="E171" s="494"/>
    </row>
    <row r="172" spans="2:5" ht="20" customHeight="1" x14ac:dyDescent="0.2">
      <c r="B172" s="346" t="s">
        <v>17</v>
      </c>
      <c r="C172" s="346" t="s">
        <v>18</v>
      </c>
      <c r="D172" s="346" t="s">
        <v>19</v>
      </c>
      <c r="E172" s="346" t="s">
        <v>20</v>
      </c>
    </row>
    <row r="173" spans="2:5" ht="20" customHeight="1" x14ac:dyDescent="0.2">
      <c r="B173" s="17" t="s">
        <v>782</v>
      </c>
      <c r="C173" s="362" t="s">
        <v>822</v>
      </c>
      <c r="D173" s="347" t="s">
        <v>822</v>
      </c>
      <c r="E173" s="32"/>
    </row>
    <row r="174" spans="2:5" ht="20" customHeight="1" x14ac:dyDescent="0.2">
      <c r="B174" s="17" t="s">
        <v>784</v>
      </c>
      <c r="C174" s="362" t="s">
        <v>93</v>
      </c>
      <c r="D174" s="347" t="s">
        <v>93</v>
      </c>
      <c r="E174" s="32"/>
    </row>
    <row r="175" spans="2:5" ht="20" customHeight="1" x14ac:dyDescent="0.2">
      <c r="B175" s="17" t="s">
        <v>785</v>
      </c>
      <c r="C175" s="126" t="str">
        <f>CONCATENATE(this_instance,"-w0",wld_domain_number_chosen,"-nsx01a",".",sample_child_dns_zone)</f>
        <v>sfo-w01-nsx01a.sfo.rainpole.io</v>
      </c>
      <c r="D175" s="151"/>
      <c r="E175" s="33" t="s">
        <v>786</v>
      </c>
    </row>
    <row r="176" spans="2:5" ht="20" customHeight="1" x14ac:dyDescent="0.2">
      <c r="B176" s="17" t="s">
        <v>823</v>
      </c>
      <c r="C176" s="126" t="str">
        <f>IF(mgmt_dpg_reuse_result="Included",CONCATENATE(prefix_mgmt_az1_cidr,"10.",(132 + (30*(wld_domain_number_chosen - 1)))),CONCATENATE(prefix_mgmt_az1_cidr,"11.",(132 + (30*(wld_domain_number_chosen - 1)))))</f>
        <v>10.11.10.132</v>
      </c>
      <c r="D176" s="347"/>
      <c r="E176" s="33" t="s">
        <v>824</v>
      </c>
    </row>
    <row r="177" spans="2:5" ht="20" customHeight="1" x14ac:dyDescent="0.2">
      <c r="B177" s="17" t="s">
        <v>787</v>
      </c>
      <c r="C177" s="126" t="str">
        <f>CONCATENATE(this_instance,"-w0",wld_domain_number_chosen,"-nsx01b",".",sample_child_dns_zone)</f>
        <v>sfo-w01-nsx01b.sfo.rainpole.io</v>
      </c>
      <c r="D177" s="347"/>
      <c r="E177" s="33" t="s">
        <v>788</v>
      </c>
    </row>
    <row r="178" spans="2:5" ht="20" customHeight="1" x14ac:dyDescent="0.2">
      <c r="B178" s="17" t="s">
        <v>825</v>
      </c>
      <c r="C178" s="126" t="str">
        <f>IF(mgmt_dpg_reuse_result="Included",CONCATENATE(prefix_mgmt_az1_cidr,"10.",(133 + (30*(wld_domain_number_chosen - 1)))),CONCATENATE(prefix_mgmt_az1_cidr,"11.",(133 + (30*(wld_domain_number_chosen - 1)))))</f>
        <v>10.11.10.133</v>
      </c>
      <c r="D178" s="347"/>
      <c r="E178" s="33" t="s">
        <v>824</v>
      </c>
    </row>
    <row r="179" spans="2:5" ht="20" customHeight="1" x14ac:dyDescent="0.2">
      <c r="B179" s="17" t="s">
        <v>789</v>
      </c>
      <c r="C179" s="126" t="str">
        <f>CONCATENATE(this_instance,"-w0",wld_domain_number_chosen,"-nsx01c",".",sample_child_dns_zone)</f>
        <v>sfo-w01-nsx01c.sfo.rainpole.io</v>
      </c>
      <c r="D179" s="347"/>
      <c r="E179" s="33" t="s">
        <v>790</v>
      </c>
    </row>
    <row r="180" spans="2:5" ht="20" customHeight="1" x14ac:dyDescent="0.2">
      <c r="B180" s="17" t="s">
        <v>826</v>
      </c>
      <c r="C180" s="126" t="str">
        <f>IF(mgmt_dpg_reuse_result="Included",CONCATENATE(prefix_mgmt_az1_cidr,"10.",(134 + (30*(wld_domain_number_chosen - 1)))),CONCATENATE(prefix_mgmt_az1_cidr,"11.",(134 + (30*(wld_domain_number_chosen - 1)))))</f>
        <v>10.11.10.134</v>
      </c>
      <c r="D180" s="347"/>
      <c r="E180" s="33" t="s">
        <v>824</v>
      </c>
    </row>
    <row r="181" spans="2:5" ht="20" customHeight="1" x14ac:dyDescent="0.2">
      <c r="B181" s="17" t="s">
        <v>791</v>
      </c>
      <c r="C181" s="126" t="str">
        <f>CONCATENATE(this_instance,"-w0",wld_domain_number_chosen,"-nsx01",".",sample_child_dns_zone)</f>
        <v>sfo-w01-nsx01.sfo.rainpole.io</v>
      </c>
      <c r="D181" s="151"/>
      <c r="E181" s="33" t="s">
        <v>792</v>
      </c>
    </row>
    <row r="182" spans="2:5" ht="20" customHeight="1" x14ac:dyDescent="0.2">
      <c r="B182" s="17" t="s">
        <v>827</v>
      </c>
      <c r="C182" s="126" t="str">
        <f>IF(mgmt_dpg_reuse_result="Included",CONCATENATE(prefix_mgmt_az1_cidr,"10.",(131+(30*(wld_domain_number_chosen-1)))),CONCATENATE(prefix_mgmt_az1_cidr,"11.",(131+(30*(wld_domain_number_chosen-1)))))</f>
        <v>10.11.10.131</v>
      </c>
      <c r="D182" s="347"/>
      <c r="E182" s="33" t="s">
        <v>824</v>
      </c>
    </row>
    <row r="183" spans="2:5" ht="20" customHeight="1" x14ac:dyDescent="0.2">
      <c r="B183" s="17" t="s">
        <v>199</v>
      </c>
      <c r="C183" s="362" t="s">
        <v>141</v>
      </c>
      <c r="D183" s="347"/>
      <c r="E183" s="32"/>
    </row>
    <row r="184" spans="2:5" ht="20" customHeight="1" x14ac:dyDescent="0.2">
      <c r="B184" s="17" t="s">
        <v>828</v>
      </c>
      <c r="C184" s="362" t="s">
        <v>141</v>
      </c>
      <c r="D184" s="347"/>
      <c r="E184" s="32"/>
    </row>
    <row r="185" spans="2:5" ht="20" customHeight="1" x14ac:dyDescent="0.2">
      <c r="B185" s="17" t="s">
        <v>829</v>
      </c>
      <c r="C185" s="362" t="s">
        <v>83</v>
      </c>
      <c r="D185" s="347" t="s">
        <v>83</v>
      </c>
      <c r="E185" s="337" t="str">
        <f>IF(wld_iaas_result="Included","vSphere Supervisor requires a Centralized Connectivity","")</f>
        <v/>
      </c>
    </row>
    <row r="186" spans="2:5" ht="20" customHeight="1" x14ac:dyDescent="0.2">
      <c r="B186" s="17" t="s">
        <v>85</v>
      </c>
      <c r="C186" s="362">
        <v>1198</v>
      </c>
      <c r="D186" s="347"/>
      <c r="E186" s="32"/>
    </row>
    <row r="187" spans="2:5" ht="20" customHeight="1" x14ac:dyDescent="0.2">
      <c r="B187" s="17" t="s">
        <v>830</v>
      </c>
      <c r="C187" s="362" t="s">
        <v>87</v>
      </c>
      <c r="D187" s="347"/>
      <c r="E187" s="32"/>
    </row>
    <row r="188" spans="2:5" ht="20" customHeight="1" x14ac:dyDescent="0.2">
      <c r="B188" s="17" t="s">
        <v>831</v>
      </c>
      <c r="C188" s="362" t="s">
        <v>832</v>
      </c>
      <c r="D188" s="347"/>
      <c r="E188" s="32"/>
    </row>
    <row r="189" spans="2:5" ht="19" customHeight="1" x14ac:dyDescent="0.2">
      <c r="B189" s="17" t="s">
        <v>833</v>
      </c>
      <c r="C189" s="362" t="str">
        <f>sample_wld_cl01_supervisor_private_transit_gateway_cidr</f>
        <v>172.25.0.0/16</v>
      </c>
      <c r="D189" s="347"/>
      <c r="E189" s="32"/>
    </row>
    <row r="190" spans="2:5" ht="16" customHeight="1" x14ac:dyDescent="0.2">
      <c r="B190" s="7"/>
      <c r="C190" s="7"/>
      <c r="D190" s="7"/>
      <c r="E190" s="7"/>
    </row>
    <row r="191" spans="2:5" ht="34" customHeight="1" x14ac:dyDescent="0.2">
      <c r="B191" s="425" t="s">
        <v>834</v>
      </c>
      <c r="C191" s="426"/>
      <c r="D191" s="426"/>
      <c r="E191" s="427"/>
    </row>
    <row r="192" spans="2:5" ht="20" customHeight="1" x14ac:dyDescent="0.2">
      <c r="B192" s="492" t="s">
        <v>821</v>
      </c>
      <c r="C192" s="493"/>
      <c r="D192" s="493"/>
      <c r="E192" s="494"/>
    </row>
    <row r="193" spans="2:5" ht="20" customHeight="1" x14ac:dyDescent="0.2">
      <c r="B193" s="346" t="s">
        <v>17</v>
      </c>
      <c r="C193" s="346" t="s">
        <v>18</v>
      </c>
      <c r="D193" s="346" t="s">
        <v>19</v>
      </c>
      <c r="E193" s="346" t="s">
        <v>20</v>
      </c>
    </row>
    <row r="194" spans="2:5" ht="19" customHeight="1" x14ac:dyDescent="0.2">
      <c r="B194" s="17" t="s">
        <v>835</v>
      </c>
      <c r="C194" s="362" t="s">
        <v>265</v>
      </c>
      <c r="D194" s="337" t="str">
        <f>D136</f>
        <v>vSAN</v>
      </c>
      <c r="E194" s="32"/>
    </row>
    <row r="195" spans="2:5" ht="19" customHeight="1" x14ac:dyDescent="0.2">
      <c r="B195" s="17" t="s">
        <v>836</v>
      </c>
      <c r="C195" s="362" t="s">
        <v>159</v>
      </c>
      <c r="D195" s="337" t="str">
        <f>IF(OR(wld_principal_storage_chosen="vSAN-ESA",wld_principal_storage_chosen="vSAN Storage Cluster",wld_principal_storage_chosen="vSAN Compute Cluster"),"Selected","Unselected")</f>
        <v>Selected</v>
      </c>
      <c r="E195" s="32"/>
    </row>
    <row r="196" spans="2:5" ht="16" customHeight="1" x14ac:dyDescent="0.2">
      <c r="B196" s="7"/>
      <c r="C196" s="7"/>
      <c r="D196" s="7"/>
      <c r="E196" s="7"/>
    </row>
    <row r="197" spans="2:5" ht="34" customHeight="1" x14ac:dyDescent="0.2">
      <c r="B197" s="425" t="str">
        <f>IF(OR(wld_principal_storage_chosen="vSAN-ESA",wld_principal_storage_chosen="vSAN Storage Cluster",wld_principal_storage_chosen="vSAN-OSA"),"vSAN Storage",IF(wld_principal_storage_chosen="NFSv3","NFS Storage",""))</f>
        <v>vSAN Storage</v>
      </c>
      <c r="C197" s="426"/>
      <c r="D197" s="426"/>
      <c r="E197" s="427"/>
    </row>
    <row r="198" spans="2:5" ht="20" customHeight="1" x14ac:dyDescent="0.2">
      <c r="B198" s="492" t="s">
        <v>837</v>
      </c>
      <c r="C198" s="493"/>
      <c r="D198" s="493"/>
      <c r="E198" s="494"/>
    </row>
    <row r="199" spans="2:5" ht="20" customHeight="1" x14ac:dyDescent="0.2">
      <c r="B199" s="346" t="s">
        <v>17</v>
      </c>
      <c r="C199" s="346" t="s">
        <v>18</v>
      </c>
      <c r="D199" s="346" t="s">
        <v>19</v>
      </c>
      <c r="E199" s="346" t="s">
        <v>20</v>
      </c>
    </row>
    <row r="200" spans="2:5" ht="20" customHeight="1" x14ac:dyDescent="0.2">
      <c r="B200" s="4" t="s">
        <v>838</v>
      </c>
      <c r="C200" s="362" t="s">
        <v>839</v>
      </c>
      <c r="D200" s="337" t="str">
        <f>D137</f>
        <v>vSAN HCI</v>
      </c>
      <c r="E200" s="337" t="str">
        <f>IF(D137="vSAN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01" spans="2:5" ht="20" customHeight="1" x14ac:dyDescent="0.2">
      <c r="B201" s="4" t="s">
        <v>279</v>
      </c>
      <c r="C201" s="362" t="str">
        <f>CONCATENATE(sample_wld_sddc_domain,"-",sample_wld_cl01_cluster,"-vsan01")</f>
        <v>sfo-w01-sfo-w01-cl01-vsan01</v>
      </c>
      <c r="D201" s="347"/>
      <c r="E201" s="337" t="s">
        <v>840</v>
      </c>
    </row>
    <row r="202" spans="2:5" ht="20" customHeight="1" x14ac:dyDescent="0.2">
      <c r="B202" s="4" t="s">
        <v>841</v>
      </c>
      <c r="C202" s="362" t="s">
        <v>145</v>
      </c>
      <c r="D202" s="337" t="str">
        <f>IF(wld_secondary_storage_chosen="vSAN Storage Client Network","Selected","Unselected")</f>
        <v>Unselected</v>
      </c>
      <c r="E202" s="314" t="s">
        <v>810</v>
      </c>
    </row>
    <row r="203" spans="2:5" ht="20" customHeight="1" x14ac:dyDescent="0.2">
      <c r="B203" s="4" t="str">
        <f>IF(wld_principal_storage_chosen="vSAN-ESA","Storage Policy", "vSAN: Failures to Tolerate (FTT)")</f>
        <v>Storage Policy</v>
      </c>
      <c r="C203" s="362">
        <v>1</v>
      </c>
      <c r="D203" s="347" t="s">
        <v>842</v>
      </c>
      <c r="E203" s="32"/>
    </row>
    <row r="204" spans="2:5" ht="20" customHeight="1" x14ac:dyDescent="0.2">
      <c r="B204" s="4" t="s">
        <v>843</v>
      </c>
      <c r="C204" s="362" t="s">
        <v>145</v>
      </c>
      <c r="D204" s="347" t="s">
        <v>145</v>
      </c>
      <c r="E204" s="32"/>
    </row>
    <row r="205" spans="2:5" ht="20" customHeight="1" x14ac:dyDescent="0.2">
      <c r="B205" s="152" t="s">
        <v>844</v>
      </c>
      <c r="C205" s="362" t="str">
        <f>CONCATENATE(this_instance,"-w0",wld_domain_number_chosen,"-cl01-ds-vmfs01")</f>
        <v>sfo-w01-cl01-ds-vmfs01</v>
      </c>
      <c r="D205" s="347"/>
      <c r="E205" s="32"/>
    </row>
    <row r="206" spans="2:5" ht="20" customHeight="1" x14ac:dyDescent="0.2">
      <c r="B206" s="22" t="s">
        <v>845</v>
      </c>
      <c r="C206" s="362" t="str">
        <f>CONCATENATE(this_instance,"-w0",wld_domain_number_chosen,"-cl01-ds-nfs01")</f>
        <v>sfo-w01-cl01-ds-nfs01</v>
      </c>
      <c r="D206" s="347"/>
      <c r="E206" s="32"/>
    </row>
    <row r="207" spans="2:5" ht="20" customHeight="1" x14ac:dyDescent="0.2">
      <c r="B207" s="22" t="s">
        <v>846</v>
      </c>
      <c r="C207" s="362" t="str">
        <f>CONCATENATE(this_instance,"-w0",wld_domain_number_chosen,"-cl01-ds-nfs01-share")</f>
        <v>sfo-w01-cl01-ds-nfs01-share</v>
      </c>
      <c r="D207" s="347"/>
      <c r="E207" s="32"/>
    </row>
    <row r="208" spans="2:5" ht="19" customHeight="1" x14ac:dyDescent="0.2">
      <c r="B208" s="22" t="s">
        <v>847</v>
      </c>
      <c r="C208" s="362" t="str">
        <f>CONCATENATE(prefix_wld_az1_cidr,"15.4")</f>
        <v>10.13.15.4</v>
      </c>
      <c r="D208" s="347"/>
      <c r="E208" s="32"/>
    </row>
    <row r="209" spans="2:5" ht="16" customHeight="1" x14ac:dyDescent="0.2">
      <c r="B209" s="7"/>
      <c r="C209" s="7"/>
      <c r="D209" s="7"/>
      <c r="E209" s="7"/>
    </row>
    <row r="210" spans="2:5" ht="34" customHeight="1" x14ac:dyDescent="0.2">
      <c r="B210" s="425" t="s">
        <v>848</v>
      </c>
      <c r="C210" s="426"/>
      <c r="D210" s="426"/>
      <c r="E210" s="427"/>
    </row>
    <row r="211" spans="2:5" ht="20" customHeight="1" x14ac:dyDescent="0.2">
      <c r="B211" s="492"/>
      <c r="C211" s="493"/>
      <c r="D211" s="493"/>
      <c r="E211" s="494"/>
    </row>
    <row r="212" spans="2:5" ht="20" customHeight="1" x14ac:dyDescent="0.2">
      <c r="B212" s="346" t="s">
        <v>17</v>
      </c>
      <c r="C212" s="346" t="s">
        <v>18</v>
      </c>
      <c r="D212" s="346" t="s">
        <v>19</v>
      </c>
      <c r="E212" s="346" t="s">
        <v>20</v>
      </c>
    </row>
    <row r="213" spans="2:5" ht="20" customHeight="1" x14ac:dyDescent="0.2">
      <c r="B213" s="17" t="s">
        <v>215</v>
      </c>
      <c r="C213" s="362" t="str">
        <f t="array" ref="C213:C228">sample_wld_az1_host_fqdns</f>
        <v>sfo01-w01-r01-esx01.sfo.rainpole.io</v>
      </c>
      <c r="D213" s="337" t="str">
        <f t="array" ref="D213:D228">wld_az1_host_fqdns</f>
        <v>Value Missing</v>
      </c>
      <c r="E213" s="32"/>
    </row>
    <row r="214" spans="2:5" ht="20" customHeight="1" x14ac:dyDescent="0.2">
      <c r="B214" s="17" t="s">
        <v>217</v>
      </c>
      <c r="C214" s="362" t="str">
        <v>sfo01-w01-r01-esx02.sfo.rainpole.io</v>
      </c>
      <c r="D214" s="337" t="str">
        <v>Value Missing</v>
      </c>
      <c r="E214" s="32"/>
    </row>
    <row r="215" spans="2:5" ht="20" customHeight="1" x14ac:dyDescent="0.2">
      <c r="B215" s="17" t="s">
        <v>219</v>
      </c>
      <c r="C215" s="362" t="str">
        <v>sfo01-w01-r01-esx03.sfo.rainpole.io</v>
      </c>
      <c r="D215" s="337" t="str">
        <v>Value Missing</v>
      </c>
      <c r="E215" s="32"/>
    </row>
    <row r="216" spans="2:5" ht="20" customHeight="1" x14ac:dyDescent="0.2">
      <c r="B216" s="17" t="s">
        <v>221</v>
      </c>
      <c r="C216" s="362" t="str">
        <v>sfo01-w01-r01-esx04.sfo.rainpole.io</v>
      </c>
      <c r="D216" s="337" t="str">
        <v>Value Missing</v>
      </c>
      <c r="E216" s="32"/>
    </row>
    <row r="217" spans="2:5" ht="20" customHeight="1" x14ac:dyDescent="0.2">
      <c r="B217" s="17" t="s">
        <v>223</v>
      </c>
      <c r="C217" s="362" t="str">
        <v>sfo01-w01-r01-esx05.sfo.rainpole.io</v>
      </c>
      <c r="D217" s="337" t="str">
        <v>Value Missing</v>
      </c>
      <c r="E217" s="17"/>
    </row>
    <row r="218" spans="2:5" ht="20" customHeight="1" x14ac:dyDescent="0.2">
      <c r="B218" s="17" t="s">
        <v>225</v>
      </c>
      <c r="C218" s="362" t="str">
        <v>sfo01-w01-r01-esx06.sfo.rainpole.io</v>
      </c>
      <c r="D218" s="337" t="str">
        <v>Value Missing</v>
      </c>
      <c r="E218" s="17"/>
    </row>
    <row r="219" spans="2:5" ht="20" customHeight="1" x14ac:dyDescent="0.2">
      <c r="B219" s="17" t="s">
        <v>227</v>
      </c>
      <c r="C219" s="362" t="str">
        <v>sfo01-w01-r01-esx07.sfo.rainpole.io</v>
      </c>
      <c r="D219" s="337" t="str">
        <v>Value Missing</v>
      </c>
      <c r="E219" s="17"/>
    </row>
    <row r="220" spans="2:5" ht="20" customHeight="1" x14ac:dyDescent="0.2">
      <c r="B220" s="17" t="s">
        <v>229</v>
      </c>
      <c r="C220" s="362" t="str">
        <v>sfo01-w01-r01-esx08.sfo.rainpole.io</v>
      </c>
      <c r="D220" s="337" t="str">
        <v>Value Missing</v>
      </c>
      <c r="E220" s="17"/>
    </row>
    <row r="221" spans="2:5" ht="20" customHeight="1" x14ac:dyDescent="0.2">
      <c r="B221" s="17" t="s">
        <v>231</v>
      </c>
      <c r="C221" s="362" t="str">
        <v>sfo01-w01-r01-esx09.sfo.rainpole.io</v>
      </c>
      <c r="D221" s="337" t="str">
        <v>Value Missing</v>
      </c>
      <c r="E221" s="17"/>
    </row>
    <row r="222" spans="2:5" ht="20" customHeight="1" x14ac:dyDescent="0.2">
      <c r="B222" s="17" t="s">
        <v>233</v>
      </c>
      <c r="C222" s="362" t="str">
        <v>sfo01-w01-r01-esx10.sfo.rainpole.io</v>
      </c>
      <c r="D222" s="337" t="str">
        <v>Value Missing</v>
      </c>
      <c r="E222" s="153"/>
    </row>
    <row r="223" spans="2:5" ht="20" customHeight="1" x14ac:dyDescent="0.2">
      <c r="B223" s="17" t="s">
        <v>235</v>
      </c>
      <c r="C223" s="362" t="str">
        <v>sfo01-w01-r01-esx11.sfo.rainpole.io</v>
      </c>
      <c r="D223" s="337" t="str">
        <v>Value Missing</v>
      </c>
      <c r="E223" s="17"/>
    </row>
    <row r="224" spans="2:5" ht="20" customHeight="1" x14ac:dyDescent="0.2">
      <c r="B224" s="17" t="s">
        <v>237</v>
      </c>
      <c r="C224" s="362" t="str">
        <v>sfo01-w01-r01-esx12.sfo.rainpole.io</v>
      </c>
      <c r="D224" s="337" t="str">
        <v>Value Missing</v>
      </c>
      <c r="E224" s="17"/>
    </row>
    <row r="225" spans="2:5" ht="20" customHeight="1" x14ac:dyDescent="0.2">
      <c r="B225" s="17" t="s">
        <v>239</v>
      </c>
      <c r="C225" s="362" t="str">
        <v>sfo01-w01-r01-esx13.sfo.rainpole.io</v>
      </c>
      <c r="D225" s="337" t="str">
        <v>Value Missing</v>
      </c>
      <c r="E225" s="17"/>
    </row>
    <row r="226" spans="2:5" ht="20" customHeight="1" x14ac:dyDescent="0.2">
      <c r="B226" s="17" t="s">
        <v>241</v>
      </c>
      <c r="C226" s="362" t="str">
        <v>sfo01-w01-r01-esx14.sfo.rainpole.io</v>
      </c>
      <c r="D226" s="337" t="str">
        <v>Value Missing</v>
      </c>
      <c r="E226" s="17"/>
    </row>
    <row r="227" spans="2:5" ht="20" customHeight="1" x14ac:dyDescent="0.2">
      <c r="B227" s="17" t="s">
        <v>243</v>
      </c>
      <c r="C227" s="362" t="str">
        <v>sfo01-w01-r01-esx15.sfo.rainpole.io</v>
      </c>
      <c r="D227" s="337" t="str">
        <v>Value Missing</v>
      </c>
      <c r="E227" s="17"/>
    </row>
    <row r="228" spans="2:5" ht="19" customHeight="1" x14ac:dyDescent="0.2">
      <c r="B228" s="17" t="s">
        <v>245</v>
      </c>
      <c r="C228" s="362" t="str">
        <v>sfo01-w01-r01-esx16.sfo.rainpole.io</v>
      </c>
      <c r="D228" s="337" t="str">
        <v>Value Missing</v>
      </c>
      <c r="E228" s="17"/>
    </row>
    <row r="229" spans="2:5" ht="16" customHeight="1" x14ac:dyDescent="0.2">
      <c r="B229" s="7"/>
      <c r="C229" s="7"/>
      <c r="D229" s="7"/>
      <c r="E229" s="7"/>
    </row>
    <row r="230" spans="2:5" ht="34" customHeight="1" x14ac:dyDescent="0.2">
      <c r="B230" s="425" t="s">
        <v>849</v>
      </c>
      <c r="C230" s="426"/>
      <c r="D230" s="426"/>
      <c r="E230" s="427"/>
    </row>
    <row r="231" spans="2:5" ht="20" customHeight="1" x14ac:dyDescent="0.2">
      <c r="B231" s="492" t="s">
        <v>850</v>
      </c>
      <c r="C231" s="493"/>
      <c r="D231" s="493"/>
      <c r="E231" s="494"/>
    </row>
    <row r="232" spans="2:5" ht="20" customHeight="1" x14ac:dyDescent="0.2">
      <c r="B232" s="346" t="s">
        <v>17</v>
      </c>
      <c r="C232" s="346" t="s">
        <v>18</v>
      </c>
      <c r="D232" s="346" t="s">
        <v>19</v>
      </c>
      <c r="E232" s="346" t="s">
        <v>20</v>
      </c>
    </row>
    <row r="233" spans="2:5" ht="20" customHeight="1" x14ac:dyDescent="0.2">
      <c r="B233" s="17" t="s">
        <v>851</v>
      </c>
      <c r="C233" s="362" t="s">
        <v>852</v>
      </c>
      <c r="D233" s="347" t="s">
        <v>852</v>
      </c>
      <c r="E233" s="32"/>
    </row>
    <row r="234" spans="2:5" ht="20" customHeight="1" x14ac:dyDescent="0.2">
      <c r="B234" s="17" t="s">
        <v>853</v>
      </c>
      <c r="C234" s="362" t="s">
        <v>145</v>
      </c>
      <c r="D234" s="347" t="s">
        <v>145</v>
      </c>
      <c r="E234" s="337" t="s">
        <v>854</v>
      </c>
    </row>
    <row r="235" spans="2:5" ht="16" customHeight="1" x14ac:dyDescent="0.2"/>
    <row r="236" spans="2:5" ht="34" customHeight="1" x14ac:dyDescent="0.2">
      <c r="B236" s="392" t="s">
        <v>855</v>
      </c>
      <c r="C236" s="393"/>
      <c r="D236" s="393"/>
      <c r="E236" s="394"/>
    </row>
    <row r="237" spans="2:5" ht="20" customHeight="1" x14ac:dyDescent="0.2">
      <c r="B237" s="154" t="s">
        <v>856</v>
      </c>
      <c r="C237" s="155"/>
      <c r="D237" s="155"/>
      <c r="E237" s="156"/>
    </row>
    <row r="238" spans="2:5" ht="20" customHeight="1" x14ac:dyDescent="0.2">
      <c r="B238" s="157" t="s">
        <v>17</v>
      </c>
      <c r="C238" s="158" t="s">
        <v>18</v>
      </c>
      <c r="D238" s="158" t="s">
        <v>19</v>
      </c>
      <c r="E238" s="158" t="s">
        <v>20</v>
      </c>
    </row>
    <row r="239" spans="2:5" ht="20" customHeight="1" x14ac:dyDescent="0.2">
      <c r="B239" s="17" t="s">
        <v>857</v>
      </c>
      <c r="C239" s="362" t="str">
        <f>CONCATENATE(sample_wld_cl01_cluster,"-vds01")</f>
        <v>sfo-w01-cl01-vds01</v>
      </c>
      <c r="D239" s="347"/>
      <c r="E239" s="32"/>
    </row>
    <row r="240" spans="2:5" ht="20" customHeight="1" x14ac:dyDescent="0.2">
      <c r="B240" s="17" t="s">
        <v>160</v>
      </c>
      <c r="C240" s="362">
        <v>9000</v>
      </c>
      <c r="D240" s="347"/>
      <c r="E240" s="32"/>
    </row>
    <row r="241" spans="2:5" ht="20" customHeight="1" x14ac:dyDescent="0.2">
      <c r="B241" s="17" t="s">
        <v>858</v>
      </c>
      <c r="C241" s="362" t="s">
        <v>859</v>
      </c>
      <c r="D241" s="347" t="s">
        <v>859</v>
      </c>
      <c r="E241" s="328" t="str">
        <f>IF(wld_cl01_vds01_link_type_chosen="VDS Lag","Only supported via API. Use VCF.JSONGenerator to generate the JSON File once PnP is complete","Option is not visible VCF Operations UI")</f>
        <v>Option is not visible VCF Operations UI</v>
      </c>
    </row>
    <row r="242" spans="2:5" ht="20" customHeight="1" x14ac:dyDescent="0.2">
      <c r="B242" s="4" t="s">
        <v>860</v>
      </c>
      <c r="C242" s="84" t="str">
        <f>CONCATENATE("w01-cl01-vds1-lg")</f>
        <v>w01-cl01-vds1-lg</v>
      </c>
      <c r="D242" s="347"/>
      <c r="E242" s="328" t="str">
        <f>IF(wld_cl01_vds01_link_type_chosen="VDS Uplinks","This input is masked out as you have chosen to configure VDS Uplinks","Option is not visible in VCF Operations UI. There is a 16 Character Limit for LAG Name")</f>
        <v>This input is masked out as you have chosen to configure VDS Uplinks</v>
      </c>
    </row>
    <row r="243" spans="2:5" ht="20" customHeight="1" x14ac:dyDescent="0.2">
      <c r="B243" s="4" t="s">
        <v>861</v>
      </c>
      <c r="C243" s="137" t="s">
        <v>862</v>
      </c>
      <c r="D243" s="347" t="s">
        <v>862</v>
      </c>
      <c r="E243" s="328" t="str">
        <f>IF(wld_cl01_vds01_link_type_chosen="VDS Uplinks","This input is masked out as you have chosen to configure VDS Uplinks","Option is not visible in VCF Operations UI")</f>
        <v>This input is masked out as you have chosen to configure VDS Uplinks</v>
      </c>
    </row>
    <row r="244" spans="2:5" ht="20" customHeight="1" x14ac:dyDescent="0.2">
      <c r="B244" s="4" t="s">
        <v>863</v>
      </c>
      <c r="C244" s="137" t="s">
        <v>864</v>
      </c>
      <c r="D244" s="347" t="s">
        <v>864</v>
      </c>
      <c r="E244" s="328" t="str">
        <f>IF(wld_cl01_vds01_link_type_chosen="VDS Uplinks","This input is masked out as you have chosen to configure VDS Uplinks","Option is not visible in VCF Operations UI")</f>
        <v>This input is masked out as you have chosen to configure VDS Uplinks</v>
      </c>
    </row>
    <row r="245" spans="2:5" ht="20" customHeight="1" x14ac:dyDescent="0.2">
      <c r="B245" s="4" t="s">
        <v>865</v>
      </c>
      <c r="C245" s="137" t="s">
        <v>866</v>
      </c>
      <c r="D245" s="347" t="s">
        <v>866</v>
      </c>
      <c r="E245" s="328" t="str">
        <f>IF(wld_cl01_vds01_link_type_chosen="VDS Uplinks","This input is masked out as you have chosen to configure VDS Uplinks","Option is not visible in VCF Operations UI")</f>
        <v>This input is masked out as you have chosen to configure VDS Uplinks</v>
      </c>
    </row>
    <row r="246" spans="2:5" ht="20" customHeight="1" x14ac:dyDescent="0.2">
      <c r="B246" s="22" t="s">
        <v>867</v>
      </c>
      <c r="C246" s="159">
        <v>2</v>
      </c>
      <c r="D246" s="79"/>
      <c r="E246" s="160"/>
    </row>
    <row r="247" spans="2:5" ht="20" customHeight="1" x14ac:dyDescent="0.2">
      <c r="B247" s="17" t="s">
        <v>868</v>
      </c>
      <c r="C247" s="362" t="s">
        <v>869</v>
      </c>
      <c r="D247" s="347"/>
      <c r="E247" s="160"/>
    </row>
    <row r="248" spans="2:5" ht="20" customHeight="1" x14ac:dyDescent="0.2">
      <c r="B248" s="17" t="s">
        <v>870</v>
      </c>
      <c r="C248" s="362" t="s">
        <v>871</v>
      </c>
      <c r="D248" s="337" t="str">
        <f>wld_cl01_vds01_traffic_type</f>
        <v>Management vMotion vSAN NSX-Overlay</v>
      </c>
      <c r="E248" s="32"/>
    </row>
    <row r="249" spans="2:5" ht="20" customHeight="1" x14ac:dyDescent="0.2">
      <c r="B249" s="492" t="s">
        <v>872</v>
      </c>
      <c r="C249" s="493"/>
      <c r="D249" s="493"/>
      <c r="E249" s="494"/>
    </row>
    <row r="250" spans="2:5" ht="20" customHeight="1" x14ac:dyDescent="0.2">
      <c r="B250" s="17" t="s">
        <v>873</v>
      </c>
      <c r="C250" s="362" t="str">
        <f>CONCATENATE(sample_wld_cl01_cluster,"-vds02")</f>
        <v>sfo-w01-cl01-vds02</v>
      </c>
      <c r="D250" s="347"/>
      <c r="E250" s="33" t="str">
        <f>IF(OR(wld_cl01_vds_profile_chosen="Default",wld_cl01_vds_profile_chosen="Custom Switch Configuration"),"This input is masked out due to VDS Profile selected","")</f>
        <v>This input is masked out due to VDS Profile selected</v>
      </c>
    </row>
    <row r="251" spans="2:5" ht="20" customHeight="1" x14ac:dyDescent="0.2">
      <c r="B251" s="17" t="s">
        <v>160</v>
      </c>
      <c r="C251" s="362">
        <v>9000</v>
      </c>
      <c r="D251" s="347"/>
      <c r="E251" s="33" t="str">
        <f>IF(OR(wld_cl01_vds_profile_chosen="Default",wld_cl01_vds_profile_chosen="Custom Switch Configuration"),"This input is masked out due to VDS Profile selected","")</f>
        <v>This input is masked out due to VDS Profile selected</v>
      </c>
    </row>
    <row r="252" spans="2:5" ht="20" customHeight="1" x14ac:dyDescent="0.2">
      <c r="B252" s="17" t="s">
        <v>858</v>
      </c>
      <c r="C252" s="362" t="s">
        <v>859</v>
      </c>
      <c r="D252" s="347" t="s">
        <v>859</v>
      </c>
      <c r="E252" s="210" t="str">
        <f>IF(wld_cl01_vds_profile_chosen="Default","This input is masked out due to VDS Profile selected",IF(wld_cl01_vds02_link_type_chosen="VDS Lag","Only supported via API. Use VCF.JSONGenerator to generate the JSON File once PnP is complete","Option is not visible in VCF Operations UI. There is a 16 Character Limit for LAG Name"))</f>
        <v>This input is masked out due to VDS Profile selected</v>
      </c>
    </row>
    <row r="253" spans="2:5" ht="20" customHeight="1" x14ac:dyDescent="0.2">
      <c r="B253" s="4" t="s">
        <v>860</v>
      </c>
      <c r="C253" s="84" t="str">
        <f>CONCATENATE("w01-cl01-vds2-lg")</f>
        <v>w01-cl01-vds2-lg</v>
      </c>
      <c r="D253" s="347"/>
      <c r="E253"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 There is a 16 Character Limit for LAG Name"))</f>
        <v>This input is masked out due to VDS Profile selected</v>
      </c>
    </row>
    <row r="254" spans="2:5" ht="20" customHeight="1" x14ac:dyDescent="0.2">
      <c r="B254" s="4" t="s">
        <v>861</v>
      </c>
      <c r="C254" s="137" t="s">
        <v>862</v>
      </c>
      <c r="D254" s="347" t="s">
        <v>862</v>
      </c>
      <c r="E254"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5" spans="2:5" ht="20" customHeight="1" x14ac:dyDescent="0.2">
      <c r="B255" s="4" t="s">
        <v>863</v>
      </c>
      <c r="C255" s="137" t="s">
        <v>864</v>
      </c>
      <c r="D255" s="347" t="s">
        <v>864</v>
      </c>
      <c r="E255"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6" spans="2:5" ht="20" customHeight="1" x14ac:dyDescent="0.2">
      <c r="B256" s="4" t="s">
        <v>865</v>
      </c>
      <c r="C256" s="137" t="s">
        <v>866</v>
      </c>
      <c r="D256" s="347" t="s">
        <v>866</v>
      </c>
      <c r="E256"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7" spans="2:5" ht="20" customHeight="1" x14ac:dyDescent="0.2">
      <c r="B257" s="22" t="s">
        <v>867</v>
      </c>
      <c r="C257" s="159">
        <v>2</v>
      </c>
      <c r="D257" s="347"/>
      <c r="E257" s="210" t="str">
        <f>IF(OR(wld_cl01_vds_profile_chosen="Default",wld_cl01_vds_profile_chosen="Custom Switch Configuration"),"This input is masked out due to VDS Profile selected","")</f>
        <v>This input is masked out due to VDS Profile selected</v>
      </c>
    </row>
    <row r="258" spans="2:5" ht="20" customHeight="1" x14ac:dyDescent="0.2">
      <c r="B258" s="17" t="s">
        <v>868</v>
      </c>
      <c r="C258" s="362" t="s">
        <v>874</v>
      </c>
      <c r="D258" s="347"/>
      <c r="E258" s="33" t="str">
        <f>IF(OR(wld_cl01_vds_profile_chosen="Default",wld_cl01_vds_profile_chosen="Custom Switch Configuration"),"This input is masked out due to VDS Profile selected","")</f>
        <v>This input is masked out due to VDS Profile selected</v>
      </c>
    </row>
    <row r="259" spans="2:5" ht="20" customHeight="1" x14ac:dyDescent="0.2">
      <c r="B259" s="17" t="s">
        <v>870</v>
      </c>
      <c r="C259" s="362" t="s">
        <v>265</v>
      </c>
      <c r="D259" s="337" t="str">
        <f>wld_cl01_vds02_traffic_type</f>
        <v>Value Missing</v>
      </c>
      <c r="E259" s="33" t="str">
        <f>IF(OR(wld_cl01_vds_profile_chosen="Default",wld_cl01_vds_profile_chosen="Custom Switch Configuration"),"This input is masked out due to VDS Profile selected","")</f>
        <v>This input is masked out due to VDS Profile selected</v>
      </c>
    </row>
    <row r="260" spans="2:5" ht="20" customHeight="1" x14ac:dyDescent="0.2">
      <c r="B260" s="492" t="s">
        <v>875</v>
      </c>
      <c r="C260" s="493"/>
      <c r="D260" s="493"/>
      <c r="E260" s="494"/>
    </row>
    <row r="261" spans="2:5" ht="20" customHeight="1" x14ac:dyDescent="0.2">
      <c r="B261" s="17" t="s">
        <v>876</v>
      </c>
      <c r="C261" s="362" t="str">
        <f>CONCATENATE(sample_wld_cl01_cluster,"-vds03")</f>
        <v>sfo-w01-cl01-vds03</v>
      </c>
      <c r="D261" s="347"/>
      <c r="E261" s="33" t="str">
        <f>IF(wld_cl01_vds_profile_chosen&lt;&gt;"Storage Traffic and NSX Traffic Separation","This input is masked out due to VDS Profile selected","")</f>
        <v>This input is masked out due to VDS Profile selected</v>
      </c>
    </row>
    <row r="262" spans="2:5" ht="20" customHeight="1" x14ac:dyDescent="0.2">
      <c r="B262" s="17" t="s">
        <v>160</v>
      </c>
      <c r="C262" s="362">
        <v>9000</v>
      </c>
      <c r="D262" s="347"/>
      <c r="E262" s="33" t="str">
        <f>IF(wld_cl01_vds_profile_chosen&lt;&gt;"Storage Traffic and NSX Traffic Separation","This input is masked out due to VDS Profile selected","")</f>
        <v>This input is masked out due to VDS Profile selected</v>
      </c>
    </row>
    <row r="263" spans="2:5" ht="20" customHeight="1" x14ac:dyDescent="0.2">
      <c r="B263" s="17" t="s">
        <v>858</v>
      </c>
      <c r="C263" s="362" t="s">
        <v>859</v>
      </c>
      <c r="D263" s="347" t="s">
        <v>859</v>
      </c>
      <c r="E263" s="328" t="str">
        <f>IF(wld_cl01_vds_profile_chosen&lt;&gt;"Storage Traffic and NSX Traffic Separation","This input is masked out due to VDS Profile selected",IF(wld_cl01_vds03_link_type_chosen="VDS Lag","Only supported via API. Use VCF.JSONGenerator to generate the JSON File once PnP is complete","Option is not visible VCF Operations UI"))</f>
        <v>This input is masked out due to VDS Profile selected</v>
      </c>
    </row>
    <row r="264" spans="2:5" ht="20" customHeight="1" x14ac:dyDescent="0.2">
      <c r="B264" s="4" t="s">
        <v>860</v>
      </c>
      <c r="C264" s="84" t="str">
        <f>CONCATENATE("w01-cl01-vds3-lg")</f>
        <v>w01-cl01-vds3-lg</v>
      </c>
      <c r="D264" s="347"/>
      <c r="E264"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 There is a 16 Character Limit for LAG Name"))</f>
        <v>This input is masked out due to VDS Profile selected</v>
      </c>
    </row>
    <row r="265" spans="2:5" ht="20" customHeight="1" x14ac:dyDescent="0.2">
      <c r="B265" s="4" t="s">
        <v>861</v>
      </c>
      <c r="C265" s="137" t="s">
        <v>862</v>
      </c>
      <c r="D265" s="347" t="s">
        <v>862</v>
      </c>
      <c r="E265"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6" spans="2:5" ht="20" customHeight="1" x14ac:dyDescent="0.2">
      <c r="B266" s="4" t="s">
        <v>863</v>
      </c>
      <c r="C266" s="137" t="s">
        <v>864</v>
      </c>
      <c r="D266" s="347" t="s">
        <v>864</v>
      </c>
      <c r="E266"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7" spans="2:5" ht="20" customHeight="1" x14ac:dyDescent="0.2">
      <c r="B267" s="4" t="s">
        <v>865</v>
      </c>
      <c r="C267" s="137" t="s">
        <v>866</v>
      </c>
      <c r="D267" s="347" t="s">
        <v>877</v>
      </c>
      <c r="E267"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8" spans="2:5" ht="20" customHeight="1" x14ac:dyDescent="0.2">
      <c r="B268" s="22" t="s">
        <v>867</v>
      </c>
      <c r="C268" s="159">
        <v>2</v>
      </c>
      <c r="D268" s="347"/>
      <c r="E268" s="328" t="str">
        <f>IF(wld_cl01_vds_profile_chosen&lt;&gt;"Storage Traffic and NSX Traffic Separation","This input is masked out due to VDS Profile selected","")</f>
        <v>This input is masked out due to VDS Profile selected</v>
      </c>
    </row>
    <row r="269" spans="2:5" ht="20" customHeight="1" x14ac:dyDescent="0.2">
      <c r="B269" s="17" t="s">
        <v>868</v>
      </c>
      <c r="C269" s="362" t="s">
        <v>878</v>
      </c>
      <c r="D269" s="347"/>
      <c r="E269" s="33" t="str">
        <f>IF(wld_cl01_vds_profile_chosen&lt;&gt;"Storage Traffic and NSX Traffic Separation","This input is masked out due to VDS Profile selected","")</f>
        <v>This input is masked out due to VDS Profile selected</v>
      </c>
    </row>
    <row r="270" spans="2:5" ht="20" customHeight="1" x14ac:dyDescent="0.2">
      <c r="B270" s="17" t="s">
        <v>870</v>
      </c>
      <c r="C270" s="362" t="s">
        <v>879</v>
      </c>
      <c r="D270" s="337" t="str">
        <f>wld_cl01_vds03_traffic_type</f>
        <v>Value Missing</v>
      </c>
      <c r="E270" s="33" t="str">
        <f>IF(wld_cl01_vds_profile_chosen&lt;&gt;"Storage Traffic and NSX Traffic Separation","This input is masked out due to VDS Profile selected","")</f>
        <v>This input is masked out due to VDS Profile selected</v>
      </c>
    </row>
    <row r="271" spans="2:5" ht="20" customHeight="1" x14ac:dyDescent="0.2">
      <c r="B271" s="154" t="s">
        <v>880</v>
      </c>
      <c r="C271" s="155"/>
      <c r="D271" s="155"/>
      <c r="E271" s="156"/>
    </row>
    <row r="272" spans="2:5" ht="20" customHeight="1" x14ac:dyDescent="0.2">
      <c r="B272" s="22" t="s">
        <v>185</v>
      </c>
      <c r="C272" s="362" t="str">
        <f>CONCATENATE(sample_wld_cl01_vds01_name,"-pg-esxi-mgmt")</f>
        <v>sfo-w01-cl01-vds01-pg-esxi-mgmt</v>
      </c>
      <c r="D272" s="347"/>
      <c r="E272" s="337" t="s">
        <v>881</v>
      </c>
    </row>
    <row r="273" spans="2:5" ht="20" customHeight="1" x14ac:dyDescent="0.2">
      <c r="B273" s="22" t="s">
        <v>882</v>
      </c>
      <c r="C273" s="159" t="s">
        <v>883</v>
      </c>
      <c r="D273" s="79" t="s">
        <v>883</v>
      </c>
      <c r="E273" s="161" t="str">
        <f>IF(wld_cl01_vds01_link_type_chosen="VDS Lag","This input is masked out as you have chosen to configure VDS LAG","")</f>
        <v/>
      </c>
    </row>
    <row r="274" spans="2:5" ht="20" customHeight="1" x14ac:dyDescent="0.2">
      <c r="B274" s="22" t="s">
        <v>884</v>
      </c>
      <c r="C274" s="159" t="s">
        <v>862</v>
      </c>
      <c r="D274" s="79" t="s">
        <v>862</v>
      </c>
      <c r="E274" s="161" t="str">
        <f>IF(wld_cl01_vds01_link_type_chosen="VDS Lag","This input is masked out as you have chosen to configure VDS LAG","")</f>
        <v/>
      </c>
    </row>
    <row r="275" spans="2:5" ht="20" customHeight="1" x14ac:dyDescent="0.2">
      <c r="B275" s="22" t="s">
        <v>885</v>
      </c>
      <c r="C275" s="159" t="s">
        <v>862</v>
      </c>
      <c r="D275" s="79" t="s">
        <v>862</v>
      </c>
      <c r="E275" s="161" t="str">
        <f>IF(wld_cl01_vds01_link_type_chosen="VDS Lag","This input is masked out as you have chosen to configure VDS LAG","")</f>
        <v/>
      </c>
    </row>
    <row r="276" spans="2:5" ht="20" customHeight="1" x14ac:dyDescent="0.2">
      <c r="B276" s="154" t="s">
        <v>886</v>
      </c>
      <c r="C276" s="155"/>
      <c r="D276" s="155"/>
      <c r="E276" s="156"/>
    </row>
    <row r="277" spans="2:5" ht="20" customHeight="1" x14ac:dyDescent="0.2">
      <c r="B277" s="22" t="s">
        <v>185</v>
      </c>
      <c r="C277" s="362" t="str">
        <f>CONCATENATE(sample_wld_cl01_vds01_name,"-pg-vm-mgmt")</f>
        <v>sfo-w01-cl01-vds01-pg-vm-mgmt</v>
      </c>
      <c r="D277" s="347"/>
      <c r="E277" s="161" t="s">
        <v>887</v>
      </c>
    </row>
    <row r="278" spans="2:5" ht="20" customHeight="1" x14ac:dyDescent="0.2">
      <c r="B278" s="22" t="s">
        <v>882</v>
      </c>
      <c r="C278" s="159" t="s">
        <v>883</v>
      </c>
      <c r="D278" s="79" t="s">
        <v>883</v>
      </c>
      <c r="E278" s="161" t="str">
        <f>IF(wld_cl01_vds01_link_type_chosen="VDS Lag","This input is masked out as you have chosen to configure VDS LAG","")</f>
        <v/>
      </c>
    </row>
    <row r="279" spans="2:5" ht="20" customHeight="1" x14ac:dyDescent="0.2">
      <c r="B279" s="22" t="s">
        <v>884</v>
      </c>
      <c r="C279" s="159" t="s">
        <v>862</v>
      </c>
      <c r="D279" s="79" t="s">
        <v>862</v>
      </c>
      <c r="E279" s="161" t="str">
        <f>IF(wld_cl01_vds01_link_type_chosen="VDS Lag","This input is masked out as you have chosen to configure VDS LAG","")</f>
        <v/>
      </c>
    </row>
    <row r="280" spans="2:5" ht="20" customHeight="1" x14ac:dyDescent="0.2">
      <c r="B280" s="22" t="s">
        <v>885</v>
      </c>
      <c r="C280" s="159" t="s">
        <v>862</v>
      </c>
      <c r="D280" s="79" t="s">
        <v>862</v>
      </c>
      <c r="E280" s="161" t="str">
        <f>IF(wld_cl01_vds01_link_type_chosen="VDS Lag","This input is masked out as you have chosen to configure VDS LAG","")</f>
        <v/>
      </c>
    </row>
    <row r="281" spans="2:5" ht="20" customHeight="1" x14ac:dyDescent="0.2">
      <c r="B281" s="154" t="s">
        <v>888</v>
      </c>
      <c r="C281" s="155"/>
      <c r="D281" s="155"/>
      <c r="E281" s="156"/>
    </row>
    <row r="282" spans="2:5" ht="20" customHeight="1" x14ac:dyDescent="0.2">
      <c r="B282" s="22" t="s">
        <v>185</v>
      </c>
      <c r="C282" s="362" t="str">
        <f>CONCATENATE(sample_wld_cl01_vds01_name,"-pg-vmotion")</f>
        <v>sfo-w01-cl01-vds01-pg-vmotion</v>
      </c>
      <c r="D282" s="347"/>
      <c r="E282" s="337"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83" spans="2:5" ht="20" customHeight="1" x14ac:dyDescent="0.2">
      <c r="B283" s="22" t="s">
        <v>882</v>
      </c>
      <c r="C283" s="159" t="s">
        <v>883</v>
      </c>
      <c r="D283" s="79" t="s">
        <v>883</v>
      </c>
      <c r="E283" s="161" t="str">
        <f>IF(wld_cl01_vds01_link_type_chosen="VDS Lag","This input is masked out as you have chosen to configure VDS LAG","")</f>
        <v/>
      </c>
    </row>
    <row r="284" spans="2:5" ht="20" customHeight="1" x14ac:dyDescent="0.2">
      <c r="B284" s="22" t="s">
        <v>884</v>
      </c>
      <c r="C284" s="159" t="s">
        <v>862</v>
      </c>
      <c r="D284" s="79" t="s">
        <v>862</v>
      </c>
      <c r="E284" s="161" t="str">
        <f>IF(wld_cl01_vds01_link_type_chosen="VDS Lag","This input is masked out as you have chosen to configure VDS LAG","")</f>
        <v/>
      </c>
    </row>
    <row r="285" spans="2:5" ht="20" customHeight="1" x14ac:dyDescent="0.2">
      <c r="B285" s="22" t="s">
        <v>885</v>
      </c>
      <c r="C285" s="159" t="s">
        <v>862</v>
      </c>
      <c r="D285" s="79" t="s">
        <v>862</v>
      </c>
      <c r="E285" s="161" t="str">
        <f>IF(wld_cl01_vds01_link_type_chosen="VDS Lag","This input is masked out as you have chosen to configure VDS LAG","")</f>
        <v/>
      </c>
    </row>
    <row r="286" spans="2:5" ht="20" customHeight="1" x14ac:dyDescent="0.2">
      <c r="B286" s="154" t="str">
        <f>IF(wld_principal_storage_chosen="NFSv3","Network Traffic: NFS","Network Traffic: vSAN")</f>
        <v>Network Traffic: vSAN</v>
      </c>
      <c r="C286" s="155"/>
      <c r="D286" s="155"/>
      <c r="E286" s="156"/>
    </row>
    <row r="287" spans="2:5" ht="20" customHeight="1" x14ac:dyDescent="0.2">
      <c r="B287" s="22" t="s">
        <v>185</v>
      </c>
      <c r="C287" s="362" t="str">
        <f>CONCATENATE(sample_wld_cl01_vds01_name,"-pg-vsan")</f>
        <v>sfo-w01-cl01-vds01-pg-vsan</v>
      </c>
      <c r="D287" s="347"/>
      <c r="E287" s="337" t="str">
        <f>IF(wld_cl01_vds_profile_chosen="Storage Traffic Separation","Portgroup will be created on Secondary Distributed Switch",
IF(wld_cl01_vds_profile_chosen="vSAN Max Storage Traffic Separation","Portgroup will be created on Secondary Distributed Switch",
IF(wld_cl01_vds_profile_chosen="vSAN Max Storage Traffic and NSX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Primary Distributed Switch</v>
      </c>
    </row>
    <row r="288" spans="2:5" ht="20" customHeight="1" x14ac:dyDescent="0.2">
      <c r="B288" s="22" t="s">
        <v>882</v>
      </c>
      <c r="C288" s="159" t="s">
        <v>883</v>
      </c>
      <c r="D288" s="79" t="s">
        <v>883</v>
      </c>
      <c r="E288"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89" spans="2:5" ht="20" customHeight="1" x14ac:dyDescent="0.2">
      <c r="B289" s="22" t="s">
        <v>884</v>
      </c>
      <c r="C289" s="159" t="s">
        <v>862</v>
      </c>
      <c r="D289" s="79" t="s">
        <v>862</v>
      </c>
      <c r="E289"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90" spans="2:5" ht="20" customHeight="1" x14ac:dyDescent="0.2">
      <c r="B290" s="22" t="s">
        <v>885</v>
      </c>
      <c r="C290" s="159" t="s">
        <v>862</v>
      </c>
      <c r="D290" s="79" t="s">
        <v>862</v>
      </c>
      <c r="E290"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91" spans="2:5" ht="20" customHeight="1" x14ac:dyDescent="0.2">
      <c r="B291" s="154" t="s">
        <v>889</v>
      </c>
      <c r="C291" s="155"/>
      <c r="D291" s="155"/>
      <c r="E291" s="156"/>
    </row>
    <row r="292" spans="2:5" ht="20" customHeight="1" x14ac:dyDescent="0.2">
      <c r="B292" s="22" t="s">
        <v>185</v>
      </c>
      <c r="C292" s="362" t="str">
        <f>CONCATENATE(sample_wld_cl01_vds01_name,"-pg-vsan-client")</f>
        <v>sfo-w01-cl01-vds01-pg-vsan-client</v>
      </c>
      <c r="D292" s="347"/>
      <c r="E292" s="337" t="str">
        <f>IF(OR((wld_domain_result="Excluded"),(wld_secondary_storage_result="Excluded")),"This input is masked out as vSAN Storage Client Network in not enabled",
IF(wld_cl01_vds_profile_chosen="vSAN Max Storage Traffic Separation","Portgroup will be created on Primary Distributed Switch",
IF(wld_cl01_vds_profile_chosen="vSAN Max Storage Traffic and NSX Traffic Separation","Portgroup will be created on Primary Distributed Switch",
IF(wld_cl01_vds_profile_chosen="Custom","","Portgroup will be created on Primary Distributed Switch"))))</f>
        <v>This input is masked out as vSAN Storage Client Network in not enabled</v>
      </c>
    </row>
    <row r="293" spans="2:5" ht="20" customHeight="1" x14ac:dyDescent="0.2">
      <c r="B293" s="22" t="s">
        <v>882</v>
      </c>
      <c r="C293" s="159" t="s">
        <v>883</v>
      </c>
      <c r="D293" s="79" t="s">
        <v>883</v>
      </c>
      <c r="E293"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4" spans="2:5" ht="20" customHeight="1" x14ac:dyDescent="0.2">
      <c r="B294" s="22" t="s">
        <v>884</v>
      </c>
      <c r="C294" s="159" t="s">
        <v>862</v>
      </c>
      <c r="D294" s="79" t="s">
        <v>862</v>
      </c>
      <c r="E294"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5" spans="2:5" ht="20" customHeight="1" x14ac:dyDescent="0.2">
      <c r="B295" s="22" t="s">
        <v>885</v>
      </c>
      <c r="C295" s="159" t="s">
        <v>862</v>
      </c>
      <c r="D295" s="79" t="s">
        <v>862</v>
      </c>
      <c r="E295"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6" spans="2:5" ht="20" customHeight="1" x14ac:dyDescent="0.2">
      <c r="B296" s="492" t="s">
        <v>890</v>
      </c>
      <c r="C296" s="493"/>
      <c r="D296" s="493"/>
      <c r="E296" s="494"/>
    </row>
    <row r="297" spans="2:5" ht="20" customHeight="1" x14ac:dyDescent="0.2">
      <c r="B297" s="4" t="s">
        <v>891</v>
      </c>
      <c r="C297" s="362" t="s">
        <v>159</v>
      </c>
      <c r="D297" s="347" t="s">
        <v>159</v>
      </c>
      <c r="E297" s="32"/>
    </row>
    <row r="298" spans="2:5" ht="20" customHeight="1" x14ac:dyDescent="0.2">
      <c r="B298" s="4" t="s">
        <v>538</v>
      </c>
      <c r="C298" s="362" t="s">
        <v>538</v>
      </c>
      <c r="D298" s="347" t="s">
        <v>538</v>
      </c>
      <c r="E298" s="32"/>
    </row>
    <row r="299" spans="2:5" ht="20" customHeight="1" x14ac:dyDescent="0.2">
      <c r="B299" s="4" t="s">
        <v>892</v>
      </c>
      <c r="C299" s="362" t="s">
        <v>159</v>
      </c>
      <c r="D299" s="347" t="s">
        <v>159</v>
      </c>
      <c r="E299" s="32"/>
    </row>
    <row r="300" spans="2:5" ht="20" customHeight="1" x14ac:dyDescent="0.2">
      <c r="B300" s="4" t="s">
        <v>893</v>
      </c>
      <c r="C300" s="362" t="s">
        <v>159</v>
      </c>
      <c r="D300" s="347" t="s">
        <v>159</v>
      </c>
      <c r="E300" s="32"/>
    </row>
    <row r="301" spans="2:5" ht="20" customHeight="1" x14ac:dyDescent="0.2">
      <c r="B301" s="492" t="s">
        <v>894</v>
      </c>
      <c r="C301" s="493"/>
      <c r="D301" s="493"/>
      <c r="E301" s="494"/>
    </row>
    <row r="302" spans="2:5" ht="20" customHeight="1" x14ac:dyDescent="0.2">
      <c r="B302" s="4" t="s">
        <v>895</v>
      </c>
      <c r="C302" s="362" t="str">
        <f>CONCATENATE("overlay-tz-",this_instance,"-w0",wld_domain_number_chosen,"-nsx01")</f>
        <v>overlay-tz-sfo-w01-nsx01</v>
      </c>
      <c r="D302" s="347"/>
      <c r="E302" s="33"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IF(wld_cl01_vds_profile_chosen="vSAN Max Storage Traffic and NSX Traffic Separation","Overlay Traffic will be configured on Tertiary Distributed Switch",
IF(wld_cl01_vds_profile_chosen="Custom","","Overlay Traffic will be configured on Primary Distributed Switch")))))</f>
        <v>Overlay Traffic will be configured on Primary Distributed Switch</v>
      </c>
    </row>
    <row r="303" spans="2:5" ht="20" customHeight="1" x14ac:dyDescent="0.2">
      <c r="B303" s="4" t="s">
        <v>85</v>
      </c>
      <c r="C303" s="362" t="str">
        <f>CONCATENATE(prefix_wld_az1_vlan,"14")</f>
        <v>1314</v>
      </c>
      <c r="D303" s="347"/>
    </row>
    <row r="304" spans="2:5" ht="20" customHeight="1" x14ac:dyDescent="0.2">
      <c r="B304" s="4" t="s">
        <v>896</v>
      </c>
      <c r="C304" s="362" t="s">
        <v>897</v>
      </c>
      <c r="D304" s="355" t="s">
        <v>897</v>
      </c>
      <c r="E304" s="4" t="str">
        <f>IF(wld_host_overlay_addressing_chosen="Static IP Pool","If Static Pools for Host TEP assignment is required then use COPY FROM PRECONFIGURED PROFILE option","")</f>
        <v>If Static Pools for Host TEP assignment is required then use COPY FROM PRECONFIGURED PROFILE option</v>
      </c>
    </row>
    <row r="305" spans="2:5" ht="20" customHeight="1" x14ac:dyDescent="0.2">
      <c r="B305" s="4" t="s">
        <v>897</v>
      </c>
      <c r="C305" s="362" t="s">
        <v>339</v>
      </c>
      <c r="D305" s="347" t="s">
        <v>339</v>
      </c>
      <c r="E305"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06" spans="2:5" ht="20" customHeight="1" x14ac:dyDescent="0.2">
      <c r="B306" s="4" t="s">
        <v>898</v>
      </c>
      <c r="C306" s="126" t="str">
        <f>CONCATENATE(this_instance,"01-w0",wld_domain_number_chosen,"-r01-ip-pool01-host")</f>
        <v>sfo01-w01-r01-ip-pool01-host</v>
      </c>
      <c r="D306" s="347"/>
      <c r="E306" s="32"/>
    </row>
    <row r="307" spans="2:5" ht="20" customHeight="1" x14ac:dyDescent="0.2">
      <c r="B307" s="4" t="s">
        <v>263</v>
      </c>
      <c r="C307" s="126" t="s">
        <v>899</v>
      </c>
      <c r="D307" s="347"/>
      <c r="E307" s="32"/>
    </row>
    <row r="308" spans="2:5" ht="20" customHeight="1" x14ac:dyDescent="0.2">
      <c r="B308" s="4" t="s">
        <v>460</v>
      </c>
      <c r="C308" s="362" t="str">
        <f>CONCATENATE(prefix_wld_az1_cidr,"14.0/24")</f>
        <v>10.13.14.0/24</v>
      </c>
      <c r="D308" s="347"/>
      <c r="E308" s="32"/>
    </row>
    <row r="309" spans="2:5" ht="20" customHeight="1" x14ac:dyDescent="0.2">
      <c r="B309" s="4" t="s">
        <v>255</v>
      </c>
      <c r="C309" s="362" t="str">
        <f>CONCATENATE(prefix_wld_az1_cidr,"14.101")</f>
        <v>10.13.14.101</v>
      </c>
      <c r="D309" s="347"/>
      <c r="E309" s="32"/>
    </row>
    <row r="310" spans="2:5" ht="20" customHeight="1" x14ac:dyDescent="0.2">
      <c r="B310" s="4" t="s">
        <v>256</v>
      </c>
      <c r="C310" s="362" t="str">
        <f>CONCATENATE(prefix_wld_az1_cidr,"14.132")</f>
        <v>10.13.14.132</v>
      </c>
      <c r="D310" s="347"/>
      <c r="E310" s="32"/>
    </row>
    <row r="311" spans="2:5" ht="20" customHeight="1" x14ac:dyDescent="0.2">
      <c r="B311" s="4" t="s">
        <v>461</v>
      </c>
      <c r="C311" s="362" t="str">
        <f>CONCATENATE(prefix_wld_az1_cidr,"14.1")</f>
        <v>10.13.14.1</v>
      </c>
      <c r="D311" s="347"/>
      <c r="E311" s="32"/>
    </row>
    <row r="312" spans="2:5" ht="20" customHeight="1" x14ac:dyDescent="0.2">
      <c r="B312" s="4" t="s">
        <v>900</v>
      </c>
      <c r="C312" s="362" t="s">
        <v>901</v>
      </c>
      <c r="D312" s="347"/>
      <c r="E312" s="32"/>
    </row>
    <row r="313" spans="2:5" ht="20" customHeight="1" x14ac:dyDescent="0.2">
      <c r="B313" s="492" t="s">
        <v>902</v>
      </c>
      <c r="C313" s="493"/>
      <c r="D313" s="493"/>
      <c r="E313" s="494"/>
    </row>
    <row r="314" spans="2:5" ht="20" customHeight="1" x14ac:dyDescent="0.2">
      <c r="B314" s="4" t="s">
        <v>337</v>
      </c>
      <c r="C314" s="362" t="str">
        <f>CONCATENATE(this_instance,"01-",sample_wld_cl01_cluster,"-r01-network-profile")</f>
        <v>sfo01-sfo-w01-cl01-r01-network-profile</v>
      </c>
      <c r="D314" s="347"/>
      <c r="E314" s="32"/>
    </row>
    <row r="315" spans="2:5" ht="20" customHeight="1" x14ac:dyDescent="0.2">
      <c r="B315" s="4" t="s">
        <v>903</v>
      </c>
      <c r="C315" s="362">
        <v>2</v>
      </c>
      <c r="D315" s="347"/>
      <c r="E315" s="32"/>
    </row>
    <row r="316" spans="2:5" ht="20" customHeight="1" x14ac:dyDescent="0.2">
      <c r="B316" s="4" t="s">
        <v>904</v>
      </c>
      <c r="C316" s="362" t="s">
        <v>884</v>
      </c>
      <c r="D316" s="347" t="s">
        <v>884</v>
      </c>
      <c r="E316" s="32"/>
    </row>
    <row r="317" spans="2:5" ht="20" customHeight="1" x14ac:dyDescent="0.2">
      <c r="B317" s="4" t="s">
        <v>905</v>
      </c>
      <c r="C317" s="362" t="s">
        <v>885</v>
      </c>
      <c r="D317" s="347" t="s">
        <v>885</v>
      </c>
      <c r="E317" s="32"/>
    </row>
    <row r="318" spans="2:5" ht="20" customHeight="1" x14ac:dyDescent="0.2">
      <c r="B318" s="17" t="s">
        <v>906</v>
      </c>
      <c r="C318" s="126" t="str">
        <f>CONCATENATE(this_instance,"01-w0",wld_domain_number_chosen,"-r01-uplink-profile01")</f>
        <v>sfo01-w01-r01-uplink-profile01</v>
      </c>
      <c r="D318" s="347"/>
      <c r="E318" s="32"/>
    </row>
    <row r="319" spans="2:5" ht="20" customHeight="1" x14ac:dyDescent="0.2">
      <c r="B319" s="4" t="s">
        <v>907</v>
      </c>
      <c r="C319" s="362" t="s">
        <v>908</v>
      </c>
      <c r="D319" s="347" t="s">
        <v>908</v>
      </c>
      <c r="E319"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0" spans="2:5" ht="20" customHeight="1" x14ac:dyDescent="0.2">
      <c r="B320" s="4" t="s">
        <v>909</v>
      </c>
      <c r="C320" s="362" t="s">
        <v>159</v>
      </c>
      <c r="D320" s="347" t="s">
        <v>159</v>
      </c>
      <c r="E320"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1" spans="2:5" ht="20" customHeight="1" x14ac:dyDescent="0.2">
      <c r="B321" s="4" t="s">
        <v>910</v>
      </c>
      <c r="C321" s="362" t="s">
        <v>159</v>
      </c>
      <c r="D321" s="347" t="s">
        <v>159</v>
      </c>
      <c r="E321"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3" spans="2:5" ht="34" customHeight="1" x14ac:dyDescent="0.2">
      <c r="B323" s="425" t="s">
        <v>911</v>
      </c>
      <c r="C323" s="426"/>
      <c r="D323" s="426"/>
      <c r="E323" s="427"/>
    </row>
    <row r="324" spans="2:5" ht="20" customHeight="1" x14ac:dyDescent="0.2">
      <c r="B324" s="346" t="s">
        <v>17</v>
      </c>
      <c r="C324" s="346" t="s">
        <v>18</v>
      </c>
      <c r="D324" s="346" t="s">
        <v>19</v>
      </c>
      <c r="E324" s="346" t="s">
        <v>20</v>
      </c>
    </row>
    <row r="325" spans="2:5" ht="20" customHeight="1" x14ac:dyDescent="0.2">
      <c r="B325" s="492" t="s">
        <v>912</v>
      </c>
      <c r="C325" s="493"/>
      <c r="D325" s="493"/>
      <c r="E325" s="494"/>
    </row>
    <row r="326" spans="2:5" ht="20" customHeight="1" x14ac:dyDescent="0.2">
      <c r="B326" s="17" t="s">
        <v>913</v>
      </c>
      <c r="C326" s="126" t="str">
        <f>CONCATENATE(sample_wld_sddc_domain,"-cl01-sn01")</f>
        <v>sfo-w01-cl01-sn01</v>
      </c>
      <c r="D326" s="347"/>
      <c r="E326" s="33" t="s">
        <v>914</v>
      </c>
    </row>
    <row r="327" spans="2:5" ht="20" customHeight="1" x14ac:dyDescent="0.2">
      <c r="B327" s="17" t="s">
        <v>915</v>
      </c>
      <c r="C327" s="126" t="s">
        <v>916</v>
      </c>
      <c r="D327" s="347"/>
      <c r="E327" s="128"/>
    </row>
    <row r="328" spans="2:5" ht="20" customHeight="1" x14ac:dyDescent="0.2">
      <c r="B328" s="17" t="s">
        <v>917</v>
      </c>
      <c r="C328" s="126" t="s">
        <v>145</v>
      </c>
      <c r="D328" s="347" t="s">
        <v>145</v>
      </c>
      <c r="E328" s="32"/>
    </row>
    <row r="329" spans="2:5" ht="20" customHeight="1" x14ac:dyDescent="0.2">
      <c r="B329" s="17" t="s">
        <v>918</v>
      </c>
      <c r="C329" s="126" t="str">
        <f>IF(wld_cl01_supervisor_use_mgmt_vmk_chosen="Unselected",CONCATENATE(prefix_wld_az1_cidr,"10.50","-",prefix_wld_az1_cidr,"10.60"),CONCATENATE(prefix_wld_az1_cidr,"11.50","-",prefix_wld_az1_cidr,"11.60"))</f>
        <v>10.13.10.50-10.13.10.60</v>
      </c>
      <c r="D329" s="347"/>
      <c r="E329" s="32"/>
    </row>
    <row r="330" spans="2:5" ht="20" customHeight="1" x14ac:dyDescent="0.2">
      <c r="B330" s="492" t="s">
        <v>919</v>
      </c>
      <c r="C330" s="493"/>
      <c r="D330" s="493"/>
      <c r="E330" s="494"/>
    </row>
    <row r="331" spans="2:5" ht="20" customHeight="1" x14ac:dyDescent="0.2">
      <c r="B331" s="17" t="s">
        <v>920</v>
      </c>
      <c r="C331" s="126" t="s">
        <v>921</v>
      </c>
      <c r="D331" s="347"/>
      <c r="E331" s="32"/>
    </row>
    <row r="332" spans="2:5" ht="20" customHeight="1" x14ac:dyDescent="0.2">
      <c r="B332" s="17" t="s">
        <v>922</v>
      </c>
      <c r="C332" s="126" t="s">
        <v>923</v>
      </c>
      <c r="D332" s="347"/>
      <c r="E332" s="32"/>
    </row>
    <row r="333" spans="2:5" ht="20" customHeight="1" x14ac:dyDescent="0.2">
      <c r="B333" s="17" t="s">
        <v>924</v>
      </c>
      <c r="C333" s="126" t="s">
        <v>925</v>
      </c>
      <c r="D333" s="347"/>
      <c r="E333" s="337" t="s">
        <v>926</v>
      </c>
    </row>
    <row r="334" spans="2:5" ht="20" customHeight="1" x14ac:dyDescent="0.2">
      <c r="B334" s="17" t="s">
        <v>927</v>
      </c>
      <c r="C334" s="126" t="s">
        <v>928</v>
      </c>
      <c r="D334" s="347"/>
      <c r="E334" s="32"/>
    </row>
    <row r="335" spans="2:5" ht="20" customHeight="1" x14ac:dyDescent="0.2">
      <c r="B335" s="17" t="s">
        <v>929</v>
      </c>
      <c r="C335" s="126" t="str">
        <f>CONCATENATE(sample_region_dns1_ip,",",sample_region_dns2_ip)</f>
        <v>10.11.10.4,10.11.10.5</v>
      </c>
      <c r="D335" s="347"/>
      <c r="E335" s="32"/>
    </row>
    <row r="336" spans="2:5" ht="16" customHeight="1" x14ac:dyDescent="0.2">
      <c r="B336" s="17" t="s">
        <v>930</v>
      </c>
      <c r="C336" s="126" t="str">
        <f>CONCATENATE(sample_region_ntp1_server,",",sample_region_ntp2_server)</f>
        <v>ntp0.sfo.rainpole.io,ntp1.sfo.rainpole.io</v>
      </c>
      <c r="D336" s="347"/>
      <c r="E336" s="32"/>
    </row>
    <row r="337" spans="2:5" ht="16" customHeight="1" x14ac:dyDescent="0.2"/>
    <row r="338" spans="2:5" ht="34" customHeight="1" x14ac:dyDescent="0.2">
      <c r="B338" s="162" t="s">
        <v>931</v>
      </c>
      <c r="C338" s="394"/>
      <c r="D338" s="394"/>
      <c r="E338" s="394"/>
    </row>
    <row r="339" spans="2:5" ht="20" customHeight="1" x14ac:dyDescent="0.2">
      <c r="B339" s="346" t="s">
        <v>17</v>
      </c>
      <c r="C339" s="346" t="s">
        <v>18</v>
      </c>
      <c r="D339" s="346" t="s">
        <v>19</v>
      </c>
      <c r="E339" s="346" t="s">
        <v>20</v>
      </c>
    </row>
    <row r="340" spans="2:5" ht="20" customHeight="1" x14ac:dyDescent="0.2">
      <c r="B340" s="492" t="s">
        <v>213</v>
      </c>
      <c r="C340" s="493"/>
      <c r="D340" s="493"/>
      <c r="E340" s="494"/>
    </row>
    <row r="341" spans="2:5" ht="20" customHeight="1" x14ac:dyDescent="0.2">
      <c r="B341" s="128" t="s">
        <v>85</v>
      </c>
      <c r="C341" s="362" t="str">
        <f>sample_wld_az1_mgmt_vlan</f>
        <v>1311</v>
      </c>
      <c r="D341" s="163" t="str">
        <f>wld_az1_mgmt_vlan</f>
        <v>Value Missing</v>
      </c>
      <c r="E341" s="33"/>
    </row>
    <row r="342" spans="2:5" ht="20" customHeight="1" x14ac:dyDescent="0.2">
      <c r="B342" s="128" t="s">
        <v>187</v>
      </c>
      <c r="C342" s="362" t="str">
        <f>sample_wld_az1_mgmt_gateway_ip</f>
        <v>10.13.11.1</v>
      </c>
      <c r="D342" s="163" t="str">
        <f>wld_az1_mgmt_gateway_ip</f>
        <v>Value Missing</v>
      </c>
      <c r="E342" s="33"/>
    </row>
    <row r="343" spans="2:5" ht="20" customHeight="1" x14ac:dyDescent="0.2">
      <c r="B343" s="128" t="s">
        <v>188</v>
      </c>
      <c r="C343" s="362" t="str">
        <f>sample_wld_az1_mgmt_cidr</f>
        <v>10.13.11.0/24</v>
      </c>
      <c r="D343" s="163" t="str">
        <f>wld_az1_mgmt_cidr</f>
        <v>Value Missing</v>
      </c>
      <c r="E343" s="33"/>
    </row>
    <row r="344" spans="2:5" ht="20" customHeight="1" x14ac:dyDescent="0.2">
      <c r="B344" s="4" t="s">
        <v>160</v>
      </c>
      <c r="C344" s="362">
        <f>sample_wld_az1_mgmt_mtu</f>
        <v>1500</v>
      </c>
      <c r="D344" s="163" t="str">
        <f>wld_az1_mgmt_mtu</f>
        <v>Value Missing</v>
      </c>
      <c r="E344" s="33"/>
    </row>
    <row r="345" spans="2:5" ht="20" customHeight="1" x14ac:dyDescent="0.2">
      <c r="B345" s="495" t="s">
        <v>932</v>
      </c>
      <c r="C345" s="496"/>
      <c r="D345" s="496"/>
      <c r="E345" s="497"/>
    </row>
    <row r="346" spans="2:5" ht="20" customHeight="1" x14ac:dyDescent="0.2">
      <c r="B346" s="128" t="s">
        <v>85</v>
      </c>
      <c r="C346" s="80" t="str">
        <f>IF(wld_dpg_separation_result="Included",CONCATENATE(prefix_wld_az1_vlan,"10"),CONCATENATE(prefix_wld_az1_vlan,"11"))</f>
        <v>1310</v>
      </c>
      <c r="D346" s="347"/>
      <c r="E346" s="275" t="s">
        <v>933</v>
      </c>
    </row>
    <row r="347" spans="2:5" ht="20" customHeight="1" x14ac:dyDescent="0.2">
      <c r="B347" s="128" t="s">
        <v>187</v>
      </c>
      <c r="C347" s="80" t="str">
        <f>IF(wld_dpg_separation_result="Included",CONCATENATE(prefix_wld_az1_cidr,"10.1"),CONCATENATE(prefix_wld_az1_cidr,"11.1"))</f>
        <v>10.13.10.1</v>
      </c>
      <c r="D347" s="347"/>
      <c r="E347" s="275"/>
    </row>
    <row r="348" spans="2:5" ht="20" customHeight="1" x14ac:dyDescent="0.2">
      <c r="B348" s="128" t="s">
        <v>188</v>
      </c>
      <c r="C348" s="80" t="str">
        <f>IF(wld_dpg_separation_result="Included",CONCATENATE(prefix_wld_az1_cidr,"10.0/24"),CONCATENATE(prefix_wld_az1_cidr,"11.0/24"))</f>
        <v>10.13.10.0/24</v>
      </c>
      <c r="D348" s="347"/>
      <c r="E348" s="275"/>
    </row>
    <row r="349" spans="2:5" ht="20" customHeight="1" x14ac:dyDescent="0.2">
      <c r="B349" s="4" t="s">
        <v>160</v>
      </c>
      <c r="C349" s="80">
        <v>1500</v>
      </c>
      <c r="D349" s="347"/>
      <c r="E349" s="275"/>
    </row>
    <row r="350" spans="2:5" ht="20" customHeight="1" x14ac:dyDescent="0.2">
      <c r="B350" s="492" t="s">
        <v>251</v>
      </c>
      <c r="C350" s="493"/>
      <c r="D350" s="493"/>
      <c r="E350" s="494"/>
    </row>
    <row r="351" spans="2:5" ht="20" customHeight="1" x14ac:dyDescent="0.2">
      <c r="B351" s="4" t="s">
        <v>85</v>
      </c>
      <c r="C351" s="80" t="str">
        <f>sample_wld_az1_vmotion_vlan</f>
        <v>1312</v>
      </c>
      <c r="D351" s="163" t="str">
        <f>wld_az1_vmotion_vlan</f>
        <v>Value Missing</v>
      </c>
      <c r="E351" s="93"/>
    </row>
    <row r="352" spans="2:5" ht="20" customHeight="1" x14ac:dyDescent="0.2">
      <c r="B352" s="4" t="s">
        <v>187</v>
      </c>
      <c r="C352" s="80" t="str">
        <f>sample_wld_az1_vmotion_gateway_ip</f>
        <v>10.13.12.1</v>
      </c>
      <c r="D352" s="163" t="str">
        <f>wld_az1_vmotion_gateway_ip</f>
        <v>Value Missing</v>
      </c>
      <c r="E352" s="32"/>
    </row>
    <row r="353" spans="2:5" ht="20" customHeight="1" x14ac:dyDescent="0.2">
      <c r="B353" s="4" t="s">
        <v>188</v>
      </c>
      <c r="C353" s="80" t="str">
        <f>CONCATENATE(prefix_wld_az1_cidr,"12.0/24")</f>
        <v>10.13.12.0/24</v>
      </c>
      <c r="D353" s="163" t="str">
        <f>wld_az1_vmotion_cidr</f>
        <v>Value Missing</v>
      </c>
      <c r="E353" s="32"/>
    </row>
    <row r="354" spans="2:5" ht="20" customHeight="1" x14ac:dyDescent="0.2">
      <c r="B354" s="4" t="s">
        <v>160</v>
      </c>
      <c r="C354" s="80">
        <f>sample_wld_az1_vmotion_mtu</f>
        <v>9000</v>
      </c>
      <c r="D354" s="163" t="str">
        <f>wld_az1_vmotion_mtu</f>
        <v>Value Missing</v>
      </c>
      <c r="E354" s="32"/>
    </row>
    <row r="355" spans="2:5" ht="20" customHeight="1" x14ac:dyDescent="0.2">
      <c r="B355" s="17" t="s">
        <v>255</v>
      </c>
      <c r="C355" s="80" t="s">
        <v>934</v>
      </c>
      <c r="D355" s="163" t="str">
        <f>wld_az1_vmotion_pool_start_ip</f>
        <v>Value Missing</v>
      </c>
      <c r="E355" s="32"/>
    </row>
    <row r="356" spans="2:5" ht="20" customHeight="1" x14ac:dyDescent="0.2">
      <c r="B356" s="17" t="s">
        <v>256</v>
      </c>
      <c r="C356" s="80" t="s">
        <v>935</v>
      </c>
      <c r="D356" s="163" t="str">
        <f>wld_az1_vmotion_pool_end_ip</f>
        <v>Value Missing</v>
      </c>
      <c r="E356" s="32"/>
    </row>
    <row r="357" spans="2:5" ht="20" customHeight="1" x14ac:dyDescent="0.2">
      <c r="B357" s="492" t="str">
        <f>IF(wld_principal_storage_chosen="NFSv3","NFS Network","vSAN Network")</f>
        <v>vSAN Network</v>
      </c>
      <c r="C357" s="493"/>
      <c r="D357" s="493"/>
      <c r="E357" s="494"/>
    </row>
    <row r="358" spans="2:5" ht="20" customHeight="1" x14ac:dyDescent="0.2">
      <c r="B358" s="4" t="s">
        <v>85</v>
      </c>
      <c r="C358" s="80" t="str">
        <f>sample_wld_az1_principal_storage_vlan</f>
        <v>1313</v>
      </c>
      <c r="D358" s="163" t="str">
        <f>wld_az1_principal_storage_vlan</f>
        <v>Value Missing</v>
      </c>
      <c r="E358" s="56"/>
    </row>
    <row r="359" spans="2:5" ht="20" customHeight="1" x14ac:dyDescent="0.2">
      <c r="B359" s="4" t="s">
        <v>187</v>
      </c>
      <c r="C359" s="80" t="str">
        <f>sample_wld_az1_principal_storage_gateway_ip</f>
        <v>10.13.13.1</v>
      </c>
      <c r="D359" s="163" t="str">
        <f>wld_az1_principal_storage_gateway_ip</f>
        <v>Value Missing</v>
      </c>
      <c r="E359" s="56" t="str">
        <f>IF(AND(mgmt_stretched_cluster_result="Included",mgmt_dpg_reuse_result="Excluded"),"Stretched L2","")</f>
        <v/>
      </c>
    </row>
    <row r="360" spans="2:5" ht="20" customHeight="1" x14ac:dyDescent="0.2">
      <c r="B360" s="4" t="s">
        <v>188</v>
      </c>
      <c r="C360" s="80" t="str">
        <f>CONCATENATE(prefix_wld_az1_cidr,"13.0/24")</f>
        <v>10.13.13.0/24</v>
      </c>
      <c r="D360" s="163" t="str">
        <f>wld_az1_principal_storage_cidr</f>
        <v>Value Missing</v>
      </c>
      <c r="E360" s="56"/>
    </row>
    <row r="361" spans="2:5" ht="20" customHeight="1" x14ac:dyDescent="0.2">
      <c r="B361" s="4" t="s">
        <v>160</v>
      </c>
      <c r="C361" s="80">
        <f>sample_wld_az1_principal_storage_mtu</f>
        <v>9000</v>
      </c>
      <c r="D361" s="163" t="str">
        <f>wld_az1_principal_storage_mtu</f>
        <v>Value Missing</v>
      </c>
      <c r="E361" s="56"/>
    </row>
    <row r="362" spans="2:5" ht="20" customHeight="1" x14ac:dyDescent="0.2">
      <c r="B362" s="17" t="s">
        <v>255</v>
      </c>
      <c r="C362" s="80" t="s">
        <v>936</v>
      </c>
      <c r="D362" s="163" t="str">
        <f>wld_az1_principal_storage_pool_start_ip</f>
        <v>Value Missing</v>
      </c>
      <c r="E362" s="56"/>
    </row>
    <row r="363" spans="2:5" ht="20" customHeight="1" x14ac:dyDescent="0.2">
      <c r="B363" s="17" t="s">
        <v>256</v>
      </c>
      <c r="C363" s="80" t="s">
        <v>937</v>
      </c>
      <c r="D363" s="163" t="str">
        <f>wld_az1_principal_storage_pool_end_ip</f>
        <v>Value Missing</v>
      </c>
      <c r="E363" s="56"/>
    </row>
    <row r="364" spans="2:5" ht="20" customHeight="1" x14ac:dyDescent="0.2">
      <c r="B364" s="492" t="s">
        <v>938</v>
      </c>
      <c r="C364" s="493"/>
      <c r="D364" s="493"/>
      <c r="E364" s="494"/>
    </row>
    <row r="365" spans="2:5" ht="20" customHeight="1" x14ac:dyDescent="0.2">
      <c r="B365" s="4" t="s">
        <v>85</v>
      </c>
      <c r="C365" s="80" t="str">
        <f>sample_wld_az1_host_overlay_vlan</f>
        <v>1314</v>
      </c>
      <c r="D365" s="163" t="str">
        <f>wld_az1_host_overlay_vlan</f>
        <v>Value Missing</v>
      </c>
      <c r="E365" s="32"/>
    </row>
    <row r="366" spans="2:5" ht="20" customHeight="1" x14ac:dyDescent="0.2">
      <c r="B366" s="4" t="s">
        <v>187</v>
      </c>
      <c r="C366" s="80" t="str">
        <f>sample_wld_az1_host_overlay_gateway_ip</f>
        <v>10.13.14.1</v>
      </c>
      <c r="D366" s="163" t="str">
        <f>wld_az1_host_overlay_gateway_ip</f>
        <v>Value Missing</v>
      </c>
      <c r="E366" s="32"/>
    </row>
    <row r="367" spans="2:5" ht="20" customHeight="1" x14ac:dyDescent="0.2">
      <c r="B367" s="4" t="s">
        <v>188</v>
      </c>
      <c r="C367" s="80" t="str">
        <f>sample_wld_az1_host_overlay_cidr</f>
        <v>10.13.14.0/24</v>
      </c>
      <c r="D367" s="163" t="str">
        <f>wld_az1_host_overlay_cidr</f>
        <v>Value Missing</v>
      </c>
      <c r="E367" s="32"/>
    </row>
    <row r="368" spans="2:5" ht="20" customHeight="1" x14ac:dyDescent="0.2">
      <c r="B368" s="4" t="s">
        <v>160</v>
      </c>
      <c r="C368" s="80">
        <v>9000</v>
      </c>
      <c r="D368" s="164"/>
      <c r="E368" s="32"/>
    </row>
    <row r="369" spans="2:5" ht="20" customHeight="1" x14ac:dyDescent="0.2">
      <c r="B369" s="17" t="s">
        <v>255</v>
      </c>
      <c r="C369" s="80" t="str">
        <f>sample_wld_az1_host_overlay_pool_start_ip</f>
        <v>10.13.14.101</v>
      </c>
      <c r="D369" s="163" t="str">
        <f>wld_az1_host_overlay_pool_start_ip</f>
        <v>Value Missing</v>
      </c>
      <c r="E369" s="32"/>
    </row>
    <row r="370" spans="2:5" ht="20" customHeight="1" x14ac:dyDescent="0.2">
      <c r="B370" s="17" t="s">
        <v>256</v>
      </c>
      <c r="C370" s="80" t="str">
        <f>sample_wld_az1_host_overlay_pool_end_ip</f>
        <v>10.13.14.132</v>
      </c>
      <c r="D370" s="163" t="str">
        <f>wld_az1_host_overlay_pool_end_ip</f>
        <v>Value Missing</v>
      </c>
      <c r="E370" s="32"/>
    </row>
    <row r="371" spans="2:5" ht="20" customHeight="1" x14ac:dyDescent="0.2">
      <c r="B371" s="495" t="s">
        <v>939</v>
      </c>
      <c r="C371" s="496"/>
      <c r="D371" s="496"/>
      <c r="E371" s="497"/>
    </row>
    <row r="372" spans="2:5" ht="20" customHeight="1" x14ac:dyDescent="0.2">
      <c r="B372" s="157" t="s">
        <v>814</v>
      </c>
      <c r="C372" s="158" t="s">
        <v>940</v>
      </c>
      <c r="D372" s="158" t="s">
        <v>941</v>
      </c>
      <c r="E372" s="158" t="s">
        <v>20</v>
      </c>
    </row>
    <row r="373" spans="2:5" ht="20" customHeight="1" x14ac:dyDescent="0.2">
      <c r="B373" s="165" t="str">
        <f>wld_vc_fqdn</f>
        <v>Value Missing</v>
      </c>
      <c r="C373" s="131" t="str">
        <f>IF(mgmt_dpg_reuse_result="Included",CONCATENATE(prefix_mgmt_az1_cidr,"10.",(130 + (30*(wld_domain_number_chosen - 1)))),CONCATENATE(prefix_mgmt_az1_cidr,"11.",(130 + (30*(wld_domain_number_chosen - 1)))))</f>
        <v>10.11.10.130</v>
      </c>
      <c r="D373" s="164"/>
      <c r="E373" s="132" t="s">
        <v>824</v>
      </c>
    </row>
    <row r="374" spans="2:5" ht="20" customHeight="1" x14ac:dyDescent="0.2">
      <c r="B374" s="157" t="s">
        <v>942</v>
      </c>
      <c r="C374" s="158" t="s">
        <v>940</v>
      </c>
      <c r="D374" s="158" t="s">
        <v>941</v>
      </c>
      <c r="E374" s="158" t="s">
        <v>20</v>
      </c>
    </row>
    <row r="375" spans="2:5" ht="20" customHeight="1" x14ac:dyDescent="0.2">
      <c r="B375" s="165" t="str">
        <f>wld_nsxt_vip_fqdn</f>
        <v>Value Missing</v>
      </c>
      <c r="C375" s="131" t="str">
        <f>sample_wld_nsxt_vip_ip</f>
        <v>10.11.10.131</v>
      </c>
      <c r="D375" s="163" t="str">
        <f>wld_nsxt_vip_ip</f>
        <v>Value Missing</v>
      </c>
      <c r="E375" s="132" t="s">
        <v>792</v>
      </c>
    </row>
    <row r="376" spans="2:5" ht="20" customHeight="1" x14ac:dyDescent="0.2">
      <c r="B376" s="165" t="str">
        <f>wld_nsxt_mgra_fqdn</f>
        <v>Value Missing</v>
      </c>
      <c r="C376" s="131" t="str">
        <f>sample_wld_nsxt_mgra_ip</f>
        <v>10.11.10.132</v>
      </c>
      <c r="D376" s="163" t="str">
        <f>wld_nsxt_mgra_ip</f>
        <v>Value Missing</v>
      </c>
      <c r="E376" s="132" t="s">
        <v>786</v>
      </c>
    </row>
    <row r="377" spans="2:5" ht="20" customHeight="1" x14ac:dyDescent="0.2">
      <c r="B377" s="165" t="str">
        <f>wld_nsxt_mgrb_fqdn</f>
        <v>Value Missing</v>
      </c>
      <c r="C377" s="131" t="str">
        <f>sample_wld_nsxt_mgrb_ip</f>
        <v>10.11.10.133</v>
      </c>
      <c r="D377" s="163" t="str">
        <f>wld_nsxt_mgrb_ip</f>
        <v>Value Missing</v>
      </c>
      <c r="E377" s="132" t="s">
        <v>788</v>
      </c>
    </row>
    <row r="378" spans="2:5" ht="20" customHeight="1" x14ac:dyDescent="0.2">
      <c r="B378" s="165" t="str">
        <f>wld_nsxt_mgrc_fqdn</f>
        <v>Value Missing</v>
      </c>
      <c r="C378" s="131" t="str">
        <f>sample_wld_nsxt_mgrc_ip</f>
        <v>10.11.10.134</v>
      </c>
      <c r="D378" s="163" t="str">
        <f>wld_nsxt_mgrc_ip</f>
        <v>Value Missing</v>
      </c>
      <c r="E378" s="132" t="s">
        <v>790</v>
      </c>
    </row>
    <row r="379" spans="2:5" ht="20" customHeight="1" x14ac:dyDescent="0.2">
      <c r="B379" s="157" t="s">
        <v>214</v>
      </c>
      <c r="C379" s="158" t="s">
        <v>940</v>
      </c>
      <c r="D379" s="158" t="s">
        <v>941</v>
      </c>
      <c r="E379" s="158" t="s">
        <v>20</v>
      </c>
    </row>
    <row r="380" spans="2:5" ht="20" customHeight="1" x14ac:dyDescent="0.2">
      <c r="B380" s="165" t="str">
        <f>wld_az1_host1_fqdn</f>
        <v>Value Missing</v>
      </c>
      <c r="C380" s="89" t="str">
        <f t="shared" ref="C380:C395" si="0">sample_wld_az1_host1_mgmt_ip</f>
        <v>10.13.11.101</v>
      </c>
      <c r="D380" s="163" t="str">
        <f>wld_az1_host1_mgmt_ip</f>
        <v>Value Missing</v>
      </c>
      <c r="E380" s="100" t="s">
        <v>943</v>
      </c>
    </row>
    <row r="381" spans="2:5" ht="20" customHeight="1" x14ac:dyDescent="0.2">
      <c r="B381" s="165" t="str">
        <f>wld_az1_host2_fqdn</f>
        <v>Value Missing</v>
      </c>
      <c r="C381" s="89" t="str">
        <f t="shared" si="0"/>
        <v>10.13.11.101</v>
      </c>
      <c r="D381" s="163" t="str">
        <f>wld_az1_host2_mgmt_ip</f>
        <v>Value Missing</v>
      </c>
      <c r="E381" s="100" t="s">
        <v>944</v>
      </c>
    </row>
    <row r="382" spans="2:5" ht="20" customHeight="1" x14ac:dyDescent="0.2">
      <c r="B382" s="165" t="str">
        <f>wld_az1_host3_fqdn</f>
        <v>Value Missing</v>
      </c>
      <c r="C382" s="89" t="str">
        <f t="shared" si="0"/>
        <v>10.13.11.101</v>
      </c>
      <c r="D382" s="163" t="str">
        <f>wld_az1_host3_mgmt_ip</f>
        <v>Value Missing</v>
      </c>
      <c r="E382" s="100" t="s">
        <v>945</v>
      </c>
    </row>
    <row r="383" spans="2:5" ht="20" customHeight="1" x14ac:dyDescent="0.2">
      <c r="B383" s="165" t="str">
        <f>wld_az1_host4_fqdn</f>
        <v>Value Missing</v>
      </c>
      <c r="C383" s="89" t="str">
        <f t="shared" si="0"/>
        <v>10.13.11.101</v>
      </c>
      <c r="D383" s="163" t="str">
        <f>wld_az1_host4_mgmt_ip</f>
        <v>Value Missing</v>
      </c>
      <c r="E383" s="100" t="s">
        <v>946</v>
      </c>
    </row>
    <row r="384" spans="2:5" ht="20" customHeight="1" x14ac:dyDescent="0.2">
      <c r="B384" s="165" t="str">
        <f>wld_az1_host5_fqdn</f>
        <v>Value Missing</v>
      </c>
      <c r="C384" s="89" t="str">
        <f t="shared" si="0"/>
        <v>10.13.11.101</v>
      </c>
      <c r="D384" s="163" t="str">
        <f>wld_az1_host5_mgmt_ip</f>
        <v>Value Missing</v>
      </c>
      <c r="E384" s="100" t="s">
        <v>947</v>
      </c>
    </row>
    <row r="385" spans="2:5" ht="20" customHeight="1" x14ac:dyDescent="0.2">
      <c r="B385" s="165" t="str">
        <f>wld_az1_host6_fqdn</f>
        <v>Value Missing</v>
      </c>
      <c r="C385" s="89" t="str">
        <f t="shared" si="0"/>
        <v>10.13.11.101</v>
      </c>
      <c r="D385" s="163" t="str">
        <f>wld_az1_host6_mgmt_ip</f>
        <v>Value Missing</v>
      </c>
      <c r="E385" s="100" t="s">
        <v>948</v>
      </c>
    </row>
    <row r="386" spans="2:5" ht="20" customHeight="1" x14ac:dyDescent="0.2">
      <c r="B386" s="165" t="str">
        <f>wld_az1_host7_fqdn</f>
        <v>Value Missing</v>
      </c>
      <c r="C386" s="89" t="str">
        <f t="shared" si="0"/>
        <v>10.13.11.101</v>
      </c>
      <c r="D386" s="163" t="str">
        <f>wld_az1_host7_mgmt_ip</f>
        <v>Value Missing</v>
      </c>
      <c r="E386" s="100" t="s">
        <v>949</v>
      </c>
    </row>
    <row r="387" spans="2:5" ht="20" customHeight="1" x14ac:dyDescent="0.2">
      <c r="B387" s="165" t="str">
        <f>wld_az1_host8_fqdn</f>
        <v>Value Missing</v>
      </c>
      <c r="C387" s="89" t="str">
        <f t="shared" si="0"/>
        <v>10.13.11.101</v>
      </c>
      <c r="D387" s="163" t="str">
        <f>wld_az1_host8_mgmt_ip</f>
        <v>Value Missing</v>
      </c>
      <c r="E387" s="100" t="s">
        <v>950</v>
      </c>
    </row>
    <row r="388" spans="2:5" ht="20" customHeight="1" x14ac:dyDescent="0.2">
      <c r="B388" s="165" t="str">
        <f>wld_az1_host9_fqdn</f>
        <v>Value Missing</v>
      </c>
      <c r="C388" s="89" t="str">
        <f t="shared" si="0"/>
        <v>10.13.11.101</v>
      </c>
      <c r="D388" s="163" t="str">
        <f>wld_az1_host9_mgmt_ip</f>
        <v>Value Missing</v>
      </c>
      <c r="E388" s="100" t="s">
        <v>951</v>
      </c>
    </row>
    <row r="389" spans="2:5" ht="20" customHeight="1" x14ac:dyDescent="0.2">
      <c r="B389" s="165" t="str">
        <f>wld_az1_host10_fqdn</f>
        <v>Value Missing</v>
      </c>
      <c r="C389" s="89" t="str">
        <f t="shared" si="0"/>
        <v>10.13.11.101</v>
      </c>
      <c r="D389" s="163" t="str">
        <f>wld_az1_host10_mgmt_ip</f>
        <v>Value Missing</v>
      </c>
      <c r="E389" s="100" t="s">
        <v>952</v>
      </c>
    </row>
    <row r="390" spans="2:5" ht="20" customHeight="1" x14ac:dyDescent="0.2">
      <c r="B390" s="165" t="str">
        <f>wld_az1_host11_fqdn</f>
        <v>Value Missing</v>
      </c>
      <c r="C390" s="89" t="str">
        <f t="shared" si="0"/>
        <v>10.13.11.101</v>
      </c>
      <c r="D390" s="163" t="str">
        <f>wld_az1_host11_mgmt_ip</f>
        <v>Value Missing</v>
      </c>
      <c r="E390" s="100" t="s">
        <v>953</v>
      </c>
    </row>
    <row r="391" spans="2:5" ht="16" customHeight="1" x14ac:dyDescent="0.2">
      <c r="B391" s="165" t="str">
        <f>wld_az1_host12_fqdn</f>
        <v>Value Missing</v>
      </c>
      <c r="C391" s="89" t="str">
        <f t="shared" si="0"/>
        <v>10.13.11.101</v>
      </c>
      <c r="D391" s="163" t="str">
        <f>wld_az1_host12_mgmt_ip</f>
        <v>Value Missing</v>
      </c>
      <c r="E391" s="100" t="s">
        <v>954</v>
      </c>
    </row>
    <row r="392" spans="2:5" ht="20" customHeight="1" x14ac:dyDescent="0.2">
      <c r="B392" s="165" t="str">
        <f>wld_az1_host13_fqdn</f>
        <v>Value Missing</v>
      </c>
      <c r="C392" s="89" t="str">
        <f t="shared" si="0"/>
        <v>10.13.11.101</v>
      </c>
      <c r="D392" s="163" t="str">
        <f>wld_az1_host13_mgmt_ip</f>
        <v>Value Missing</v>
      </c>
      <c r="E392" s="100" t="s">
        <v>955</v>
      </c>
    </row>
    <row r="393" spans="2:5" ht="20" customHeight="1" x14ac:dyDescent="0.2">
      <c r="B393" s="165" t="str">
        <f>wld_az1_host14_fqdn</f>
        <v>Value Missing</v>
      </c>
      <c r="C393" s="89" t="str">
        <f t="shared" si="0"/>
        <v>10.13.11.101</v>
      </c>
      <c r="D393" s="163" t="str">
        <f>wld_az1_host14_mgmt_ip</f>
        <v>Value Missing</v>
      </c>
      <c r="E393" s="100" t="s">
        <v>956</v>
      </c>
    </row>
    <row r="394" spans="2:5" ht="20" customHeight="1" x14ac:dyDescent="0.2">
      <c r="B394" s="165" t="str">
        <f>wld_az1_host15_fqdn</f>
        <v>Value Missing</v>
      </c>
      <c r="C394" s="89" t="str">
        <f t="shared" si="0"/>
        <v>10.13.11.101</v>
      </c>
      <c r="D394" s="163" t="str">
        <f>wld_az1_host15_mgmt_ip</f>
        <v>Value Missing</v>
      </c>
      <c r="E394" s="100" t="s">
        <v>957</v>
      </c>
    </row>
    <row r="395" spans="2:5" ht="20" customHeight="1" x14ac:dyDescent="0.2">
      <c r="B395" s="165" t="str">
        <f>wld_az1_host16_fqdn</f>
        <v>Value Missing</v>
      </c>
      <c r="C395" s="89" t="str">
        <f t="shared" si="0"/>
        <v>10.13.11.101</v>
      </c>
      <c r="D395" s="163" t="str">
        <f>wld_az1_host16_mgmt_ip</f>
        <v>Value Missing</v>
      </c>
      <c r="E395" s="100" t="s">
        <v>958</v>
      </c>
    </row>
    <row r="396" spans="2:5" ht="20" customHeight="1" x14ac:dyDescent="0.2"/>
    <row r="397" spans="2:5" ht="20" customHeight="1" x14ac:dyDescent="0.2"/>
    <row r="398" spans="2:5" ht="20" customHeight="1" x14ac:dyDescent="0.2"/>
    <row r="399" spans="2:5" ht="20" customHeight="1" x14ac:dyDescent="0.2">
      <c r="B399" s="168"/>
      <c r="C399" s="168"/>
      <c r="D399" s="2"/>
    </row>
    <row r="400" spans="2:5" ht="20" customHeight="1" x14ac:dyDescent="0.2"/>
    <row r="401" ht="20" customHeight="1" x14ac:dyDescent="0.2"/>
    <row r="402" ht="20" customHeight="1" x14ac:dyDescent="0.2"/>
    <row r="403" ht="20" customHeight="1" x14ac:dyDescent="0.2"/>
    <row r="404" ht="20" customHeight="1" x14ac:dyDescent="0.2"/>
    <row r="405" ht="20" customHeight="1" x14ac:dyDescent="0.2"/>
    <row r="406" ht="20" customHeight="1" x14ac:dyDescent="0.2"/>
    <row r="407" ht="20" customHeight="1" x14ac:dyDescent="0.2"/>
    <row r="408" ht="20" customHeight="1" x14ac:dyDescent="0.2"/>
    <row r="409" ht="20" customHeight="1" x14ac:dyDescent="0.2"/>
    <row r="410" ht="20" customHeight="1" x14ac:dyDescent="0.2"/>
    <row r="411" ht="20" customHeight="1" x14ac:dyDescent="0.2"/>
    <row r="412" ht="20" customHeight="1" x14ac:dyDescent="0.2"/>
    <row r="413" ht="20" customHeight="1" x14ac:dyDescent="0.2"/>
    <row r="414" ht="20" customHeight="1" x14ac:dyDescent="0.2"/>
    <row r="415" ht="20" customHeight="1" x14ac:dyDescent="0.2"/>
    <row r="416" ht="20" customHeight="1" x14ac:dyDescent="0.2"/>
    <row r="417" ht="20" customHeight="1" x14ac:dyDescent="0.2"/>
    <row r="418" ht="20" customHeight="1" x14ac:dyDescent="0.2"/>
    <row r="419" ht="20" customHeight="1" x14ac:dyDescent="0.2"/>
    <row r="420" ht="20" customHeight="1" x14ac:dyDescent="0.2"/>
    <row r="421" ht="20" customHeight="1" x14ac:dyDescent="0.2"/>
    <row r="422" ht="20" customHeight="1" x14ac:dyDescent="0.2"/>
    <row r="423" ht="20" customHeight="1" x14ac:dyDescent="0.2"/>
    <row r="424" ht="20" customHeight="1" x14ac:dyDescent="0.2"/>
    <row r="425" ht="20" customHeight="1" x14ac:dyDescent="0.2"/>
    <row r="426" ht="20" customHeight="1" x14ac:dyDescent="0.2"/>
    <row r="427" ht="20" customHeight="1" x14ac:dyDescent="0.2"/>
    <row r="428" ht="20" customHeight="1" x14ac:dyDescent="0.2"/>
    <row r="429" ht="20" customHeight="1" x14ac:dyDescent="0.2"/>
    <row r="430" ht="20" customHeight="1" x14ac:dyDescent="0.2"/>
    <row r="431" ht="20" customHeight="1" x14ac:dyDescent="0.2"/>
    <row r="432" ht="20" customHeight="1" x14ac:dyDescent="0.2"/>
    <row r="433" ht="16" customHeight="1" x14ac:dyDescent="0.2"/>
    <row r="434" ht="20" customHeight="1" x14ac:dyDescent="0.2"/>
    <row r="435" ht="16" customHeight="1" x14ac:dyDescent="0.2"/>
    <row r="436" ht="34"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20" customHeight="1" x14ac:dyDescent="0.2"/>
    <row r="478" ht="20" customHeight="1" x14ac:dyDescent="0.2"/>
    <row r="479" ht="20" customHeight="1" x14ac:dyDescent="0.2"/>
    <row r="480" ht="20" customHeight="1" x14ac:dyDescent="0.2"/>
    <row r="481" ht="20" customHeight="1" x14ac:dyDescent="0.2"/>
    <row r="482" ht="20" customHeight="1" x14ac:dyDescent="0.2"/>
    <row r="483" ht="20" customHeight="1" x14ac:dyDescent="0.2"/>
    <row r="484" ht="20" customHeight="1" x14ac:dyDescent="0.2"/>
    <row r="485" ht="20" customHeight="1" x14ac:dyDescent="0.2"/>
    <row r="486" ht="20" customHeight="1" x14ac:dyDescent="0.2"/>
    <row r="487" ht="20" customHeight="1" x14ac:dyDescent="0.2"/>
    <row r="488" ht="20" customHeight="1" x14ac:dyDescent="0.2"/>
    <row r="489" ht="20" customHeight="1" x14ac:dyDescent="0.2"/>
    <row r="490" ht="20" customHeight="1" x14ac:dyDescent="0.2"/>
    <row r="491" ht="20" customHeight="1" x14ac:dyDescent="0.2"/>
    <row r="492" ht="16" customHeight="1" x14ac:dyDescent="0.2"/>
    <row r="493" ht="16" customHeight="1" x14ac:dyDescent="0.2"/>
    <row r="494" ht="16" customHeight="1" x14ac:dyDescent="0.2"/>
    <row r="495" ht="34" customHeight="1" x14ac:dyDescent="0.2"/>
    <row r="496" ht="20" customHeight="1" x14ac:dyDescent="0.2"/>
    <row r="497" spans="7:7" ht="20" customHeight="1" x14ac:dyDescent="0.2"/>
    <row r="498" spans="7:7" ht="20" customHeight="1" x14ac:dyDescent="0.2"/>
    <row r="499" spans="7:7" ht="20" customHeight="1" x14ac:dyDescent="0.2"/>
    <row r="500" spans="7:7" ht="20" customHeight="1" x14ac:dyDescent="0.2"/>
    <row r="501" spans="7:7" ht="20" customHeight="1" x14ac:dyDescent="0.2"/>
    <row r="502" spans="7:7" ht="20" customHeight="1" x14ac:dyDescent="0.2"/>
    <row r="503" spans="7:7" ht="20" customHeight="1" x14ac:dyDescent="0.2"/>
    <row r="504" spans="7:7" ht="20" customHeight="1" x14ac:dyDescent="0.2">
      <c r="G504" s="27"/>
    </row>
    <row r="505" spans="7:7" ht="20" customHeight="1" x14ac:dyDescent="0.2"/>
    <row r="506" spans="7:7" ht="20" customHeight="1" x14ac:dyDescent="0.2"/>
    <row r="507" spans="7:7" ht="20" customHeight="1" x14ac:dyDescent="0.2"/>
    <row r="508" spans="7:7" ht="20" customHeight="1" x14ac:dyDescent="0.2"/>
    <row r="509" spans="7:7" ht="20" customHeight="1" x14ac:dyDescent="0.2"/>
    <row r="510" spans="7:7" ht="20" customHeight="1" x14ac:dyDescent="0.2"/>
    <row r="511" spans="7:7" ht="20" customHeight="1" x14ac:dyDescent="0.2"/>
    <row r="512" spans="7:7" ht="20" customHeight="1" x14ac:dyDescent="0.2"/>
    <row r="513" ht="20" customHeight="1" x14ac:dyDescent="0.2"/>
    <row r="514" ht="20" customHeight="1" x14ac:dyDescent="0.2"/>
    <row r="515" ht="20" customHeight="1" x14ac:dyDescent="0.2"/>
    <row r="516" ht="20" customHeight="1" x14ac:dyDescent="0.2"/>
    <row r="517" ht="20" customHeight="1" x14ac:dyDescent="0.2"/>
    <row r="518" ht="20" customHeight="1" x14ac:dyDescent="0.2"/>
    <row r="519" ht="20" customHeight="1" x14ac:dyDescent="0.2"/>
    <row r="520" ht="20" customHeight="1" x14ac:dyDescent="0.2"/>
    <row r="521" ht="20" customHeight="1" x14ac:dyDescent="0.2"/>
    <row r="522" ht="20" customHeight="1" x14ac:dyDescent="0.2"/>
    <row r="523" ht="20" customHeight="1" x14ac:dyDescent="0.2"/>
    <row r="524" ht="20" customHeight="1" x14ac:dyDescent="0.2"/>
    <row r="525" ht="20" customHeight="1" x14ac:dyDescent="0.2"/>
    <row r="526" ht="20" customHeight="1" x14ac:dyDescent="0.2"/>
    <row r="527" ht="20" customHeight="1" x14ac:dyDescent="0.2"/>
    <row r="528" ht="20" customHeight="1" x14ac:dyDescent="0.2"/>
    <row r="529" ht="20" customHeight="1" x14ac:dyDescent="0.2"/>
    <row r="530" ht="20" customHeight="1" x14ac:dyDescent="0.2"/>
    <row r="531" ht="20" customHeight="1" x14ac:dyDescent="0.2"/>
    <row r="532" ht="20" customHeight="1" x14ac:dyDescent="0.2"/>
    <row r="533" ht="20" customHeight="1" x14ac:dyDescent="0.2"/>
    <row r="534" ht="20" customHeight="1" x14ac:dyDescent="0.2"/>
    <row r="535" ht="20" customHeight="1" x14ac:dyDescent="0.2"/>
    <row r="536" ht="20" customHeight="1" x14ac:dyDescent="0.2"/>
    <row r="537" ht="20" customHeight="1" x14ac:dyDescent="0.2"/>
    <row r="538" ht="20" customHeight="1" x14ac:dyDescent="0.2"/>
    <row r="539" ht="20" customHeight="1" x14ac:dyDescent="0.2"/>
    <row r="540" ht="20" customHeight="1" x14ac:dyDescent="0.2"/>
    <row r="541" ht="20" customHeight="1" x14ac:dyDescent="0.2"/>
    <row r="542" ht="20" customHeight="1" x14ac:dyDescent="0.2"/>
    <row r="543" ht="20" customHeight="1" x14ac:dyDescent="0.2"/>
    <row r="544" ht="20"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16" customHeight="1" x14ac:dyDescent="0.2"/>
    <row r="552" ht="20" customHeight="1" x14ac:dyDescent="0.2"/>
    <row r="553" ht="16" customHeight="1" x14ac:dyDescent="0.2"/>
    <row r="554" ht="34" customHeight="1" x14ac:dyDescent="0.2"/>
    <row r="555" ht="20" customHeight="1" x14ac:dyDescent="0.2"/>
    <row r="556" ht="34" customHeight="1" x14ac:dyDescent="0.2"/>
    <row r="557" ht="20" customHeight="1" x14ac:dyDescent="0.2"/>
    <row r="558" ht="20" customHeight="1" x14ac:dyDescent="0.2"/>
    <row r="559" ht="20" customHeight="1" x14ac:dyDescent="0.2"/>
    <row r="560" ht="20" customHeight="1" x14ac:dyDescent="0.2"/>
    <row r="561" spans="7:7" ht="20" customHeight="1" x14ac:dyDescent="0.2"/>
    <row r="562" spans="7:7" ht="20" customHeight="1" x14ac:dyDescent="0.2"/>
    <row r="563" spans="7:7" ht="20" customHeight="1" x14ac:dyDescent="0.2"/>
    <row r="564" spans="7:7" ht="16" customHeight="1" x14ac:dyDescent="0.2"/>
    <row r="565" spans="7:7" ht="34" customHeight="1" x14ac:dyDescent="0.2"/>
    <row r="566" spans="7:7" ht="16" customHeight="1" x14ac:dyDescent="0.2"/>
    <row r="567" spans="7:7" ht="34" customHeight="1" x14ac:dyDescent="0.2"/>
    <row r="568" spans="7:7" ht="20" customHeight="1" x14ac:dyDescent="0.2">
      <c r="G568" s="27"/>
    </row>
    <row r="569" spans="7:7" ht="34" customHeight="1" x14ac:dyDescent="0.2"/>
    <row r="570" spans="7:7" ht="20" customHeight="1" x14ac:dyDescent="0.2"/>
    <row r="571" spans="7:7" ht="20" customHeight="1" x14ac:dyDescent="0.2"/>
    <row r="572" spans="7:7" ht="20" customHeight="1" x14ac:dyDescent="0.2"/>
    <row r="573" spans="7:7" ht="20" customHeight="1" x14ac:dyDescent="0.2">
      <c r="G573" s="27"/>
    </row>
    <row r="574" spans="7:7" ht="20" customHeight="1" x14ac:dyDescent="0.2"/>
    <row r="575" spans="7:7" ht="20" customHeight="1" x14ac:dyDescent="0.2"/>
    <row r="576" spans="7:7" ht="20" customHeight="1" x14ac:dyDescent="0.2"/>
    <row r="577" spans="7:7" ht="20" customHeight="1" x14ac:dyDescent="0.2"/>
    <row r="578" spans="7:7" ht="20" customHeight="1" x14ac:dyDescent="0.2"/>
    <row r="579" spans="7:7" ht="20" customHeight="1" x14ac:dyDescent="0.2"/>
    <row r="580" spans="7:7" ht="20" customHeight="1" x14ac:dyDescent="0.2"/>
    <row r="581" spans="7:7" ht="20" customHeight="1" x14ac:dyDescent="0.2">
      <c r="G581" s="27"/>
    </row>
    <row r="582" spans="7:7" ht="20" customHeight="1" x14ac:dyDescent="0.2"/>
    <row r="583" spans="7:7" ht="20" customHeight="1" x14ac:dyDescent="0.2">
      <c r="G583" s="27"/>
    </row>
    <row r="584" spans="7:7" ht="20" customHeight="1" x14ac:dyDescent="0.2"/>
    <row r="585" spans="7:7" ht="20" customHeight="1" x14ac:dyDescent="0.2"/>
    <row r="586" spans="7:7" ht="20" customHeight="1" x14ac:dyDescent="0.2"/>
    <row r="587" spans="7:7" ht="20" customHeight="1" x14ac:dyDescent="0.2"/>
    <row r="588" spans="7:7" ht="20" customHeight="1" x14ac:dyDescent="0.2"/>
    <row r="589" spans="7:7" ht="20" customHeight="1" x14ac:dyDescent="0.2"/>
    <row r="590" spans="7:7" ht="20" customHeight="1" x14ac:dyDescent="0.2">
      <c r="G590" s="27"/>
    </row>
    <row r="591" spans="7:7" ht="20" customHeight="1" x14ac:dyDescent="0.2"/>
    <row r="592" spans="7:7" ht="20" customHeight="1" x14ac:dyDescent="0.2"/>
    <row r="593" spans="7:7" ht="20" customHeight="1" x14ac:dyDescent="0.2"/>
    <row r="594" spans="7:7" ht="20" customHeight="1" x14ac:dyDescent="0.2"/>
    <row r="595" spans="7:7" ht="20" customHeight="1" x14ac:dyDescent="0.2"/>
    <row r="596" spans="7:7" ht="20" customHeight="1" x14ac:dyDescent="0.2">
      <c r="G596" s="27"/>
    </row>
    <row r="597" spans="7:7" ht="20" customHeight="1" x14ac:dyDescent="0.2"/>
    <row r="598" spans="7:7" ht="20" customHeight="1" x14ac:dyDescent="0.2"/>
    <row r="599" spans="7:7" ht="20" customHeight="1" x14ac:dyDescent="0.2"/>
    <row r="600" spans="7:7" ht="20" customHeight="1" x14ac:dyDescent="0.2"/>
    <row r="601" spans="7:7" ht="20" customHeight="1" x14ac:dyDescent="0.2"/>
    <row r="602" spans="7:7" ht="20" customHeight="1" x14ac:dyDescent="0.2">
      <c r="G602" s="27"/>
    </row>
    <row r="603" spans="7:7" ht="20" customHeight="1" x14ac:dyDescent="0.2"/>
    <row r="604" spans="7:7" ht="20" customHeight="1" x14ac:dyDescent="0.2"/>
    <row r="605" spans="7:7" ht="20" customHeight="1" x14ac:dyDescent="0.2"/>
    <row r="606" spans="7:7" ht="20" customHeight="1" x14ac:dyDescent="0.2"/>
    <row r="607" spans="7:7" ht="20" customHeight="1" x14ac:dyDescent="0.2"/>
    <row r="608" spans="7:7" ht="20" customHeight="1" x14ac:dyDescent="0.2"/>
    <row r="609" spans="7:7" ht="20" customHeight="1" x14ac:dyDescent="0.2"/>
    <row r="610" spans="7:7" ht="20" customHeight="1" x14ac:dyDescent="0.2"/>
    <row r="611" spans="7:7" ht="20" customHeight="1" x14ac:dyDescent="0.2"/>
    <row r="612" spans="7:7" ht="20" customHeight="1" x14ac:dyDescent="0.2">
      <c r="G612" s="27"/>
    </row>
    <row r="613" spans="7:7" ht="20" customHeight="1" x14ac:dyDescent="0.2"/>
    <row r="614" spans="7:7" ht="20" customHeight="1" x14ac:dyDescent="0.2"/>
    <row r="615" spans="7:7" ht="20" customHeight="1" x14ac:dyDescent="0.2">
      <c r="G615" s="27"/>
    </row>
    <row r="616" spans="7:7" ht="20" customHeight="1" x14ac:dyDescent="0.2"/>
    <row r="617" spans="7:7" ht="20" customHeight="1" x14ac:dyDescent="0.2"/>
    <row r="618" spans="7:7" ht="20" customHeight="1" x14ac:dyDescent="0.2"/>
    <row r="619" spans="7:7" ht="20" customHeight="1" x14ac:dyDescent="0.2">
      <c r="G619" s="27"/>
    </row>
    <row r="620" spans="7:7" ht="20" customHeight="1" x14ac:dyDescent="0.2"/>
    <row r="621" spans="7:7" ht="20" customHeight="1" x14ac:dyDescent="0.2"/>
    <row r="622" spans="7:7" ht="20" customHeight="1" x14ac:dyDescent="0.2">
      <c r="G622" s="27"/>
    </row>
    <row r="623" spans="7:7" ht="20" customHeight="1" x14ac:dyDescent="0.2"/>
    <row r="624" spans="7:7" ht="20" customHeight="1" x14ac:dyDescent="0.2">
      <c r="G624" s="27"/>
    </row>
    <row r="625" spans="7:7" ht="20" customHeight="1" x14ac:dyDescent="0.2"/>
    <row r="626" spans="7:7" ht="20" customHeight="1" x14ac:dyDescent="0.2"/>
    <row r="627" spans="7:7" ht="20" customHeight="1" x14ac:dyDescent="0.2"/>
    <row r="628" spans="7:7" ht="16" customHeight="1" x14ac:dyDescent="0.2"/>
    <row r="629" spans="7:7" ht="20" customHeight="1" x14ac:dyDescent="0.2"/>
    <row r="630" spans="7:7" ht="16" customHeight="1" x14ac:dyDescent="0.2"/>
    <row r="631" spans="7:7" ht="34" customHeight="1" x14ac:dyDescent="0.2"/>
    <row r="632" spans="7:7" ht="20" customHeight="1" x14ac:dyDescent="0.2"/>
    <row r="633" spans="7:7" ht="16" customHeight="1" x14ac:dyDescent="0.2"/>
    <row r="634" spans="7:7" ht="34" customHeight="1" x14ac:dyDescent="0.2"/>
    <row r="635" spans="7:7" ht="20" customHeight="1" x14ac:dyDescent="0.2"/>
    <row r="636" spans="7:7" ht="20" customHeight="1" x14ac:dyDescent="0.2"/>
    <row r="637" spans="7:7" ht="20" customHeight="1" x14ac:dyDescent="0.2"/>
    <row r="638" spans="7:7" ht="20" customHeight="1" x14ac:dyDescent="0.2"/>
    <row r="639" spans="7:7" ht="20" customHeight="1" x14ac:dyDescent="0.2"/>
    <row r="640" spans="7:7" ht="20" customHeight="1" x14ac:dyDescent="0.2">
      <c r="G640" s="27"/>
    </row>
    <row r="641" ht="20" customHeight="1" x14ac:dyDescent="0.2"/>
    <row r="642" ht="20" customHeight="1" x14ac:dyDescent="0.2"/>
    <row r="643" ht="20" customHeight="1" x14ac:dyDescent="0.2"/>
    <row r="644" ht="20" customHeight="1" x14ac:dyDescent="0.2"/>
    <row r="645" ht="20" customHeight="1" x14ac:dyDescent="0.2"/>
    <row r="646" ht="16" customHeight="1" x14ac:dyDescent="0.2"/>
    <row r="647" ht="34" customHeight="1" x14ac:dyDescent="0.2"/>
    <row r="648" ht="16" customHeight="1" x14ac:dyDescent="0.2"/>
    <row r="649" ht="34" customHeight="1" x14ac:dyDescent="0.2"/>
    <row r="650" ht="16" customHeight="1" x14ac:dyDescent="0.2"/>
    <row r="651" ht="34" customHeight="1" x14ac:dyDescent="0.2"/>
    <row r="652" ht="20" customHeight="1" x14ac:dyDescent="0.2"/>
    <row r="653" ht="20" customHeight="1" x14ac:dyDescent="0.2"/>
    <row r="654" ht="20" customHeight="1" x14ac:dyDescent="0.2"/>
    <row r="655" ht="20" customHeight="1" x14ac:dyDescent="0.2"/>
    <row r="656" ht="20" customHeight="1" x14ac:dyDescent="0.2"/>
    <row r="657" ht="20" customHeight="1" x14ac:dyDescent="0.2"/>
    <row r="658" ht="20" customHeight="1" x14ac:dyDescent="0.2"/>
    <row r="659" ht="20" customHeight="1" x14ac:dyDescent="0.2"/>
    <row r="660" ht="20" customHeight="1" x14ac:dyDescent="0.2"/>
    <row r="661" ht="20" customHeight="1" x14ac:dyDescent="0.2"/>
    <row r="662" ht="20" customHeight="1" x14ac:dyDescent="0.2"/>
    <row r="663" ht="16" customHeight="1" x14ac:dyDescent="0.2"/>
    <row r="664" ht="20" customHeight="1" x14ac:dyDescent="0.2"/>
    <row r="665" ht="16" customHeight="1" x14ac:dyDescent="0.2"/>
    <row r="666" ht="34" customHeight="1" x14ac:dyDescent="0.2"/>
    <row r="667" ht="20" customHeight="1" x14ac:dyDescent="0.2"/>
    <row r="668" ht="20" customHeight="1" x14ac:dyDescent="0.2"/>
    <row r="669" ht="20" customHeight="1" x14ac:dyDescent="0.2"/>
    <row r="670" ht="20" customHeight="1" x14ac:dyDescent="0.2"/>
    <row r="671" ht="20" customHeight="1" x14ac:dyDescent="0.2"/>
    <row r="672" ht="16" customHeight="1" x14ac:dyDescent="0.2"/>
    <row r="673" ht="34" customHeight="1" x14ac:dyDescent="0.2"/>
    <row r="674" ht="20" customHeight="1" x14ac:dyDescent="0.2"/>
    <row r="675" ht="20" customHeight="1" x14ac:dyDescent="0.2"/>
    <row r="676" ht="20" customHeight="1" x14ac:dyDescent="0.2"/>
    <row r="677" ht="20" customHeight="1" x14ac:dyDescent="0.2"/>
    <row r="678" ht="16" customHeight="1" x14ac:dyDescent="0.2"/>
    <row r="679" ht="34" customHeight="1" x14ac:dyDescent="0.2"/>
    <row r="680" ht="20" customHeight="1" x14ac:dyDescent="0.2"/>
    <row r="681" ht="20" customHeight="1" x14ac:dyDescent="0.2"/>
    <row r="682" ht="20" customHeight="1" x14ac:dyDescent="0.2"/>
    <row r="683" ht="20" customHeight="1" x14ac:dyDescent="0.2"/>
    <row r="684" ht="16" customHeight="1" x14ac:dyDescent="0.2"/>
    <row r="685" ht="34" customHeight="1" x14ac:dyDescent="0.2"/>
    <row r="686" ht="20" customHeight="1" x14ac:dyDescent="0.2"/>
    <row r="687" ht="20" customHeight="1" x14ac:dyDescent="0.2"/>
    <row r="688" ht="20" customHeight="1" x14ac:dyDescent="0.2"/>
    <row r="689" spans="7:7" ht="20" customHeight="1" x14ac:dyDescent="0.2"/>
    <row r="690" spans="7:7" ht="20" customHeight="1" x14ac:dyDescent="0.2"/>
    <row r="691" spans="7:7" ht="20" customHeight="1" x14ac:dyDescent="0.2"/>
    <row r="692" spans="7:7" ht="20" customHeight="1" x14ac:dyDescent="0.2"/>
    <row r="693" spans="7:7" ht="20" customHeight="1" x14ac:dyDescent="0.2"/>
    <row r="694" spans="7:7" ht="20" customHeight="1" x14ac:dyDescent="0.2">
      <c r="G694" s="27"/>
    </row>
    <row r="695" spans="7:7" ht="20" customHeight="1" x14ac:dyDescent="0.2"/>
    <row r="696" spans="7:7" ht="20" customHeight="1" x14ac:dyDescent="0.2"/>
    <row r="697" spans="7:7" ht="20" customHeight="1" x14ac:dyDescent="0.2"/>
    <row r="698" spans="7:7" ht="20" customHeight="1" x14ac:dyDescent="0.2"/>
    <row r="699" spans="7:7" ht="20" customHeight="1" x14ac:dyDescent="0.2"/>
    <row r="700" spans="7:7" ht="20" customHeight="1" x14ac:dyDescent="0.2"/>
    <row r="701" spans="7:7" ht="16" customHeight="1" x14ac:dyDescent="0.2"/>
    <row r="702" spans="7:7" ht="34" customHeight="1" x14ac:dyDescent="0.2"/>
    <row r="703" spans="7:7" ht="20" customHeight="1" x14ac:dyDescent="0.2"/>
    <row r="704" spans="7:7" ht="16" customHeight="1" x14ac:dyDescent="0.2"/>
    <row r="705" spans="7:7" ht="20" customHeight="1" x14ac:dyDescent="0.2"/>
    <row r="706" spans="7:7" ht="16" customHeight="1" x14ac:dyDescent="0.2"/>
    <row r="707" spans="7:7" ht="34" customHeight="1" x14ac:dyDescent="0.2"/>
    <row r="708" spans="7:7" ht="20" customHeight="1" x14ac:dyDescent="0.2"/>
    <row r="709" spans="7:7" ht="20" customHeight="1" x14ac:dyDescent="0.2"/>
    <row r="710" spans="7:7" ht="20" customHeight="1" x14ac:dyDescent="0.2"/>
    <row r="711" spans="7:7" ht="20" customHeight="1" x14ac:dyDescent="0.2">
      <c r="G711" s="27"/>
    </row>
    <row r="712" spans="7:7" ht="20" customHeight="1" x14ac:dyDescent="0.2"/>
    <row r="713" spans="7:7" ht="20" customHeight="1" x14ac:dyDescent="0.2"/>
    <row r="714" spans="7:7" ht="20" customHeight="1" x14ac:dyDescent="0.2"/>
    <row r="715" spans="7:7" ht="20" customHeight="1" x14ac:dyDescent="0.2"/>
    <row r="716" spans="7:7" ht="20" customHeight="1" x14ac:dyDescent="0.2"/>
    <row r="717" spans="7:7" ht="20" customHeight="1" x14ac:dyDescent="0.2"/>
    <row r="718" spans="7:7" ht="16" customHeight="1" x14ac:dyDescent="0.2"/>
    <row r="719" spans="7:7" ht="20" customHeight="1" x14ac:dyDescent="0.2">
      <c r="G719" s="27"/>
    </row>
    <row r="720" spans="7:7" ht="16" customHeight="1" x14ac:dyDescent="0.2"/>
    <row r="721" spans="7:7" ht="34" customHeight="1" x14ac:dyDescent="0.2"/>
    <row r="722" spans="7:7" ht="16" customHeight="1" x14ac:dyDescent="0.2"/>
    <row r="723" spans="7:7" ht="36" customHeight="1" x14ac:dyDescent="0.2"/>
    <row r="724" spans="7:7" ht="20" customHeight="1" x14ac:dyDescent="0.2"/>
    <row r="725" spans="7:7" ht="20" customHeight="1" x14ac:dyDescent="0.2">
      <c r="G725" s="27"/>
    </row>
    <row r="726" spans="7:7" ht="20" customHeight="1" x14ac:dyDescent="0.2"/>
    <row r="727" spans="7:7" ht="20" customHeight="1" x14ac:dyDescent="0.2"/>
    <row r="728" spans="7:7" ht="20" customHeight="1" x14ac:dyDescent="0.2"/>
    <row r="729" spans="7:7" ht="20" customHeight="1" x14ac:dyDescent="0.2">
      <c r="G729" s="27"/>
    </row>
    <row r="730" spans="7:7" ht="20" customHeight="1" x14ac:dyDescent="0.2"/>
    <row r="731" spans="7:7" ht="20" customHeight="1" x14ac:dyDescent="0.2"/>
    <row r="732" spans="7:7" ht="20" customHeight="1" x14ac:dyDescent="0.2"/>
    <row r="733" spans="7:7" ht="20" customHeight="1" x14ac:dyDescent="0.2"/>
    <row r="734" spans="7:7" ht="20" customHeight="1" x14ac:dyDescent="0.2"/>
    <row r="735" spans="7:7" ht="20" customHeight="1" x14ac:dyDescent="0.2"/>
    <row r="736" spans="7:7" ht="20" customHeight="1" x14ac:dyDescent="0.2">
      <c r="G736" s="27"/>
    </row>
    <row r="737" spans="7:7" ht="20" customHeight="1" x14ac:dyDescent="0.2"/>
    <row r="738" spans="7:7" ht="20" customHeight="1" x14ac:dyDescent="0.2"/>
    <row r="739" spans="7:7" ht="20" customHeight="1" x14ac:dyDescent="0.2"/>
    <row r="740" spans="7:7" ht="20" customHeight="1" x14ac:dyDescent="0.2"/>
    <row r="741" spans="7:7" ht="20" customHeight="1" x14ac:dyDescent="0.2"/>
    <row r="742" spans="7:7" ht="20" customHeight="1" x14ac:dyDescent="0.2"/>
    <row r="743" spans="7:7" ht="20" customHeight="1" x14ac:dyDescent="0.2">
      <c r="G743" s="27"/>
    </row>
    <row r="744" spans="7:7" ht="20" customHeight="1" x14ac:dyDescent="0.2"/>
    <row r="745" spans="7:7" ht="20" customHeight="1" x14ac:dyDescent="0.2"/>
    <row r="746" spans="7:7" ht="20" customHeight="1" x14ac:dyDescent="0.2"/>
    <row r="747" spans="7:7" ht="20" customHeight="1" x14ac:dyDescent="0.2"/>
    <row r="748" spans="7:7" ht="20" customHeight="1" x14ac:dyDescent="0.2"/>
    <row r="749" spans="7:7" ht="20" customHeight="1" x14ac:dyDescent="0.2"/>
    <row r="750" spans="7:7" ht="20" customHeight="1" x14ac:dyDescent="0.2"/>
    <row r="751" spans="7:7" ht="20" customHeight="1" x14ac:dyDescent="0.2"/>
    <row r="752" spans="7:7" ht="20" customHeight="1" x14ac:dyDescent="0.2">
      <c r="G752" s="27"/>
    </row>
    <row r="753" spans="7:7" ht="20" customHeight="1" x14ac:dyDescent="0.2"/>
    <row r="754" spans="7:7" ht="20" customHeight="1" x14ac:dyDescent="0.2"/>
    <row r="755" spans="7:7" ht="20" customHeight="1" x14ac:dyDescent="0.2"/>
    <row r="756" spans="7:7" ht="20" customHeight="1" x14ac:dyDescent="0.2"/>
    <row r="757" spans="7:7" ht="20" customHeight="1" x14ac:dyDescent="0.2">
      <c r="G757" s="27"/>
    </row>
    <row r="758" spans="7:7" ht="20" customHeight="1" x14ac:dyDescent="0.2"/>
    <row r="759" spans="7:7" ht="20" customHeight="1" x14ac:dyDescent="0.2"/>
    <row r="760" spans="7:7" ht="20" customHeight="1" x14ac:dyDescent="0.2"/>
    <row r="761" spans="7:7" ht="20" customHeight="1" x14ac:dyDescent="0.2"/>
    <row r="762" spans="7:7" ht="20" customHeight="1" x14ac:dyDescent="0.2"/>
    <row r="763" spans="7:7" ht="20" customHeight="1" x14ac:dyDescent="0.2"/>
    <row r="764" spans="7:7" ht="20" customHeight="1" x14ac:dyDescent="0.2"/>
    <row r="765" spans="7:7" ht="20" customHeight="1" x14ac:dyDescent="0.2"/>
    <row r="766" spans="7:7" ht="20" customHeight="1" x14ac:dyDescent="0.2"/>
    <row r="767" spans="7:7" ht="20" customHeight="1" x14ac:dyDescent="0.2"/>
    <row r="768" spans="7:7" ht="20" customHeight="1" x14ac:dyDescent="0.2">
      <c r="G768" s="27"/>
    </row>
    <row r="769" spans="7:7" ht="20" customHeight="1" x14ac:dyDescent="0.2"/>
    <row r="770" spans="7:7" ht="20" customHeight="1" x14ac:dyDescent="0.2"/>
    <row r="771" spans="7:7" ht="20" customHeight="1" x14ac:dyDescent="0.2"/>
    <row r="772" spans="7:7" ht="20" customHeight="1" x14ac:dyDescent="0.2"/>
    <row r="773" spans="7:7" ht="16" customHeight="1" x14ac:dyDescent="0.2"/>
    <row r="774" spans="7:7" ht="34" customHeight="1" x14ac:dyDescent="0.2"/>
    <row r="775" spans="7:7" ht="16" customHeight="1" x14ac:dyDescent="0.2"/>
    <row r="776" spans="7:7" ht="34" customHeight="1" x14ac:dyDescent="0.2"/>
    <row r="777" spans="7:7" ht="20" customHeight="1" x14ac:dyDescent="0.2"/>
    <row r="778" spans="7:7" ht="20" customHeight="1" x14ac:dyDescent="0.2"/>
    <row r="779" spans="7:7" ht="20" customHeight="1" x14ac:dyDescent="0.2"/>
    <row r="780" spans="7:7" ht="20" customHeight="1" x14ac:dyDescent="0.2"/>
    <row r="781" spans="7:7" ht="20" customHeight="1" x14ac:dyDescent="0.2"/>
    <row r="782" spans="7:7" ht="20" customHeight="1" x14ac:dyDescent="0.2"/>
    <row r="783" spans="7:7" ht="20" customHeight="1" x14ac:dyDescent="0.2">
      <c r="G783" s="27"/>
    </row>
    <row r="784" spans="7:7" ht="20" customHeight="1" x14ac:dyDescent="0.2"/>
    <row r="785" spans="7:7" ht="20" customHeight="1" x14ac:dyDescent="0.2"/>
    <row r="786" spans="7:7" ht="20" customHeight="1" x14ac:dyDescent="0.2"/>
    <row r="787" spans="7:7" ht="20" customHeight="1" x14ac:dyDescent="0.2"/>
    <row r="788" spans="7:7" ht="20" customHeight="1" x14ac:dyDescent="0.2"/>
    <row r="789" spans="7:7" ht="20" customHeight="1" x14ac:dyDescent="0.2"/>
    <row r="790" spans="7:7" ht="20" customHeight="1" x14ac:dyDescent="0.2"/>
    <row r="791" spans="7:7" ht="16" customHeight="1" x14ac:dyDescent="0.2">
      <c r="G791" s="27"/>
    </row>
    <row r="792" spans="7:7" ht="20" customHeight="1" x14ac:dyDescent="0.2"/>
    <row r="793" spans="7:7" ht="16" customHeight="1" x14ac:dyDescent="0.2"/>
    <row r="794" spans="7:7" ht="34" customHeight="1" x14ac:dyDescent="0.2"/>
    <row r="795" spans="7:7" ht="20" customHeight="1" x14ac:dyDescent="0.2"/>
    <row r="796" spans="7:7" ht="20" customHeight="1" x14ac:dyDescent="0.2"/>
    <row r="797" spans="7:7" ht="20" customHeight="1" x14ac:dyDescent="0.2">
      <c r="G797" s="27"/>
    </row>
    <row r="798" spans="7:7" ht="20" customHeight="1" x14ac:dyDescent="0.2"/>
    <row r="799" spans="7:7" ht="16" customHeight="1" x14ac:dyDescent="0.2"/>
    <row r="800" spans="7:7" ht="20" customHeight="1" x14ac:dyDescent="0.2"/>
    <row r="801" ht="16" customHeight="1" x14ac:dyDescent="0.2"/>
    <row r="802" ht="34" customHeight="1" x14ac:dyDescent="0.2"/>
    <row r="803" ht="20" customHeight="1" x14ac:dyDescent="0.2"/>
    <row r="804" ht="20" customHeight="1" x14ac:dyDescent="0.2"/>
    <row r="805" ht="16" customHeight="1" x14ac:dyDescent="0.2"/>
    <row r="806" ht="20" customHeight="1" x14ac:dyDescent="0.2"/>
    <row r="807" ht="16" customHeight="1" x14ac:dyDescent="0.2"/>
    <row r="808" ht="34" customHeight="1" x14ac:dyDescent="0.2"/>
    <row r="809" ht="16" customHeight="1" x14ac:dyDescent="0.2"/>
    <row r="810" ht="20" customHeight="1" x14ac:dyDescent="0.2"/>
    <row r="811" ht="16" customHeight="1" x14ac:dyDescent="0.2"/>
    <row r="812" ht="34" customHeight="1" x14ac:dyDescent="0.2"/>
    <row r="813" ht="20" customHeight="1" x14ac:dyDescent="0.2"/>
    <row r="814" ht="20" customHeight="1" x14ac:dyDescent="0.2"/>
    <row r="815" ht="20" customHeight="1" x14ac:dyDescent="0.2"/>
    <row r="816" ht="20" customHeight="1" x14ac:dyDescent="0.2"/>
    <row r="817" ht="20" customHeight="1" x14ac:dyDescent="0.2"/>
    <row r="818" ht="16" customHeight="1" x14ac:dyDescent="0.2"/>
    <row r="819" ht="34" customHeight="1" x14ac:dyDescent="0.2"/>
    <row r="820" ht="20" customHeight="1" x14ac:dyDescent="0.2"/>
    <row r="821" ht="20" customHeight="1" x14ac:dyDescent="0.2"/>
    <row r="822" ht="20" customHeight="1" x14ac:dyDescent="0.2"/>
    <row r="823" ht="16" customHeight="1" x14ac:dyDescent="0.2"/>
    <row r="824" ht="20" customHeight="1" x14ac:dyDescent="0.2"/>
    <row r="825" ht="20" customHeight="1" x14ac:dyDescent="0.2"/>
    <row r="826" ht="20" customHeight="1" x14ac:dyDescent="0.2"/>
    <row r="827" ht="20" customHeight="1" x14ac:dyDescent="0.2"/>
    <row r="828" ht="20" customHeight="1" x14ac:dyDescent="0.2"/>
    <row r="829" ht="20" customHeight="1" x14ac:dyDescent="0.2"/>
    <row r="830" ht="20" customHeight="1" x14ac:dyDescent="0.2"/>
    <row r="831" ht="20" customHeight="1" x14ac:dyDescent="0.2"/>
    <row r="832" ht="16" customHeight="1" x14ac:dyDescent="0.2"/>
    <row r="833" spans="7:7" ht="20" customHeight="1" x14ac:dyDescent="0.2"/>
    <row r="834" spans="7:7" ht="16" customHeight="1" x14ac:dyDescent="0.2"/>
    <row r="835" spans="7:7" ht="34" customHeight="1" x14ac:dyDescent="0.2"/>
    <row r="836" spans="7:7" ht="20" customHeight="1" x14ac:dyDescent="0.2"/>
    <row r="837" spans="7:7" ht="16" customHeight="1" x14ac:dyDescent="0.2"/>
    <row r="838" spans="7:7" ht="20" customHeight="1" x14ac:dyDescent="0.2"/>
    <row r="839" spans="7:7" ht="16" customHeight="1" x14ac:dyDescent="0.2"/>
    <row r="840" spans="7:7" ht="34" customHeight="1" x14ac:dyDescent="0.2">
      <c r="G840" s="27"/>
    </row>
    <row r="841" spans="7:7" ht="20" customHeight="1" x14ac:dyDescent="0.2"/>
    <row r="842" spans="7:7" ht="20" customHeight="1" x14ac:dyDescent="0.2"/>
    <row r="843" spans="7:7" ht="20" customHeight="1" x14ac:dyDescent="0.2"/>
    <row r="844" spans="7:7" ht="20" customHeight="1" x14ac:dyDescent="0.2"/>
    <row r="845" spans="7:7" ht="20" customHeight="1" x14ac:dyDescent="0.2"/>
    <row r="846" spans="7:7" ht="20" customHeight="1" x14ac:dyDescent="0.2">
      <c r="G846" s="27"/>
    </row>
    <row r="847" spans="7:7" ht="20" customHeight="1" x14ac:dyDescent="0.2"/>
    <row r="848" spans="7:7" ht="16" customHeight="1" x14ac:dyDescent="0.2"/>
    <row r="849" ht="20" customHeight="1" x14ac:dyDescent="0.2"/>
    <row r="850" ht="16" customHeight="1" x14ac:dyDescent="0.2"/>
    <row r="851" ht="34" customHeight="1" x14ac:dyDescent="0.2"/>
    <row r="852" ht="20" customHeight="1" x14ac:dyDescent="0.2"/>
    <row r="853" ht="20" customHeight="1" x14ac:dyDescent="0.2"/>
    <row r="854" ht="20" customHeight="1" x14ac:dyDescent="0.2"/>
    <row r="855" ht="20" customHeight="1" x14ac:dyDescent="0.2"/>
    <row r="856" ht="20" customHeight="1" x14ac:dyDescent="0.2"/>
    <row r="857" ht="20" customHeight="1" x14ac:dyDescent="0.2"/>
    <row r="858" ht="20" customHeight="1" x14ac:dyDescent="0.2"/>
    <row r="859" ht="20" customHeight="1" x14ac:dyDescent="0.2"/>
    <row r="860" ht="20" customHeight="1" x14ac:dyDescent="0.2"/>
    <row r="861" ht="20" customHeight="1" x14ac:dyDescent="0.2"/>
    <row r="862" ht="20" customHeight="1" x14ac:dyDescent="0.2"/>
    <row r="863" ht="16" customHeight="1" x14ac:dyDescent="0.2"/>
    <row r="864" ht="20" customHeight="1" x14ac:dyDescent="0.2"/>
    <row r="865" ht="16" customHeight="1" x14ac:dyDescent="0.2"/>
    <row r="866" ht="34" customHeight="1" x14ac:dyDescent="0.2"/>
    <row r="867" ht="20" customHeight="1" x14ac:dyDescent="0.2"/>
    <row r="868" ht="20" customHeight="1" x14ac:dyDescent="0.2"/>
    <row r="869" ht="20" customHeight="1" x14ac:dyDescent="0.2"/>
    <row r="870" ht="20" customHeight="1" x14ac:dyDescent="0.2"/>
    <row r="871" ht="16" customHeight="1" x14ac:dyDescent="0.2"/>
    <row r="872" ht="20" customHeight="1" x14ac:dyDescent="0.2"/>
    <row r="873" ht="16" customHeight="1" x14ac:dyDescent="0.2"/>
    <row r="874" ht="34" customHeight="1" x14ac:dyDescent="0.2"/>
    <row r="875" ht="20" customHeight="1" x14ac:dyDescent="0.2"/>
    <row r="876" ht="20" customHeight="1" x14ac:dyDescent="0.2"/>
    <row r="877" ht="16" customHeight="1" x14ac:dyDescent="0.2"/>
    <row r="878" ht="20" customHeight="1" x14ac:dyDescent="0.2"/>
    <row r="879" ht="16" customHeight="1" x14ac:dyDescent="0.2"/>
    <row r="880" ht="34" customHeight="1" x14ac:dyDescent="0.2"/>
    <row r="881" ht="20" customHeight="1" x14ac:dyDescent="0.2"/>
    <row r="882" ht="20" customHeight="1" x14ac:dyDescent="0.2"/>
    <row r="883" ht="20" customHeight="1" x14ac:dyDescent="0.2"/>
    <row r="884" ht="20" customHeight="1" x14ac:dyDescent="0.2"/>
    <row r="885" ht="20" customHeight="1" x14ac:dyDescent="0.2"/>
    <row r="886" ht="20" customHeight="1" x14ac:dyDescent="0.2"/>
    <row r="887" ht="20" customHeight="1" x14ac:dyDescent="0.2"/>
    <row r="888" ht="20" customHeight="1" x14ac:dyDescent="0.2"/>
    <row r="889" ht="20" customHeight="1" x14ac:dyDescent="0.2"/>
    <row r="890" ht="20" customHeight="1" x14ac:dyDescent="0.2"/>
    <row r="891" ht="20" customHeight="1" x14ac:dyDescent="0.2"/>
    <row r="892" ht="20" customHeight="1" x14ac:dyDescent="0.2"/>
    <row r="893" ht="20" customHeight="1" x14ac:dyDescent="0.2"/>
    <row r="894" ht="20" customHeight="1" x14ac:dyDescent="0.2"/>
    <row r="895" ht="20" customHeight="1" x14ac:dyDescent="0.2"/>
    <row r="896" ht="20" customHeight="1" x14ac:dyDescent="0.2"/>
    <row r="897" ht="20" customHeight="1" x14ac:dyDescent="0.2"/>
    <row r="898" ht="20" customHeight="1" x14ac:dyDescent="0.2"/>
    <row r="899" ht="20" customHeight="1" x14ac:dyDescent="0.2"/>
    <row r="900" ht="20" customHeight="1" x14ac:dyDescent="0.2"/>
    <row r="901" ht="20" customHeight="1" x14ac:dyDescent="0.2"/>
    <row r="902" ht="20" customHeight="1" x14ac:dyDescent="0.2"/>
    <row r="903" ht="20" customHeight="1" x14ac:dyDescent="0.2"/>
    <row r="904" ht="20" customHeight="1" x14ac:dyDescent="0.2"/>
    <row r="905" ht="20" customHeight="1" x14ac:dyDescent="0.2"/>
    <row r="906" ht="20" customHeight="1" x14ac:dyDescent="0.2"/>
    <row r="907" ht="20" customHeight="1" x14ac:dyDescent="0.2"/>
    <row r="908" ht="20" customHeight="1" x14ac:dyDescent="0.2"/>
    <row r="909" ht="20" customHeight="1" x14ac:dyDescent="0.2"/>
    <row r="910" ht="20" customHeight="1" x14ac:dyDescent="0.2"/>
    <row r="911" ht="20" customHeight="1" x14ac:dyDescent="0.2"/>
    <row r="912" ht="20" customHeight="1" x14ac:dyDescent="0.2"/>
    <row r="913" ht="20" customHeight="1" x14ac:dyDescent="0.2"/>
    <row r="914" ht="20" customHeight="1" x14ac:dyDescent="0.2"/>
    <row r="915" ht="20" customHeight="1" x14ac:dyDescent="0.2"/>
    <row r="916" ht="20" customHeight="1" x14ac:dyDescent="0.2"/>
    <row r="917" ht="20" customHeight="1" x14ac:dyDescent="0.2"/>
    <row r="918" ht="20" customHeight="1" x14ac:dyDescent="0.2"/>
    <row r="919" ht="20" customHeight="1" x14ac:dyDescent="0.2"/>
    <row r="920" ht="20" customHeight="1" x14ac:dyDescent="0.2"/>
    <row r="921" ht="20" customHeight="1" x14ac:dyDescent="0.2"/>
    <row r="922" ht="16" customHeight="1" x14ac:dyDescent="0.2"/>
    <row r="923" ht="34" customHeight="1" x14ac:dyDescent="0.2"/>
    <row r="924" ht="20" customHeight="1" x14ac:dyDescent="0.2"/>
    <row r="925" ht="20" customHeight="1" x14ac:dyDescent="0.2"/>
    <row r="926" ht="20" customHeight="1" x14ac:dyDescent="0.2"/>
    <row r="927" ht="20" customHeight="1" x14ac:dyDescent="0.2"/>
    <row r="928" ht="16" customHeight="1" x14ac:dyDescent="0.2"/>
    <row r="929" ht="34" customHeight="1" x14ac:dyDescent="0.2"/>
    <row r="930" ht="20" customHeight="1" x14ac:dyDescent="0.2"/>
    <row r="931" ht="20" customHeight="1" x14ac:dyDescent="0.2"/>
    <row r="932" ht="20" customHeight="1" x14ac:dyDescent="0.2"/>
    <row r="933" ht="20" customHeight="1" x14ac:dyDescent="0.2"/>
    <row r="934" ht="20" customHeight="1" x14ac:dyDescent="0.2"/>
  </sheetData>
  <sheetProtection algorithmName="SHA-512" hashValue="0WlI+tUoGpo/g/KHQCfEiHRn1eGzYNPsptHpvrtyihXH0WktmC+nLgQsD4HlXEY0GIUut2VkI5q/Mpoxle8eWA==" saltValue="GA59+GHyPOnb/gt1XwkE5w==" spinCount="100000" sheet="1" selectLockedCells="1"/>
  <mergeCells count="55">
    <mergeCell ref="B155:E155"/>
    <mergeCell ref="B160:E160"/>
    <mergeCell ref="B145:E145"/>
    <mergeCell ref="B313:E313"/>
    <mergeCell ref="B166:E166"/>
    <mergeCell ref="B296:E296"/>
    <mergeCell ref="B260:E260"/>
    <mergeCell ref="B371:E371"/>
    <mergeCell ref="B364:E364"/>
    <mergeCell ref="B350:E350"/>
    <mergeCell ref="B340:E340"/>
    <mergeCell ref="B330:E330"/>
    <mergeCell ref="B325:E325"/>
    <mergeCell ref="B323:E323"/>
    <mergeCell ref="B345:E345"/>
    <mergeCell ref="B357:E357"/>
    <mergeCell ref="B301:E301"/>
    <mergeCell ref="B108:E108"/>
    <mergeCell ref="B249:E249"/>
    <mergeCell ref="B231:E231"/>
    <mergeCell ref="B211:E211"/>
    <mergeCell ref="B210:E210"/>
    <mergeCell ref="B198:E198"/>
    <mergeCell ref="B197:E197"/>
    <mergeCell ref="B230:E230"/>
    <mergeCell ref="B192:E192"/>
    <mergeCell ref="B191:E191"/>
    <mergeCell ref="B154:E154"/>
    <mergeCell ref="B143:E143"/>
    <mergeCell ref="B117:E117"/>
    <mergeCell ref="B118:E118"/>
    <mergeCell ref="B161:E161"/>
    <mergeCell ref="B146:E146"/>
    <mergeCell ref="B100:E100"/>
    <mergeCell ref="B54:E54"/>
    <mergeCell ref="B55:E55"/>
    <mergeCell ref="B81:E81"/>
    <mergeCell ref="B57:E57"/>
    <mergeCell ref="B84:E84"/>
    <mergeCell ref="B2:E2"/>
    <mergeCell ref="B62:E62"/>
    <mergeCell ref="B167:E167"/>
    <mergeCell ref="B170:E170"/>
    <mergeCell ref="B171:E171"/>
    <mergeCell ref="B3:E3"/>
    <mergeCell ref="B6:E6"/>
    <mergeCell ref="B20:E20"/>
    <mergeCell ref="B21:E21"/>
    <mergeCell ref="B25:E25"/>
    <mergeCell ref="B26:E26"/>
    <mergeCell ref="B52:E52"/>
    <mergeCell ref="B35:E35"/>
    <mergeCell ref="B36:E36"/>
    <mergeCell ref="B80:E80"/>
    <mergeCell ref="B92:E92"/>
  </mergeCells>
  <phoneticPr fontId="9" type="noConversion"/>
  <conditionalFormatting sqref="B10">
    <cfRule type="expression" dxfId="1889" priority="293" stopIfTrue="1">
      <formula>wld_domain_chosen="Exclude"</formula>
    </cfRule>
    <cfRule type="expression" dxfId="1888" priority="203">
      <formula>vcf_granular_option_chosen="VVF Deployment"</formula>
    </cfRule>
    <cfRule type="expression" dxfId="1887" priority="292">
      <formula>OR((wld_domain_chosen="Deploy Workload Domain with a Single-Rack / Multi-Rack Layer 2 Cluster"),(wld_domain_chosen="Deploy Workload Domain with a Multi-Rack Layer 3 Cluster"),(wld_domain_chosen="Import Workload Domain"))</formula>
    </cfRule>
  </conditionalFormatting>
  <conditionalFormatting sqref="B11 D11">
    <cfRule type="expression" dxfId="1886" priority="171" stopIfTrue="1">
      <formula>(wld_compute_hosts_per_rack_chosen="Exclude")</formula>
    </cfRule>
    <cfRule type="expression" dxfId="1885" priority="173">
      <formula>(vcf_version_result="Excluded")</formula>
    </cfRule>
    <cfRule type="expression" dxfId="1884" priority="233">
      <formula>(vcf_version_chosen&lt;&gt;"Exclude")</formula>
    </cfRule>
  </conditionalFormatting>
  <conditionalFormatting sqref="B11 D11:E11">
    <cfRule type="expression" dxfId="1883" priority="168">
      <formula>wld_compute_total_number_hosts&gt;64</formula>
    </cfRule>
  </conditionalFormatting>
  <conditionalFormatting sqref="B11">
    <cfRule type="expression" dxfId="1882" priority="68">
      <formula>$E$11="Required: Minimum Number of hosts must be selected"</formula>
    </cfRule>
  </conditionalFormatting>
  <conditionalFormatting sqref="B12 D12">
    <cfRule type="expression" dxfId="1881" priority="67">
      <formula>(vcf_version_result="Excluded")</formula>
    </cfRule>
    <cfRule type="expression" dxfId="1880" priority="65">
      <formula>wld_multi_rack_count_chosen="Exclude"</formula>
    </cfRule>
    <cfRule type="expression" dxfId="1879" priority="169">
      <formula>(vcf_version_chosen&lt;&gt;"Exclude")</formula>
    </cfRule>
  </conditionalFormatting>
  <conditionalFormatting sqref="B12 D12:E12">
    <cfRule type="expression" dxfId="1878" priority="63">
      <formula>AND((wld_multi_rack_count_chosen&lt;&gt;"Exclude"),(wld_multi_rack_count_result="Excluded"))</formula>
    </cfRule>
  </conditionalFormatting>
  <conditionalFormatting sqref="B12">
    <cfRule type="expression" dxfId="1877" priority="62">
      <formula>AND((wld_domain_chosen="Deploy Workload Domain with a Multi-Rack Layer 3 Cluster"),(wld_multi_rack_count_chosen="Exclude"))</formula>
    </cfRule>
  </conditionalFormatting>
  <conditionalFormatting sqref="B13 D13:E13">
    <cfRule type="expression" dxfId="1876" priority="221">
      <formula>AND((wld_dpg_separation_chosen&lt;&gt;"Exclude"),(wld_dpg_separation_result="Excluded"))</formula>
    </cfRule>
  </conditionalFormatting>
  <conditionalFormatting sqref="B13">
    <cfRule type="expression" dxfId="1875" priority="291">
      <formula>wld_dpg_separation_chosen="Exclude"</formula>
    </cfRule>
    <cfRule type="expression" dxfId="1874" priority="290">
      <formula>wld_dpg_separation_chosen="Include"</formula>
    </cfRule>
  </conditionalFormatting>
  <conditionalFormatting sqref="B13:B18 D15">
    <cfRule type="expression" dxfId="1873" priority="283" stopIfTrue="1">
      <formula>wld_domain_result="Excluded"</formula>
    </cfRule>
  </conditionalFormatting>
  <conditionalFormatting sqref="B14 D14:E14">
    <cfRule type="expression" dxfId="1872" priority="21">
      <formula>$E$14="Cause: Multi Rack Configuration is only supported with vSAN as Principal Storage or with vSAN Compute Clusters"</formula>
    </cfRule>
  </conditionalFormatting>
  <conditionalFormatting sqref="B15 D15">
    <cfRule type="expression" dxfId="1871" priority="64">
      <formula>wld_az1_reuse_vcf_networkpool_result="Excluded"</formula>
    </cfRule>
  </conditionalFormatting>
  <conditionalFormatting sqref="B16 D16:E16">
    <cfRule type="expression" dxfId="1870" priority="204">
      <formula>AND((wld_secondary_storage_chosen&lt;&gt;"Exclude"),(wld_secondary_storage_result="Excluded"))</formula>
    </cfRule>
  </conditionalFormatting>
  <conditionalFormatting sqref="B16">
    <cfRule type="expression" dxfId="1869" priority="286" stopIfTrue="1">
      <formula>wld_secondary_storage_chosen&lt;&gt;"Exclude"</formula>
    </cfRule>
    <cfRule type="expression" dxfId="1868" priority="288" stopIfTrue="1">
      <formula>wld_secondary_storage_chosen="Exclude"</formula>
    </cfRule>
  </conditionalFormatting>
  <conditionalFormatting sqref="B16:B18 B13:B14">
    <cfRule type="expression" dxfId="1867" priority="287">
      <formula>wld_domain_chosen="Exclude"</formula>
    </cfRule>
  </conditionalFormatting>
  <conditionalFormatting sqref="B17 D17:E17">
    <cfRule type="expression" dxfId="1866" priority="284">
      <formula>AND((wld_esxi_external_certs_chosen&lt;&gt;"Exclude"),(wld_esxi_external_certs_result="Excluded"))</formula>
    </cfRule>
  </conditionalFormatting>
  <conditionalFormatting sqref="B17">
    <cfRule type="expression" dxfId="1865" priority="798">
      <formula>wld_esxi_external_certs_chosen="Include"</formula>
    </cfRule>
    <cfRule type="expression" dxfId="1864" priority="285">
      <formula>wld_esxi_external_certs_chosen="Exclude"</formula>
    </cfRule>
  </conditionalFormatting>
  <conditionalFormatting sqref="B18 D18">
    <cfRule type="expression" dxfId="1863" priority="282">
      <formula>wld_iaas_chosen="Include"</formula>
    </cfRule>
    <cfRule type="expression" dxfId="1862" priority="268">
      <formula>wld_iaas_result="Excluded"</formula>
    </cfRule>
  </conditionalFormatting>
  <conditionalFormatting sqref="B18 D18:E18">
    <cfRule type="expression" dxfId="1861" priority="26">
      <formula>$E$18="Cause: vSphere Supervisor should be enabled after the you completed the stretched cluster configuration"</formula>
    </cfRule>
  </conditionalFormatting>
  <conditionalFormatting sqref="D10">
    <cfRule type="expression" dxfId="1860" priority="814">
      <formula>AND((wld_domain_chosen&lt;&gt;"Exclude"),(wld_domain_result="Included"))</formula>
    </cfRule>
    <cfRule type="expression" dxfId="1859" priority="372">
      <formula>(wld_domain_result="Excluded")</formula>
    </cfRule>
  </conditionalFormatting>
  <conditionalFormatting sqref="D13">
    <cfRule type="expression" dxfId="1858" priority="781">
      <formula>(wld_dpg_separation_result="Included")</formula>
    </cfRule>
    <cfRule type="expression" dxfId="1857" priority="1">
      <formula>wld_domain_result="Excluded"</formula>
    </cfRule>
    <cfRule type="expression" dxfId="1856" priority="780" stopIfTrue="1">
      <formula>(wld_dpg_separation_result="Excluded")</formula>
    </cfRule>
  </conditionalFormatting>
  <conditionalFormatting sqref="D13:D14 D16">
    <cfRule type="expression" dxfId="1855" priority="736">
      <formula>(vcf_version_result="Excluded")</formula>
    </cfRule>
  </conditionalFormatting>
  <conditionalFormatting sqref="D14">
    <cfRule type="expression" dxfId="1854" priority="750">
      <formula>wld_principal_storage_result="Included"</formula>
    </cfRule>
    <cfRule type="expression" dxfId="1853" priority="289">
      <formula>wld_principal_storage_result="Excluded"</formula>
    </cfRule>
  </conditionalFormatting>
  <conditionalFormatting sqref="D16">
    <cfRule type="expression" dxfId="1852" priority="794">
      <formula>AND((wld_secondary_storage_chosen&lt;&gt;"Exclude"),(wld_secondary_storage_result="Included"))</formula>
    </cfRule>
    <cfRule type="expression" dxfId="1851" priority="793">
      <formula>(wld_secondary_storage_chosen="Exclude")</formula>
    </cfRule>
  </conditionalFormatting>
  <conditionalFormatting sqref="D17">
    <cfRule type="expression" dxfId="1850" priority="799">
      <formula>(wld_esxi_external_certs_chosen="Exclude")</formula>
    </cfRule>
    <cfRule type="expression" dxfId="1849" priority="800">
      <formula>wld_esxi_external_certs_result="Included"</formula>
    </cfRule>
  </conditionalFormatting>
  <conditionalFormatting sqref="D18 D16">
    <cfRule type="expression" dxfId="1848" priority="792">
      <formula>(wld_domain_chosen="Exclude")</formula>
    </cfRule>
  </conditionalFormatting>
  <conditionalFormatting sqref="D23 D28:D33 D38:D50 D58:D61 D63:D78 D83 D85:D91 D93:D99 D101:D107 D120:D141 D148:D152 D157:D158 D163:D164 D168 D173:D189 D194:D195 D200:D208 D213:D228 D233:D234 D239:D270 D278:D280 D297:D300 D302:D312 D314:D321 D326:D329 D331:D336 D341:D344 D349 D351:D356 D358:D363 D365:D370 D373 D375:D378">
    <cfRule type="notContainsBlanks" dxfId="1846" priority="4942">
      <formula>LEN(TRIM(D23))&gt;0</formula>
    </cfRule>
  </conditionalFormatting>
  <conditionalFormatting sqref="D23 D28:D33 D38:D50">
    <cfRule type="expression" dxfId="1845" priority="211">
      <formula>wld_domain_chosen&lt;&gt;"Import Workload Domain"</formula>
    </cfRule>
  </conditionalFormatting>
  <conditionalFormatting sqref="D38:D43 D47">
    <cfRule type="expression" dxfId="1844" priority="208">
      <formula>wld_bf_nsx_existing_chosen="Selected"</formula>
    </cfRule>
  </conditionalFormatting>
  <conditionalFormatting sqref="D39:D43 D47">
    <cfRule type="expression" dxfId="1843" priority="209">
      <formula>wld_bf_nsx_join_manager_chosen="Join existing NSX Manager Instance"</formula>
    </cfRule>
  </conditionalFormatting>
  <conditionalFormatting sqref="D42:D43">
    <cfRule type="expression" dxfId="1842" priority="210">
      <formula>wld_bf_nsx_ha_mode_chosen="Single NSX Manager Appliance"</formula>
    </cfRule>
  </conditionalFormatting>
  <conditionalFormatting sqref="D45">
    <cfRule type="expression" dxfId="1841" priority="207">
      <formula>wld_bf_nsx_existing_chosen="Unselected"</formula>
    </cfRule>
  </conditionalFormatting>
  <conditionalFormatting sqref="D48:D50">
    <cfRule type="expression" dxfId="1840" priority="205">
      <formula>wld_bf_nsx_create_passwords_chosen="Selected"</formula>
    </cfRule>
  </conditionalFormatting>
  <conditionalFormatting sqref="D58:D61 D85:D89">
    <cfRule type="expression" dxfId="1839" priority="515">
      <formula>wld_domain_result="Excluded"</formula>
    </cfRule>
  </conditionalFormatting>
  <conditionalFormatting sqref="D63:D78">
    <cfRule type="expression" dxfId="1838" priority="563">
      <formula>wld_domain_result="Excluded"</formula>
    </cfRule>
  </conditionalFormatting>
  <conditionalFormatting sqref="D64">
    <cfRule type="expression" dxfId="1837" priority="151">
      <formula>AND((wld_domain_chosen="Deploy Workload Domain with a Multi-Rack Layer 3 Cluster"),(wld_compute_hosts_per_rack_chosen&lt;2))</formula>
    </cfRule>
  </conditionalFormatting>
  <conditionalFormatting sqref="D65">
    <cfRule type="expression" dxfId="1836" priority="152">
      <formula>wld_compute_hosts_per_rack_chosen&lt;3</formula>
    </cfRule>
  </conditionalFormatting>
  <conditionalFormatting sqref="D66">
    <cfRule type="expression" dxfId="1835" priority="153">
      <formula>wld_compute_hosts_per_rack_chosen&lt;4</formula>
    </cfRule>
  </conditionalFormatting>
  <conditionalFormatting sqref="D67">
    <cfRule type="expression" dxfId="1834" priority="154">
      <formula>wld_compute_hosts_per_rack_chosen&lt;5</formula>
    </cfRule>
  </conditionalFormatting>
  <conditionalFormatting sqref="D68">
    <cfRule type="expression" dxfId="1833" priority="155">
      <formula>wld_compute_hosts_per_rack_chosen&lt;6</formula>
    </cfRule>
  </conditionalFormatting>
  <conditionalFormatting sqref="D69">
    <cfRule type="expression" dxfId="1832" priority="156">
      <formula>wld_compute_hosts_per_rack_chosen&lt;7</formula>
    </cfRule>
  </conditionalFormatting>
  <conditionalFormatting sqref="D70">
    <cfRule type="expression" dxfId="1831" priority="157">
      <formula>wld_compute_hosts_per_rack_chosen&lt;8</formula>
    </cfRule>
  </conditionalFormatting>
  <conditionalFormatting sqref="D71">
    <cfRule type="expression" dxfId="1830" priority="158">
      <formula>wld_compute_hosts_per_rack_chosen&lt;9</formula>
    </cfRule>
  </conditionalFormatting>
  <conditionalFormatting sqref="D72">
    <cfRule type="expression" dxfId="1829" priority="159">
      <formula>wld_compute_hosts_per_rack_chosen&lt;10</formula>
    </cfRule>
  </conditionalFormatting>
  <conditionalFormatting sqref="D73">
    <cfRule type="expression" dxfId="1828" priority="160">
      <formula>wld_compute_hosts_per_rack_chosen&lt;11</formula>
    </cfRule>
  </conditionalFormatting>
  <conditionalFormatting sqref="D74">
    <cfRule type="expression" dxfId="1827" priority="161">
      <formula>wld_compute_hosts_per_rack_chosen&lt;12</formula>
    </cfRule>
  </conditionalFormatting>
  <conditionalFormatting sqref="D75">
    <cfRule type="expression" dxfId="1826" priority="162">
      <formula>wld_compute_hosts_per_rack_chosen&lt;13</formula>
    </cfRule>
  </conditionalFormatting>
  <conditionalFormatting sqref="D76">
    <cfRule type="expression" dxfId="1825" priority="163">
      <formula>wld_compute_hosts_per_rack_chosen&lt;14</formula>
    </cfRule>
  </conditionalFormatting>
  <conditionalFormatting sqref="D77">
    <cfRule type="expression" dxfId="1824" priority="164">
      <formula>wld_compute_hosts_per_rack_chosen&lt;15</formula>
    </cfRule>
  </conditionalFormatting>
  <conditionalFormatting sqref="D78">
    <cfRule type="expression" dxfId="1823" priority="165">
      <formula>wld_compute_hosts_per_rack_chosen&lt;16</formula>
    </cfRule>
  </conditionalFormatting>
  <conditionalFormatting sqref="D85:D91 D93:D99 D101:D107 D109:D115 D58:D61 D63:D78 D83 D120:D141 D148:D152 D157:D158 D163:D164 D168 D173:D189 D194:D195 D200:D208 D213:D228 D233:D234 D239:D270 D277:D280 D341:D344 D346:D349 D351:D356 D358:D363 D365:D370 D373 D375:D378 D326:D329 D331:D336">
    <cfRule type="expression" dxfId="1822" priority="25" stopIfTrue="1">
      <formula>wld_domain_result="Excluded"</formula>
    </cfRule>
  </conditionalFormatting>
  <conditionalFormatting sqref="D85:D91 D93:D99 D101:D107 D109:D115">
    <cfRule type="expression" dxfId="1821" priority="24">
      <formula>wld_az1_reuse_vcf_networkpool_chosen="Re-use an existing VCF Network Pool"</formula>
    </cfRule>
  </conditionalFormatting>
  <conditionalFormatting sqref="D92">
    <cfRule type="notContainsBlanks" dxfId="1820" priority="466">
      <formula>LEN(TRIM(D92))&gt;0</formula>
    </cfRule>
    <cfRule type="containsBlanks" dxfId="1819" priority="465">
      <formula>LEN(TRIM(D92))=0</formula>
    </cfRule>
    <cfRule type="expression" dxfId="1817" priority="463">
      <formula>mgmt_domain_existing_vcenter_chosen="Selected"</formula>
    </cfRule>
    <cfRule type="expression" dxfId="1816" priority="462">
      <formula>input_mgmt_principal_storage_chosen="VMFS on Fibre Channel (FC)"</formula>
    </cfRule>
  </conditionalFormatting>
  <conditionalFormatting sqref="D93:D97">
    <cfRule type="expression" dxfId="1815" priority="476">
      <formula>wld_domain_result="Excluded"</formula>
    </cfRule>
  </conditionalFormatting>
  <conditionalFormatting sqref="D93:D99">
    <cfRule type="expression" dxfId="1814" priority="477">
      <formula>OR((wld_principal_storage_chosen="VMFS on Fibre Channel (FC)"),(wld_principal_storage_chosen="vSAN Storage Cluster"))</formula>
    </cfRule>
  </conditionalFormatting>
  <conditionalFormatting sqref="D98:D99">
    <cfRule type="expression" dxfId="1813" priority="331">
      <formula>wld_domain_result="Excluded"</formula>
    </cfRule>
  </conditionalFormatting>
  <conditionalFormatting sqref="D101:D107">
    <cfRule type="expression" dxfId="1812" priority="350" stopIfTrue="1">
      <formula>OR((wld_domain_result="Excluded"),(wld_secondary_storage_result="Excluded"))</formula>
    </cfRule>
  </conditionalFormatting>
  <conditionalFormatting sqref="D109:D115">
    <cfRule type="expression" dxfId="1811" priority="23">
      <formula>wld_principal_storage_chosen&lt;&gt;"vSAN Storage Cluster"</formula>
    </cfRule>
    <cfRule type="notContainsBlanks" dxfId="1810" priority="4940">
      <formula>LEN(TRIM(D109))&gt;0</formula>
    </cfRule>
    <cfRule type="containsBlanks" dxfId="1809" priority="50">
      <formula>LEN(TRIM(D109))=0</formula>
    </cfRule>
  </conditionalFormatting>
  <conditionalFormatting sqref="D120:D135">
    <cfRule type="expression" dxfId="1807" priority="679">
      <formula>wld_domain_result="Excluded"</formula>
    </cfRule>
    <cfRule type="expression" dxfId="1806" priority="117">
      <formula>wld_domain_result="Excluded"</formula>
    </cfRule>
  </conditionalFormatting>
  <conditionalFormatting sqref="D120:D141 D213:D228 D292:D295 D349 D58:D61 D63:D78 D83 D85:D91 D93:D99 D101:D107 D148:D152 D157:D158 D163:D164 D168 D173:D189 D194:D195 D200:D208 D233:D234 D239:D270 D277:D280 D326:D329 D331:D336 D341:D344 D351:D356 D358:D363 D365:D370 D373 D375:D378 D287:D290 D272:D275 D282:D285 D314:D321 D23 D28:D33 D38:D50 D297:D300 D302:D312 B373 B375:B378 B380:B395 D380:D395">
    <cfRule type="expression" dxfId="1805" priority="179">
      <formula>mgmt_domain_deployment_type_chosen="VMware vSphere Foundation"</formula>
    </cfRule>
  </conditionalFormatting>
  <conditionalFormatting sqref="D121">
    <cfRule type="expression" dxfId="1804" priority="102">
      <formula>AND((wld_domain_chosen="Deploy Workload Domain with a Multi-Rack Layer 3 Cluster"),(wld_compute_hosts_per_rack_chosen&lt;2))</formula>
    </cfRule>
  </conditionalFormatting>
  <conditionalFormatting sqref="D122">
    <cfRule type="expression" dxfId="1803" priority="103">
      <formula>wld_compute_hosts_per_rack_chosen&lt;3</formula>
    </cfRule>
  </conditionalFormatting>
  <conditionalFormatting sqref="D123">
    <cfRule type="expression" dxfId="1802" priority="104">
      <formula>wld_compute_hosts_per_rack_chosen&lt;4</formula>
    </cfRule>
  </conditionalFormatting>
  <conditionalFormatting sqref="D124">
    <cfRule type="expression" dxfId="1801" priority="105">
      <formula>wld_compute_hosts_per_rack_chosen&lt;5</formula>
    </cfRule>
  </conditionalFormatting>
  <conditionalFormatting sqref="D125">
    <cfRule type="expression" dxfId="1800" priority="106">
      <formula>wld_compute_hosts_per_rack_chosen&lt;6</formula>
    </cfRule>
  </conditionalFormatting>
  <conditionalFormatting sqref="D126">
    <cfRule type="expression" dxfId="1799" priority="107">
      <formula>wld_compute_hosts_per_rack_chosen&lt;7</formula>
    </cfRule>
  </conditionalFormatting>
  <conditionalFormatting sqref="D127">
    <cfRule type="expression" dxfId="1798" priority="108">
      <formula>wld_compute_hosts_per_rack_chosen&lt;8</formula>
    </cfRule>
  </conditionalFormatting>
  <conditionalFormatting sqref="D128">
    <cfRule type="expression" dxfId="1797" priority="109">
      <formula>wld_compute_hosts_per_rack_chosen&lt;9</formula>
    </cfRule>
  </conditionalFormatting>
  <conditionalFormatting sqref="D129">
    <cfRule type="expression" dxfId="1796" priority="110">
      <formula>wld_compute_hosts_per_rack_chosen&lt;10</formula>
    </cfRule>
  </conditionalFormatting>
  <conditionalFormatting sqref="D130">
    <cfRule type="expression" dxfId="1795" priority="111">
      <formula>wld_compute_hosts_per_rack_chosen&lt;11</formula>
    </cfRule>
  </conditionalFormatting>
  <conditionalFormatting sqref="D131">
    <cfRule type="expression" dxfId="1794" priority="112">
      <formula>wld_compute_hosts_per_rack_chosen&lt;12</formula>
    </cfRule>
  </conditionalFormatting>
  <conditionalFormatting sqref="D132">
    <cfRule type="expression" dxfId="1793" priority="113">
      <formula>wld_compute_hosts_per_rack_chosen&lt;13</formula>
    </cfRule>
  </conditionalFormatting>
  <conditionalFormatting sqref="D133">
    <cfRule type="expression" dxfId="1792" priority="114">
      <formula>wld_compute_hosts_per_rack_chosen&lt;14</formula>
    </cfRule>
  </conditionalFormatting>
  <conditionalFormatting sqref="D134">
    <cfRule type="expression" dxfId="1791" priority="115">
      <formula>wld_compute_hosts_per_rack_chosen&lt;15</formula>
    </cfRule>
  </conditionalFormatting>
  <conditionalFormatting sqref="D135">
    <cfRule type="expression" dxfId="1790" priority="116">
      <formula>wld_compute_hosts_per_rack_chosen&lt;16</formula>
    </cfRule>
  </conditionalFormatting>
  <conditionalFormatting sqref="D137:D138">
    <cfRule type="expression" dxfId="1789" priority="174">
      <formula>AND((wld_principal_storage_chosen&lt;&gt;"vSAN-ESA"),(wld_principal_storage_chosen&lt;&gt;"vSAN-OSA"),(wld_principal_storage_chosen&lt;&gt;"vSAN Storage Cluster"),(wld_principal_storage_chosen&lt;&gt;"vSAN Compute Cluster"))</formula>
    </cfRule>
  </conditionalFormatting>
  <conditionalFormatting sqref="D152 D158">
    <cfRule type="expression" dxfId="1788" priority="438">
      <formula>wld_domain_password_creation_chosen="Selected"</formula>
    </cfRule>
  </conditionalFormatting>
  <conditionalFormatting sqref="D164 D326:D329 D331:D336">
    <cfRule type="expression" dxfId="1787" priority="191">
      <formula>wld_iaas_result="Excluded"</formula>
    </cfRule>
  </conditionalFormatting>
  <conditionalFormatting sqref="D177:D180">
    <cfRule type="expression" dxfId="1786" priority="437">
      <formula>wld_nsx_ha_mode_chosen="Standard"</formula>
    </cfRule>
  </conditionalFormatting>
  <conditionalFormatting sqref="D186:D189">
    <cfRule type="expression" dxfId="1785" priority="567">
      <formula>wld_centralized_connectivity_chosen="Centralized Connectivity"</formula>
    </cfRule>
  </conditionalFormatting>
  <conditionalFormatting sqref="D195 D200">
    <cfRule type="expression" dxfId="1784" priority="177">
      <formula>AND((wld_principal_storage_chosen&lt;&gt;"vSAN-ESA"),(wld_principal_storage_chosen&lt;&gt;"vSAN Storage Cluster"))</formula>
    </cfRule>
  </conditionalFormatting>
  <conditionalFormatting sqref="D200:D208 D239:D270 D233:D234 D168 D173:D189 D194:D195 D297:D300 D302:D312 D314:D321 D120:D141 D326:D329 D331:D336 D63:D78 D58:D61 D85:D91 D93:D99 D148:D152 D157:D158 D101:D107 D278:D280 D23 D28:D33 D38:D50 D163:D164 D83 D213:D228 D341:D344 D349 D351:D356 D358:D363 D365:D370 D373 D375:D378">
    <cfRule type="containsBlanks" dxfId="1783" priority="1189">
      <formula>LEN(TRIM(D23))=0</formula>
    </cfRule>
  </conditionalFormatting>
  <conditionalFormatting sqref="D201">
    <cfRule type="expression" dxfId="1782" priority="568">
      <formula>AND((wld_principal_storage_chosen&lt;&gt;"vSAN-ESA"),(wld_principal_storage_chosen&lt;&gt;"vSAN-OSA"),(wld_principal_storage_chosen&lt;&gt;"vSAN Storage Cluster"))</formula>
    </cfRule>
  </conditionalFormatting>
  <conditionalFormatting sqref="D202">
    <cfRule type="expression" dxfId="1781" priority="269">
      <formula>$B$16&lt;&gt;"vSAN Storage Client Network"</formula>
    </cfRule>
  </conditionalFormatting>
  <conditionalFormatting sqref="D204">
    <cfRule type="expression" dxfId="1779" priority="694">
      <formula>(wld_principal_storage_chosen&lt;&gt;"vSAN-OSA")</formula>
    </cfRule>
  </conditionalFormatting>
  <conditionalFormatting sqref="D205">
    <cfRule type="expression" dxfId="1778" priority="689">
      <formula>OR((wld_domain_result="Excluded"),(wld_principal_storage_chosen&lt;&gt;"VMFS on Fibre Channel (FC)"))</formula>
    </cfRule>
  </conditionalFormatting>
  <conditionalFormatting sqref="D206:D208">
    <cfRule type="expression" dxfId="1777" priority="681">
      <formula>OR((wld_domain_result="Excluded"),(wld_principal_storage_chosen&lt;&gt;"NFSv3"))</formula>
    </cfRule>
  </conditionalFormatting>
  <conditionalFormatting sqref="D213:D228">
    <cfRule type="expression" dxfId="1776" priority="84">
      <formula>wld_domain_result="Excluded"</formula>
    </cfRule>
  </conditionalFormatting>
  <conditionalFormatting sqref="D214">
    <cfRule type="expression" dxfId="1775" priority="69">
      <formula>AND((wld_domain_chosen="Deploy Workload Domain with a Multi-Rack Layer 3 Cluster"),(wld_compute_hosts_per_rack_chosen&lt;2))</formula>
    </cfRule>
  </conditionalFormatting>
  <conditionalFormatting sqref="D215">
    <cfRule type="expression" dxfId="1774" priority="70">
      <formula>wld_compute_hosts_per_rack_chosen&lt;3</formula>
    </cfRule>
  </conditionalFormatting>
  <conditionalFormatting sqref="D216">
    <cfRule type="expression" dxfId="1773" priority="71">
      <formula>wld_compute_hosts_per_rack_chosen&lt;4</formula>
    </cfRule>
  </conditionalFormatting>
  <conditionalFormatting sqref="D217">
    <cfRule type="expression" dxfId="1772" priority="72">
      <formula>wld_compute_hosts_per_rack_chosen&lt;5</formula>
    </cfRule>
  </conditionalFormatting>
  <conditionalFormatting sqref="D218">
    <cfRule type="expression" dxfId="1771" priority="73">
      <formula>wld_compute_hosts_per_rack_chosen&lt;6</formula>
    </cfRule>
  </conditionalFormatting>
  <conditionalFormatting sqref="D219">
    <cfRule type="expression" dxfId="1770" priority="74">
      <formula>wld_compute_hosts_per_rack_chosen&lt;7</formula>
    </cfRule>
  </conditionalFormatting>
  <conditionalFormatting sqref="D220">
    <cfRule type="expression" dxfId="1769" priority="75">
      <formula>wld_compute_hosts_per_rack_chosen&lt;8</formula>
    </cfRule>
  </conditionalFormatting>
  <conditionalFormatting sqref="D221">
    <cfRule type="expression" dxfId="1768" priority="76">
      <formula>wld_compute_hosts_per_rack_chosen&lt;9</formula>
    </cfRule>
  </conditionalFormatting>
  <conditionalFormatting sqref="D222">
    <cfRule type="expression" dxfId="1767" priority="77">
      <formula>wld_compute_hosts_per_rack_chosen&lt;10</formula>
    </cfRule>
  </conditionalFormatting>
  <conditionalFormatting sqref="D223">
    <cfRule type="expression" dxfId="1766" priority="78">
      <formula>wld_compute_hosts_per_rack_chosen&lt;11</formula>
    </cfRule>
  </conditionalFormatting>
  <conditionalFormatting sqref="D224">
    <cfRule type="expression" dxfId="1765" priority="79">
      <formula>wld_compute_hosts_per_rack_chosen&lt;12</formula>
    </cfRule>
  </conditionalFormatting>
  <conditionalFormatting sqref="D225">
    <cfRule type="expression" dxfId="1764" priority="80">
      <formula>wld_compute_hosts_per_rack_chosen&lt;13</formula>
    </cfRule>
  </conditionalFormatting>
  <conditionalFormatting sqref="D226">
    <cfRule type="expression" dxfId="1763" priority="81">
      <formula>wld_compute_hosts_per_rack_chosen&lt;14</formula>
    </cfRule>
  </conditionalFormatting>
  <conditionalFormatting sqref="D227">
    <cfRule type="expression" dxfId="1762" priority="82">
      <formula>wld_compute_hosts_per_rack_chosen&lt;15</formula>
    </cfRule>
  </conditionalFormatting>
  <conditionalFormatting sqref="D228">
    <cfRule type="expression" dxfId="1761" priority="83">
      <formula>wld_compute_hosts_per_rack_chosen&lt;16</formula>
    </cfRule>
  </conditionalFormatting>
  <conditionalFormatting sqref="D239:D248 D250:D259">
    <cfRule type="expression" dxfId="1760" priority="637">
      <formula>wld_cl01_vds_profile_chosen="Custom Switch Configuration"</formula>
    </cfRule>
  </conditionalFormatting>
  <conditionalFormatting sqref="D239:D270 D287:D290 D272:D275 D277:D280 D282:D285 D314:D321 D11:D18 B11:B18 D58:D61 D63:D78 D83 D85:D91 D93:D99 D120:D141 D148:D152 D157:D158 D163:D164 D168 D173:D189 D194:D195 D200:D208 D213:D228 D233:D234 D292:D295 D297:D300 D302:D312 D341:D344 D349 D351:D356 D358:D363 D365:D370 B373 D373 B375:B378 D375:D378 B380:B395 D380:D395">
    <cfRule type="expression" dxfId="1759" priority="15">
      <formula>wld_domain_chosen="Import Workload Domain"</formula>
    </cfRule>
  </conditionalFormatting>
  <conditionalFormatting sqref="D242:D245">
    <cfRule type="expression" dxfId="1758" priority="14">
      <formula>wld_cl01_vds01_link_type_chosen="VDS Uplinks"</formula>
    </cfRule>
  </conditionalFormatting>
  <conditionalFormatting sqref="D248:D270 D234">
    <cfRule type="expression" dxfId="1757" priority="827">
      <formula>wld_domain_result="Excluded"</formula>
    </cfRule>
  </conditionalFormatting>
  <conditionalFormatting sqref="D248:D270 D297:D300 D304:D305 D168 D173:D180 D183:D189 D194:D195 D234">
    <cfRule type="expression" dxfId="1756" priority="826">
      <formula>wld_multirack_result="Included"</formula>
    </cfRule>
  </conditionalFormatting>
  <conditionalFormatting sqref="D249">
    <cfRule type="containsBlanks" dxfId="1755" priority="225">
      <formula>LEN(TRIM(D249))=0</formula>
    </cfRule>
    <cfRule type="notContainsBlanks" dxfId="1754" priority="224" stopIfTrue="1">
      <formula>LEN(TRIM(D249))&gt;0</formula>
    </cfRule>
    <cfRule type="expression" dxfId="1753" priority="223">
      <formula>mgmt_host_overlay_addressing_chosen&lt;&gt;"IP Pool"</formula>
    </cfRule>
  </conditionalFormatting>
  <conditionalFormatting sqref="D250:D258">
    <cfRule type="expression" dxfId="1752" priority="638" stopIfTrue="1">
      <formula>wld_cl01_vds_profile_chosen="Default"</formula>
    </cfRule>
  </conditionalFormatting>
  <conditionalFormatting sqref="D253:D256">
    <cfRule type="expression" dxfId="1751" priority="13">
      <formula>wld_cl01_vds02_link_type_chosen="VDS Uplinks"</formula>
    </cfRule>
  </conditionalFormatting>
  <conditionalFormatting sqref="D261:D269">
    <cfRule type="expression" dxfId="1750" priority="631">
      <formula>wld_cl01_vds_profile_chosen="NSX Traffic Separation"</formula>
    </cfRule>
    <cfRule type="expression" dxfId="1749" priority="634">
      <formula>wld_cl01_vds_profile_chosen="Storage Traffic Separation"</formula>
    </cfRule>
    <cfRule type="expression" dxfId="1748" priority="635">
      <formula>wld_cl01_vds_profile_chosen="Default"</formula>
    </cfRule>
  </conditionalFormatting>
  <conditionalFormatting sqref="D261:D270">
    <cfRule type="expression" dxfId="1747" priority="630">
      <formula>wld_cl01_vds_profile_chosen="Custom Switch Configuration"</formula>
    </cfRule>
    <cfRule type="expression" dxfId="1746" priority="183">
      <formula>wld_cl01_vds_profile_chosen="vSAN Max Storage Traffic Separation"</formula>
    </cfRule>
  </conditionalFormatting>
  <conditionalFormatting sqref="D264:D267">
    <cfRule type="expression" dxfId="1745" priority="12">
      <formula>wld_cl01_vds03_link_type_chosen="VDS Uplinks"</formula>
    </cfRule>
  </conditionalFormatting>
  <conditionalFormatting sqref="D270 D259">
    <cfRule type="expression" dxfId="1744" priority="1132">
      <formula>wld_cl01_vds_profile_chosen="Default"</formula>
    </cfRule>
  </conditionalFormatting>
  <conditionalFormatting sqref="D270 D297:D300 D304:D305 D316:D321 D203:D208">
    <cfRule type="expression" dxfId="1743" priority="680" stopIfTrue="1">
      <formula>wld_domain_result="Excluded"</formula>
    </cfRule>
  </conditionalFormatting>
  <conditionalFormatting sqref="D270">
    <cfRule type="expression" dxfId="1742" priority="1182">
      <formula xml:space="preserve"> wld_cl01_vds_profile_chosen ="Storage Traffic Separation"</formula>
    </cfRule>
    <cfRule type="expression" dxfId="1741" priority="1164">
      <formula xml:space="preserve"> wld_cl01_vds_profile_chosen ="NSX Traffic Separation"</formula>
    </cfRule>
  </conditionalFormatting>
  <conditionalFormatting sqref="D272:D275">
    <cfRule type="notContainsBlanks" dxfId="1739" priority="647">
      <formula>LEN(TRIM(D272))&gt;0</formula>
    </cfRule>
    <cfRule type="expression" dxfId="1738" priority="236" stopIfTrue="1">
      <formula>wld_domain_result="Excluded"</formula>
    </cfRule>
    <cfRule type="containsBlanks" dxfId="1737" priority="245">
      <formula>LEN(TRIM(D272))=0</formula>
    </cfRule>
  </conditionalFormatting>
  <conditionalFormatting sqref="D273:D275 D278:D280 D283:D285">
    <cfRule type="expression" dxfId="1736" priority="7">
      <formula>wld_cl01_vds01_link_type_chosen="VDS Lag"</formula>
    </cfRule>
  </conditionalFormatting>
  <conditionalFormatting sqref="D277">
    <cfRule type="notContainsBlanks" dxfId="1735" priority="270">
      <formula>LEN(TRIM(D277))&gt;0</formula>
    </cfRule>
    <cfRule type="containsBlanks" dxfId="1734" priority="267">
      <formula>LEN(TRIM(D277))=0</formula>
    </cfRule>
  </conditionalFormatting>
  <conditionalFormatting sqref="D282">
    <cfRule type="expression" dxfId="1732" priority="235">
      <formula>wld_cl01_vds_profile_chosen="custom"</formula>
    </cfRule>
  </conditionalFormatting>
  <conditionalFormatting sqref="D282:D285">
    <cfRule type="expression" dxfId="1731" priority="234" stopIfTrue="1">
      <formula>wld_domain_result="Excluded"</formula>
    </cfRule>
    <cfRule type="containsBlanks" dxfId="1730" priority="242">
      <formula>LEN(TRIM(D282))=0</formula>
    </cfRule>
    <cfRule type="notContainsBlanks" dxfId="1728" priority="244">
      <formula>LEN(TRIM(D282))&gt;0</formula>
    </cfRule>
  </conditionalFormatting>
  <conditionalFormatting sqref="D287">
    <cfRule type="expression" dxfId="1727" priority="232">
      <formula>wld_cl01_vds_profile_chosen="custom"</formula>
    </cfRule>
  </conditionalFormatting>
  <conditionalFormatting sqref="D287:D290 D292:D295">
    <cfRule type="containsBlanks" dxfId="1726" priority="239">
      <formula>LEN(TRIM(D287))=0</formula>
    </cfRule>
    <cfRule type="expression" dxfId="1724" priority="231" stopIfTrue="1">
      <formula>wld_domain_result="Excluded"</formula>
    </cfRule>
    <cfRule type="notContainsBlanks" dxfId="1723" priority="241">
      <formula>LEN(TRIM(D287))&gt;0</formula>
    </cfRule>
  </conditionalFormatting>
  <conditionalFormatting sqref="D288:D290">
    <cfRule type="expression" dxfId="1722" priority="11">
      <formula>AND((wld_cl01_vds_profile_chosen="Storage Traffic Separation"),(wld_cl01_vds02_link_type_chosen="VDS Lag"))</formula>
    </cfRule>
    <cfRule type="expression" dxfId="1721" priority="10">
      <formula>AND((wld_cl01_vds_profile_chosen="Storage Traffic and NSX Traffic Separation"),(wld_cl01_vds02_link_type_chosen="VDS Lag"))</formula>
    </cfRule>
    <cfRule type="expression" dxfId="1720" priority="9">
      <formula>AND((wld_cl01_vds_profile_chosen="NSX Traffic Separation"),(wld_cl01_vds01_link_type_chosen="VDS Lag"))</formula>
    </cfRule>
    <cfRule type="expression" dxfId="1719" priority="8">
      <formula>AND((wld_cl01_vds_profile_chosen="Default"),(wld_cl01_vds01_link_type_chosen="VDS Lag"))</formula>
    </cfRule>
  </conditionalFormatting>
  <conditionalFormatting sqref="D292">
    <cfRule type="expression" dxfId="1718" priority="182">
      <formula>wld_cl01_vds_profile_chosen="custom"</formula>
    </cfRule>
  </conditionalFormatting>
  <conditionalFormatting sqref="D292:D295">
    <cfRule type="expression" dxfId="1717" priority="48">
      <formula>OR((wld_domain_result="Excluded"),(wld_secondary_storage_result="Excluded"))</formula>
    </cfRule>
  </conditionalFormatting>
  <conditionalFormatting sqref="D297:D300 D302:D312 D314:D321 B373 B375:B378 B380:B395 D380:D395">
    <cfRule type="expression" dxfId="1716" priority="260" stopIfTrue="1">
      <formula>wld_domain_result="Excluded"</formula>
    </cfRule>
  </conditionalFormatting>
  <conditionalFormatting sqref="D298:D300">
    <cfRule type="expression" dxfId="1715" priority="436">
      <formula>wld_nsx_default_operation_mode_chosen="Selected"</formula>
    </cfRule>
  </conditionalFormatting>
  <conditionalFormatting sqref="D302">
    <cfRule type="expression" dxfId="1714" priority="226">
      <formula>wld_domain_result="Excluded"</formula>
    </cfRule>
  </conditionalFormatting>
  <conditionalFormatting sqref="D302:D311">
    <cfRule type="expression" dxfId="1713" priority="19">
      <formula>wld_nsx_overlay_transport_zone_chosen="Unselected"</formula>
    </cfRule>
  </conditionalFormatting>
  <conditionalFormatting sqref="D304">
    <cfRule type="expression" dxfId="1712" priority="17">
      <formula>wld_cl01_vds_copy_profile_chosen="Unselected"</formula>
    </cfRule>
  </conditionalFormatting>
  <conditionalFormatting sqref="D305">
    <cfRule type="expression" dxfId="1711" priority="200" stopIfTrue="1">
      <formula>wld_domain_result="Excluded"</formula>
    </cfRule>
  </conditionalFormatting>
  <conditionalFormatting sqref="D305:D312 D314:D321 D240:D247 D251:D252 D257:D258 D262:D263 D268:D269 D273:D275 D278:D280 D283:D285 D288:D290 D293:D295 D297 D302">
    <cfRule type="expression" dxfId="1710" priority="227">
      <formula>wld_cl01_vds_copy_profile_chosen="Unselected"</formula>
    </cfRule>
  </conditionalFormatting>
  <conditionalFormatting sqref="D305:D312 D314:D321">
    <cfRule type="expression" dxfId="1709" priority="435">
      <formula>wld_host_overlay_addressing_chosen="DHCP"</formula>
    </cfRule>
  </conditionalFormatting>
  <conditionalFormatting sqref="D309:D310">
    <cfRule type="expression" dxfId="1708" priority="569">
      <formula>wld_domain_result="Excluded"</formula>
    </cfRule>
  </conditionalFormatting>
  <conditionalFormatting sqref="D312">
    <cfRule type="expression" dxfId="1707" priority="20">
      <formula>wld_nsx_vlan_transport_zone_chosen="Unselected"</formula>
    </cfRule>
  </conditionalFormatting>
  <conditionalFormatting sqref="D314:D321 D307:D312">
    <cfRule type="expression" dxfId="1706" priority="181">
      <formula>input_wld_az1_host_overlay_new_pool_chosen="Re-use an existing Pool"</formula>
    </cfRule>
  </conditionalFormatting>
  <conditionalFormatting sqref="D319:D321">
    <cfRule type="expression" dxfId="1705" priority="2">
      <formula>AND((wld_cl01_vds_profile_chosen="Default"),(wld_cl01_vds01_link_type_chosen="VDS Lag"))</formula>
    </cfRule>
    <cfRule type="expression" dxfId="1704" priority="5">
      <formula>AND((wld_cl01_vds_profile_chosen="Storage Traffic Separation"),(wld_cl01_vds01_link_type_chosen="VDS Lag"))</formula>
    </cfRule>
    <cfRule type="expression" dxfId="1703" priority="3">
      <formula>AND((wld_cl01_vds_profile_chosen="NSX Traffic Separation"),(wld_cl01_vds02_link_type_chosen="VDS Lag"))</formula>
    </cfRule>
    <cfRule type="expression" dxfId="1702" priority="4">
      <formula>AND((wld_cl01_vds_profile_chosen="Storage Traffic and NSX Traffic Separation"),(wld_cl01_vds03_link_type_chosen="VDS Lag"))</formula>
    </cfRule>
  </conditionalFormatting>
  <conditionalFormatting sqref="D321">
    <cfRule type="expression" dxfId="1701" priority="192" stopIfTrue="1">
      <formula>wld_domain_result="Excluded"</formula>
    </cfRule>
  </conditionalFormatting>
  <conditionalFormatting sqref="D326:D329 D331:D336">
    <cfRule type="expression" dxfId="1700" priority="606">
      <formula>wld_domain_result="Excluded"</formula>
    </cfRule>
  </conditionalFormatting>
  <conditionalFormatting sqref="D330">
    <cfRule type="expression" dxfId="1699" priority="265">
      <formula>mgmt_domain_existing_vcenter_chosen="Selected"</formula>
    </cfRule>
  </conditionalFormatting>
  <conditionalFormatting sqref="D346">
    <cfRule type="notContainsBlanks" dxfId="1698" priority="42">
      <formula>LEN(TRIM(D346))&gt;0</formula>
    </cfRule>
    <cfRule type="containsBlanks" dxfId="1696" priority="40">
      <formula>LEN(TRIM(D346))=0</formula>
    </cfRule>
  </conditionalFormatting>
  <conditionalFormatting sqref="D347">
    <cfRule type="expression" dxfId="1694" priority="28">
      <formula>mgmt_domain_deployment_type_chosen="VMware vSphere Foundation"</formula>
    </cfRule>
    <cfRule type="notContainsBlanks" dxfId="1693" priority="34">
      <formula>LEN(TRIM(D347))&gt;0</formula>
    </cfRule>
    <cfRule type="containsBlanks" dxfId="1692" priority="33">
      <formula>LEN(TRIM(D347))=0</formula>
    </cfRule>
  </conditionalFormatting>
  <conditionalFormatting sqref="D348:D349">
    <cfRule type="notContainsBlanks" dxfId="1690" priority="38">
      <formula>LEN(TRIM(D348))&gt;0</formula>
    </cfRule>
    <cfRule type="containsBlanks" dxfId="1689" priority="36">
      <formula>LEN(TRIM(D348))=0</formula>
    </cfRule>
  </conditionalFormatting>
  <conditionalFormatting sqref="D357">
    <cfRule type="expression" dxfId="1688" priority="511">
      <formula>input_mgmt_principal_storage_chosen="VMFS on Fibre Channel (FC)"</formula>
    </cfRule>
    <cfRule type="expression" dxfId="1687" priority="512">
      <formula>mgmt_domain_existing_vcenter_chosen="Selected"</formula>
    </cfRule>
    <cfRule type="containsBlanks" dxfId="1685" priority="514">
      <formula>LEN(TRIM(D357))=0</formula>
    </cfRule>
  </conditionalFormatting>
  <conditionalFormatting sqref="D364 D340">
    <cfRule type="expression" dxfId="1684" priority="541">
      <formula>mgmt_domain_existing_vcenter_chosen="Selected"</formula>
    </cfRule>
  </conditionalFormatting>
  <conditionalFormatting sqref="D364 D357">
    <cfRule type="notContainsBlanks" dxfId="1683" priority="543">
      <formula>LEN(TRIM(D357))&gt;0</formula>
    </cfRule>
  </conditionalFormatting>
  <conditionalFormatting sqref="D364">
    <cfRule type="containsBlanks" dxfId="1682" priority="544">
      <formula>LEN(TRIM(D364))=0</formula>
    </cfRule>
    <cfRule type="expression" dxfId="1681" priority="540">
      <formula>input_mgmt_principal_storage_chosen="VMFS on Fibre Channel (FC)"</formula>
    </cfRule>
  </conditionalFormatting>
  <conditionalFormatting sqref="D380:D395">
    <cfRule type="notContainsBlanks" dxfId="1679" priority="263">
      <formula>LEN(TRIM(D380))&gt;0</formula>
    </cfRule>
    <cfRule type="containsBlanks" dxfId="1677" priority="261">
      <formula>LEN(TRIM(D380))=0</formula>
    </cfRule>
  </conditionalFormatting>
  <conditionalFormatting sqref="D10:E10">
    <cfRule type="expression" dxfId="1676" priority="180">
      <formula>AND((wld_domain_chosen&lt;&gt;"Exclude"),(wld_domain_result="Excluded"))</formula>
    </cfRule>
  </conditionalFormatting>
  <conditionalFormatting sqref="D11:E11 B11">
    <cfRule type="expression" dxfId="1675" priority="49">
      <formula>$E$11="Cause: Minimum number of hosts for storage type not selected"</formula>
    </cfRule>
  </conditionalFormatting>
  <conditionalFormatting sqref="D11:E11">
    <cfRule type="expression" dxfId="1674" priority="16">
      <formula>$E$11="Cause Number of Racks not selected"</formula>
    </cfRule>
  </conditionalFormatting>
  <conditionalFormatting sqref="E11">
    <cfRule type="expression" dxfId="1671" priority="172">
      <formula>vcf_version_result="Excluded"</formula>
    </cfRule>
  </conditionalFormatting>
  <conditionalFormatting sqref="E15">
    <cfRule type="expression" dxfId="1670" priority="58">
      <formula>AND((cluster_secondary_storage_chosen&lt;&gt;"Exclude"),(cluster_secondary_storage_result="Excluded"))</formula>
    </cfRule>
  </conditionalFormatting>
  <conditionalFormatting sqref="E120:E135">
    <cfRule type="expression" dxfId="1668" priority="1196">
      <formula>OR((wld_vlcm_model_result="Excluded"),(wld_vlcm_model_chosen="Baselines"))</formula>
    </cfRule>
  </conditionalFormatting>
  <dataValidations count="29">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304" xr:uid="{EF3D963A-7663-544F-9EB3-8674082828F8}">
      <formula1>"DHCP,Static IP Pool"</formula1>
    </dataValidation>
    <dataValidation type="list" allowBlank="1" showInputMessage="1" showErrorMessage="1" sqref="D203" xr:uid="{50D86D43-8A2F-1C4D-AA6C-86B248D68CD8}">
      <formula1>storage_ftt</formula1>
    </dataValidation>
    <dataValidation type="list" allowBlank="1" showInputMessage="1" showErrorMessage="1" sqref="D45:D47 D151 D297 D234 D320:D321 D328 D204 D33" xr:uid="{DB1D3E94-76BC-7344-8465-8A08CA5B4D29}">
      <formula1>"Selected,Unselected"</formula1>
    </dataValidation>
    <dataValidation type="list" allowBlank="1" showInputMessage="1" showErrorMessage="1" sqref="D233"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73" xr:uid="{7DC9F679-6AD0-7540-9D33-1A7F10D7D460}">
      <formula1>"Standard,High-Availability"</formula1>
    </dataValidation>
    <dataValidation type="list" allowBlank="1" showInputMessage="1" showErrorMessage="1" sqref="D174 D40" xr:uid="{39CFA6FA-D26E-3940-84FC-1698E5665786}">
      <formula1>"Medium,Large,Extra Large"</formula1>
    </dataValidation>
    <dataValidation type="list" allowBlank="1" showInputMessage="1" showErrorMessage="1" sqref="D185" xr:uid="{58E0498D-D09F-EA41-9794-C509CC262887}">
      <formula1>"Centralized Connectivity,Distributed Connectivity"</formula1>
    </dataValidation>
    <dataValidation type="list" allowBlank="1" showInputMessage="1" showErrorMessage="1" sqref="D298" xr:uid="{BE00C3CF-0EC7-3747-924D-1005FFC1B4A5}">
      <formula1>"Standard,Enhanced Datapath Standard,Enhanced Datapath Dedicated"</formula1>
    </dataValidation>
    <dataValidation type="list" allowBlank="1" showInputMessage="1" showErrorMessage="1" sqref="D319" xr:uid="{F83EFE87-B6BC-5B43-B9E6-363D1FF8D82A}">
      <formula1>"Load Balance Source,Failover Order,Load Balance Source MAC Address"</formula1>
    </dataValidation>
    <dataValidation type="list" allowBlank="1" showInputMessage="1" showErrorMessage="1" sqref="D273 D278 D283 D288 D293"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74:D275 D279:D280 D284:D285 D289:D290 D294:D295" xr:uid="{BB7A99B6-B8E2-294A-94C3-B85D84BE5402}">
      <formula1>"Active,Standby,Unused"</formula1>
    </dataValidation>
    <dataValidation type="list" allowBlank="1" showInputMessage="1" showErrorMessage="1" sqref="C278" xr:uid="{9936D866-552B-B54E-87E8-6CC6125ED39D}">
      <formula1>"sample_mgmt_az1_cl01_mgmt_vm_lbt"</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305"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299:D300" xr:uid="{836A9167-0E1E-474B-AD1E-7DEFBAD967B6}">
      <formula1>"Selected, Unselected"</formula1>
    </dataValidation>
    <dataValidation type="list" allowBlank="1" showInputMessage="1" showErrorMessage="1" sqref="D88 D96 D104 D112" xr:uid="{A1A8BE56-E46B-2042-987B-6F5E41FDEBFA}">
      <formula1>table_masks</formula1>
    </dataValidation>
    <dataValidation type="list" allowBlank="1" showInputMessage="1" showErrorMessage="1" sqref="D241 D252 D263" xr:uid="{3BD18319-FA0D-AE40-8167-7F1880082CD2}">
      <formula1>"VDS Uplinks, VDS LAG"</formula1>
    </dataValidation>
    <dataValidation type="list" allowBlank="1" showInputMessage="1" showErrorMessage="1" sqref="D244 D255 D266" xr:uid="{12A1A6EA-2AB4-2E49-A69A-2230A1640E6A}">
      <formula1>lag_load_balancing</formula1>
    </dataValidation>
    <dataValidation type="list" allowBlank="1" showInputMessage="1" showErrorMessage="1" sqref="D243 D254 D265" xr:uid="{C087399E-F9C0-604F-BD5E-2F7DC58E9CD7}">
      <formula1>"Active,Passive"</formula1>
    </dataValidation>
    <dataValidation type="list" allowBlank="1" showInputMessage="1" showErrorMessage="1" sqref="D245 D256 D267" xr:uid="{4AB0891C-451C-E744-9F77-65F0EB53197F}">
      <formula1>"Slow,Fast"</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71" operator="containsText" id="{E1A0FA54-7B60-F140-9638-1278718DE86D}">
            <xm:f>NOT(ISERROR(SEARCH("Value Missing",D23)))</xm:f>
            <xm:f>"Value Missing"</xm:f>
            <x14:dxf>
              <fill>
                <patternFill>
                  <bgColor rgb="FFFFBE29"/>
                </patternFill>
              </fill>
            </x14:dxf>
          </x14:cfRule>
          <xm:sqref>D23 D28:D33 D38:D50 D58:D61 D63:D78 D83 D85:D91 D93:D99 D101:D107 D120:D141 D148:D152 D157:D158 D163:D164 D168 D173:D189 D194:D195 D200:D208 D213:D228 D233:D234 D239:D270 D278:D280 D297:D300 D302:D312 D314:D321 D326:D329 D331:D336 D341:D344 D349 D351:D356 D358:D363 D365:D370 D373 D375:D378</xm:sqref>
        </x14:conditionalFormatting>
        <x14:conditionalFormatting xmlns:xm="http://schemas.microsoft.com/office/excel/2006/main">
          <x14:cfRule type="containsText" priority="464" stopIfTrue="1" operator="containsText" id="{40434B6A-0257-0E46-B224-9CF37A75A142}">
            <xm:f>NOT(ISERROR(SEARCH("Value Missing",D92)))</xm:f>
            <xm:f>"Value Missing"</xm:f>
            <x14:dxf>
              <font>
                <color rgb="FF0E223A"/>
              </font>
              <fill>
                <patternFill>
                  <bgColor rgb="FFFFBE29"/>
                </patternFill>
              </fill>
            </x14:dxf>
          </x14:cfRule>
          <xm:sqref>D92</xm:sqref>
        </x14:conditionalFormatting>
        <x14:conditionalFormatting xmlns:xm="http://schemas.microsoft.com/office/excel/2006/main">
          <x14:cfRule type="containsText" priority="248" operator="containsText" id="{9416E50C-0FE8-164F-8DE0-A04DDD0F3DCE}">
            <xm:f>NOT(ISERROR(SEARCH("Value Missing",D109)))</xm:f>
            <xm:f>"Value Missing"</xm:f>
            <x14:dxf>
              <font>
                <color theme="1"/>
              </font>
              <fill>
                <patternFill>
                  <bgColor rgb="FFFFBE29"/>
                </patternFill>
              </fill>
            </x14:dxf>
          </x14:cfRule>
          <xm:sqref>D109:D115</xm:sqref>
        </x14:conditionalFormatting>
        <x14:conditionalFormatting xmlns:xm="http://schemas.microsoft.com/office/excel/2006/main">
          <x14:cfRule type="expression" priority="1188" stopIfTrue="1" id="{2AEFE8D6-BC38-944A-9C22-A50A87DBBA80}">
            <xm:f>IF(AND(wld_principal_storage_chosen&lt;&gt;"vSAN-OSA"),('Configure Workload Domain'!D$129&lt;&gt;"Included"))</xm:f>
            <x14:dxf>
              <font>
                <color rgb="FF4F5F69"/>
              </font>
              <fill>
                <patternFill>
                  <bgColor rgb="FF4F5F69"/>
                </patternFill>
              </fill>
            </x14:dxf>
          </x14:cfRule>
          <xm:sqref>D203</xm:sqref>
        </x14:conditionalFormatting>
        <x14:conditionalFormatting xmlns:xm="http://schemas.microsoft.com/office/excel/2006/main">
          <x14:cfRule type="containsText" priority="247" operator="containsText" id="{35D48073-BC1D-5F4B-9122-E2D774E9C5F2}">
            <xm:f>NOT(ISERROR(SEARCH("Value Missing",D272)))</xm:f>
            <xm:f>"Value Missing"</xm:f>
            <x14:dxf>
              <fill>
                <patternFill>
                  <bgColor rgb="FFFFBE29"/>
                </patternFill>
              </fill>
            </x14:dxf>
          </x14:cfRule>
          <xm:sqref>D272:D275</xm:sqref>
        </x14:conditionalFormatting>
        <x14:conditionalFormatting xmlns:xm="http://schemas.microsoft.com/office/excel/2006/main">
          <x14:cfRule type="containsText" priority="249" operator="containsText" id="{BA044D7F-9E71-9240-BF31-C51D76291FCF}">
            <xm:f>NOT(ISERROR(SEARCH("Value Missing",D277)))</xm:f>
            <xm:f>"Value Missing"</xm:f>
            <x14:dxf>
              <font>
                <color theme="1"/>
              </font>
              <fill>
                <patternFill>
                  <bgColor rgb="FFFFBE29"/>
                </patternFill>
              </fill>
            </x14:dxf>
          </x14:cfRule>
          <xm:sqref>D277</xm:sqref>
        </x14:conditionalFormatting>
        <x14:conditionalFormatting xmlns:xm="http://schemas.microsoft.com/office/excel/2006/main">
          <x14:cfRule type="containsText" priority="243" operator="containsText" id="{A00CB58A-0D87-E848-9778-9AB37B5B2B62}">
            <xm:f>NOT(ISERROR(SEARCH("Value Missing",D282)))</xm:f>
            <xm:f>"Value Missing"</xm:f>
            <x14:dxf>
              <fill>
                <patternFill>
                  <bgColor rgb="FFFFBE29"/>
                </patternFill>
              </fill>
            </x14:dxf>
          </x14:cfRule>
          <xm:sqref>D282:D285</xm:sqref>
        </x14:conditionalFormatting>
        <x14:conditionalFormatting xmlns:xm="http://schemas.microsoft.com/office/excel/2006/main">
          <x14:cfRule type="containsText" priority="240" operator="containsText" id="{6FFD0C25-8BE2-5347-9C99-40B2ED3B1F3C}">
            <xm:f>NOT(ISERROR(SEARCH("Value Missing",D287)))</xm:f>
            <xm:f>"Value Missing"</xm:f>
            <x14:dxf>
              <fill>
                <patternFill>
                  <bgColor rgb="FFFFBE29"/>
                </patternFill>
              </fill>
            </x14:dxf>
          </x14:cfRule>
          <xm:sqref>D287:D290 D292:D295</xm:sqref>
        </x14:conditionalFormatting>
        <x14:conditionalFormatting xmlns:xm="http://schemas.microsoft.com/office/excel/2006/main">
          <x14:cfRule type="containsText" priority="41" operator="containsText" id="{79E1736D-9BD8-F749-92AA-E3FB2D10062E}">
            <xm:f>NOT(ISERROR(SEARCH("Value Missing",D346)))</xm:f>
            <xm:f>"Value Missing"</xm:f>
            <x14:dxf>
              <font>
                <color theme="1"/>
              </font>
              <fill>
                <patternFill>
                  <bgColor rgb="FFFFBE29"/>
                </patternFill>
              </fill>
            </x14:dxf>
          </x14:cfRule>
          <xm:sqref>D346</xm:sqref>
        </x14:conditionalFormatting>
        <x14:conditionalFormatting xmlns:xm="http://schemas.microsoft.com/office/excel/2006/main">
          <x14:cfRule type="containsText" priority="32" operator="containsText" id="{0D9B1FEE-ADF1-274D-9B0B-A60A5D72D714}">
            <xm:f>NOT(ISERROR(SEARCH("Value Missing",D347)))</xm:f>
            <xm:f>"Value Missing"</xm:f>
            <x14:dxf>
              <font>
                <color theme="1"/>
              </font>
              <fill>
                <patternFill>
                  <bgColor rgb="FFFFBE29"/>
                </patternFill>
              </fill>
            </x14:dxf>
          </x14:cfRule>
          <xm:sqref>D347</xm:sqref>
        </x14:conditionalFormatting>
        <x14:conditionalFormatting xmlns:xm="http://schemas.microsoft.com/office/excel/2006/main">
          <x14:cfRule type="containsText" priority="37" operator="containsText" id="{3CFB8FD4-19FE-014B-8F2C-336C95E92B0B}">
            <xm:f>NOT(ISERROR(SEARCH("Value Missing",D348)))</xm:f>
            <xm:f>"Value Missing"</xm:f>
            <x14:dxf>
              <font>
                <color theme="1"/>
              </font>
              <fill>
                <patternFill>
                  <bgColor rgb="FFFFBE29"/>
                </patternFill>
              </fill>
            </x14:dxf>
          </x14:cfRule>
          <xm:sqref>D348:D349</xm:sqref>
        </x14:conditionalFormatting>
        <x14:conditionalFormatting xmlns:xm="http://schemas.microsoft.com/office/excel/2006/main">
          <x14:cfRule type="containsText" priority="513" stopIfTrue="1" operator="containsText" id="{90F7590E-4447-E241-8E55-3945C5247009}">
            <xm:f>NOT(ISERROR(SEARCH("Value Missing",D357)))</xm:f>
            <xm:f>"Value Missing"</xm:f>
            <x14:dxf>
              <font>
                <color rgb="FF0E223A"/>
              </font>
              <fill>
                <patternFill>
                  <bgColor rgb="FFFFBE29"/>
                </patternFill>
              </fill>
            </x14:dxf>
          </x14:cfRule>
          <xm:sqref>D357</xm:sqref>
        </x14:conditionalFormatting>
        <x14:conditionalFormatting xmlns:xm="http://schemas.microsoft.com/office/excel/2006/main">
          <x14:cfRule type="containsText" priority="542" stopIfTrue="1" operator="containsText" id="{179192EE-6811-0D4C-A396-53C1717ABC7F}">
            <xm:f>NOT(ISERROR(SEARCH("Value Missing",D364)))</xm:f>
            <xm:f>"Value Missing"</xm:f>
            <x14:dxf>
              <font>
                <color rgb="FF0E223A"/>
              </font>
              <fill>
                <patternFill>
                  <bgColor rgb="FFFFBE29"/>
                </patternFill>
              </fill>
            </x14:dxf>
          </x14:cfRule>
          <xm:sqref>D364</xm:sqref>
        </x14:conditionalFormatting>
        <x14:conditionalFormatting xmlns:xm="http://schemas.microsoft.com/office/excel/2006/main">
          <x14:cfRule type="containsText" priority="262" operator="containsText" id="{5FFCC205-222C-C24B-B5F6-082C59B24C76}">
            <xm:f>NOT(ISERROR(SEARCH("Value Missing",D380)))</xm:f>
            <xm:f>"Value Missing"</xm:f>
            <x14:dxf>
              <fill>
                <patternFill>
                  <bgColor rgb="FFFFBE29"/>
                </patternFill>
              </fill>
            </x14:dxf>
          </x14:cfRule>
          <xm:sqref>D380:D395</xm:sqref>
        </x14:conditionalFormatting>
        <x14:conditionalFormatting xmlns:xm="http://schemas.microsoft.com/office/excel/2006/main">
          <x14:cfRule type="containsText" priority="18"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14:cfRule type="containsText" priority="176"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m:sqref>E10</xm:sqref>
        </x14:conditionalFormatting>
        <x14:conditionalFormatting xmlns:xm="http://schemas.microsoft.com/office/excel/2006/main">
          <x14:cfRule type="containsText" priority="27"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2C6-4551-7E4C-9C98-306D32A434DF}">
  <sheetPr codeName="Sheet20"/>
  <dimension ref="A1:U79"/>
  <sheetViews>
    <sheetView zoomScale="150" workbookViewId="0">
      <selection activeCell="P22" sqref="P22"/>
    </sheetView>
  </sheetViews>
  <sheetFormatPr baseColWidth="10" defaultColWidth="10.83203125" defaultRowHeight="16" x14ac:dyDescent="0.2"/>
  <cols>
    <col min="1" max="1" width="45.83203125" style="8" bestFit="1" customWidth="1"/>
    <col min="2" max="2" width="25.1640625" style="8" bestFit="1" customWidth="1"/>
    <col min="3" max="3" width="15.5" style="8" bestFit="1" customWidth="1"/>
    <col min="4" max="4" width="11.83203125" style="8" bestFit="1" customWidth="1"/>
    <col min="5" max="15" width="10.83203125" style="8" customWidth="1"/>
    <col min="16" max="16" width="31" style="8" customWidth="1"/>
    <col min="17" max="17" width="14.33203125" style="8" bestFit="1" customWidth="1"/>
    <col min="18" max="18" width="15.5" style="8" bestFit="1" customWidth="1"/>
    <col min="19" max="19" width="21.1640625" style="8" bestFit="1" customWidth="1"/>
    <col min="20" max="24" width="10.83203125" style="8" customWidth="1"/>
    <col min="25" max="16384" width="10.83203125" style="8"/>
  </cols>
  <sheetData>
    <row r="1" spans="1:19" x14ac:dyDescent="0.2">
      <c r="A1" s="323" t="s">
        <v>959</v>
      </c>
    </row>
    <row r="2" spans="1:19" x14ac:dyDescent="0.2">
      <c r="A2" s="8" t="s">
        <v>960</v>
      </c>
      <c r="B2" s="329">
        <v>1825</v>
      </c>
    </row>
    <row r="3" spans="1:19" x14ac:dyDescent="0.2">
      <c r="A3" s="8" t="s">
        <v>961</v>
      </c>
      <c r="B3" s="8" t="str">
        <f>IF(flt_custom_network_chosen="Shared Management Network",IF(mgmt_dpg_reuse_result="Included",CONCATENATE(prefix_mgmt_az1_cidr,"10.0/24"),CONCATENATE(prefix_mgmt_az1_cidr,"11.0/24")),IF(flt_custom_network_chosen="Overlay",CONCATENATE(prefix_xreg_cidr,".0/24"),CONCATENATE(prefix_flt_shared_cidr,".0/24")))</f>
        <v>10.11.10.0/24</v>
      </c>
    </row>
    <row r="4" spans="1:19" x14ac:dyDescent="0.2">
      <c r="A4" s="8" t="s">
        <v>962</v>
      </c>
      <c r="B4" s="8" t="str">
        <f>IF(flt_custom_network_chosen="Shared Management Network",IF(mgmt_dpg_reuse_result="Included",CONCATENATE(prefix_mgmt_az1_cidr,"10.0"),CONCATENATE(prefix_mgmt_az1_cidr,"11.0")),IF(flt_custom_network_chosen="Overlay",CONCATENATE(prefix_xreg_cidr,".0"),CONCATENATE(prefix_flt_shared_cidr,".0")))</f>
        <v>10.11.10.0</v>
      </c>
      <c r="P4" s="8" t="s">
        <v>963</v>
      </c>
    </row>
    <row r="5" spans="1:19" x14ac:dyDescent="0.2">
      <c r="A5" s="8" t="s">
        <v>964</v>
      </c>
      <c r="B5" s="8" t="str">
        <f>IF(flt_custom_network_chosen="Shared Management Network",IF(mgmt_dpg_reuse_result="Included",CONCATENATE(prefix_mgmt_az1_cidr,"10.1"),CONCATENATE(prefix_mgmt_az1_cidr,"11.1")),IF(flt_custom_network_chosen="Overlay",CONCATENATE(prefix_xreg_cidr,".1"),CONCATENATE(prefix_flt_shared_cidr,".1")))</f>
        <v>10.11.10.1</v>
      </c>
      <c r="P5" s="8" t="s">
        <v>965</v>
      </c>
    </row>
    <row r="6" spans="1:19" x14ac:dyDescent="0.2">
      <c r="A6" s="8" t="s">
        <v>966</v>
      </c>
      <c r="B6" s="8" t="s">
        <v>128</v>
      </c>
      <c r="P6" s="8" t="s">
        <v>967</v>
      </c>
      <c r="Q6" s="8" t="s">
        <v>968</v>
      </c>
      <c r="R6" s="8" t="s">
        <v>969</v>
      </c>
    </row>
    <row r="7" spans="1:19" ht="18" x14ac:dyDescent="0.2">
      <c r="A7" s="8" t="s">
        <v>970</v>
      </c>
      <c r="B7" s="8">
        <v>1500</v>
      </c>
      <c r="P7" s="425" t="s">
        <v>971</v>
      </c>
      <c r="Q7" s="426"/>
      <c r="R7" s="426"/>
      <c r="S7" s="427"/>
    </row>
    <row r="8" spans="1:19" x14ac:dyDescent="0.2">
      <c r="A8" s="8" t="s">
        <v>972</v>
      </c>
      <c r="B8" s="8" t="str">
        <f>CONCATENATE(MID(B5, FIND(".",B5)+1, FIND(".",B5,FIND(".",B5)+1) - FIND(".",B5) - 1),MID(B5, FIND(".", B5, FIND(".", B5)+1)+1, FIND(".", B5, FIND(".", B5, FIND(".", B5)+1)+1) - (FIND(".", B5, FIND(".", B5)+1)+1) ))</f>
        <v>1110</v>
      </c>
      <c r="P8" s="80" t="str">
        <f>IF(mgmt_vcf_management_network_chosen="Use VM management network",IF(mgmt_dpg_reuse_result="Included",CONCATENATE(prefix_mgmt_az1_cidr,"10.50"),CONCATENATE(prefix_mgmt_az1_cidr,"11.50")),CONCATENATE(prefix_flt_shared_cidr,".50"))</f>
        <v>10.11.10.50</v>
      </c>
      <c r="Q8" s="347"/>
      <c r="R8" s="241" t="str">
        <f>IF(ISBLANK(input_xreg_vra_nodee_ip),"Value Missing",input_xreg_vra_nodee_ip)</f>
        <v>Value Missing</v>
      </c>
    </row>
    <row r="9" spans="1:19" x14ac:dyDescent="0.2">
      <c r="A9" s="8" t="str">
        <f>CONCATENATE(this_instance,"-m01-cl01-vds01-pg-vcf-mgmt")</f>
        <v>sfo-m01-cl01-vds01-pg-vcf-mgmt</v>
      </c>
      <c r="B9" s="347"/>
      <c r="C9" s="241" t="str">
        <f>IF(ISBLANK(input_mgmt_cl01_az1_vcf_mgmt_pg),"Value Missing",input_mgmt_cl01_az1_vcf_mgmt_pg)</f>
        <v>Value Missing</v>
      </c>
      <c r="P9" s="80" t="str">
        <f>IF(mgmt_vcf_management_network_chosen="Use VM management network",IF(mgmt_dpg_reuse_result="Included",CONCATENATE(prefix_mgmt_az1_cidr,"10.51"),CONCATENATE(prefix_mgmt_az1_cidr,"11.51")),CONCATENATE(prefix_flt_shared_cidr,".51"))</f>
        <v>10.11.10.51</v>
      </c>
      <c r="Q9" s="347"/>
      <c r="R9" s="241" t="str">
        <f>IF(ISBLANK(input_xreg_vra_nodef_ip),"Value Missing",input_xreg_vra_nodef_ip)</f>
        <v>Value Missing</v>
      </c>
    </row>
    <row r="10" spans="1:19" ht="18" x14ac:dyDescent="0.2">
      <c r="A10" s="323" t="s">
        <v>973</v>
      </c>
      <c r="P10" s="425" t="s">
        <v>974</v>
      </c>
      <c r="Q10" s="426"/>
      <c r="R10" s="426"/>
      <c r="S10" s="427"/>
    </row>
    <row r="11" spans="1:19" x14ac:dyDescent="0.2">
      <c r="A11" s="4" t="s">
        <v>975</v>
      </c>
      <c r="B11" s="80" t="str">
        <f>CONCATENATE(this_instance,".rainpole.io")</f>
        <v>sfo.rainpole.io</v>
      </c>
      <c r="C11" s="347"/>
      <c r="P11" s="80"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Q11" s="347"/>
      <c r="R11" s="241" t="str">
        <f>IF(ISBLANK(input_flt_custom_network_auto_nodee_ip),"Value Missing",input_flt_custom_network_auto_nodee_ip)</f>
        <v>Value Missing</v>
      </c>
    </row>
    <row r="12" spans="1:19" x14ac:dyDescent="0.2">
      <c r="A12" s="4" t="s">
        <v>976</v>
      </c>
      <c r="B12" s="80" t="str">
        <f>CONCATENATE(other_instance,".rainpole.io")</f>
        <v>lax.rainpole.io</v>
      </c>
      <c r="C12" s="347"/>
      <c r="P12" s="80"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12" s="347"/>
      <c r="R12" s="241" t="str">
        <f>IF(ISBLANK(input_flt_custom_network_auto_nodef_ip),"Value Missing",input_flt_custom_network_auto_nodef_ip)</f>
        <v>Value Missing</v>
      </c>
    </row>
    <row r="13" spans="1:19" ht="18" x14ac:dyDescent="0.2">
      <c r="A13" s="4" t="s">
        <v>977</v>
      </c>
      <c r="B13" s="80" t="str">
        <f>IF(mgmt_dpg_reuse_result="Included",CONCATENATE(prefix_mgmt_az1_cidr,"10.4"),CONCATENATE(prefix_mgmt_az1_cidr,"11.4"))</f>
        <v>10.11.10.4</v>
      </c>
      <c r="C13" s="347"/>
      <c r="P13" s="425" t="s">
        <v>576</v>
      </c>
      <c r="Q13" s="426"/>
      <c r="R13" s="426"/>
      <c r="S13" s="427"/>
    </row>
    <row r="14" spans="1:19" x14ac:dyDescent="0.2">
      <c r="A14" s="4" t="s">
        <v>978</v>
      </c>
      <c r="B14" s="80" t="str">
        <f>IF(mgmt_dpg_reuse_result="Included",CONCATENATE(prefix_mgmt_az1_cidr,"10.5"),CONCATENATE(prefix_mgmt_az1_cidr,"11.5"))</f>
        <v>10.11.10.5</v>
      </c>
      <c r="C14" s="347"/>
      <c r="P14" s="80"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Q14" s="347"/>
      <c r="R14" s="241" t="str">
        <f>IF(ISBLANK(input_vcf_automation_nodee_ip),"Value Missing",input_vcf_automation_nodee_ip)</f>
        <v>Value Missing</v>
      </c>
    </row>
    <row r="15" spans="1:19" x14ac:dyDescent="0.2">
      <c r="A15" s="4" t="s">
        <v>979</v>
      </c>
      <c r="B15" s="80" t="str">
        <f>CONCATENATE(this_instance,"-ad01")</f>
        <v>sfo-ad01</v>
      </c>
      <c r="C15" s="347"/>
      <c r="P15" s="80"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15" s="347"/>
      <c r="R15" s="241" t="str">
        <f>IF(ISBLANK(input_vcf_automation_nodef_ip),"Value Missing",input_vcf_automation_nodef_ip)</f>
        <v>Value Missing</v>
      </c>
    </row>
    <row r="16" spans="1:19" ht="18" x14ac:dyDescent="0.2">
      <c r="A16" s="4" t="s">
        <v>980</v>
      </c>
      <c r="B16" s="80" t="s">
        <v>981</v>
      </c>
      <c r="C16" s="347"/>
      <c r="P16" s="425" t="s">
        <v>982</v>
      </c>
      <c r="Q16" s="426"/>
      <c r="R16" s="426"/>
      <c r="S16" s="427"/>
    </row>
    <row r="17" spans="1:20" x14ac:dyDescent="0.2">
      <c r="A17" s="4" t="s">
        <v>983</v>
      </c>
      <c r="B17" s="80">
        <v>25</v>
      </c>
      <c r="C17" s="347"/>
      <c r="P17" s="80" t="str">
        <f>IF(mgmt_dpg_reuse_result="Included",CONCATENATE(prefix_mgmt_az1_cidr,"10.75"),CONCATENATE(prefix_mgmt_az1_cidr,"11.75"))</f>
        <v>10.11.10.75</v>
      </c>
      <c r="Q17" s="347"/>
      <c r="R17" s="241" t="str">
        <f>IF(ISBLANK(input_mgmt_az1_en1_mgmt_ip),"Value Missing",input_mgmt_az1_en1_mgmt_ip)</f>
        <v>Value Missing</v>
      </c>
    </row>
    <row r="18" spans="1:20" x14ac:dyDescent="0.2">
      <c r="A18" s="4" t="s">
        <v>984</v>
      </c>
      <c r="B18" s="80" t="str">
        <f>CONCATENATE("ntp.",this_instance,".rainpole.io")</f>
        <v>ntp.sfo.rainpole.io</v>
      </c>
      <c r="C18" s="347"/>
      <c r="P18" s="80" t="str">
        <f>IF(mgmt_dpg_reuse_result="Included",CONCATENATE(prefix_mgmt_az1_cidr,"10.76"),CONCATENATE(prefix_mgmt_az1_cidr,"11.76"))</f>
        <v>10.11.10.76</v>
      </c>
      <c r="Q18" s="347"/>
      <c r="R18" s="241" t="str">
        <f>IF(ISBLANK(input_mgmt_az1_en2_mgmt_ip),"Value Missing",input_mgmt_az1_en2_mgmt_ip)</f>
        <v>Value Missing</v>
      </c>
    </row>
    <row r="19" spans="1:20" x14ac:dyDescent="0.2">
      <c r="A19" s="4" t="s">
        <v>985</v>
      </c>
      <c r="B19" s="80" t="str">
        <f>CONCATENATE("ntp.",other_instance,".rainpole.io")</f>
        <v>ntp.lax.rainpole.io</v>
      </c>
      <c r="C19" s="241"/>
      <c r="P19" s="80" t="str">
        <f>IF(wld_dpg_separation_result="Included",CONCATENATE(prefix_wld_az1_cidr,"10.135"),CONCATENATE(prefix_wld_az1_cidr,"11.135"))</f>
        <v>10.13.10.135</v>
      </c>
      <c r="Q19" s="347"/>
      <c r="R19" s="241" t="str">
        <f>IF(ISBLANK(input_wld_az1_en1_mgmt_ip),"Value Missing",input_wld_az1_en1_mgmt_ip)</f>
        <v>Value Missing</v>
      </c>
    </row>
    <row r="20" spans="1:20" x14ac:dyDescent="0.2">
      <c r="A20" s="2"/>
      <c r="B20" s="9" t="str">
        <f>CONCATENATE(prefix_wld_az1_rack_cidr,"23.0/24")</f>
        <v>10.13.23.0/24</v>
      </c>
      <c r="C20" s="347"/>
      <c r="P20" s="80" t="str">
        <f>IF(wld_dpg_separation_result="Included",CONCATENATE(prefix_wld_az1_cidr,"10.136"),CONCATENATE(prefix_wld_az1_cidr,"11.136"))</f>
        <v>10.13.10.136</v>
      </c>
      <c r="Q20" s="347"/>
      <c r="R20" s="241" t="str">
        <f>IF(ISBLANK(input_wld_az1_en2_mgmt_ip),"Value Missing",input_wld_az1_en2_mgmt_ip)</f>
        <v>Value Missing</v>
      </c>
    </row>
    <row r="21" spans="1:20" ht="18" x14ac:dyDescent="0.2">
      <c r="A21" s="2"/>
      <c r="B21" s="9" t="str">
        <f>CONCATENATE(prefix_wld_az1_rack_cidr,"24.0/24")</f>
        <v>10.13.24.0/24</v>
      </c>
      <c r="C21" s="347"/>
      <c r="P21" s="425" t="s">
        <v>986</v>
      </c>
      <c r="Q21" s="426"/>
      <c r="R21" s="426"/>
      <c r="S21" s="427"/>
    </row>
    <row r="22" spans="1:20" x14ac:dyDescent="0.2">
      <c r="A22" s="2"/>
      <c r="B22" s="9" t="str">
        <f>CONCATENATE(prefix_wld_az1_rack_cidr,"26.0/24")</f>
        <v>10.13.26.0/24</v>
      </c>
      <c r="C22" s="347"/>
      <c r="P22" s="33" t="str">
        <f>IF(mgmt_vcf_management_network_chosen="Use VM management network",IF(mgmt_dpg_reuse_result="Included",CONCATENATE(prefix_mgmt_az1_cidr,"10.22"),CONCATENATE(prefix_mgmt_az1_cidr,"11.22")),CONCATENATE(prefix_flt_shared_cidr,".22"))</f>
        <v>10.11.10.22</v>
      </c>
      <c r="Q22" s="347"/>
      <c r="R22" s="241" t="str">
        <f>IF(ISBLANK(input_flt_lc_ip),"Value Missing",input_flt_lc_ip)</f>
        <v>Value Missing</v>
      </c>
      <c r="S22" s="8" t="s">
        <v>987</v>
      </c>
    </row>
    <row r="23" spans="1:20" x14ac:dyDescent="0.2">
      <c r="A23" s="2"/>
      <c r="B23" s="9" t="str">
        <f>CONCATENATE(prefix_wld_az1_rack_cidr,"25.0/24")</f>
        <v>10.13.25.0/24</v>
      </c>
      <c r="C23" s="347"/>
      <c r="P23" s="33" t="str">
        <f>IF(mgmt_vcf_management_network_chosen="Use VM management network",IF(mgmt_dpg_reuse_result="Included",CONCATENATE(prefix_mgmt_az1_cidr,"10.10"),CONCATENATE(prefix_mgmt_az1_cidr,"11.10")),CONCATENATE(prefix_flt_shared_cidr,".10"))</f>
        <v>10.11.10.10</v>
      </c>
      <c r="Q23" s="347"/>
      <c r="R23" s="241" t="str">
        <f>IF(ISBLANK(input_flt_sr_ip),"Value Missing",input_flt_sr_ip)</f>
        <v>Value Missing</v>
      </c>
      <c r="S23" s="8" t="s">
        <v>988</v>
      </c>
    </row>
    <row r="24" spans="1:20" x14ac:dyDescent="0.2">
      <c r="A24" s="2"/>
      <c r="B24" s="9" t="str">
        <f>CONCATENATE(prefix_wld_az1_rack_cidr,"34.0/24")</f>
        <v>10.13.34.0/24</v>
      </c>
      <c r="C24" s="347"/>
      <c r="P24" s="33" t="str">
        <f>IF(mgmt_vcf_management_network_chosen="Use VM management network",IF(mgmt_dpg_reuse_result="Included",CONCATENATE(prefix_mgmt_az1_cidr,"10.11"),CONCATENATE(prefix_mgmt_az1_cidr,"11.11")),CONCATENATE(prefix_flt_shared_cidr,".11"))</f>
        <v>10.11.10.11</v>
      </c>
      <c r="Q24" s="347"/>
      <c r="R24" s="241" t="str">
        <f>IF(ISBLANK(input_flt_ic_ip),"Value Missing",input_flt_ic_ip)</f>
        <v>Value Missing</v>
      </c>
      <c r="S24" s="8" t="s">
        <v>989</v>
      </c>
    </row>
    <row r="25" spans="1:20" x14ac:dyDescent="0.2">
      <c r="A25" s="2"/>
      <c r="B25" s="9" t="str">
        <f>CONCATENATE(prefix_wld_az1_rack_cidr,"35.0/24")</f>
        <v>10.13.35.0/24</v>
      </c>
      <c r="C25" s="347"/>
      <c r="P25" s="33" t="str">
        <f>IF(mgmt_vcf_management_network_chosen="Use VM management network",IF(mgmt_dpg_reuse_result="Included",CONCATENATE(prefix_mgmt_az1_cidr,"10.20"),CONCATENATE(prefix_mgmt_az1_cidr,"11.20")),CONCATENATE(prefix_flt_shared_cidr,".20"))</f>
        <v>10.11.10.20</v>
      </c>
      <c r="Q25" s="347"/>
      <c r="R25" s="241" t="str">
        <f>IF(ISBLANK(input_flt_auto_sr_ip),"Value Missing",input_flt_auto_sr_ip)</f>
        <v>Value Missing</v>
      </c>
      <c r="S25" s="8" t="s">
        <v>990</v>
      </c>
    </row>
    <row r="26" spans="1:20" x14ac:dyDescent="0.2">
      <c r="A26" s="2"/>
      <c r="B26" s="9" t="str">
        <f>CONCATENATE(prefix_wld_az1_rack_cidr,"37.0/24")</f>
        <v>10.13.37.0/24</v>
      </c>
      <c r="C26" s="347"/>
      <c r="P26" s="33" t="str">
        <f>IF(AND(mgmt_domain_ops_automation_later_chosen="Unselected",mgmt_vcf_management_network_chosen="Use VM management network"),IF(mgmt_dpg_reuse_result="Included",CONCATENATE(prefix_mgmt_az1_cidr,"10.24"),CONCATENATE(prefix_mgmt_az1_cidr,"11.24")),IF(flt_custom_network_chosen="Shared Management Network",IF(mgmt_dpg_reuse_result="Included",CONCATENATE(prefix_mgmt_az1_cidr,"10.24"),CONCATENATE(prefix_mgmt_az1_cidr,"11.24")),IF(flt_custom_network_chosen="NSX Overlay Segment",CONCATENATE(prefix_xreg_cidr,".24"),CONCATENATE(prefix_flt_shared_cidr,".24"))))</f>
        <v>10.11.10.24</v>
      </c>
      <c r="Q26" s="347"/>
      <c r="R26" s="241" t="str">
        <f>IF(ISBLANK(input_flt_auto_sr_ip),"Value Missing",input_flt_auto_sr_ip)</f>
        <v>Value Missing</v>
      </c>
      <c r="S26" s="8" t="s">
        <v>991</v>
      </c>
      <c r="T26" s="8" t="s">
        <v>992</v>
      </c>
    </row>
    <row r="27" spans="1:20" ht="18" x14ac:dyDescent="0.2">
      <c r="A27" s="2"/>
      <c r="B27" s="9" t="str">
        <f>CONCATENATE(prefix_wld_az1_rack_cidr,"36.0/24")</f>
        <v>10.13.36.0/24</v>
      </c>
      <c r="C27" s="347"/>
      <c r="P27" s="340" t="s">
        <v>993</v>
      </c>
      <c r="Q27" s="341"/>
      <c r="R27" s="341"/>
      <c r="S27" s="342"/>
    </row>
    <row r="28" spans="1:20" x14ac:dyDescent="0.2">
      <c r="A28" s="2"/>
      <c r="B28" s="9" t="str">
        <f>CONCATENATE(prefix_wld_az1_rack_cidr,"45.0/24")</f>
        <v>10.13.45.0/24</v>
      </c>
      <c r="C28" s="347"/>
      <c r="P28" s="33" t="str">
        <f>CONCATENATE(prefix_portable_component,"-lc01.",sample_parent_dns_zone)</f>
        <v>flt-lc01.rainpole.io</v>
      </c>
      <c r="Q28" s="347"/>
      <c r="R28" s="241" t="str">
        <f>IF(ISBLANK(input_flt_lc_fqdn),"Value Missing",input_flt_lc_fqdn)</f>
        <v>Value Missing</v>
      </c>
      <c r="S28" s="8" t="s">
        <v>987</v>
      </c>
    </row>
    <row r="29" spans="1:20" x14ac:dyDescent="0.2">
      <c r="A29" s="2"/>
      <c r="B29" s="9" t="str">
        <f>CONCATENATE(prefix_wld_az1_rack_cidr,"46.0/24")</f>
        <v>10.13.46.0/24</v>
      </c>
      <c r="C29" s="347"/>
      <c r="P29" s="33" t="str">
        <f>CONCATENATE(this_instance,"-sr01.",sample_child_dns_zone)</f>
        <v>sfo-sr01.sfo.rainpole.io</v>
      </c>
      <c r="Q29" s="347"/>
      <c r="R29" s="241" t="str">
        <f>IF(ISBLANK(input_flt_sr_fqdn),"Value Missing",input_flt_sr_fqdn)</f>
        <v>Value Missing</v>
      </c>
      <c r="S29" s="8" t="s">
        <v>988</v>
      </c>
    </row>
    <row r="30" spans="1:20" x14ac:dyDescent="0.2">
      <c r="A30" s="2"/>
      <c r="B30" s="9" t="str">
        <f>CONCATENATE(prefix_wld_az1_rack_cidr,"48.0/24")</f>
        <v>10.13.48.0/24</v>
      </c>
      <c r="C30" s="347"/>
      <c r="P30" s="33" t="str">
        <f>CONCATENATE(this_instance,"-ic01.",sample_child_dns_zone)</f>
        <v>sfo-ic01.sfo.rainpole.io</v>
      </c>
      <c r="Q30" s="347"/>
      <c r="R30" s="241" t="str">
        <f>IF(ISBLANK(input_flt_ic_fqdn),"Value Missing",input_flt_ic_fqdn)</f>
        <v>Value Missing</v>
      </c>
      <c r="S30" s="8" t="s">
        <v>989</v>
      </c>
    </row>
    <row r="31" spans="1:20" x14ac:dyDescent="0.2">
      <c r="A31" s="2"/>
      <c r="B31" s="9" t="str">
        <f>CONCATENATE(prefix_wld_az1_rack_cidr,"47.0/24")</f>
        <v>10.13.47.0/24</v>
      </c>
      <c r="C31" s="347"/>
      <c r="P31" s="33" t="str">
        <f>CONCATENATE(prefix_portable_component,"-fc01.",sample_parent_dns_zone)</f>
        <v>flt-fc01.rainpole.io</v>
      </c>
      <c r="Q31" s="347"/>
      <c r="R31" s="241" t="str">
        <f>IF(ISBLANK(input_flt_fc_fqdn),"Value Missing",input_flt_fc_fqdn)</f>
        <v>Value Missing</v>
      </c>
      <c r="S31" s="8" t="s">
        <v>990</v>
      </c>
    </row>
    <row r="32" spans="1:20" x14ac:dyDescent="0.2">
      <c r="A32" s="2"/>
      <c r="B32" s="9" t="str">
        <f>CONCATENATE(prefix_wld_az1_rack_cidr,"56.0/24")</f>
        <v>10.13.56.0/24</v>
      </c>
      <c r="C32" s="347"/>
      <c r="P32" s="33" t="s">
        <v>994</v>
      </c>
      <c r="Q32" s="347"/>
      <c r="R32" s="241" t="str">
        <f>IF(ISBLANK(input_flt_auto_sr_fqdn),"Value Missing",input_flt_auto_sr_fqdn)</f>
        <v>Value Missing</v>
      </c>
      <c r="S32" s="8" t="s">
        <v>991</v>
      </c>
    </row>
    <row r="33" spans="1:19" ht="18" x14ac:dyDescent="0.2">
      <c r="A33" s="2"/>
      <c r="B33" s="9" t="str">
        <f>CONCATENATE(prefix_wld_az1_rack_cidr,"57.0/24")</f>
        <v>10.13.57.0/24</v>
      </c>
      <c r="C33" s="347"/>
      <c r="P33" s="357" t="s">
        <v>995</v>
      </c>
      <c r="Q33" s="357"/>
      <c r="R33" s="357"/>
      <c r="S33" s="357"/>
    </row>
    <row r="34" spans="1:19" x14ac:dyDescent="0.2">
      <c r="A34" s="2"/>
      <c r="B34" s="9" t="str">
        <f>CONCATENATE(prefix_wld_az1_rack_cidr,"59.0/24")</f>
        <v>10.13.59.0/24</v>
      </c>
      <c r="C34" s="347"/>
      <c r="P34" s="33"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Q34" s="347"/>
      <c r="R34" s="241" t="str">
        <f>IF(ISBLANK(input_flt_auto_node_pool_start_ip),"Value Missing",input_flt_auto_node_pool_start_ip)</f>
        <v>Value Missing</v>
      </c>
      <c r="S34" s="4" t="s">
        <v>996</v>
      </c>
    </row>
    <row r="35" spans="1:19" x14ac:dyDescent="0.2">
      <c r="A35" s="2"/>
      <c r="B35" s="9" t="str">
        <f>CONCATENATE(prefix_wld_az1_rack_cidr,"58.0/24")</f>
        <v>10.13.58.0/24</v>
      </c>
      <c r="C35" s="347"/>
      <c r="P35" s="33"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35" s="347"/>
      <c r="R35" s="241" t="str">
        <f>IF(ISBLANK(input_flt_auto_node_pool_end_ip),"Value Missing",input_flt_auto_node_pool_end_ip)</f>
        <v>Value Missing</v>
      </c>
      <c r="S35" s="4" t="s">
        <v>997</v>
      </c>
    </row>
    <row r="36" spans="1:19" ht="18" x14ac:dyDescent="0.2">
      <c r="A36" s="2"/>
      <c r="B36" s="9" t="str">
        <f>CONCATENATE(prefix_wld_az1_rack_cidr,"67.0/24")</f>
        <v>10.13.67.0/24</v>
      </c>
      <c r="C36" s="347"/>
      <c r="P36" s="357" t="s">
        <v>995</v>
      </c>
      <c r="Q36" s="357"/>
      <c r="R36" s="357"/>
      <c r="S36" s="357"/>
    </row>
    <row r="37" spans="1:19" x14ac:dyDescent="0.2">
      <c r="A37" s="2"/>
      <c r="B37" s="9" t="str">
        <f>CONCATENATE(prefix_wld_az1_rack_cidr,"68.0/24")</f>
        <v>10.13.68.0/24</v>
      </c>
      <c r="C37" s="347"/>
      <c r="P37" s="33"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Q37" s="347"/>
      <c r="R37" s="241" t="str">
        <f>IF(ISBLANK(input_xreg_vra_node_pool_start_ip),"Value Missing",input_xreg_vra_node_pool_start_ip)</f>
        <v>Value Missing</v>
      </c>
      <c r="S37" s="4" t="s">
        <v>996</v>
      </c>
    </row>
    <row r="38" spans="1:19" x14ac:dyDescent="0.2">
      <c r="A38" s="2"/>
      <c r="B38" s="9" t="str">
        <f>CONCATENATE(prefix_wld_az1_rack_cidr,"70.0/24")</f>
        <v>10.13.70.0/24</v>
      </c>
      <c r="C38" s="347"/>
      <c r="P38" s="33"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38" s="347"/>
      <c r="R38" s="241" t="str">
        <f>IF(ISBLANK(input_xreg_vra_node_pool_end_ip),"Value Missing",input_xreg_vra_node_pool_end_ip)</f>
        <v>Value Missing</v>
      </c>
      <c r="S38" s="4" t="s">
        <v>997</v>
      </c>
    </row>
    <row r="39" spans="1:19" ht="18" x14ac:dyDescent="0.2">
      <c r="A39" s="2"/>
      <c r="B39" s="9" t="str">
        <f>CONCATENATE(prefix_wld_az1_rack_cidr,"69.0/24")</f>
        <v>10.13.69.0/24</v>
      </c>
      <c r="C39" s="347"/>
      <c r="P39" s="357" t="s">
        <v>998</v>
      </c>
      <c r="Q39" s="357"/>
      <c r="R39" s="357"/>
      <c r="S39" s="357"/>
    </row>
    <row r="40" spans="1:19" x14ac:dyDescent="0.2">
      <c r="A40" s="2"/>
      <c r="B40" s="9" t="str">
        <f>CONCATENATE(prefix_wld_az1_rack_cidr,"78.0/24")</f>
        <v>10.13.78.0/24</v>
      </c>
      <c r="C40" s="347"/>
      <c r="P40" s="33" t="str">
        <f>IF(mgmt_vcf_management_network_chosen="Use VM management network",IF(mgmt_dpg_reuse_result="Included",CONCATENATE(prefix_mgmt_az1_cidr,"10.31"),CONCATENATE(prefix_mgmt_az1_cidr,"11.31")),CONCATENATE(prefix_flt_shared_cidr,".31"))</f>
        <v>10.11.10.31</v>
      </c>
      <c r="Q40" s="347"/>
      <c r="R40" s="241" t="str">
        <f>IF(ISBLANK(input_flt_vcfms_node_pool_start_ip),"Value Missing",input_flt_vcfms_node_pool_start_ip)</f>
        <v>Value Missing</v>
      </c>
      <c r="S40" s="4" t="s">
        <v>996</v>
      </c>
    </row>
    <row r="41" spans="1:19" x14ac:dyDescent="0.2">
      <c r="A41" s="2"/>
      <c r="B41" s="9" t="str">
        <f>CONCATENATE(prefix_wld_az1_rack_cidr,"79.0/24")</f>
        <v>10.13.79.0/24</v>
      </c>
      <c r="C41" s="347"/>
      <c r="P41" s="33" t="str">
        <f>IF(mgmt_vcf_management_network_chosen="Use VM management network",IF(mgmt_dpg_reuse_result="Included",CONCATENATE(prefix_mgmt_az1_cidr,"10.45"),CONCATENATE(prefix_mgmt_az1_cidr,"11.45")),CONCATENATE(prefix_flt_shared_cidr,".45"))</f>
        <v>10.11.10.45</v>
      </c>
      <c r="Q41" s="347"/>
      <c r="R41" s="241" t="str">
        <f>IF(ISBLANK(input_flt_vcfms_node_pool_end_ip),"Value Missing",input_flt_vcfms_node_pool_end_ip)</f>
        <v>Value Missing</v>
      </c>
      <c r="S41" s="4" t="s">
        <v>997</v>
      </c>
    </row>
    <row r="42" spans="1:19" ht="18" x14ac:dyDescent="0.2">
      <c r="A42" s="2"/>
      <c r="B42" s="9" t="str">
        <f>CONCATENATE(prefix_wld_az1_rack_cidr,"81.0/24")</f>
        <v>10.13.81.0/24</v>
      </c>
      <c r="C42" s="347"/>
      <c r="P42" s="357" t="s">
        <v>999</v>
      </c>
      <c r="Q42" s="357"/>
      <c r="R42" s="357"/>
      <c r="S42" s="357"/>
    </row>
    <row r="43" spans="1:19" x14ac:dyDescent="0.2">
      <c r="A43" s="2"/>
      <c r="B43" s="9" t="str">
        <f>CONCATENATE(prefix_wld_az1_rack_cidr,"80.0/24")</f>
        <v>10.13.80.0/24</v>
      </c>
      <c r="C43" s="347"/>
      <c r="P43" s="33" t="str">
        <f>IF(wld_dpg_separation_result="Included",CONCATENATE(prefix_wld_az1_cidr,"10.137"),CONCATENATE(prefix_wld_az1_cidr,"11.137"))</f>
        <v>10.13.10.137</v>
      </c>
      <c r="Q43" s="347"/>
      <c r="R43" s="241" t="str">
        <f>IF(ISBLANK(input_wld_vnaa_ip),"Value Missing",input_wld_vnaa_ip)</f>
        <v>Value Missing</v>
      </c>
      <c r="S43" s="32"/>
    </row>
    <row r="44" spans="1:19" x14ac:dyDescent="0.2">
      <c r="A44" s="2"/>
      <c r="B44" s="9" t="str">
        <f>CONCATENATE(prefix_wld_az1_rack_cidr,"89.0/24")</f>
        <v>10.13.89.0/24</v>
      </c>
      <c r="C44" s="347"/>
      <c r="P44" s="33" t="str">
        <f>IF(wld_dpg_separation_result="Included",CONCATENATE(prefix_wld_az1_cidr,"10.138"),CONCATENATE(prefix_wld_az1_cidr,"11.138"))</f>
        <v>10.13.10.138</v>
      </c>
      <c r="Q44" s="347"/>
      <c r="R44" s="241" t="str">
        <f>IF(ISBLANK(input_wld_vnab_ip),"Value Missing",input_wld_vnab_ip)</f>
        <v>Value Missing</v>
      </c>
      <c r="S44" s="32"/>
    </row>
    <row r="45" spans="1:19" x14ac:dyDescent="0.2">
      <c r="A45" s="2"/>
      <c r="B45" s="9" t="str">
        <f>CONCATENATE(prefix_wld_az1_rack_cidr,"90.0/24")</f>
        <v>10.13.90.0/24</v>
      </c>
      <c r="C45" s="347"/>
      <c r="P45" s="33" t="str">
        <f>CONCATENATE(this_instance,"-w0",wld_domain_number_chosen,"-vna01a",".",sample_child_dns_zone)</f>
        <v>sfo-w01-vna01a.sfo.rainpole.io</v>
      </c>
      <c r="Q45" s="347"/>
      <c r="R45" s="241" t="str">
        <f>IF(ISBLANK(input_wld_vnaa_fqdn),"Value Missing",input_wld_vnaa_fqdn)</f>
        <v>Value Missing</v>
      </c>
      <c r="S45" s="32"/>
    </row>
    <row r="46" spans="1:19" x14ac:dyDescent="0.2">
      <c r="A46" s="2"/>
      <c r="B46" s="9" t="str">
        <f>CONCATENATE(prefix_wld_az1_rack_cidr,"92.0/24")</f>
        <v>10.13.92.0/24</v>
      </c>
      <c r="C46" s="347"/>
      <c r="P46" s="33" t="str">
        <f>CONCATENATE(this_instance,"-w0",wld_domain_number_chosen,"-vna01b",".",sample_child_dns_zone)</f>
        <v>sfo-w01-vna01b.sfo.rainpole.io</v>
      </c>
      <c r="Q46" s="347"/>
      <c r="R46" s="241" t="str">
        <f>IF(ISBLANK(input_wld_vnab_fqdn),"Value Missing",input_wld_vnab_fqdn)</f>
        <v>Value Missing</v>
      </c>
      <c r="S46" s="32"/>
    </row>
    <row r="47" spans="1:19" x14ac:dyDescent="0.2">
      <c r="A47" s="2"/>
      <c r="B47" s="9" t="str">
        <f>CONCATENATE(prefix_wld_az1_rack_cidr,"91.0/24")</f>
        <v>10.13.91.0/24</v>
      </c>
      <c r="C47" s="347"/>
      <c r="P47" s="289" t="str">
        <f>IF(mgmt_dpg_reuse_result="Excluded",CONCATENATE(prefix_mgmt_az1_cidr,"11.77"),CONCATENATE(prefix_mgmt_az1_cidr,"10.77"))</f>
        <v>10.11.10.77</v>
      </c>
      <c r="Q47" s="284"/>
      <c r="R47" s="400" t="str">
        <f>IF(ISBLANK(input_mgmt_vnaa_ip),"Value Missing",input_mgmt_vnaa_ip)</f>
        <v>Value Missing</v>
      </c>
      <c r="S47" s="401"/>
    </row>
    <row r="48" spans="1:19" x14ac:dyDescent="0.2">
      <c r="A48" s="2"/>
      <c r="B48" s="2"/>
      <c r="C48" s="2"/>
      <c r="P48" s="402" t="str">
        <f>IF(mgmt_dpg_reuse_result="Excluded",CONCATENATE(prefix_mgmt_az1_cidr,"11.78"),CONCATENATE(prefix_mgmt_az1_cidr,"10.78"))</f>
        <v>10.11.10.78</v>
      </c>
      <c r="Q48" s="284"/>
      <c r="R48" s="403" t="str">
        <f>IF(ISBLANK(input_mgmt_vnab_ip),"Value Missing",input_mgmt_vnab_ip)</f>
        <v>Value Missing</v>
      </c>
      <c r="S48" s="160"/>
    </row>
    <row r="49" spans="1:21" x14ac:dyDescent="0.2">
      <c r="A49" s="2"/>
      <c r="B49" s="2" t="s">
        <v>1000</v>
      </c>
      <c r="C49" s="2" t="str">
        <f>IF(ISBLANK(input_mgmt_existing_active_nsx_gm),"Value Missing",input_mgmt_existing_active_nsx_gm)</f>
        <v>Value Missing</v>
      </c>
      <c r="P49" s="402" t="str">
        <f>CONCATENATE(this_instance,"-m01-vna01a.",sample_child_dns_zone)</f>
        <v>sfo-m01-vna01a.sfo.rainpole.io</v>
      </c>
      <c r="Q49" s="284"/>
      <c r="R49" s="403" t="str">
        <f>IF(ISBLANK(input_mgmt_vnaa_fqdn),"Value Missing",input_mgmt_vnaa_fqdn)</f>
        <v>Value Missing</v>
      </c>
      <c r="S49" s="160"/>
    </row>
    <row r="50" spans="1:21" x14ac:dyDescent="0.2">
      <c r="A50" s="2"/>
      <c r="B50" s="2" t="s">
        <v>1001</v>
      </c>
      <c r="C50" s="2" t="str">
        <f>IF(ISBLANK(input_mgmt_existing_cross_instance_t0_name),"Value Missing",input_mgmt_existing_cross_instance_t0_name)</f>
        <v>Value Missing</v>
      </c>
      <c r="P50" s="402" t="str">
        <f>CONCATENATE(this_instance,"-m01-vna01b.",sample_child_dns_zone)</f>
        <v>sfo-m01-vna01b.sfo.rainpole.io</v>
      </c>
      <c r="Q50" s="284"/>
      <c r="R50" s="403" t="str">
        <f>IF(ISBLANK(input_mgmt_vnab_fqdn),"Value Missing",input_mgmt_vnab_fqdn)</f>
        <v>Value Missing</v>
      </c>
      <c r="S50" s="160"/>
    </row>
    <row r="55" spans="1:21" x14ac:dyDescent="0.2">
      <c r="B55" s="8" t="s">
        <v>1002</v>
      </c>
      <c r="C55" s="8" t="s">
        <v>1003</v>
      </c>
      <c r="E55" s="8" t="s">
        <v>1004</v>
      </c>
      <c r="F55" s="8" t="s">
        <v>1003</v>
      </c>
      <c r="H55" s="324" t="s">
        <v>1005</v>
      </c>
      <c r="I55" s="8" t="s">
        <v>1003</v>
      </c>
      <c r="K55" s="324" t="s">
        <v>1006</v>
      </c>
      <c r="L55" s="8" t="s">
        <v>1003</v>
      </c>
      <c r="N55" s="324" t="s">
        <v>1007</v>
      </c>
      <c r="O55" s="8" t="s">
        <v>1003</v>
      </c>
      <c r="Q55" s="324" t="s">
        <v>1008</v>
      </c>
      <c r="R55" s="8" t="s">
        <v>1003</v>
      </c>
      <c r="T55" s="324" t="s">
        <v>1009</v>
      </c>
      <c r="U55" s="8" t="s">
        <v>1003</v>
      </c>
    </row>
    <row r="56" spans="1:21" x14ac:dyDescent="0.2">
      <c r="A56" s="8" t="s">
        <v>1010</v>
      </c>
      <c r="B56" s="8" t="str">
        <f>IF(cluster_wld_domain_chosen="VI Workload Domain",(CONCATENATE(prefix_wld_az1_vlan,"28")),(CONCATENATE(prefix_mgmt_az1_vlan,"28")))</f>
        <v>1328</v>
      </c>
      <c r="E56" s="8" t="str">
        <f>IF(cluster_wld_domain_chosen="VI Workload Domain",(CONCATENATE(prefix_wld_az1_vlan,"39")),(CONCATENATE(prefix_mgmt_az1_vlan,"39")))</f>
        <v>1339</v>
      </c>
      <c r="H56" s="8" t="str">
        <f>IF(cluster_wld_domain_chosen="VI Workload Domain",(CONCATENATE(prefix_wld_az1_vlan,"50")),(CONCATENATE(prefix_mgmt_az1_vlan,"50")))</f>
        <v>1350</v>
      </c>
      <c r="K56" s="8" t="str">
        <f>IF(cluster_wld_domain_chosen="VI Workload Domain",(CONCATENATE(prefix_wld_az1_vlan,"61")),(CONCATENATE(prefix_mgmt_az1_vlan,"61")))</f>
        <v>1361</v>
      </c>
      <c r="N56" s="8" t="str">
        <f>IF(cluster_wld_domain_chosen="VI Workload Domain",(CONCATENATE(prefix_wld_az1_vlan,"72")),(CONCATENATE(prefix_mgmt_az1_vlan,"72")))</f>
        <v>1372</v>
      </c>
      <c r="Q56" s="8" t="str">
        <f>IF(cluster_wld_domain_chosen="VI Workload Domain",(CONCATENATE(prefix_wld_az1_vlan,"83")),(CONCATENATE(prefix_mgmt_az1_vlan,"83")))</f>
        <v>1383</v>
      </c>
      <c r="T56" s="8" t="str">
        <f>IF(cluster_wld_domain_chosen="VI Workload Domain",(CONCATENATE(prefix_wld_az1_vlan,"94")),(CONCATENATE(prefix_mgmt_az1_vlan,"94")))</f>
        <v>1394</v>
      </c>
    </row>
    <row r="57" spans="1:21" x14ac:dyDescent="0.2">
      <c r="A57" s="8" t="s">
        <v>1011</v>
      </c>
      <c r="B57" s="8" t="str">
        <f>IF(cluster_wld_domain_chosen="VI Workload Domain",(CONCATENATE(prefix_wld_az1_vlan,"29")),(CONCATENATE(prefix_mgmt_az1_vlan,"29")))</f>
        <v>1329</v>
      </c>
      <c r="E57" s="8" t="str">
        <f>IF(cluster_wld_domain_chosen="VI Workload Domain",(CONCATENATE(prefix_wld_az1_vlan,"40")),(CONCATENATE(prefix_mgmt_az1_vlan,"40")))</f>
        <v>1340</v>
      </c>
      <c r="H57" s="8" t="str">
        <f>IF(cluster_wld_domain_chosen="VI Workload Domain",(CONCATENATE(prefix_wld_az1_vlan,"51")),(CONCATENATE(prefix_mgmt_az1_vlan,"51")))</f>
        <v>1351</v>
      </c>
      <c r="K57" s="8" t="str">
        <f>IF(cluster_wld_domain_chosen="VI Workload Domain",(CONCATENATE(prefix_wld_az1_vlan,"62")),(CONCATENATE(prefix_mgmt_az1_vlan,"62")))</f>
        <v>1362</v>
      </c>
      <c r="N57" s="8" t="str">
        <f>IF(cluster_wld_domain_chosen="VI Workload Domain",(CONCATENATE(prefix_wld_az1_vlan,"73")),(CONCATENATE(prefix_mgmt_az1_vlan,"73")))</f>
        <v>1373</v>
      </c>
      <c r="Q57" s="8" t="str">
        <f>IF(cluster_wld_domain_chosen="VI Workload Domain",(CONCATENATE(prefix_wld_az1_vlan,"84")),(CONCATENATE(prefix_mgmt_az1_vlan,"84")))</f>
        <v>1384</v>
      </c>
      <c r="T57" s="8" t="str">
        <f>IF(cluster_wld_domain_chosen="VI Workload Domain",(CONCATENATE(prefix_wld_az1_vlan,"95")),(CONCATENATE(prefix_mgmt_az1_vlan,"95")))</f>
        <v>1395</v>
      </c>
    </row>
    <row r="58" spans="1:21" x14ac:dyDescent="0.2">
      <c r="A58" s="8" t="s">
        <v>1012</v>
      </c>
      <c r="B58" s="8" t="str">
        <f>IF(cluster_wld_domain_chosen="VI Workload Domain",(CONCATENATE(prefix_wld_az1_vlan,"30")),(CONCATENATE(prefix_mgmt_az1_vlan,"30")))</f>
        <v>1330</v>
      </c>
      <c r="E58" s="8" t="str">
        <f>IF(cluster_wld_domain_chosen="VI Workload Domain",(CONCATENATE(prefix_wld_az1_vlan,"41")),(CONCATENATE(prefix_mgmt_az1_vlan,"41")))</f>
        <v>1341</v>
      </c>
      <c r="H58" s="8" t="str">
        <f>IF(cluster_wld_domain_chosen="VI Workload Domain",(CONCATENATE(prefix_wld_az1_vlan,"52")),(CONCATENATE(prefix_mgmt_az1_vlan,"52")))</f>
        <v>1352</v>
      </c>
      <c r="K58" s="8" t="str">
        <f>IF(cluster_wld_domain_chosen="VI Workload Domain",(CONCATENATE(prefix_wld_az1_vlan,"63")),(CONCATENATE(prefix_mgmt_az1_vlan,"63")))</f>
        <v>1363</v>
      </c>
      <c r="N58" s="8" t="str">
        <f>IF(cluster_wld_domain_chosen="VI Workload Domain",(CONCATENATE(prefix_wld_az1_vlan,"74")),(CONCATENATE(prefix_mgmt_az1_vlan,"74")))</f>
        <v>1374</v>
      </c>
      <c r="Q58" s="8" t="str">
        <f>IF(cluster_wld_domain_chosen="VI Workload Domain",(CONCATENATE(prefix_wld_az1_vlan,"85")),(CONCATENATE(prefix_mgmt_az1_vlan,"85")))</f>
        <v>1385</v>
      </c>
      <c r="T58" s="8" t="str">
        <f>IF(cluster_wld_domain_chosen="VI Workload Domain",(CONCATENATE(prefix_wld_az1_vlan,"96")),(CONCATENATE(prefix_mgmt_az1_vlan,"96")))</f>
        <v>1396</v>
      </c>
    </row>
    <row r="59" spans="1:21" x14ac:dyDescent="0.2">
      <c r="A59" s="8" t="s">
        <v>1013</v>
      </c>
      <c r="B59" s="8" t="str">
        <f>IF(cluster_wld_domain_chosen="VI Workload Domain",CONCATENATE(prefix_wld_az1_cidr,"28.0"),CONCATENATE(prefix_mgmt_az1_cidr,"28.0"))</f>
        <v>10.13.28.0</v>
      </c>
      <c r="E59" s="8" t="str">
        <f>IF(cluster_wld_domain_chosen="VI Workload Domain",CONCATENATE(prefix_wld_az1_cidr,"39.0"),CONCATENATE(prefix_mgmt_az1_cidr,"39.0"))</f>
        <v>10.13.39.0</v>
      </c>
      <c r="H59" s="8" t="str">
        <f>IF(cluster_wld_domain_chosen="VI Workload Domain",CONCATENATE(prefix_wld_az1_cidr,"50.0"),CONCATENATE(prefix_mgmt_az1_cidr,"50.0"))</f>
        <v>10.13.50.0</v>
      </c>
      <c r="K59" s="8" t="str">
        <f>IF(cluster_wld_domain_chosen="VI Workload Domain",CONCATENATE(prefix_wld_az1_cidr,"61.0"),CONCATENATE(prefix_mgmt_az1_cidr,"61.0"))</f>
        <v>10.13.61.0</v>
      </c>
      <c r="N59" s="8" t="str">
        <f>IF(cluster_wld_domain_chosen="VI Workload Domain",CONCATENATE(prefix_wld_az1_cidr,"72.0"),CONCATENATE(prefix_mgmt_az1_cidr,"72.0"))</f>
        <v>10.13.72.0</v>
      </c>
      <c r="Q59" s="8" t="str">
        <f>IF(cluster_wld_domain_chosen="VI Workload Domain",CONCATENATE(prefix_wld_az1_cidr,"83.0"),CONCATENATE(prefix_mgmt_az1_cidr,"83.0"))</f>
        <v>10.13.83.0</v>
      </c>
      <c r="T59" s="8" t="str">
        <f>IF(cluster_wld_domain_chosen="VI Workload Domain",CONCATENATE(prefix_wld_az1_cidr,"94.0"),CONCATENATE(prefix_mgmt_az1_cidr,"94.0"))</f>
        <v>10.13.94.0</v>
      </c>
    </row>
    <row r="60" spans="1:21" x14ac:dyDescent="0.2">
      <c r="A60" s="8" t="s">
        <v>1014</v>
      </c>
      <c r="B60" s="8" t="str">
        <f>IF(cluster_wld_domain_chosen="VI Workload Domain",CONCATENATE(prefix_wld_az1_cidr,"29.0"),CONCATENATE(prefix_mgmt_az1_cidr,"29.0"))</f>
        <v>10.13.29.0</v>
      </c>
      <c r="E60" s="8" t="str">
        <f>IF(cluster_wld_domain_chosen="VI Workload Domain",CONCATENATE(prefix_wld_az1_cidr,"40.0"),CONCATENATE(prefix_mgmt_az1_cidr,"40.0"))</f>
        <v>10.13.40.0</v>
      </c>
      <c r="H60" s="8" t="str">
        <f>IF(cluster_wld_domain_chosen="VI Workload Domain",CONCATENATE(prefix_wld_az1_cidr,"51.0"),CONCATENATE(prefix_mgmt_az1_cidr,"51.0"))</f>
        <v>10.13.51.0</v>
      </c>
      <c r="K60" s="8" t="str">
        <f>IF(cluster_wld_domain_chosen="VI Workload Domain",CONCATENATE(prefix_wld_az1_cidr,"62.0"),CONCATENATE(prefix_mgmt_az1_cidr,"62.0"))</f>
        <v>10.13.62.0</v>
      </c>
      <c r="N60" s="8" t="str">
        <f>IF(cluster_wld_domain_chosen="VI Workload Domain",CONCATENATE(prefix_wld_az1_cidr,"73.0"),CONCATENATE(prefix_mgmt_az1_cidr,"73.0"))</f>
        <v>10.13.73.0</v>
      </c>
      <c r="Q60" s="8" t="str">
        <f>IF(cluster_wld_domain_chosen="VI Workload Domain",CONCATENATE(prefix_wld_az1_cidr,"84.0"),CONCATENATE(prefix_mgmt_az1_cidr,"84.0"))</f>
        <v>10.13.84.0</v>
      </c>
      <c r="T60" s="8" t="str">
        <f>IF(cluster_wld_domain_chosen="VI Workload Domain",CONCATENATE(prefix_wld_az1_cidr,"95.0"),CONCATENATE(prefix_mgmt_az1_cidr,"95.0"))</f>
        <v>10.13.95.0</v>
      </c>
    </row>
    <row r="61" spans="1:21" x14ac:dyDescent="0.2">
      <c r="A61" s="8" t="s">
        <v>1015</v>
      </c>
      <c r="B61" s="8" t="str">
        <f>IF(cluster_wld_domain_chosen="VI Workload Domain",CONCATENATE(prefix_wld_az1_cidr,"30.0"),CONCATENATE(prefix_mgmt_az1_cidr,"30.0"))</f>
        <v>10.13.30.0</v>
      </c>
      <c r="E61" s="8" t="str">
        <f>IF(cluster_wld_domain_chosen="VI Workload Domain",CONCATENATE(prefix_wld_az1_cidr,"41.0"),CONCATENATE(prefix_mgmt_az1_cidr,"41.0"))</f>
        <v>10.13.41.0</v>
      </c>
      <c r="H61" s="8" t="str">
        <f>IF(cluster_wld_domain_chosen="VI Workload Domain",CONCATENATE(prefix_wld_az1_cidr,"52.0"),CONCATENATE(prefix_mgmt_az1_cidr,"52.0"))</f>
        <v>10.13.52.0</v>
      </c>
      <c r="K61" s="8" t="str">
        <f>IF(cluster_wld_domain_chosen="VI Workload Domain",CONCATENATE(prefix_wld_az1_cidr,"63.0"),CONCATENATE(prefix_mgmt_az1_cidr,"63.0"))</f>
        <v>10.13.63.0</v>
      </c>
      <c r="N61" s="8" t="str">
        <f>IF(cluster_wld_domain_chosen="VI Workload Domain",CONCATENATE(prefix_wld_az1_cidr,"74.0"),CONCATENATE(prefix_mgmt_az1_cidr,"74.0"))</f>
        <v>10.13.74.0</v>
      </c>
      <c r="Q61" s="8" t="str">
        <f>IF(cluster_wld_domain_chosen="VI Workload Domain",CONCATENATE(prefix_wld_az1_cidr,"85.0"),CONCATENATE(prefix_mgmt_az1_cidr,"85.0"))</f>
        <v>10.13.85.0</v>
      </c>
      <c r="T61" s="8" t="str">
        <f>IF(cluster_wld_domain_chosen="VI Workload Domain",CONCATENATE(prefix_wld_az1_cidr,"96.0"),CONCATENATE(prefix_mgmt_az1_cidr,"96.0"))</f>
        <v>10.13.96.0</v>
      </c>
    </row>
    <row r="62" spans="1:21" x14ac:dyDescent="0.2">
      <c r="A62" s="8" t="s">
        <v>1016</v>
      </c>
      <c r="B62" s="8" t="str">
        <f>IF(cluster_wld_domain_chosen="VI Workload Domain",CONCATENATE(prefix_wld_az1_cidr,"28.1"),CONCATENATE(prefix_mgmt_az1_cidr,"28.1"))</f>
        <v>10.13.28.1</v>
      </c>
      <c r="E62" s="8" t="str">
        <f>IF(cluster_wld_domain_chosen="VI Workload Domain",CONCATENATE(prefix_wld_az1_cidr,"39.1"),CONCATENATE(prefix_mgmt_az1_cidr,"39.1"))</f>
        <v>10.13.39.1</v>
      </c>
      <c r="H62" s="8" t="str">
        <f>IF(cluster_wld_domain_chosen="VI Workload Domain",CONCATENATE(prefix_wld_az1_cidr,"50.1"),CONCATENATE(prefix_mgmt_az1_cidr,"50.1"))</f>
        <v>10.13.50.1</v>
      </c>
      <c r="K62" s="8" t="str">
        <f>IF(cluster_wld_domain_chosen="VI Workload Domain",CONCATENATE(prefix_wld_az1_cidr,"61.1"),CONCATENATE(prefix_mgmt_az1_cidr,"61.1"))</f>
        <v>10.13.61.1</v>
      </c>
      <c r="N62" s="8" t="str">
        <f>IF(cluster_wld_domain_chosen="VI Workload Domain",CONCATENATE(prefix_wld_az1_cidr,"72.1"),CONCATENATE(prefix_mgmt_az1_cidr,"72.1"))</f>
        <v>10.13.72.1</v>
      </c>
      <c r="Q62" s="8" t="str">
        <f>IF(cluster_wld_domain_chosen="VI Workload Domain",CONCATENATE(prefix_wld_az1_cidr,"83.1"),CONCATENATE(prefix_mgmt_az1_cidr,"83.1"))</f>
        <v>10.13.83.1</v>
      </c>
      <c r="T62" s="8" t="str">
        <f>IF(cluster_wld_domain_chosen="VI Workload Domain",CONCATENATE(prefix_wld_az1_cidr,"94.1"),CONCATENATE(prefix_mgmt_az1_cidr,"94.1"))</f>
        <v>10.13.94.1</v>
      </c>
    </row>
    <row r="63" spans="1:21" x14ac:dyDescent="0.2">
      <c r="A63" s="8" t="s">
        <v>1017</v>
      </c>
      <c r="B63" s="8" t="str">
        <f>IF(cluster_wld_domain_chosen="VI Workload Domain",CONCATENATE(prefix_wld_az1_cidr,"29.1"),CONCATENATE(prefix_mgmt_az1_cidr,"29.1"))</f>
        <v>10.13.29.1</v>
      </c>
      <c r="E63" s="8" t="str">
        <f>IF(cluster_wld_domain_chosen="VI Workload Domain",CONCATENATE(prefix_wld_az1_cidr,"40.1"),CONCATENATE(prefix_mgmt_az1_cidr,"40.1"))</f>
        <v>10.13.40.1</v>
      </c>
      <c r="H63" s="8" t="str">
        <f>IF(cluster_wld_domain_chosen="VI Workload Domain",CONCATENATE(prefix_wld_az1_cidr,"51.1"),CONCATENATE(prefix_mgmt_az1_cidr,"51.1"))</f>
        <v>10.13.51.1</v>
      </c>
      <c r="K63" s="8" t="str">
        <f>IF(cluster_wld_domain_chosen="VI Workload Domain",CONCATENATE(prefix_wld_az1_cidr,"62.1"),CONCATENATE(prefix_mgmt_az1_cidr,"62.1"))</f>
        <v>10.13.62.1</v>
      </c>
      <c r="N63" s="8" t="str">
        <f>IF(cluster_wld_domain_chosen="VI Workload Domain",CONCATENATE(prefix_wld_az1_cidr,"73.1"),CONCATENATE(prefix_mgmt_az1_cidr,"73.1"))</f>
        <v>10.13.73.1</v>
      </c>
      <c r="Q63" s="8" t="str">
        <f>IF(cluster_wld_domain_chosen="VI Workload Domain",CONCATENATE(prefix_wld_az1_cidr,"84.1"),CONCATENATE(prefix_mgmt_az1_cidr,"84.1"))</f>
        <v>10.13.84.1</v>
      </c>
      <c r="T63" s="8" t="str">
        <f>IF(cluster_wld_domain_chosen="VI Workload Domain",CONCATENATE(prefix_wld_az1_cidr,"95.1"),CONCATENATE(prefix_mgmt_az1_cidr,"95.1"))</f>
        <v>10.13.95.1</v>
      </c>
    </row>
    <row r="64" spans="1:21" x14ac:dyDescent="0.2">
      <c r="A64" s="8" t="s">
        <v>1018</v>
      </c>
      <c r="B64" s="8" t="str">
        <f>IF(cluster_wld_domain_chosen="VI Workload Domain",CONCATENATE(prefix_wld_az1_cidr,"30.1"),CONCATENATE(prefix_mgmt_az1_cidr,"30.1"))</f>
        <v>10.13.30.1</v>
      </c>
      <c r="E64" s="8" t="str">
        <f>IF(cluster_wld_domain_chosen="VI Workload Domain",CONCATENATE(prefix_wld_az1_cidr,"41.1"),CONCATENATE(prefix_mgmt_az1_cidr,"41.1"))</f>
        <v>10.13.41.1</v>
      </c>
      <c r="H64" s="8" t="str">
        <f>IF(cluster_wld_domain_chosen="VI Workload Domain",CONCATENATE(prefix_wld_az1_cidr,"52.1"),CONCATENATE(prefix_mgmt_az1_cidr,"52.1"))</f>
        <v>10.13.52.1</v>
      </c>
      <c r="K64" s="8" t="str">
        <f>IF(cluster_wld_domain_chosen="VI Workload Domain",CONCATENATE(prefix_wld_az1_cidr,"63.1"),CONCATENATE(prefix_mgmt_az1_cidr,"63.1"))</f>
        <v>10.13.63.1</v>
      </c>
      <c r="N64" s="8" t="str">
        <f>IF(cluster_wld_domain_chosen="VI Workload Domain",CONCATENATE(prefix_wld_az1_cidr,"74.1"),CONCATENATE(prefix_mgmt_az1_cidr,"74.1"))</f>
        <v>10.13.74.1</v>
      </c>
      <c r="Q64" s="8" t="str">
        <f>IF(cluster_wld_domain_chosen="VI Workload Domain",CONCATENATE(prefix_wld_az1_cidr,"85.1"),CONCATENATE(prefix_mgmt_az1_cidr,"85.1"))</f>
        <v>10.13.85.1</v>
      </c>
      <c r="T64" s="8" t="str">
        <f>IF(cluster_wld_domain_chosen="VI Workload Domain",CONCATENATE(prefix_wld_az1_cidr,"96.1"),CONCATENATE(prefix_mgmt_az1_cidr,"96.1"))</f>
        <v>10.13.96.1</v>
      </c>
    </row>
    <row r="65" spans="1:20" x14ac:dyDescent="0.2">
      <c r="A65" s="8" t="s">
        <v>1019</v>
      </c>
      <c r="B65" s="8" t="s">
        <v>128</v>
      </c>
      <c r="E65" s="8" t="s">
        <v>128</v>
      </c>
      <c r="H65" s="8" t="s">
        <v>128</v>
      </c>
      <c r="K65" s="8" t="s">
        <v>128</v>
      </c>
      <c r="N65" s="8" t="s">
        <v>128</v>
      </c>
      <c r="Q65" s="8" t="s">
        <v>128</v>
      </c>
      <c r="T65" s="8" t="s">
        <v>128</v>
      </c>
    </row>
    <row r="66" spans="1:20" x14ac:dyDescent="0.2">
      <c r="A66" s="8" t="s">
        <v>1020</v>
      </c>
      <c r="B66" s="8" t="s">
        <v>128</v>
      </c>
      <c r="E66" s="8" t="s">
        <v>128</v>
      </c>
      <c r="H66" s="8" t="s">
        <v>128</v>
      </c>
      <c r="K66" s="8" t="s">
        <v>128</v>
      </c>
      <c r="N66" s="8" t="s">
        <v>128</v>
      </c>
      <c r="Q66" s="8" t="s">
        <v>128</v>
      </c>
      <c r="T66" s="8" t="s">
        <v>128</v>
      </c>
    </row>
    <row r="67" spans="1:20" x14ac:dyDescent="0.2">
      <c r="A67" s="8" t="s">
        <v>1021</v>
      </c>
      <c r="B67" s="8" t="s">
        <v>128</v>
      </c>
      <c r="E67" s="8" t="s">
        <v>128</v>
      </c>
      <c r="H67" s="8" t="s">
        <v>128</v>
      </c>
      <c r="K67" s="8" t="s">
        <v>128</v>
      </c>
      <c r="N67" s="8" t="s">
        <v>128</v>
      </c>
      <c r="Q67" s="8" t="s">
        <v>128</v>
      </c>
      <c r="T67" s="8" t="s">
        <v>128</v>
      </c>
    </row>
    <row r="68" spans="1:20" x14ac:dyDescent="0.2">
      <c r="A68" s="8" t="s">
        <v>1022</v>
      </c>
      <c r="B68" s="325">
        <v>9000</v>
      </c>
      <c r="C68" s="325"/>
      <c r="D68" s="325"/>
      <c r="E68" s="325">
        <v>9000</v>
      </c>
      <c r="F68" s="325"/>
      <c r="G68" s="325"/>
      <c r="H68" s="325">
        <v>9000</v>
      </c>
      <c r="I68" s="325"/>
      <c r="J68" s="325"/>
      <c r="K68" s="325">
        <v>9000</v>
      </c>
      <c r="L68" s="325"/>
      <c r="M68" s="325"/>
      <c r="N68" s="325">
        <v>9000</v>
      </c>
      <c r="O68" s="325"/>
      <c r="Q68" s="325">
        <v>9000</v>
      </c>
      <c r="R68" s="325"/>
      <c r="T68" s="325">
        <v>9000</v>
      </c>
    </row>
    <row r="69" spans="1:20" x14ac:dyDescent="0.2">
      <c r="A69" s="8" t="s">
        <v>1023</v>
      </c>
      <c r="B69" s="325">
        <v>9000</v>
      </c>
      <c r="C69" s="325"/>
      <c r="D69" s="325"/>
      <c r="E69" s="325">
        <v>9000</v>
      </c>
      <c r="F69" s="325"/>
      <c r="G69" s="325"/>
      <c r="H69" s="325">
        <v>9000</v>
      </c>
      <c r="I69" s="325"/>
      <c r="J69" s="325"/>
      <c r="K69" s="325">
        <v>9000</v>
      </c>
      <c r="L69" s="325"/>
      <c r="M69" s="325"/>
      <c r="N69" s="325">
        <v>9000</v>
      </c>
      <c r="O69" s="325"/>
      <c r="Q69" s="325">
        <v>9000</v>
      </c>
      <c r="R69" s="325"/>
      <c r="T69" s="325">
        <v>9000</v>
      </c>
    </row>
    <row r="70" spans="1:20" x14ac:dyDescent="0.2">
      <c r="A70" s="8" t="s">
        <v>1024</v>
      </c>
      <c r="B70" s="325">
        <v>9000</v>
      </c>
      <c r="C70" s="325"/>
      <c r="D70" s="325"/>
      <c r="E70" s="325">
        <v>9000</v>
      </c>
      <c r="F70" s="325"/>
      <c r="G70" s="325"/>
      <c r="H70" s="325">
        <v>9000</v>
      </c>
      <c r="I70" s="325"/>
      <c r="J70" s="325"/>
      <c r="K70" s="325">
        <v>9000</v>
      </c>
      <c r="L70" s="325"/>
      <c r="M70" s="325"/>
      <c r="N70" s="325">
        <v>9000</v>
      </c>
      <c r="O70" s="325"/>
      <c r="Q70" s="325">
        <v>9000</v>
      </c>
      <c r="R70" s="325"/>
      <c r="T70" s="325">
        <v>9000</v>
      </c>
    </row>
    <row r="71" spans="1:20" ht="17" x14ac:dyDescent="0.2">
      <c r="A71" s="28" t="s">
        <v>122</v>
      </c>
      <c r="B71" s="8" t="str">
        <f>IF(cluster_wld_domain_chosen="VI Workload Domain",CONCATENATE(prefix_wld_az1_cidr,"30.2"),CONCATENATE(prefix_mgmt_az1_cidr,"30.2"))</f>
        <v>10.13.30.2</v>
      </c>
      <c r="E71" s="8" t="str">
        <f>IF(cluster_wld_domain_chosen="VI Workload Domain",CONCATENATE(prefix_wld_az1_cidr,"41.2"),CONCATENATE(prefix_mgmt_az1_cidr,"41.2"))</f>
        <v>10.13.41.2</v>
      </c>
      <c r="H71" s="8" t="str">
        <f>IF(cluster_wld_domain_chosen="VI Workload Domain",CONCATENATE(prefix_wld_az1_cidr,"52.2"),CONCATENATE(prefix_mgmt_az1_cidr,"52.2"))</f>
        <v>10.13.52.2</v>
      </c>
      <c r="K71" s="8" t="str">
        <f>IF(cluster_wld_domain_chosen="VI Workload Domain",CONCATENATE(prefix_wld_az1_cidr,"63.2"),CONCATENATE(prefix_mgmt_az1_cidr,"63.2"))</f>
        <v>10.13.63.2</v>
      </c>
      <c r="N71" s="8" t="str">
        <f>IF(cluster_wld_domain_chosen="VI Workload Domain",CONCATENATE(prefix_wld_az1_cidr,"74.2"),CONCATENATE(prefix_mgmt_az1_cidr,"74.2"))</f>
        <v>10.13.74.2</v>
      </c>
      <c r="P71" s="325"/>
      <c r="Q71" s="8" t="str">
        <f>IF(cluster_wld_domain_chosen="VI Workload Domain",CONCATENATE(prefix_wld_az1_cidr,"85.2"),CONCATENATE(prefix_mgmt_az1_cidr,"85.2"))</f>
        <v>10.13.85.2</v>
      </c>
      <c r="S71" s="325"/>
      <c r="T71" s="8" t="str">
        <f>IF(cluster_wld_domain_chosen="VI Workload Domain",CONCATENATE(prefix_wld_az1_cidr,"96.2"),CONCATENATE(prefix_mgmt_az1_cidr,"96.2"))</f>
        <v>10.13.96.2</v>
      </c>
    </row>
    <row r="72" spans="1:20" ht="34" customHeight="1" x14ac:dyDescent="0.2">
      <c r="A72" s="261" t="s">
        <v>123</v>
      </c>
      <c r="B72" s="8" t="str">
        <f>IF(cluster_wld_domain_chosen="VI Workload Domain",CONCATENATE(prefix_wld_az1_cidr,"30.5"),CONCATENATE(prefix_mgmt_az1_cidr,"30.5"))</f>
        <v>10.13.30.5</v>
      </c>
      <c r="E72" s="8" t="str">
        <f>IF(cluster_wld_domain_chosen="VI Workload Domain",CONCATENATE(prefix_wld_az1_cidr,"41.5"),CONCATENATE(prefix_mgmt_az1_cidr,"41.5"))</f>
        <v>10.13.41.5</v>
      </c>
      <c r="H72" s="8" t="str">
        <f>IF(cluster_wld_domain_chosen="VI Workload Domain",CONCATENATE(prefix_wld_az1_cidr,"52.5"),CONCATENATE(prefix_mgmt_az1_cidr,"52.5"))</f>
        <v>10.13.52.5</v>
      </c>
      <c r="K72" s="8" t="str">
        <f>IF(cluster_wld_domain_chosen="VI Workload Domain",CONCATENATE(prefix_wld_az1_cidr,"63.5"),CONCATENATE(prefix_mgmt_az1_cidr,"63.5"))</f>
        <v>10.13.63.5</v>
      </c>
      <c r="N72" s="8" t="str">
        <f>IF(cluster_wld_domain_chosen="VI Workload Domain",CONCATENATE(prefix_wld_az1_cidr,"74.5"),CONCATENATE(prefix_mgmt_az1_cidr,"74.5"))</f>
        <v>10.13.74.5</v>
      </c>
      <c r="P72" s="325"/>
      <c r="Q72" s="8" t="str">
        <f>IF(cluster_wld_domain_chosen="VI Workload Domain",CONCATENATE(prefix_wld_az1_cidr,"85.5"),CONCATENATE(prefix_mgmt_az1_cidr,"85.5"))</f>
        <v>10.13.85.5</v>
      </c>
      <c r="S72" s="325"/>
      <c r="T72" s="8" t="str">
        <f>IF(cluster_wld_domain_chosen="VI Workload Domain",CONCATENATE(prefix_wld_az1_cidr,"96.5"),CONCATENATE(prefix_mgmt_az1_cidr,"96.5"))</f>
        <v>10.13.96.5</v>
      </c>
    </row>
    <row r="73" spans="1:20" x14ac:dyDescent="0.2">
      <c r="A73" s="4" t="s">
        <v>1025</v>
      </c>
      <c r="B73" s="8" t="str">
        <f>IF(cluster_wld_domain_chosen="VI Workload Domain",IF(mgmt_domain_chosen="First Instance","65102",IF(wld_nsxt_federation_result="Included","65202","65102")),IF(mgmt_domain_chosen="First Instance","65101",IF(mgmt_nsxt_federation_result="Included","65201","65101")))</f>
        <v>65102</v>
      </c>
      <c r="E73" s="8" t="str">
        <f>IF(cluster_wld_domain_chosen="VI Workload Domain",IF(mgmt_domain_chosen="First Instance","65102",IF(wld_nsxt_federation_result="Included","65202","65102")),IF(mgmt_domain_chosen="First Instance","65101",IF(mgmt_nsxt_federation_result="Included","65201","65101")))</f>
        <v>65102</v>
      </c>
      <c r="H73" s="8" t="str">
        <f>IF(cluster_wld_domain_chosen="VI Workload Domain",IF(mgmt_domain_chosen="First Instance","65102",IF(wld_nsxt_federation_result="Included","65202","65102")),IF(mgmt_domain_chosen="First Instance","65101",IF(mgmt_nsxt_federation_result="Included","65201","65101")))</f>
        <v>65102</v>
      </c>
      <c r="K73" s="8" t="str">
        <f>IF(cluster_wld_domain_chosen="VI Workload Domain",IF(mgmt_domain_chosen="First Instance","65102",IF(wld_nsxt_federation_result="Included","65202","65102")),IF(mgmt_domain_chosen="First Instance","65101",IF(mgmt_nsxt_federation_result="Included","65201","65101")))</f>
        <v>65102</v>
      </c>
      <c r="N73" s="8" t="str">
        <f>IF(cluster_wld_domain_chosen="VI Workload Domain",IF(mgmt_domain_chosen="First Instance","65102",IF(wld_nsxt_federation_result="Included","65202","65102")),IF(mgmt_domain_chosen="First Instance","65101",IF(mgmt_nsxt_federation_result="Included","65201","65101")))</f>
        <v>65102</v>
      </c>
      <c r="P73" s="325"/>
      <c r="Q73" s="8" t="str">
        <f>IF(cluster_wld_domain_chosen="VI Workload Domain",IF(mgmt_domain_chosen="First Instance","65102",IF(wld_nsxt_federation_result="Included","65202","65102")),IF(mgmt_domain_chosen="First Instance","65101",IF(mgmt_nsxt_federation_result="Included","65201","65101")))</f>
        <v>65102</v>
      </c>
      <c r="S73" s="325"/>
      <c r="T73" s="8" t="str">
        <f>IF(cluster_wld_domain_chosen="VI Workload Domain",IF(mgmt_domain_chosen="First Instance","65102",IF(wld_nsxt_federation_result="Included","65202","65102")),IF(mgmt_domain_chosen="First Instance","65101",IF(mgmt_nsxt_federation_result="Included","65201","65101")))</f>
        <v>65102</v>
      </c>
    </row>
    <row r="74" spans="1:20" x14ac:dyDescent="0.2">
      <c r="A74" s="4" t="s">
        <v>168</v>
      </c>
      <c r="B74" s="8" t="str">
        <f>IF(cluster_wld_domain_chosen="VI Workload Domain",CONCATENATE(prefix_wld_az1_cidr,"28.10"),CONCATENATE(prefix_mgmt_az1_cidr,"28.10"))</f>
        <v>10.13.28.10</v>
      </c>
      <c r="E74" s="8" t="str">
        <f>IF(cluster_wld_domain_chosen="VI Workload Domain",CONCATENATE(prefix_wld_az1_cidr,"39.10"),CONCATENATE(prefix_mgmt_az1_cidr,"39.10"))</f>
        <v>10.13.39.10</v>
      </c>
      <c r="H74" s="8" t="str">
        <f>IF(cluster_wld_domain_chosen="VI Workload Domain",CONCATENATE(prefix_wld_az1_cidr,"50.10"),CONCATENATE(prefix_mgmt_az1_cidr,"50.10"))</f>
        <v>10.13.50.10</v>
      </c>
      <c r="K74" s="8" t="str">
        <f>IF(cluster_wld_domain_chosen="VI Workload Domain",CONCATENATE(prefix_wld_az1_cidr,"61.10"),CONCATENATE(prefix_mgmt_az1_cidr,"61.10"))</f>
        <v>10.13.61.10</v>
      </c>
      <c r="N74" s="8" t="str">
        <f>IF(cluster_wld_domain_chosen="VI Workload Domain",CONCATENATE(prefix_wld_az1_cidr,"72.10"),CONCATENATE(prefix_mgmt_az1_cidr,"72.10"))</f>
        <v>10.13.72.10</v>
      </c>
      <c r="Q74" s="8" t="str">
        <f>IF(cluster_wld_domain_chosen="VI Workload Domain",CONCATENATE(prefix_wld_az1_cidr,"83.10"),CONCATENATE(prefix_mgmt_az1_cidr,"83.10"))</f>
        <v>10.13.83.10</v>
      </c>
      <c r="T74" s="8" t="str">
        <f>IF(cluster_wld_domain_chosen="VI Workload Domain",CONCATENATE(prefix_wld_az1_cidr,"94.10"),CONCATENATE(prefix_mgmt_az1_cidr,"94.10"))</f>
        <v>10.13.94.10</v>
      </c>
    </row>
    <row r="75" spans="1:20" x14ac:dyDescent="0.2">
      <c r="A75" s="4" t="s">
        <v>169</v>
      </c>
      <c r="B75" s="8"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65132</v>
      </c>
      <c r="E75" s="8"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65133</v>
      </c>
      <c r="H75" s="8"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65134</v>
      </c>
      <c r="K75" s="8"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65135</v>
      </c>
      <c r="N75" s="8"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65136</v>
      </c>
      <c r="Q75" s="8"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65137</v>
      </c>
      <c r="T75" s="8"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65138</v>
      </c>
    </row>
    <row r="76" spans="1:20" x14ac:dyDescent="0.2">
      <c r="A76" s="4" t="s">
        <v>170</v>
      </c>
      <c r="B76" s="8" t="s">
        <v>30</v>
      </c>
      <c r="E76" s="8" t="s">
        <v>30</v>
      </c>
      <c r="H76" s="8" t="s">
        <v>30</v>
      </c>
      <c r="K76" s="8" t="s">
        <v>30</v>
      </c>
      <c r="N76" s="8" t="s">
        <v>30</v>
      </c>
      <c r="Q76" s="8" t="s">
        <v>30</v>
      </c>
      <c r="T76" s="8" t="s">
        <v>30</v>
      </c>
    </row>
    <row r="77" spans="1:20" x14ac:dyDescent="0.2">
      <c r="A77" s="4" t="s">
        <v>171</v>
      </c>
      <c r="B77" s="8" t="str">
        <f>IF(cluster_wld_domain_chosen="VI Workload Domain",CONCATENATE(prefix_wld_az1_cidr,"29.10"),CONCATENATE(prefix_mgmt_az1_cidr,"29.10"))</f>
        <v>10.13.29.10</v>
      </c>
      <c r="E77" s="8" t="str">
        <f>IF(cluster_wld_domain_chosen="VI Workload Domain",CONCATENATE(prefix_wld_az1_cidr,"40.10"),CONCATENATE(prefix_mgmt_az1_cidr,"40.10"))</f>
        <v>10.13.40.10</v>
      </c>
      <c r="H77" s="8" t="str">
        <f>IF(cluster_wld_domain_chosen="VI Workload Domain",CONCATENATE(prefix_wld_az1_cidr,"51.10"),CONCATENATE(prefix_mgmt_az1_cidr,"51.10"))</f>
        <v>10.13.51.10</v>
      </c>
      <c r="K77" s="8" t="str">
        <f>IF(cluster_wld_domain_chosen="VI Workload Domain",CONCATENATE(prefix_wld_az1_cidr,"62.10"),CONCATENATE(prefix_mgmt_az1_cidr,"62.10"))</f>
        <v>10.13.62.10</v>
      </c>
      <c r="N77" s="8" t="str">
        <f>IF(cluster_wld_domain_chosen="VI Workload Domain",CONCATENATE(prefix_wld_az1_cidr,"73.10"),CONCATENATE(prefix_mgmt_az1_cidr,"73.10"))</f>
        <v>10.13.73.10</v>
      </c>
      <c r="Q77" s="8" t="str">
        <f>IF(cluster_wld_domain_chosen="VI Workload Domain",CONCATENATE(prefix_wld_az1_cidr,"84.10"),CONCATENATE(prefix_mgmt_az1_cidr,"84.10"))</f>
        <v>10.13.84.10</v>
      </c>
      <c r="T77" s="8" t="str">
        <f>IF(cluster_wld_domain_chosen="VI Workload Domain",CONCATENATE(prefix_wld_az1_cidr,"95.10"),CONCATENATE(prefix_mgmt_az1_cidr,"95.10"))</f>
        <v>10.13.95.10</v>
      </c>
    </row>
    <row r="78" spans="1:20" x14ac:dyDescent="0.2">
      <c r="A78" s="4" t="s">
        <v>172</v>
      </c>
      <c r="B78" s="8"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65132</v>
      </c>
      <c r="E78" s="8"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65133</v>
      </c>
      <c r="H78" s="8"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65134</v>
      </c>
      <c r="K78" s="8"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65135</v>
      </c>
      <c r="N78" s="8"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65136</v>
      </c>
      <c r="Q78" s="8"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65137</v>
      </c>
      <c r="T78" s="8"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65138</v>
      </c>
    </row>
    <row r="79" spans="1:20" x14ac:dyDescent="0.2">
      <c r="A79" s="4" t="s">
        <v>173</v>
      </c>
      <c r="B79" s="8" t="s">
        <v>30</v>
      </c>
      <c r="E79" s="8" t="s">
        <v>30</v>
      </c>
      <c r="H79" s="8" t="s">
        <v>30</v>
      </c>
      <c r="K79" s="8" t="s">
        <v>30</v>
      </c>
      <c r="N79" s="8" t="s">
        <v>30</v>
      </c>
      <c r="Q79" s="8" t="s">
        <v>30</v>
      </c>
      <c r="T79" s="8" t="s">
        <v>30</v>
      </c>
    </row>
  </sheetData>
  <mergeCells count="5">
    <mergeCell ref="P7:S7"/>
    <mergeCell ref="P10:S10"/>
    <mergeCell ref="P16:S16"/>
    <mergeCell ref="P13:S13"/>
    <mergeCell ref="P21:S21"/>
  </mergeCells>
  <conditionalFormatting sqref="A20">
    <cfRule type="expression" dxfId="1667" priority="64">
      <formula>AND((VRLI_Result="Excluded"),(VROPS_Result="Excluded"),(VRA_Result="Excluded"))</formula>
    </cfRule>
  </conditionalFormatting>
  <conditionalFormatting sqref="A15:C15">
    <cfRule type="expression" dxfId="1666" priority="57" stopIfTrue="1">
      <formula>iam_result="Excluded"</formula>
    </cfRule>
  </conditionalFormatting>
  <conditionalFormatting sqref="A16:C17">
    <cfRule type="expression" dxfId="1665" priority="60">
      <formula>AND((iam_result="Excluded"),(intelligent_operations_result="Excluded"),(intelligent_logging_result="Excluded"),(private_cloud_result="Excluded"))</formula>
    </cfRule>
  </conditionalFormatting>
  <conditionalFormatting sqref="B9">
    <cfRule type="containsBlanks" dxfId="1664" priority="9">
      <formula>LEN(TRIM(B9))=0</formula>
    </cfRule>
    <cfRule type="notContainsBlanks" dxfId="1663" priority="10">
      <formula>LEN(TRIM(B9))&gt;0</formula>
    </cfRule>
  </conditionalFormatting>
  <conditionalFormatting sqref="B9:C9">
    <cfRule type="expression" dxfId="1662" priority="6">
      <formula>vrslcm_result="Excluded"</formula>
    </cfRule>
  </conditionalFormatting>
  <conditionalFormatting sqref="C9">
    <cfRule type="expression" dxfId="1661" priority="7">
      <formula>AND((OR((spr_chosen="Management Only"),(spr_chosen="Management &amp; VI Workload"))),(ISBLANK(input_xregion_ntp2_server)))</formula>
    </cfRule>
  </conditionalFormatting>
  <conditionalFormatting sqref="C11:C14">
    <cfRule type="notContainsBlanks" dxfId="1660" priority="63">
      <formula>LEN(TRIM(C11))&gt;0</formula>
    </cfRule>
  </conditionalFormatting>
  <conditionalFormatting sqref="C11:C17">
    <cfRule type="containsBlanks" dxfId="1659" priority="61">
      <formula>LEN(TRIM(C11))=0</formula>
    </cfRule>
  </conditionalFormatting>
  <conditionalFormatting sqref="C12">
    <cfRule type="expression" dxfId="1658" priority="56">
      <formula>AND((mgmt_stretched_cluster_result="Excluded"),(wld_stretched_cluster_result="Excluded"))</formula>
    </cfRule>
  </conditionalFormatting>
  <conditionalFormatting sqref="C18">
    <cfRule type="containsBlanks" dxfId="1657" priority="59">
      <formula>LEN(TRIM(C18))=0</formula>
    </cfRule>
  </conditionalFormatting>
  <conditionalFormatting sqref="C19 R22:R26 R40:R41">
    <cfRule type="expression" dxfId="1656" priority="62">
      <formula>AND((OR((spr_chosen="Management Only"),(spr_chosen="Management &amp; VI Workload"))),(ISBLANK(input_xregion_ntp2_server)))</formula>
    </cfRule>
  </conditionalFormatting>
  <conditionalFormatting sqref="Q8:Q9 Q22:Q26 Q37:Q38">
    <cfRule type="notContainsBlanks" dxfId="1655" priority="55">
      <formula>LEN(TRIM(Q8))&gt;0</formula>
    </cfRule>
    <cfRule type="containsBlanks" dxfId="1654" priority="54">
      <formula>LEN(TRIM(Q8))=0</formula>
    </cfRule>
  </conditionalFormatting>
  <conditionalFormatting sqref="Q11:Q12">
    <cfRule type="notContainsBlanks" dxfId="1653" priority="52">
      <formula>LEN(TRIM(Q11))&gt;0</formula>
    </cfRule>
    <cfRule type="containsBlanks" dxfId="1652" priority="51">
      <formula>LEN(TRIM(Q11))=0</formula>
    </cfRule>
  </conditionalFormatting>
  <conditionalFormatting sqref="Q14:Q15">
    <cfRule type="containsBlanks" dxfId="1651" priority="39">
      <formula>LEN(TRIM(Q14))=0</formula>
    </cfRule>
    <cfRule type="notContainsBlanks" dxfId="1650" priority="40">
      <formula>LEN(TRIM(Q14))&gt;0</formula>
    </cfRule>
  </conditionalFormatting>
  <conditionalFormatting sqref="Q17:Q20">
    <cfRule type="containsBlanks" dxfId="1649" priority="48">
      <formula>LEN(TRIM(Q17))=0</formula>
    </cfRule>
    <cfRule type="notContainsBlanks" dxfId="1648" priority="49">
      <formula>LEN(TRIM(Q17))&gt;0</formula>
    </cfRule>
  </conditionalFormatting>
  <conditionalFormatting sqref="Q28:Q32">
    <cfRule type="notContainsBlanks" dxfId="1647" priority="28">
      <formula>LEN(TRIM(Q28))&gt;0</formula>
    </cfRule>
    <cfRule type="containsBlanks" dxfId="1646" priority="27">
      <formula>LEN(TRIM(Q28))=0</formula>
    </cfRule>
  </conditionalFormatting>
  <conditionalFormatting sqref="Q34:Q35">
    <cfRule type="notContainsBlanks" dxfId="1645" priority="23">
      <formula>LEN(TRIM(Q34))&gt;0</formula>
    </cfRule>
    <cfRule type="containsBlanks" dxfId="1644" priority="22">
      <formula>LEN(TRIM(Q34))=0</formula>
    </cfRule>
  </conditionalFormatting>
  <conditionalFormatting sqref="Q40:Q41">
    <cfRule type="notContainsBlanks" dxfId="1643" priority="16">
      <formula>LEN(TRIM(Q40))&gt;0</formula>
    </cfRule>
    <cfRule type="containsBlanks" dxfId="1642" priority="15">
      <formula>LEN(TRIM(Q40))=0</formula>
    </cfRule>
  </conditionalFormatting>
  <conditionalFormatting sqref="Q43:Q46">
    <cfRule type="notContainsBlanks" dxfId="1641" priority="4">
      <formula>LEN(TRIM(Q43))&gt;0</formula>
    </cfRule>
    <cfRule type="containsBlanks" dxfId="1640" priority="3">
      <formula>LEN(TRIM(Q43))=0</formula>
    </cfRule>
    <cfRule type="expression" dxfId="1639" priority="5">
      <formula>vrslcm_result="Excluded"</formula>
    </cfRule>
  </conditionalFormatting>
  <conditionalFormatting sqref="Q11:R12">
    <cfRule type="expression" dxfId="1638" priority="43">
      <formula>vrslcm_result="Excluded"</formula>
    </cfRule>
  </conditionalFormatting>
  <conditionalFormatting sqref="Q14:R15">
    <cfRule type="expression" dxfId="1637" priority="36">
      <formula>vrslcm_result="Excluded"</formula>
    </cfRule>
  </conditionalFormatting>
  <conditionalFormatting sqref="Q17:R20">
    <cfRule type="expression" dxfId="1636" priority="41">
      <formula>vrslcm_result="Excluded"</formula>
    </cfRule>
  </conditionalFormatting>
  <conditionalFormatting sqref="Q22:R24 Q26:R26 Q37:Q38 A13:C14 A18:C19">
    <cfRule type="expression" dxfId="1635" priority="58">
      <formula>vrslcm_result="Excluded"</formula>
    </cfRule>
  </conditionalFormatting>
  <conditionalFormatting sqref="Q25:R25">
    <cfRule type="expression" dxfId="1634" priority="11">
      <formula>vrslcm_result="Excluded"</formula>
    </cfRule>
  </conditionalFormatting>
  <conditionalFormatting sqref="Q28:R32">
    <cfRule type="expression" dxfId="1633" priority="24">
      <formula>vrslcm_result="Excluded"</formula>
    </cfRule>
  </conditionalFormatting>
  <conditionalFormatting sqref="Q34:R35">
    <cfRule type="expression" dxfId="1632" priority="19">
      <formula>vrslcm_result="Excluded"</formula>
    </cfRule>
  </conditionalFormatting>
  <conditionalFormatting sqref="Q40:R41 Q8:R9">
    <cfRule type="expression" dxfId="1631" priority="45">
      <formula>vrslcm_result="Excluded"</formula>
    </cfRule>
  </conditionalFormatting>
  <conditionalFormatting sqref="R8:R9">
    <cfRule type="expression" dxfId="1630" priority="46">
      <formula>AND((OR((spr_chosen="Management Only"),(spr_chosen="Management &amp; VI Workload"))),(ISBLANK(input_xregion_ntp2_server)))</formula>
    </cfRule>
  </conditionalFormatting>
  <conditionalFormatting sqref="R11:R12">
    <cfRule type="expression" dxfId="1629" priority="44">
      <formula>AND((OR((spr_chosen="Management Only"),(spr_chosen="Management &amp; VI Workload"))),(ISBLANK(input_xregion_ntp2_server)))</formula>
    </cfRule>
  </conditionalFormatting>
  <conditionalFormatting sqref="R14:R15">
    <cfRule type="expression" dxfId="1628" priority="37">
      <formula>AND((OR((spr_chosen="Management Only"),(spr_chosen="Management &amp; VI Workload"))),(ISBLANK(input_xregion_ntp2_server)))</formula>
    </cfRule>
  </conditionalFormatting>
  <conditionalFormatting sqref="R17:R20">
    <cfRule type="expression" dxfId="1627" priority="42">
      <formula>AND((OR((spr_chosen="Management Only"),(spr_chosen="Management &amp; VI Workload"))),(ISBLANK(input_xregion_ntp2_server)))</formula>
    </cfRule>
  </conditionalFormatting>
  <conditionalFormatting sqref="R28:R32">
    <cfRule type="expression" dxfId="1626" priority="33">
      <formula>AND((OR((spr_chosen="Management Only"),(spr_chosen="Management &amp; VI Workload"))),(ISBLANK(input_xregion_ntp2_server)))</formula>
    </cfRule>
  </conditionalFormatting>
  <conditionalFormatting sqref="R34:R35">
    <cfRule type="expression" dxfId="1625" priority="20">
      <formula>AND((OR((spr_chosen="Management Only"),(spr_chosen="Management &amp; VI Workload"))),(ISBLANK(input_xregion_ntp2_server)))</formula>
    </cfRule>
  </conditionalFormatting>
  <conditionalFormatting sqref="R37:R38">
    <cfRule type="expression" dxfId="1624" priority="13">
      <formula>AND((OR((spr_chosen="Management Only"),(spr_chosen="Management &amp; VI Workload"))),(ISBLANK(input_xregion_ntp2_server)))</formula>
    </cfRule>
    <cfRule type="expression" dxfId="1623" priority="12">
      <formula>vrslcm_result="Excluded"</formula>
    </cfRule>
  </conditionalFormatting>
  <conditionalFormatting sqref="R43:R46">
    <cfRule type="expression" dxfId="1622" priority="2">
      <formula>AND((OR((spr_chosen="Management Only"),(spr_chosen="Management &amp; VI Workload"))),(ISBLANK(input_xregion_ntp2_server)))</formula>
    </cfRule>
    <cfRule type="expression" dxfId="1621" priority="1">
      <formula>vrslcm_result="Excluded"</formula>
    </cfRule>
  </conditionalFormatting>
  <dataValidations count="3">
    <dataValidation type="list" allowBlank="1" showInputMessage="1" showErrorMessage="1" sqref="C65:C67 F65:F67 I65:I67 L65:L67 O65:O67 R65:R67 U65:U67" xr:uid="{B13B4DB8-4DCC-2047-88E4-EBB71F90E5ED}">
      <formula1>table_masks</formula1>
    </dataValidation>
    <dataValidation type="list" allowBlank="1" showInputMessage="1" showErrorMessage="1" sqref="P5" xr:uid="{D9CA96D6-0B09-7049-8F2F-27EB49188218}">
      <formula1>"Use a separate dedicated network, Use VM management network"</formula1>
    </dataValidation>
    <dataValidation type="list" allowBlank="1" showInputMessage="1" showErrorMessage="1" sqref="P4" xr:uid="{F0B8BCB7-A9F8-3740-A871-168E331CAB86}">
      <formula1>"small,medium,large"</formula1>
    </dataValidation>
  </dataValidation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558"/>
  <sheetViews>
    <sheetView showGridLines="0" workbookViewId="0">
      <pane ySplit="8" topLeftCell="A9" activePane="bottomLeft" state="frozen"/>
      <selection pane="bottomLeft"/>
    </sheetView>
  </sheetViews>
  <sheetFormatPr baseColWidth="10" defaultColWidth="10.83203125" defaultRowHeight="16" x14ac:dyDescent="0.2"/>
  <cols>
    <col min="1" max="1" width="2.83203125" style="8" customWidth="1"/>
    <col min="2" max="4" width="75.83203125" style="2" customWidth="1"/>
    <col min="5" max="5" width="125.83203125" style="8" customWidth="1"/>
    <col min="6" max="13" width="10.83203125" style="8" customWidth="1"/>
    <col min="14" max="16384" width="10.83203125" style="8"/>
  </cols>
  <sheetData>
    <row r="1" spans="1:10" s="2" customFormat="1" ht="16" customHeight="1" x14ac:dyDescent="0.2">
      <c r="A1" s="1"/>
      <c r="F1" s="8"/>
      <c r="G1" s="8"/>
      <c r="H1" s="8"/>
      <c r="I1" s="8"/>
      <c r="J1" s="8"/>
    </row>
    <row r="2" spans="1:10" s="2" customFormat="1" ht="54" customHeight="1" x14ac:dyDescent="0.2">
      <c r="B2" s="550" t="s">
        <v>1026</v>
      </c>
      <c r="C2" s="551"/>
      <c r="D2" s="551"/>
      <c r="E2" s="552"/>
      <c r="F2" s="8"/>
      <c r="G2" s="8"/>
      <c r="H2" s="8"/>
      <c r="I2" s="8"/>
      <c r="J2" s="8"/>
    </row>
    <row r="3" spans="1:10" s="2" customFormat="1" ht="20" customHeight="1" x14ac:dyDescent="0.2">
      <c r="B3" s="553" t="s">
        <v>756</v>
      </c>
      <c r="C3" s="554"/>
      <c r="D3" s="554"/>
      <c r="E3" s="555"/>
      <c r="F3" s="8"/>
      <c r="G3" s="8"/>
      <c r="H3" s="8"/>
      <c r="I3" s="8"/>
      <c r="J3" s="8"/>
    </row>
    <row r="4" spans="1:10" s="2" customFormat="1" x14ac:dyDescent="0.2">
      <c r="B4" s="2" t="s">
        <v>1027</v>
      </c>
      <c r="D4" s="10"/>
      <c r="E4" s="3"/>
      <c r="F4" s="3"/>
    </row>
    <row r="5" spans="1:10" ht="20" customHeight="1" x14ac:dyDescent="0.2">
      <c r="B5" s="169" t="s">
        <v>3</v>
      </c>
      <c r="C5" s="169" t="s">
        <v>1028</v>
      </c>
      <c r="D5" s="169" t="s">
        <v>5</v>
      </c>
      <c r="E5" s="169" t="s">
        <v>6</v>
      </c>
    </row>
    <row r="6" spans="1:10" s="19" customFormat="1" ht="10" customHeight="1" x14ac:dyDescent="0.2">
      <c r="B6" s="170"/>
      <c r="C6" s="170"/>
      <c r="D6" s="170"/>
      <c r="E6" s="170"/>
    </row>
    <row r="7" spans="1:10" ht="20" customHeight="1" x14ac:dyDescent="0.2">
      <c r="B7" s="169" t="s">
        <v>1029</v>
      </c>
      <c r="C7" s="122"/>
      <c r="D7" s="122"/>
      <c r="E7" s="122"/>
    </row>
    <row r="9" spans="1:10" ht="34" customHeight="1" x14ac:dyDescent="0.2">
      <c r="B9" s="526" t="s">
        <v>1030</v>
      </c>
      <c r="C9" s="527"/>
      <c r="D9" s="527"/>
      <c r="E9" s="528"/>
    </row>
    <row r="10" spans="1:10" ht="20" customHeight="1" x14ac:dyDescent="0.2">
      <c r="B10" s="346" t="s">
        <v>9</v>
      </c>
      <c r="C10" s="346" t="s">
        <v>10</v>
      </c>
      <c r="D10" s="346" t="s">
        <v>11</v>
      </c>
      <c r="E10" s="346" t="s">
        <v>12</v>
      </c>
    </row>
    <row r="11" spans="1:10" ht="20" customHeight="1" x14ac:dyDescent="0.2">
      <c r="B11" s="355" t="s">
        <v>13</v>
      </c>
      <c r="C11" s="337" t="s">
        <v>3</v>
      </c>
      <c r="D11" s="112" t="str">
        <f>IF(mgmt_domain_deployment_type_chosen="VMware vSphere Foundation","Excluded",
IF(mgmt_signed_certs_result="Excluded","Excluded",
IF(wld_signed_certs_chosen="Exclude","Excluded",IF(wld_domain_result="Included","Included","Excluded"))))</f>
        <v>Excluded</v>
      </c>
      <c r="E11" s="112" t="str">
        <f>IF(mgmt_domain_deployment_type_chosen="VMware vSphere Foundation","Cannot be performed on a VMware vSphere Foundation deployment",
IF(vcf_granular_option_chosen="Create Cluster","Create VI Workload Domain or Deploy a new VCF fleet not selected on VCF &amp; VVF Planning Tab",
IF(wld_domain_result="Excluded","Cause: Standard VI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VI Workload Domain Required</v>
      </c>
    </row>
    <row r="12" spans="1:10" ht="20" customHeight="1" x14ac:dyDescent="0.2">
      <c r="B12" s="355" t="s">
        <v>13</v>
      </c>
      <c r="C12" s="337" t="s">
        <v>1031</v>
      </c>
      <c r="D12" s="112" t="str">
        <f>IF(mgmt_domain_deployment_type_chosen="VMware vSphere Foundation","Excluded",
IF(wld_bgp_chosen="Exclude","Excluded",IF(wld_domain_result="Included","Included","Excluded")))</f>
        <v>Excluded</v>
      </c>
      <c r="E12" s="112" t="str">
        <f>IF(mgmt_domain_deployment_type_chosen="VMware vSphere Foundation","Cannot be performed on a VMware vSphere Foundation deployment",
IF(vcf_granular_option_chosen="None Chosen","No Deployment Type Chosen",
IF(wld_domain_result="Excluded","Cause: Standard VI Workload Domain Required",
IF(wld_bgp_chosen="Exclude","Cause: Not Selected. NSX Routing for VI Workload Domain will not be deployed",
IF(wld_domain_result="Excluded","Cause: Standard VI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VI Workload Domain Required</v>
      </c>
    </row>
    <row r="13" spans="1:10" ht="20" customHeight="1" x14ac:dyDescent="0.2">
      <c r="B13" s="125" t="s">
        <v>13</v>
      </c>
      <c r="C13" s="337" t="s">
        <v>5</v>
      </c>
      <c r="D13"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Domain",vcf_granular_option_chosen&lt;&gt;"One or More VVDs"),"Excluded",
IF(wld_avi_loadbalancer_chosen="Exclude","Excluded",IF(wld_domain_result="Excluded","Excluded","Included"))))</f>
        <v>Excluded</v>
      </c>
      <c r="E13" s="112" t="str">
        <f>IF(mgmt_domain_deployment_type_chosen="VMware vSphere Foundation","Cannot be performed on a VMware vSphere Foundation deployment",
IF(vcf_granular_option_chosen="Create Cluster","Cause: Standard VI Workload Domain Required",
IF(wld_domain_result="Excluded","Cause: Standard VI Workload Domain Required",
IF(vcf_granular_option_chosen="None Chosen","No Deployment Type Chosen",
IF(wld_avi_loadbalancer_chosen="Exclude","Cause: Not Selected. AVI Load Balancer will not be deployed","AVI Load Balancer will be deployed")))))</f>
        <v>Cause: Standard VI Workload Domain Required</v>
      </c>
    </row>
    <row r="14" spans="1:10" ht="20" customHeight="1" x14ac:dyDescent="0.2">
      <c r="B14" s="355" t="s">
        <v>13</v>
      </c>
      <c r="C14" s="112" t="s">
        <v>6</v>
      </c>
      <c r="D14" s="171"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4" s="112" t="str">
        <f>IF(mgmt_domain_deployment_type_chosen="VMware vSphere Foundation","Cannot be performed on a VMware vSphere Foundation deployment",
IF(vcf_granular_option_chosen="None Chosen","No Deployment Type Chosen",
IF(wld_domain_result="Excluded","Cause: Standard VI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VI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VI Workload Domain Required</v>
      </c>
    </row>
    <row r="15" spans="1:10" ht="20" customHeight="1" x14ac:dyDescent="0.2">
      <c r="B15" s="355" t="s">
        <v>13</v>
      </c>
      <c r="C15" s="337" t="s">
        <v>1032</v>
      </c>
      <c r="D15" s="112" t="str">
        <f>IF(mgmt_domain_deployment_type_chosen="VMware vSphere Foundation","Excluded",
IF(wld_nsxt_federation_chosen="Exclude","Excluded",
IF(AND((wld_nsxt_federation_chosen&lt;&gt;"Exclude"),(wld_multirack_calc="Include")),"Excluded",(IF(AND((wld_bgp_chosen="Centralized Connectivity"),(wld_bgp_result="Included")),"Included","Excluded")))))</f>
        <v>Excluded</v>
      </c>
      <c r="E15" s="112" t="str">
        <f>IF(mgmt_domain_deployment_type_chosen="VMware vSphere Foundation","Cannot be performed on a VMware vSphere Foundation deployment",
IF(vcf_granular_option_chosen="None Chosen","No Deployment Type Chosen",
IF(wld_domain_result="Excluded","Cause: Standard VI Workload Domain Required",
IF(wld_nsxt_federation_chosen="Exclude","Cause: Not Selected. NSX Federation for VI Workload Domain will not be deployed.",IF(wld_domain_result="Excluded","Cause: Standard VI Workload Domain Required",
IF(wld_bgp_chosen&lt;&gt;"Centralized Connectivity","Cause: NSX Centralized Connectivity for Wokrload Domain Required",
IF(AND((wld_nsxt_federation_chosen&lt;&gt;"Exclude"),(wld_multirack_calc="Include")),"Casue: NSX Federation is not supported with Multirack","NSX Federation is will be deployed")))))))</f>
        <v>Cause: Standard VI Workload Domain Required</v>
      </c>
    </row>
    <row r="16" spans="1:10" ht="16" customHeight="1" x14ac:dyDescent="0.2"/>
    <row r="17" spans="2:5" ht="34" customHeight="1" x14ac:dyDescent="0.2">
      <c r="B17" s="556" t="s">
        <v>3</v>
      </c>
      <c r="C17" s="557"/>
      <c r="D17" s="557"/>
      <c r="E17" s="557"/>
    </row>
    <row r="18" spans="2:5" ht="20" customHeight="1" x14ac:dyDescent="0.2">
      <c r="B18" s="562" t="s">
        <v>1033</v>
      </c>
      <c r="C18" s="562"/>
      <c r="D18" s="562"/>
      <c r="E18" s="562"/>
    </row>
    <row r="19" spans="2:5" ht="20" customHeight="1" x14ac:dyDescent="0.2">
      <c r="B19" s="346" t="s">
        <v>17</v>
      </c>
      <c r="C19" s="346" t="s">
        <v>18</v>
      </c>
      <c r="D19" s="346" t="s">
        <v>19</v>
      </c>
      <c r="E19" s="346" t="s">
        <v>20</v>
      </c>
    </row>
    <row r="20" spans="2:5" ht="20" customHeight="1" x14ac:dyDescent="0.2">
      <c r="B20" s="4" t="s">
        <v>56</v>
      </c>
      <c r="C20" s="362" t="str">
        <f>sample_ca_algorithm</f>
        <v>RSA</v>
      </c>
      <c r="D20" s="337" t="str">
        <f>ca_algorithm</f>
        <v>Value Missing</v>
      </c>
      <c r="E20" s="304" t="str">
        <f>IF(wld_signed_certs_result="Included","Values are defined in the Management Domain Post Deploy Tab - Click to link","")</f>
        <v/>
      </c>
    </row>
    <row r="21" spans="2:5" ht="20" customHeight="1" x14ac:dyDescent="0.2">
      <c r="B21" s="4" t="s">
        <v>70</v>
      </c>
      <c r="C21" s="362">
        <f>sample_ca_key_size</f>
        <v>4096</v>
      </c>
      <c r="D21" s="337" t="str">
        <f>ca_key_size</f>
        <v>Value Missing</v>
      </c>
      <c r="E21" s="4"/>
    </row>
    <row r="22" spans="2:5" ht="20" customHeight="1" x14ac:dyDescent="0.2">
      <c r="B22" s="4" t="s">
        <v>68</v>
      </c>
      <c r="C22" s="362" t="str">
        <f>sample_ca_email_address</f>
        <v>administrator@rainpole.io</v>
      </c>
      <c r="D22" s="337" t="str">
        <f>ca_email_address</f>
        <v>Value Missing</v>
      </c>
      <c r="E22" s="4"/>
    </row>
    <row r="23" spans="2:5" ht="20" customHeight="1" x14ac:dyDescent="0.2">
      <c r="B23" s="4" t="s">
        <v>60</v>
      </c>
      <c r="C23" s="362" t="str">
        <f>sample_ca_organization_unit</f>
        <v>Rainpole</v>
      </c>
      <c r="D23" s="337" t="str">
        <f>ca_organization_unit</f>
        <v>Value Missing</v>
      </c>
      <c r="E23" s="4"/>
    </row>
    <row r="24" spans="2:5" ht="20" customHeight="1" x14ac:dyDescent="0.2">
      <c r="B24" s="4" t="s">
        <v>75</v>
      </c>
      <c r="C24" s="362" t="str">
        <f>sample_ca_organization</f>
        <v>IT</v>
      </c>
      <c r="D24" s="337" t="str">
        <f>ca_organization</f>
        <v>Value Missing</v>
      </c>
      <c r="E24" s="4"/>
    </row>
    <row r="25" spans="2:5" ht="20" customHeight="1" x14ac:dyDescent="0.2">
      <c r="B25" s="4" t="s">
        <v>66</v>
      </c>
      <c r="C25" s="362" t="str">
        <f>sample_ca_locality</f>
        <v>San Francisco</v>
      </c>
      <c r="D25" s="337" t="str">
        <f>ca_locality</f>
        <v>Value Missing</v>
      </c>
      <c r="E25" s="4"/>
    </row>
    <row r="26" spans="2:5" ht="20" customHeight="1" x14ac:dyDescent="0.2">
      <c r="B26" s="4" t="s">
        <v>64</v>
      </c>
      <c r="C26" s="362" t="str">
        <f>sample_ca_state</f>
        <v>CA</v>
      </c>
      <c r="D26" s="337" t="str">
        <f>ca_state</f>
        <v>Value Missing</v>
      </c>
      <c r="E26" s="4"/>
    </row>
    <row r="27" spans="2:5" ht="20" customHeight="1" x14ac:dyDescent="0.2">
      <c r="B27" s="4" t="s">
        <v>62</v>
      </c>
      <c r="C27" s="362" t="str">
        <f>sample_ca_country</f>
        <v>US</v>
      </c>
      <c r="D27" s="337" t="str">
        <f>ca_country</f>
        <v>Value Missing</v>
      </c>
      <c r="E27" s="4"/>
    </row>
    <row r="28" spans="2:5" ht="16" customHeight="1" x14ac:dyDescent="0.2"/>
    <row r="29" spans="2:5" ht="34" customHeight="1" x14ac:dyDescent="0.2">
      <c r="B29" s="508" t="s">
        <v>1034</v>
      </c>
      <c r="C29" s="509"/>
      <c r="D29" s="509"/>
      <c r="E29" s="510"/>
    </row>
    <row r="30" spans="2:5" ht="20" customHeight="1" x14ac:dyDescent="0.2">
      <c r="B30" s="465" t="s">
        <v>1035</v>
      </c>
      <c r="C30" s="466"/>
      <c r="D30" s="466"/>
      <c r="E30" s="467"/>
    </row>
    <row r="31" spans="2:5" ht="20" customHeight="1" x14ac:dyDescent="0.2">
      <c r="B31" s="346" t="s">
        <v>17</v>
      </c>
      <c r="C31" s="346" t="s">
        <v>18</v>
      </c>
      <c r="D31" s="346" t="s">
        <v>19</v>
      </c>
      <c r="E31" s="346" t="s">
        <v>20</v>
      </c>
    </row>
    <row r="32" spans="2:5" ht="20" customHeight="1" x14ac:dyDescent="0.2">
      <c r="B32" s="511" t="s">
        <v>82</v>
      </c>
      <c r="C32" s="512"/>
      <c r="D32" s="512"/>
      <c r="E32" s="513"/>
    </row>
    <row r="33" spans="2:5" ht="20" customHeight="1" x14ac:dyDescent="0.2">
      <c r="B33" s="4" t="s">
        <v>82</v>
      </c>
      <c r="C33" s="362" t="s">
        <v>83</v>
      </c>
      <c r="D33" s="337" t="str">
        <f>wld_bgp_chosen</f>
        <v>Exclude</v>
      </c>
      <c r="E33" s="4"/>
    </row>
    <row r="34" spans="2:5" ht="20" customHeight="1" x14ac:dyDescent="0.2">
      <c r="B34" s="511" t="s">
        <v>84</v>
      </c>
      <c r="C34" s="512"/>
      <c r="D34" s="512"/>
      <c r="E34" s="513"/>
    </row>
    <row r="35" spans="2:5" ht="20" customHeight="1" x14ac:dyDescent="0.2">
      <c r="B35" s="351" t="s">
        <v>85</v>
      </c>
      <c r="C35" s="362" t="str">
        <f>_xlfn.CONCAT(prefix_wld_az1_vlan,98)</f>
        <v>1398</v>
      </c>
      <c r="D35" s="347"/>
      <c r="E35" s="4"/>
    </row>
    <row r="36" spans="2:5" ht="20" customHeight="1" x14ac:dyDescent="0.2">
      <c r="B36" s="351" t="s">
        <v>86</v>
      </c>
      <c r="C36" s="362" t="str">
        <f>CONCATENATE(prefix_wld_az1_cidr,"98.1/24")</f>
        <v>10.13.98.1/24</v>
      </c>
      <c r="D36" s="347"/>
      <c r="E36" s="4"/>
    </row>
    <row r="37" spans="2:5" ht="20" customHeight="1" x14ac:dyDescent="0.2">
      <c r="B37" s="511" t="s">
        <v>88</v>
      </c>
      <c r="C37" s="512"/>
      <c r="D37" s="512"/>
      <c r="E37" s="513"/>
    </row>
    <row r="38" spans="2:5" ht="20" customHeight="1" x14ac:dyDescent="0.2">
      <c r="B38" s="4" t="s">
        <v>89</v>
      </c>
      <c r="C38" s="362" t="str">
        <f>CONCATENATE(this_instance,"-w0",wld_domain_number_chosen,"-ec01")</f>
        <v>sfo-w01-ec01</v>
      </c>
      <c r="D38" s="347"/>
      <c r="E38" s="4"/>
    </row>
    <row r="39" spans="2:5" ht="20" customHeight="1" x14ac:dyDescent="0.2">
      <c r="B39" s="4" t="s">
        <v>90</v>
      </c>
      <c r="C39" s="362">
        <v>1700</v>
      </c>
      <c r="D39" s="94"/>
      <c r="E39" s="337" t="s">
        <v>1036</v>
      </c>
    </row>
    <row r="40" spans="2:5" ht="20" customHeight="1" x14ac:dyDescent="0.2">
      <c r="B40" s="4" t="s">
        <v>92</v>
      </c>
      <c r="C40" s="362" t="s">
        <v>751</v>
      </c>
      <c r="D40" s="347" t="s">
        <v>751</v>
      </c>
      <c r="E40" s="4"/>
    </row>
    <row r="41" spans="2:5" ht="20" customHeight="1" x14ac:dyDescent="0.2">
      <c r="B41" s="511" t="s">
        <v>94</v>
      </c>
      <c r="C41" s="512"/>
      <c r="D41" s="512"/>
      <c r="E41" s="513"/>
    </row>
    <row r="42" spans="2:5" ht="20" customHeight="1" x14ac:dyDescent="0.2">
      <c r="B42" s="4" t="s">
        <v>95</v>
      </c>
      <c r="C42" s="172" t="str">
        <f>CONCATENATE(this_instance,"-w0",wld_domain_number_chosen,"-en01a",".",sample_child_dns_zone)</f>
        <v>sfo-w01-en01a.sfo.rainpole.io</v>
      </c>
      <c r="D42" s="173"/>
      <c r="E42" s="337"/>
    </row>
    <row r="43" spans="2:5" ht="20" customHeight="1" x14ac:dyDescent="0.2">
      <c r="B43" s="4" t="s">
        <v>96</v>
      </c>
      <c r="C43" s="362" t="str">
        <f>sample_wld_cl01_cluster</f>
        <v>sfo-w01-cl01</v>
      </c>
      <c r="D43" s="343" t="str">
        <f>wld_cl01_cluster</f>
        <v>Value Missing</v>
      </c>
      <c r="E43" s="319" t="s">
        <v>1037</v>
      </c>
    </row>
    <row r="44" spans="2:5" ht="20" customHeight="1" x14ac:dyDescent="0.2">
      <c r="B44" s="4" t="s">
        <v>98</v>
      </c>
      <c r="C44" s="362" t="str">
        <f>CONCATENATE(this_instance,"-w0",wld_domain_number_chosen,"-cl01-rp-ec01")</f>
        <v>sfo-w01-cl01-rp-ec01</v>
      </c>
      <c r="D44" s="94"/>
      <c r="E44" s="337" t="s">
        <v>99</v>
      </c>
    </row>
    <row r="45" spans="2:5" ht="20" customHeight="1" x14ac:dyDescent="0.2">
      <c r="B45" s="4" t="s">
        <v>100</v>
      </c>
      <c r="C45" s="362" t="s">
        <v>101</v>
      </c>
      <c r="D45" s="94" t="s">
        <v>101</v>
      </c>
      <c r="E45" s="337"/>
    </row>
    <row r="46" spans="2:5" ht="20" customHeight="1" x14ac:dyDescent="0.2">
      <c r="B46" s="4" t="s">
        <v>102</v>
      </c>
      <c r="C46" s="362" t="str">
        <f>CONCATENATE(sample_wld_sddc_domain,"-host-group-affinity-rule-ec01-en01a")</f>
        <v>sfo-w01-host-group-affinity-rule-ec01-en01a</v>
      </c>
      <c r="D46" s="94"/>
      <c r="E46" s="337" t="s">
        <v>1038</v>
      </c>
    </row>
    <row r="47" spans="2:5" ht="20" customHeight="1" x14ac:dyDescent="0.2">
      <c r="B47" s="4" t="s">
        <v>1039</v>
      </c>
      <c r="C47" s="362" t="str">
        <f>sample_wld_cl01_vsan_datastore</f>
        <v>sfo-w01-sfo-w01-cl01-vsan01</v>
      </c>
      <c r="D47" s="343" t="str">
        <f>wld_cl01_vsan_datastore</f>
        <v>Value Missing</v>
      </c>
      <c r="E47" s="319" t="s">
        <v>1040</v>
      </c>
    </row>
    <row r="48" spans="2:5" ht="20" customHeight="1" x14ac:dyDescent="0.2">
      <c r="B48" s="4" t="s">
        <v>105</v>
      </c>
      <c r="C48" s="89" t="s">
        <v>106</v>
      </c>
      <c r="D48" s="347" t="s">
        <v>106</v>
      </c>
      <c r="E48" s="337"/>
    </row>
    <row r="49" spans="2:5" ht="20" customHeight="1" x14ac:dyDescent="0.2">
      <c r="B49" s="4" t="s">
        <v>107</v>
      </c>
      <c r="C49" s="174" t="str">
        <f>sample_wld_cl01_az1_mgmt_vm_pg</f>
        <v>sfo-w01-cl01-vds01-pg-vm-mgmt</v>
      </c>
      <c r="D49" s="343" t="str">
        <f>wld_cl01_az1_mgmt_vm_pg</f>
        <v>Value Missing</v>
      </c>
      <c r="E49" s="319" t="s">
        <v>1041</v>
      </c>
    </row>
    <row r="50" spans="2:5" ht="20" customHeight="1" x14ac:dyDescent="0.2">
      <c r="B50" s="4" t="s">
        <v>109</v>
      </c>
      <c r="C50" s="174" t="str">
        <f>IF(wld_dpg_separation_result="Included",CONCATENATE(prefix_wld_az1_cidr,"10.135","/",INT(RIGHT(sample_wld_az1_mgmt_vm_cidr,LEN(sample_wld_az1_mgmt_vm_cidr)-FIND("/",sample_wld_az1_mgmt_vm_cidr)))),CONCATENATE(prefix_wld_az1_cidr,"11.135","/",INT(RIGHT(sample_wld_az1_mgmt_cidr,LEN(sample_wld_az1_mgmt_cidr)-FIND("/",sample_wld_az1_mgmt_cidr)))))</f>
        <v>10.13.10.135/24</v>
      </c>
      <c r="D50" s="347"/>
      <c r="E50" s="337"/>
    </row>
    <row r="51" spans="2:5" ht="20" customHeight="1" x14ac:dyDescent="0.2">
      <c r="B51" s="4" t="s">
        <v>110</v>
      </c>
      <c r="C51" s="174" t="str">
        <f>sample_wld_az1_mgmt_vm_gateway_ip</f>
        <v>10.13.10.1</v>
      </c>
      <c r="D51" s="337" t="str">
        <f>wld_az1_mgmt_vm_gateway_ip</f>
        <v>Value Missing</v>
      </c>
      <c r="E51" s="319" t="s">
        <v>1042</v>
      </c>
    </row>
    <row r="52" spans="2:5" ht="20" customHeight="1" x14ac:dyDescent="0.2">
      <c r="B52" s="4" t="s">
        <v>111</v>
      </c>
      <c r="C52" s="362" t="s">
        <v>112</v>
      </c>
      <c r="D52" s="94" t="s">
        <v>112</v>
      </c>
      <c r="E52" s="337"/>
    </row>
    <row r="53" spans="2:5" ht="20" customHeight="1" x14ac:dyDescent="0.2">
      <c r="B53" s="492" t="s">
        <v>1043</v>
      </c>
      <c r="C53" s="493"/>
      <c r="D53" s="493"/>
      <c r="E53" s="494"/>
    </row>
    <row r="54" spans="2:5" ht="20" customHeight="1" x14ac:dyDescent="0.2">
      <c r="B54" s="4" t="s">
        <v>114</v>
      </c>
      <c r="C54" s="362" t="s">
        <v>1044</v>
      </c>
      <c r="D54" s="94"/>
      <c r="E54" s="337"/>
    </row>
    <row r="55" spans="2:5" ht="20" customHeight="1" x14ac:dyDescent="0.2">
      <c r="B55" s="17" t="s">
        <v>114</v>
      </c>
      <c r="C55" s="362" t="s">
        <v>1045</v>
      </c>
      <c r="D55" s="94"/>
      <c r="E55" s="337"/>
    </row>
    <row r="56" spans="2:5" ht="20" customHeight="1" x14ac:dyDescent="0.2">
      <c r="B56" s="17" t="s">
        <v>117</v>
      </c>
      <c r="C56" s="362" t="s">
        <v>1045</v>
      </c>
      <c r="D56" s="94"/>
      <c r="E56" s="337"/>
    </row>
    <row r="57" spans="2:5" ht="20" customHeight="1" x14ac:dyDescent="0.2">
      <c r="B57" s="22" t="s">
        <v>117</v>
      </c>
      <c r="C57" s="362" t="s">
        <v>1044</v>
      </c>
      <c r="D57" s="94"/>
      <c r="E57" s="337"/>
    </row>
    <row r="58" spans="2:5" ht="20" customHeight="1" x14ac:dyDescent="0.2">
      <c r="B58" s="4" t="s">
        <v>118</v>
      </c>
      <c r="C58" s="80" t="str">
        <f>CONCATENATE(prefix_wld_az1_vlan,"19")</f>
        <v>1319</v>
      </c>
      <c r="D58" s="347"/>
      <c r="E58" s="337"/>
    </row>
    <row r="59" spans="2:5" ht="20" customHeight="1" x14ac:dyDescent="0.2">
      <c r="B59" s="4" t="s">
        <v>119</v>
      </c>
      <c r="C59" s="362" t="s">
        <v>120</v>
      </c>
      <c r="D59" s="94" t="s">
        <v>120</v>
      </c>
      <c r="E59" s="337"/>
    </row>
    <row r="60" spans="2:5" ht="20" customHeight="1" x14ac:dyDescent="0.2">
      <c r="B60" s="4" t="s">
        <v>121</v>
      </c>
      <c r="C60" s="89" t="str">
        <f>CONCATENATE(sample_wld_sddc_domain,"-ip-pool02-edge")</f>
        <v>sfo-w01-ip-pool02-edge</v>
      </c>
      <c r="D60" s="347"/>
      <c r="E60" s="337"/>
    </row>
    <row r="61" spans="2:5" ht="20" customHeight="1" x14ac:dyDescent="0.2">
      <c r="B61" s="4" t="s">
        <v>122</v>
      </c>
      <c r="C61" s="80" t="str">
        <f>CONCATENATE(prefix_wld_az1_cidr,"19.2")</f>
        <v>10.13.19.2</v>
      </c>
      <c r="D61" s="347"/>
      <c r="E61" s="337"/>
    </row>
    <row r="62" spans="2:5" ht="20" customHeight="1" x14ac:dyDescent="0.2">
      <c r="B62" s="4" t="s">
        <v>123</v>
      </c>
      <c r="C62" s="80" t="str">
        <f>CONCATENATE(prefix_wld_az1_cidr,"19.5")</f>
        <v>10.13.19.5</v>
      </c>
      <c r="D62" s="347"/>
      <c r="E62" s="337"/>
    </row>
    <row r="63" spans="2:5" ht="20" customHeight="1" x14ac:dyDescent="0.2">
      <c r="B63" s="4" t="s">
        <v>124</v>
      </c>
      <c r="C63" s="89" t="str">
        <f>CONCATENATE(prefix_wld_az1_cidr,"19.2")</f>
        <v>10.13.19.2</v>
      </c>
      <c r="D63" s="347"/>
      <c r="E63" s="337" t="s">
        <v>1046</v>
      </c>
    </row>
    <row r="64" spans="2:5" ht="20" customHeight="1" x14ac:dyDescent="0.2">
      <c r="B64" s="4" t="s">
        <v>125</v>
      </c>
      <c r="C64" s="89" t="str">
        <f>CONCATENATE(prefix_wld_az1_cidr,"19.3")</f>
        <v>10.13.19.3</v>
      </c>
      <c r="D64" s="347"/>
      <c r="E64" s="337" t="s">
        <v>1047</v>
      </c>
    </row>
    <row r="65" spans="2:5" ht="20" customHeight="1" x14ac:dyDescent="0.2">
      <c r="B65" s="4" t="s">
        <v>126</v>
      </c>
      <c r="C65" s="80" t="str">
        <f>CONCATENATE(prefix_wld_az1_cidr,"19.1")</f>
        <v>10.13.19.1</v>
      </c>
      <c r="D65" s="347"/>
      <c r="E65" s="337"/>
    </row>
    <row r="66" spans="2:5" ht="20" customHeight="1" x14ac:dyDescent="0.2">
      <c r="B66" s="4" t="s">
        <v>127</v>
      </c>
      <c r="C66" s="362" t="s">
        <v>128</v>
      </c>
      <c r="D66" s="94"/>
      <c r="E66" s="337"/>
    </row>
    <row r="67" spans="2:5" ht="20" customHeight="1" x14ac:dyDescent="0.2">
      <c r="B67" s="511" t="s">
        <v>129</v>
      </c>
      <c r="C67" s="512"/>
      <c r="D67" s="512"/>
      <c r="E67" s="513"/>
    </row>
    <row r="68" spans="2:5" ht="20" customHeight="1" x14ac:dyDescent="0.2">
      <c r="B68" s="4" t="s">
        <v>130</v>
      </c>
      <c r="C68" s="89" t="str">
        <f>CONCATENATE(this_instance,"-w0",wld_domain_number_chosen,"-en01b",".",sample_child_dns_zone)</f>
        <v>sfo-w01-en01b.sfo.rainpole.io</v>
      </c>
      <c r="D68" s="347"/>
      <c r="E68" s="337"/>
    </row>
    <row r="69" spans="2:5" ht="20" customHeight="1" x14ac:dyDescent="0.2">
      <c r="B69" s="4" t="s">
        <v>96</v>
      </c>
      <c r="C69" s="362" t="str">
        <f>sample_wld_cl01_cluster</f>
        <v>sfo-w01-cl01</v>
      </c>
      <c r="D69" s="343" t="str">
        <f>wld_cl01_cluster</f>
        <v>Value Missing</v>
      </c>
      <c r="E69" s="319" t="s">
        <v>1037</v>
      </c>
    </row>
    <row r="70" spans="2:5" ht="20" customHeight="1" x14ac:dyDescent="0.2">
      <c r="B70" s="4" t="s">
        <v>98</v>
      </c>
      <c r="C70" s="362" t="str">
        <f>sample_wld_ec_rp_name</f>
        <v>sfo-w01-cl01-rp-ec01</v>
      </c>
      <c r="D70" s="343" t="str">
        <f>wld_ec_rp_name</f>
        <v>Value Missing</v>
      </c>
      <c r="E70" s="319" t="s">
        <v>99</v>
      </c>
    </row>
    <row r="71" spans="2:5" ht="20" customHeight="1" x14ac:dyDescent="0.2">
      <c r="B71" s="4" t="s">
        <v>100</v>
      </c>
      <c r="C71" s="362" t="s">
        <v>101</v>
      </c>
      <c r="D71" s="343" t="str">
        <f>wld_ec01_host_group_affinity_rule_chosen</f>
        <v>No</v>
      </c>
      <c r="E71" s="337" t="s">
        <v>1048</v>
      </c>
    </row>
    <row r="72" spans="2:5" ht="20" customHeight="1" x14ac:dyDescent="0.2">
      <c r="B72" s="4" t="s">
        <v>102</v>
      </c>
      <c r="C72" s="362" t="str">
        <f>CONCATENATE(sample_wld_sddc_domain,"-host-group-affinity-rule-ec01-en01b")</f>
        <v>sfo-w01-host-group-affinity-rule-ec01-en01b</v>
      </c>
      <c r="D72" s="94"/>
      <c r="E72" s="337" t="s">
        <v>1049</v>
      </c>
    </row>
    <row r="73" spans="2:5" ht="20" customHeight="1" x14ac:dyDescent="0.2">
      <c r="B73" s="4" t="s">
        <v>1039</v>
      </c>
      <c r="C73" s="362" t="str">
        <f>sample_wld_cl01_vsan_datastore</f>
        <v>sfo-w01-sfo-w01-cl01-vsan01</v>
      </c>
      <c r="D73" s="343" t="str">
        <f>wld_cl01_vsan_datastore</f>
        <v>Value Missing</v>
      </c>
      <c r="E73" s="319" t="s">
        <v>1040</v>
      </c>
    </row>
    <row r="74" spans="2:5" ht="20" customHeight="1" x14ac:dyDescent="0.2">
      <c r="B74" s="4" t="s">
        <v>105</v>
      </c>
      <c r="C74" s="89" t="s">
        <v>106</v>
      </c>
      <c r="D74" s="337" t="s">
        <v>106</v>
      </c>
      <c r="E74" s="286"/>
    </row>
    <row r="75" spans="2:5" ht="20" customHeight="1" x14ac:dyDescent="0.2">
      <c r="B75" s="4" t="s">
        <v>107</v>
      </c>
      <c r="C75" s="89" t="str">
        <f>sample_wld_cl01_az1_mgmt_vm_pg</f>
        <v>sfo-w01-cl01-vds01-pg-vm-mgmt</v>
      </c>
      <c r="D75" s="337" t="str">
        <f>wld_cl01_az1_mgmt_vm_pg</f>
        <v>Value Missing</v>
      </c>
      <c r="E75" s="319" t="s">
        <v>1041</v>
      </c>
    </row>
    <row r="76" spans="2:5" ht="20" customHeight="1" x14ac:dyDescent="0.2">
      <c r="B76" s="4" t="s">
        <v>133</v>
      </c>
      <c r="C76" s="89" t="str">
        <f>IF(wld_dpg_separation_result="Included",CONCATENATE(prefix_wld_az1_cidr,"10.136","/",INT(RIGHT(sample_wld_az1_mgmt_vm_cidr,LEN(sample_wld_az1_mgmt_vm_cidr)-FIND("/",sample_wld_az1_mgmt_vm_cidr)))),CONCATENATE(prefix_wld_az1_cidr,"11.136","/",INT(RIGHT(sample_wld_az1_mgmt_cidr,LEN(sample_wld_az1_mgmt_cidr)-FIND("/",sample_wld_az1_mgmt_cidr)))))</f>
        <v>10.13.10.136/24</v>
      </c>
      <c r="D76" s="94"/>
      <c r="E76" s="337"/>
    </row>
    <row r="77" spans="2:5" ht="20" customHeight="1" x14ac:dyDescent="0.2">
      <c r="B77" s="4" t="s">
        <v>134</v>
      </c>
      <c r="C77" s="362" t="str">
        <f>sample_wld_az1_mgmt_vm_gateway_ip</f>
        <v>10.13.10.1</v>
      </c>
      <c r="D77" s="343" t="str">
        <f>wld_az1_mgmt_vm_gateway_ip</f>
        <v>Value Missing</v>
      </c>
      <c r="E77" s="319" t="s">
        <v>1042</v>
      </c>
    </row>
    <row r="78" spans="2:5" ht="20" customHeight="1" x14ac:dyDescent="0.2">
      <c r="B78" s="4" t="s">
        <v>111</v>
      </c>
      <c r="C78" s="362" t="s">
        <v>145</v>
      </c>
      <c r="D78" s="343" t="str">
        <f>wld_ec01_use_host_overlay_chosen</f>
        <v xml:space="preserve">Unselected </v>
      </c>
      <c r="E78" s="153" t="s">
        <v>1050</v>
      </c>
    </row>
    <row r="79" spans="2:5" ht="20" customHeight="1" x14ac:dyDescent="0.2">
      <c r="B79" s="492" t="s">
        <v>1043</v>
      </c>
      <c r="C79" s="493"/>
      <c r="D79" s="493"/>
      <c r="E79" s="494"/>
    </row>
    <row r="80" spans="2:5" ht="20" customHeight="1" x14ac:dyDescent="0.2">
      <c r="B80" s="4" t="s">
        <v>114</v>
      </c>
      <c r="C80" s="362" t="s">
        <v>1044</v>
      </c>
      <c r="D80" s="94"/>
      <c r="E80" s="337" t="s">
        <v>115</v>
      </c>
    </row>
    <row r="81" spans="2:5" ht="20" customHeight="1" x14ac:dyDescent="0.2">
      <c r="B81" s="17" t="s">
        <v>114</v>
      </c>
      <c r="C81" s="362" t="s">
        <v>1045</v>
      </c>
      <c r="D81" s="94"/>
      <c r="E81" s="337" t="s">
        <v>116</v>
      </c>
    </row>
    <row r="82" spans="2:5" ht="20" customHeight="1" x14ac:dyDescent="0.2">
      <c r="B82" s="17" t="s">
        <v>117</v>
      </c>
      <c r="C82" s="362" t="s">
        <v>1044</v>
      </c>
      <c r="D82" s="94"/>
      <c r="E82" s="337" t="s">
        <v>115</v>
      </c>
    </row>
    <row r="83" spans="2:5" ht="20" customHeight="1" x14ac:dyDescent="0.2">
      <c r="B83" s="22" t="s">
        <v>117</v>
      </c>
      <c r="C83" s="362" t="s">
        <v>1045</v>
      </c>
      <c r="D83" s="94"/>
      <c r="E83" s="337" t="s">
        <v>116</v>
      </c>
    </row>
    <row r="84" spans="2:5" ht="20" customHeight="1" x14ac:dyDescent="0.2">
      <c r="B84" s="4" t="s">
        <v>118</v>
      </c>
      <c r="C84" s="80" t="str">
        <f>sample_wld_az1_edge_overlay_vlan</f>
        <v>1319</v>
      </c>
      <c r="D84" s="337" t="str">
        <f>wld_az1_edge_overlay_vlan</f>
        <v>Value Missing</v>
      </c>
      <c r="E84" s="337"/>
    </row>
    <row r="85" spans="2:5" ht="20" customHeight="1" x14ac:dyDescent="0.2">
      <c r="B85" s="4" t="s">
        <v>119</v>
      </c>
      <c r="C85" s="362" t="s">
        <v>120</v>
      </c>
      <c r="D85" s="343" t="str">
        <f>wld_az1_en1_edge_overlay_network_ip_allocation_chosen</f>
        <v>Static IP List</v>
      </c>
      <c r="E85" s="153" t="s">
        <v>1050</v>
      </c>
    </row>
    <row r="86" spans="2:5" ht="20" customHeight="1" x14ac:dyDescent="0.2">
      <c r="B86" s="4" t="s">
        <v>121</v>
      </c>
      <c r="C86" s="362" t="str">
        <f>sample_wld_az1_edge_overlay_network_pool_name</f>
        <v>sfo-w01-ip-pool02-edge</v>
      </c>
      <c r="D86" s="343" t="str">
        <f>wld_az1_edge_overlay_network_pool_name</f>
        <v>Value Missing</v>
      </c>
      <c r="E86" s="337"/>
    </row>
    <row r="87" spans="2:5" ht="20" customHeight="1" x14ac:dyDescent="0.2">
      <c r="B87" s="4" t="s">
        <v>1051</v>
      </c>
      <c r="C87" s="89" t="str">
        <f>CONCATENATE(prefix_wld_az1_cidr,"19.4")</f>
        <v>10.13.19.4</v>
      </c>
      <c r="D87" s="347"/>
      <c r="E87" s="337" t="s">
        <v>1052</v>
      </c>
    </row>
    <row r="88" spans="2:5" ht="20" customHeight="1" x14ac:dyDescent="0.2">
      <c r="B88" s="4" t="s">
        <v>1053</v>
      </c>
      <c r="C88" s="89" t="str">
        <f>CONCATENATE(prefix_wld_az1_cidr,"19.5")</f>
        <v>10.13.19.5</v>
      </c>
      <c r="D88" s="347"/>
      <c r="E88" s="337" t="s">
        <v>1054</v>
      </c>
    </row>
    <row r="89" spans="2:5" ht="20" customHeight="1" x14ac:dyDescent="0.2">
      <c r="B89" s="4" t="s">
        <v>126</v>
      </c>
      <c r="C89" s="362" t="str">
        <f>sample_wld_az1_edge_overlay_gateway_ip</f>
        <v>10.13.19.1</v>
      </c>
      <c r="D89" s="337" t="str">
        <f>wld_az1_edge_overlay_gateway_ip</f>
        <v>Value Missing</v>
      </c>
      <c r="E89" s="337"/>
    </row>
    <row r="90" spans="2:5" ht="20" customHeight="1" x14ac:dyDescent="0.2">
      <c r="B90" s="4" t="s">
        <v>127</v>
      </c>
      <c r="C90" s="362" t="str">
        <f>sample_wld_az1_edge_overlay_mask</f>
        <v>255.255.255.0</v>
      </c>
      <c r="D90" s="343" t="str">
        <f>wld_az1_edge_overlay_mask</f>
        <v>Value Missing</v>
      </c>
      <c r="E90" s="153" t="s">
        <v>1050</v>
      </c>
    </row>
    <row r="91" spans="2:5" ht="20" customHeight="1" x14ac:dyDescent="0.2">
      <c r="B91" s="4" t="s">
        <v>139</v>
      </c>
      <c r="C91" s="362" t="s">
        <v>112</v>
      </c>
      <c r="D91" s="94" t="s">
        <v>112</v>
      </c>
      <c r="E91" s="337"/>
    </row>
    <row r="92" spans="2:5" ht="20" customHeight="1" x14ac:dyDescent="0.2">
      <c r="B92" s="4" t="s">
        <v>140</v>
      </c>
      <c r="C92" s="362" t="s">
        <v>141</v>
      </c>
      <c r="D92" s="347"/>
      <c r="E92" s="337"/>
    </row>
    <row r="93" spans="2:5" ht="20" customHeight="1" x14ac:dyDescent="0.2">
      <c r="B93" s="4" t="s">
        <v>142</v>
      </c>
      <c r="C93" s="362" t="s">
        <v>141</v>
      </c>
      <c r="D93" s="347"/>
      <c r="E93" s="337"/>
    </row>
    <row r="94" spans="2:5" ht="20" customHeight="1" x14ac:dyDescent="0.2">
      <c r="B94" s="492" t="s">
        <v>143</v>
      </c>
      <c r="C94" s="493"/>
      <c r="D94" s="493"/>
      <c r="E94" s="494"/>
    </row>
    <row r="95" spans="2:5" ht="20" customHeight="1" x14ac:dyDescent="0.2">
      <c r="B95" s="4" t="s">
        <v>144</v>
      </c>
      <c r="C95" s="362" t="str">
        <f>IF(AND(OR(wld_nsxt_federation_chosen="Standby Global Manager",wld_nsxt_federation_chosen="Connect Instance"),(wld_bgp_chosen="Centralized Connectivity")),"Selected","Unselected")</f>
        <v>Unselected</v>
      </c>
      <c r="D95" s="347" t="s">
        <v>145</v>
      </c>
      <c r="E95" s="4" t="str">
        <f>IF(AND(OR(wld_nsxt_federation_chosen="Standby Global Manager",wld_nsxt_federation_chosen="Connect Instance"),(wld_bgp_chosen="Centralized Connectivity")),"Skip Gateway and Routing Configuration as stretched T0 will be configured as part of NSX Federation configuration","")</f>
        <v/>
      </c>
    </row>
    <row r="96" spans="2:5" ht="20" customHeight="1" x14ac:dyDescent="0.2">
      <c r="B96" s="4" t="s">
        <v>146</v>
      </c>
      <c r="C96" s="126" t="str">
        <f>CONCATENATE(this_instance,"-w0",wld_domain_number_chosen,"-ec01-t0-gw01")</f>
        <v>sfo-w01-ec01-t0-gw01</v>
      </c>
      <c r="D96" s="347"/>
      <c r="E96" s="4"/>
    </row>
    <row r="97" spans="2:5" ht="20" customHeight="1" x14ac:dyDescent="0.2">
      <c r="B97" s="4" t="s">
        <v>147</v>
      </c>
      <c r="C97" s="362" t="s">
        <v>1055</v>
      </c>
      <c r="D97" s="94" t="s">
        <v>1055</v>
      </c>
      <c r="E97" s="4" t="str">
        <f>IF(wld_iaas_result="Included","vSphere Supervisor requires a Active Standby Gateway Configuration","")</f>
        <v/>
      </c>
    </row>
    <row r="98" spans="2:5" ht="20" customHeight="1" x14ac:dyDescent="0.2">
      <c r="B98" s="4" t="s">
        <v>149</v>
      </c>
      <c r="C98" s="362" t="s">
        <v>150</v>
      </c>
      <c r="D98" s="94" t="s">
        <v>150</v>
      </c>
      <c r="E98" s="4"/>
    </row>
    <row r="99" spans="2:5" ht="20" customHeight="1" x14ac:dyDescent="0.2">
      <c r="B99" s="4" t="s">
        <v>151</v>
      </c>
      <c r="C99" s="80" t="str">
        <f>IF(mgmt_domain_chosen="First Instance","65102","65202")</f>
        <v>65102</v>
      </c>
      <c r="D99" s="347"/>
      <c r="E99" s="4"/>
    </row>
    <row r="100" spans="2:5" ht="20" customHeight="1" x14ac:dyDescent="0.2">
      <c r="B100" s="492" t="s">
        <v>152</v>
      </c>
      <c r="C100" s="493"/>
      <c r="D100" s="493"/>
      <c r="E100" s="494"/>
    </row>
    <row r="101" spans="2:5" ht="20" customHeight="1" x14ac:dyDescent="0.2">
      <c r="B101" s="351" t="s">
        <v>153</v>
      </c>
      <c r="C101" s="80" t="str">
        <f>CONCATENATE(prefix_wld_az1_vlan,"17")</f>
        <v>1317</v>
      </c>
      <c r="D101" s="347"/>
      <c r="E101" s="337" t="s">
        <v>154</v>
      </c>
    </row>
    <row r="102" spans="2:5" ht="20" customHeight="1" x14ac:dyDescent="0.2">
      <c r="B102" s="351" t="s">
        <v>155</v>
      </c>
      <c r="C102" s="89" t="str">
        <f>CONCATENATE(prefix_wld_az1_cidr,"17.2","/",INT(RIGHT(sample_wld_az1_uplink01_cidr,LEN(sample_wld_az1_uplink01_cidr)-FIND("/",sample_wld_az1_uplink01_cidr))))</f>
        <v>10.13.17.2/24</v>
      </c>
      <c r="D102" s="347"/>
      <c r="E102" s="337" t="s">
        <v>1056</v>
      </c>
    </row>
    <row r="103" spans="2:5" ht="20" customHeight="1" x14ac:dyDescent="0.2">
      <c r="B103" s="351" t="s">
        <v>157</v>
      </c>
      <c r="C103" s="80" t="str">
        <f>CONCATENATE(prefix_wld_az1_cidr,"17.10")</f>
        <v>10.13.17.10</v>
      </c>
      <c r="D103" s="347"/>
      <c r="E103" s="337" t="s">
        <v>168</v>
      </c>
    </row>
    <row r="104" spans="2:5" ht="20" customHeight="1" x14ac:dyDescent="0.2">
      <c r="B104" s="351" t="s">
        <v>158</v>
      </c>
      <c r="C104" s="362" t="s">
        <v>159</v>
      </c>
      <c r="D104" s="347" t="s">
        <v>159</v>
      </c>
      <c r="E104" s="345"/>
    </row>
    <row r="105" spans="2:5" ht="20" customHeight="1" x14ac:dyDescent="0.2">
      <c r="B105" s="351" t="s">
        <v>160</v>
      </c>
      <c r="C105" s="80">
        <v>9000</v>
      </c>
      <c r="D105" s="347"/>
      <c r="E105" s="345"/>
    </row>
    <row r="106" spans="2:5" ht="20" customHeight="1" x14ac:dyDescent="0.2">
      <c r="B106" s="351" t="s">
        <v>161</v>
      </c>
      <c r="C106" s="80" t="str">
        <f>IF(wld_domain_chosen="First Domain",CONCATENATE(asn_start,asn_instance,asn_wld_az1,1),IF(wld_nsxt_federation_result="Included",CONCATENATE(asn_start,asn_instance,asn_wld_az1,1),CONCATENATE(asn_start,asn_instance,asn_wld_az1,1)))</f>
        <v>65131</v>
      </c>
      <c r="D106" s="347"/>
      <c r="E106" s="345"/>
    </row>
    <row r="107" spans="2:5" ht="20" customHeight="1" x14ac:dyDescent="0.2">
      <c r="B107" s="351" t="s">
        <v>162</v>
      </c>
      <c r="C107" s="80" t="s">
        <v>30</v>
      </c>
      <c r="D107" s="347"/>
      <c r="E107" s="345"/>
    </row>
    <row r="108" spans="2:5" ht="20" customHeight="1" x14ac:dyDescent="0.2">
      <c r="B108" s="351" t="s">
        <v>163</v>
      </c>
      <c r="C108" s="80" t="str">
        <f>CONCATENATE(prefix_wld_az1_vlan,"18")</f>
        <v>1318</v>
      </c>
      <c r="D108" s="347"/>
      <c r="E108" s="345" t="s">
        <v>164</v>
      </c>
    </row>
    <row r="109" spans="2:5" ht="20" customHeight="1" x14ac:dyDescent="0.2">
      <c r="B109" s="351" t="s">
        <v>155</v>
      </c>
      <c r="C109" s="89" t="str">
        <f>CONCATENATE(prefix_wld_az1_cidr,"18.2","/",INT(RIGHT(sample_wld_az1_uplink02_cidr,LEN(sample_wld_az1_uplink02_cidr)-FIND("/",sample_wld_az1_uplink02_cidr))))</f>
        <v>10.13.18.2/24</v>
      </c>
      <c r="D109" s="347"/>
      <c r="E109" s="345" t="s">
        <v>1057</v>
      </c>
    </row>
    <row r="110" spans="2:5" ht="20" customHeight="1" x14ac:dyDescent="0.2">
      <c r="B110" s="351" t="s">
        <v>157</v>
      </c>
      <c r="C110" s="80" t="str">
        <f>CONCATENATE(prefix_wld_az1_cidr,"18.10")</f>
        <v>10.13.18.10</v>
      </c>
      <c r="D110" s="347"/>
      <c r="E110" s="345" t="s">
        <v>1058</v>
      </c>
    </row>
    <row r="111" spans="2:5" ht="20" customHeight="1" x14ac:dyDescent="0.2">
      <c r="B111" s="351" t="s">
        <v>158</v>
      </c>
      <c r="C111" s="362" t="s">
        <v>159</v>
      </c>
      <c r="D111" s="337" t="str">
        <f>wld_en01_bfd_chosen</f>
        <v>Selected</v>
      </c>
      <c r="E111" s="345"/>
    </row>
    <row r="112" spans="2:5" ht="20" customHeight="1" x14ac:dyDescent="0.2">
      <c r="B112" s="351" t="s">
        <v>160</v>
      </c>
      <c r="C112" s="80">
        <v>9000</v>
      </c>
      <c r="D112" s="347"/>
      <c r="E112" s="345"/>
    </row>
    <row r="113" spans="2:5" ht="20" customHeight="1" x14ac:dyDescent="0.2">
      <c r="B113" s="351" t="s">
        <v>161</v>
      </c>
      <c r="C113" s="80" t="str">
        <f>IF(wld_domain_chosen="First Domain",CONCATENATE(asn_start,asn_instance,asn_wld_az1,1),IF(wld_nsxt_federation_result="Included",CONCATENATE(asn_start,asn_instance,asn_wld_az1,1),CONCATENATE(asn_start,asn_instance,asn_wld_az1,1)))</f>
        <v>65131</v>
      </c>
      <c r="D113" s="347"/>
      <c r="E113" s="337"/>
    </row>
    <row r="114" spans="2:5" ht="20" customHeight="1" x14ac:dyDescent="0.2">
      <c r="B114" s="351" t="s">
        <v>162</v>
      </c>
      <c r="C114" s="80" t="s">
        <v>30</v>
      </c>
      <c r="D114" s="347"/>
      <c r="E114" s="337"/>
    </row>
    <row r="115" spans="2:5" ht="20" customHeight="1" x14ac:dyDescent="0.2">
      <c r="B115" s="492" t="s">
        <v>166</v>
      </c>
      <c r="C115" s="493"/>
      <c r="D115" s="493"/>
      <c r="E115" s="494"/>
    </row>
    <row r="116" spans="2:5" ht="20" customHeight="1" x14ac:dyDescent="0.2">
      <c r="B116" s="17" t="s">
        <v>153</v>
      </c>
      <c r="C116" s="362" t="str">
        <f>sample_wld_az1_uplink01_vlan</f>
        <v>1317</v>
      </c>
      <c r="D116" s="343" t="str">
        <f>wld_az1_uplink01_vlan</f>
        <v>Value Missing</v>
      </c>
      <c r="E116" s="153" t="s">
        <v>154</v>
      </c>
    </row>
    <row r="117" spans="2:5" ht="20" customHeight="1" x14ac:dyDescent="0.2">
      <c r="B117" s="17" t="s">
        <v>155</v>
      </c>
      <c r="C117" s="89" t="str">
        <f>CONCATENATE(prefix_wld_az1_cidr,"17.3","/",INT(RIGHT(sample_wld_az1_uplink01_cidr,LEN(sample_wld_az1_uplink01_cidr)-FIND("/",sample_wld_az1_uplink01_cidr))))</f>
        <v>10.13.17.3/24</v>
      </c>
      <c r="D117" s="347"/>
      <c r="E117" s="337" t="s">
        <v>167</v>
      </c>
    </row>
    <row r="118" spans="2:5" ht="20" customHeight="1" x14ac:dyDescent="0.2">
      <c r="B118" s="17" t="s">
        <v>157</v>
      </c>
      <c r="C118" s="362" t="str">
        <f>sample_wld_az1_tor1_peer_ip</f>
        <v>10.13.17.10</v>
      </c>
      <c r="D118" s="343" t="str">
        <f>wld_az1_tor1_peer_ip</f>
        <v>Value Missing</v>
      </c>
      <c r="E118" s="337" t="s">
        <v>168</v>
      </c>
    </row>
    <row r="119" spans="2:5" ht="20" customHeight="1" x14ac:dyDescent="0.2">
      <c r="B119" s="17" t="s">
        <v>158</v>
      </c>
      <c r="C119" s="362" t="s">
        <v>159</v>
      </c>
      <c r="D119" s="347" t="s">
        <v>159</v>
      </c>
      <c r="E119" s="253" t="s">
        <v>1050</v>
      </c>
    </row>
    <row r="120" spans="2:5" ht="20" customHeight="1" x14ac:dyDescent="0.2">
      <c r="B120" s="17" t="s">
        <v>160</v>
      </c>
      <c r="C120" s="362">
        <f>sample_wld_az1_uplink01_mtu</f>
        <v>9000</v>
      </c>
      <c r="D120" s="305" t="str">
        <f>wld_az1_uplink01_mtu</f>
        <v>Value Missing</v>
      </c>
      <c r="E120" s="253" t="s">
        <v>1050</v>
      </c>
    </row>
    <row r="121" spans="2:5" ht="20" customHeight="1" x14ac:dyDescent="0.2">
      <c r="B121" s="17" t="s">
        <v>161</v>
      </c>
      <c r="C121" s="362" t="str">
        <f>sample_wld_az1_tor1_peer_asn</f>
        <v>65131</v>
      </c>
      <c r="D121" s="343" t="str">
        <f>wld_az1_tor1_peer_asn</f>
        <v>Value Missing</v>
      </c>
      <c r="E121" s="253" t="s">
        <v>1050</v>
      </c>
    </row>
    <row r="122" spans="2:5" ht="20" customHeight="1" x14ac:dyDescent="0.2">
      <c r="B122" s="17" t="s">
        <v>162</v>
      </c>
      <c r="C122" s="362" t="str">
        <f>sample_wld_az1_tor1_peer_bgp_password</f>
        <v>VMw@re1!</v>
      </c>
      <c r="D122" s="343" t="str">
        <f>wld_az1_tor1_peer_bgp_password</f>
        <v>Value Missing</v>
      </c>
      <c r="E122" s="253" t="s">
        <v>1050</v>
      </c>
    </row>
    <row r="123" spans="2:5" ht="20" customHeight="1" x14ac:dyDescent="0.2">
      <c r="B123" s="17" t="s">
        <v>163</v>
      </c>
      <c r="C123" s="362" t="str">
        <f>sample_wld_az1_uplink02_vlan</f>
        <v>1318</v>
      </c>
      <c r="D123" s="343" t="str">
        <f>wld_az1_uplink02_vlan</f>
        <v>Value Missing</v>
      </c>
      <c r="E123" s="337" t="s">
        <v>164</v>
      </c>
    </row>
    <row r="124" spans="2:5" ht="20" customHeight="1" x14ac:dyDescent="0.2">
      <c r="B124" s="17" t="s">
        <v>155</v>
      </c>
      <c r="C124" s="89" t="str">
        <f>CONCATENATE(prefix_wld_az1_cidr,"18.3","/",INT(RIGHT(sample_wld_az1_uplink02_cidr,LEN(sample_wld_az1_uplink02_cidr)-FIND("/",sample_wld_az1_uplink02_cidr))))</f>
        <v>10.13.18.3/24</v>
      </c>
      <c r="D124" s="347"/>
      <c r="E124" s="337" t="s">
        <v>165</v>
      </c>
    </row>
    <row r="125" spans="2:5" ht="20" customHeight="1" x14ac:dyDescent="0.2">
      <c r="B125" s="17" t="s">
        <v>157</v>
      </c>
      <c r="C125" s="362" t="str">
        <f>sample_wld_az1_tor2_peer_ip</f>
        <v>10.13.18.10</v>
      </c>
      <c r="D125" s="343" t="str">
        <f>wld_az1_tor2_peer_ip</f>
        <v>Value Missing</v>
      </c>
      <c r="E125" s="337" t="s">
        <v>1059</v>
      </c>
    </row>
    <row r="126" spans="2:5" ht="20" customHeight="1" x14ac:dyDescent="0.2">
      <c r="B126" s="17" t="s">
        <v>158</v>
      </c>
      <c r="C126" s="362" t="s">
        <v>159</v>
      </c>
      <c r="D126" s="337" t="str">
        <f>wld_en02_bfd_chosen</f>
        <v>Selected</v>
      </c>
      <c r="E126" s="302"/>
    </row>
    <row r="127" spans="2:5" ht="20" customHeight="1" x14ac:dyDescent="0.2">
      <c r="B127" s="17" t="s">
        <v>160</v>
      </c>
      <c r="C127" s="362">
        <f>sample_wld_az1_uplink02_mtu</f>
        <v>9000</v>
      </c>
      <c r="D127" s="305" t="str">
        <f>wld_az1_uplink02_mtu</f>
        <v>Value Missing</v>
      </c>
      <c r="E127" s="345" t="s">
        <v>1050</v>
      </c>
    </row>
    <row r="128" spans="2:5" ht="20" customHeight="1" x14ac:dyDescent="0.2">
      <c r="B128" s="17" t="s">
        <v>161</v>
      </c>
      <c r="C128" s="362" t="str">
        <f>sample_wld_az1_tor2_peer_asn</f>
        <v>65131</v>
      </c>
      <c r="D128" s="343" t="str">
        <f>wld_az1_tor2_peer_asn</f>
        <v>Value Missing</v>
      </c>
      <c r="E128" s="345" t="s">
        <v>1050</v>
      </c>
    </row>
    <row r="129" spans="2:5" ht="20" customHeight="1" x14ac:dyDescent="0.2">
      <c r="B129" s="17" t="s">
        <v>162</v>
      </c>
      <c r="C129" s="362" t="str">
        <f>sample_wld_az1_tor2_peer_bgp_password</f>
        <v>VMw@re1!</v>
      </c>
      <c r="D129" s="343" t="str">
        <f>wld_az1_tor2_peer_bgp_password</f>
        <v>Value Missing</v>
      </c>
      <c r="E129" s="345" t="s">
        <v>1050</v>
      </c>
    </row>
    <row r="130" spans="2:5" ht="20" customHeight="1" x14ac:dyDescent="0.2">
      <c r="B130" s="465" t="s">
        <v>174</v>
      </c>
      <c r="C130" s="518"/>
      <c r="D130" s="466"/>
      <c r="E130" s="467"/>
    </row>
    <row r="131" spans="2:5" ht="20" customHeight="1" x14ac:dyDescent="0.2">
      <c r="B131" s="4" t="s">
        <v>175</v>
      </c>
      <c r="C131" s="362" t="s">
        <v>1060</v>
      </c>
      <c r="D131" s="94"/>
      <c r="E131" s="337" t="s">
        <v>177</v>
      </c>
    </row>
    <row r="132" spans="2:5" ht="20" customHeight="1" x14ac:dyDescent="0.2">
      <c r="B132" s="4" t="s">
        <v>178</v>
      </c>
      <c r="C132" s="362" t="str">
        <f>sample_wld_cl01_supervisor_private_transit_gateway_cidr</f>
        <v>172.25.0.0/16</v>
      </c>
      <c r="D132" s="347"/>
      <c r="E132" s="337" t="s">
        <v>1061</v>
      </c>
    </row>
    <row r="133" spans="2:5" ht="20" customHeight="1" x14ac:dyDescent="0.2">
      <c r="B133" s="465" t="s">
        <v>181</v>
      </c>
      <c r="C133" s="466"/>
      <c r="D133" s="466"/>
      <c r="E133" s="467"/>
    </row>
    <row r="134" spans="2:5" ht="20" customHeight="1" x14ac:dyDescent="0.2">
      <c r="B134" s="4" t="s">
        <v>182</v>
      </c>
      <c r="C134" s="80" t="s">
        <v>183</v>
      </c>
      <c r="D134" s="355" t="s">
        <v>183</v>
      </c>
      <c r="E134" s="4" t="str">
        <f>IF(wld_ec_api_chosen="Exclude","","Use the JSON Generator to create the JSON Spec - PATCH https://sfo-w01-nsx01.sfo.rainpole.io/policy/api/v1/infra")</f>
        <v>Use the JSON Generator to create the JSON Spec - PATCH https://sfo-w01-nsx01.sfo.rainpole.io/policy/api/v1/infra</v>
      </c>
    </row>
    <row r="135" spans="2:5" ht="20" customHeight="1" x14ac:dyDescent="0.2">
      <c r="B135" s="492" t="s">
        <v>184</v>
      </c>
      <c r="C135" s="493"/>
      <c r="D135" s="493"/>
      <c r="E135" s="494"/>
    </row>
    <row r="136" spans="2:5" ht="20" customHeight="1" x14ac:dyDescent="0.2">
      <c r="B136" s="4" t="s">
        <v>185</v>
      </c>
      <c r="C136" s="80" t="str">
        <f>CONCATENATE(sample_wld_sddc_domain,"-cl01-vds01","-pg-uplink01")</f>
        <v>sfo-w01-cl01-vds01-pg-uplink01</v>
      </c>
      <c r="D136" s="347"/>
      <c r="E136" s="33" t="s">
        <v>1062</v>
      </c>
    </row>
    <row r="137" spans="2:5" ht="20" customHeight="1" x14ac:dyDescent="0.2">
      <c r="B137" s="4" t="s">
        <v>187</v>
      </c>
      <c r="C137" s="80" t="str">
        <f>CONCATENATE(prefix_wld_az1_cidr,"17.1")</f>
        <v>10.13.17.1</v>
      </c>
      <c r="D137" s="347"/>
      <c r="E137" s="32"/>
    </row>
    <row r="138" spans="2:5" ht="20" customHeight="1" x14ac:dyDescent="0.2">
      <c r="B138" s="4" t="s">
        <v>188</v>
      </c>
      <c r="C138" s="80" t="str">
        <f>CONCATENATE(prefix_wld_az1_cidr,"17.0/24")</f>
        <v>10.13.17.0/24</v>
      </c>
      <c r="D138" s="347"/>
      <c r="E138" s="32"/>
    </row>
    <row r="139" spans="2:5" ht="20" customHeight="1" x14ac:dyDescent="0.2">
      <c r="B139" s="492" t="s">
        <v>189</v>
      </c>
      <c r="C139" s="493"/>
      <c r="D139" s="493"/>
      <c r="E139" s="494"/>
    </row>
    <row r="140" spans="2:5" ht="20" customHeight="1" x14ac:dyDescent="0.2">
      <c r="B140" s="4" t="s">
        <v>185</v>
      </c>
      <c r="C140" s="80" t="str">
        <f>CONCATENATE(sample_wld_sddc_domain,"-cl01-vds01","-pg-uplink02")</f>
        <v>sfo-w01-cl01-vds01-pg-uplink02</v>
      </c>
      <c r="D140" s="347"/>
      <c r="E140" s="33" t="s">
        <v>1062</v>
      </c>
    </row>
    <row r="141" spans="2:5" ht="20" customHeight="1" x14ac:dyDescent="0.2">
      <c r="B141" s="4" t="s">
        <v>187</v>
      </c>
      <c r="C141" s="80" t="str">
        <f>CONCATENATE(prefix_wld_az1_cidr,"18.1")</f>
        <v>10.13.18.1</v>
      </c>
      <c r="D141" s="347"/>
      <c r="E141" s="32"/>
    </row>
    <row r="142" spans="2:5" ht="20" customHeight="1" x14ac:dyDescent="0.2">
      <c r="B142" s="4" t="s">
        <v>188</v>
      </c>
      <c r="C142" s="80" t="str">
        <f>CONCATENATE(prefix_wld_az1_cidr,"18.0/24")</f>
        <v>10.13.18.0/24</v>
      </c>
      <c r="D142" s="347"/>
      <c r="E142" s="32"/>
    </row>
    <row r="143" spans="2:5" ht="20" customHeight="1" x14ac:dyDescent="0.2">
      <c r="B143" s="492" t="s">
        <v>191</v>
      </c>
      <c r="C143" s="493"/>
      <c r="D143" s="493"/>
      <c r="E143" s="494"/>
    </row>
    <row r="144" spans="2:5" ht="20" customHeight="1" x14ac:dyDescent="0.2">
      <c r="B144" s="4" t="s">
        <v>188</v>
      </c>
      <c r="C144" s="80" t="str">
        <f>CONCATENATE(prefix_wld_az1_cidr,"19.0/24")</f>
        <v>10.13.19.0/24</v>
      </c>
      <c r="D144" s="347"/>
      <c r="E144" s="32"/>
    </row>
    <row r="145" spans="2:5" ht="20" customHeight="1" x14ac:dyDescent="0.2">
      <c r="B145" s="4" t="s">
        <v>160</v>
      </c>
      <c r="C145" s="80">
        <v>9000</v>
      </c>
      <c r="D145" s="347"/>
      <c r="E145" s="32"/>
    </row>
    <row r="146" spans="2:5" ht="16" customHeight="1" x14ac:dyDescent="0.2"/>
    <row r="147" spans="2:5" ht="34" customHeight="1" x14ac:dyDescent="0.2">
      <c r="B147" s="526" t="s">
        <v>193</v>
      </c>
      <c r="C147" s="527"/>
      <c r="D147" s="527"/>
      <c r="E147" s="528"/>
    </row>
    <row r="148" spans="2:5" ht="20" customHeight="1" x14ac:dyDescent="0.2">
      <c r="B148" s="465" t="s">
        <v>1063</v>
      </c>
      <c r="C148" s="466"/>
      <c r="D148" s="466"/>
      <c r="E148" s="467"/>
    </row>
    <row r="149" spans="2:5" ht="20" customHeight="1" x14ac:dyDescent="0.2">
      <c r="B149" s="346" t="s">
        <v>17</v>
      </c>
      <c r="C149" s="346" t="s">
        <v>18</v>
      </c>
      <c r="D149" s="346" t="s">
        <v>19</v>
      </c>
      <c r="E149" s="346" t="s">
        <v>20</v>
      </c>
    </row>
    <row r="150" spans="2:5" ht="20" customHeight="1" x14ac:dyDescent="0.2">
      <c r="B150" s="465" t="s">
        <v>194</v>
      </c>
      <c r="C150" s="466"/>
      <c r="D150" s="466"/>
      <c r="E150" s="467"/>
    </row>
    <row r="151" spans="2:5" ht="20" customHeight="1" x14ac:dyDescent="0.2">
      <c r="B151" s="4" t="s">
        <v>195</v>
      </c>
      <c r="C151" s="362" t="s">
        <v>196</v>
      </c>
      <c r="D151" s="1"/>
      <c r="E151" s="4"/>
    </row>
    <row r="152" spans="2:5" ht="20" customHeight="1" x14ac:dyDescent="0.2">
      <c r="B152" s="465" t="s">
        <v>197</v>
      </c>
      <c r="C152" s="466"/>
      <c r="D152" s="466"/>
      <c r="E152" s="467"/>
    </row>
    <row r="153" spans="2:5" ht="20" customHeight="1" x14ac:dyDescent="0.2">
      <c r="B153" s="4" t="s">
        <v>88</v>
      </c>
      <c r="C153" s="362" t="s">
        <v>93</v>
      </c>
      <c r="D153" s="347" t="s">
        <v>93</v>
      </c>
      <c r="E153" s="4"/>
    </row>
    <row r="154" spans="2:5" ht="20" customHeight="1" x14ac:dyDescent="0.2">
      <c r="B154" s="465" t="s">
        <v>198</v>
      </c>
      <c r="C154" s="466"/>
      <c r="D154" s="466"/>
      <c r="E154" s="467"/>
    </row>
    <row r="155" spans="2:5" ht="20" customHeight="1" x14ac:dyDescent="0.2">
      <c r="B155" s="4" t="s">
        <v>199</v>
      </c>
      <c r="C155" s="362" t="str">
        <f>sample_avilb_root_password</f>
        <v>VMw@re1!VMw@re1!</v>
      </c>
      <c r="D155" s="347"/>
      <c r="E155" s="4"/>
    </row>
    <row r="156" spans="2:5" ht="20" customHeight="1" x14ac:dyDescent="0.2">
      <c r="B156" s="4" t="s">
        <v>201</v>
      </c>
      <c r="C156" s="89" t="str">
        <f>IF(mgmt_dpg_reuse_result="Included",CONCATENATE(prefix_mgmt_az1_cidr,"10.",(152 + (30*(wld_domain_number_chosen - 1)))),CONCATENATE(prefix_mgmt_az1_cidr,"11.",(152 + (30*(wld_domain_number_chosen - 1)))))</f>
        <v>10.11.10.152</v>
      </c>
      <c r="D156" s="347"/>
      <c r="E156" s="4"/>
    </row>
    <row r="157" spans="2:5" ht="20" customHeight="1" x14ac:dyDescent="0.2">
      <c r="B157" s="4" t="s">
        <v>203</v>
      </c>
      <c r="C157" s="89" t="str">
        <f>IF(mgmt_dpg_reuse_result="Included",CONCATENATE(prefix_mgmt_az1_cidr,"10.",(153 + (30*(wld_domain_number_chosen - 1)))),CONCATENATE(prefix_mgmt_az1_cidr,"11.",(153 + (30*(wld_domain_number_chosen - 1)))))</f>
        <v>10.11.10.153</v>
      </c>
      <c r="D157" s="347"/>
      <c r="E157" s="4"/>
    </row>
    <row r="158" spans="2:5" ht="20" customHeight="1" x14ac:dyDescent="0.2">
      <c r="B158" s="4" t="s">
        <v>205</v>
      </c>
      <c r="C158" s="89" t="str">
        <f>IF(mgmt_dpg_reuse_result="Included",CONCATENATE(prefix_mgmt_az1_cidr,"10.",(154 + (30*(wld_domain_number_chosen - 1)))),CONCATENATE(prefix_mgmt_az1_cidr,"11.",(154 + (30*(wld_domain_number_chosen - 1)))))</f>
        <v>10.11.10.154</v>
      </c>
      <c r="D158" s="347"/>
      <c r="E158" s="4"/>
    </row>
    <row r="159" spans="2:5" ht="20" customHeight="1" x14ac:dyDescent="0.2">
      <c r="B159" s="4" t="s">
        <v>207</v>
      </c>
      <c r="C159" s="89" t="str">
        <f>IF(mgmt_dpg_reuse_result="Included",CONCATENATE(prefix_mgmt_az1_cidr,"10.",(151 + (30*(wld_domain_number_chosen - 1)))),CONCATENATE(prefix_mgmt_az1_cidr,"11.",(151 + (30*(wld_domain_number_chosen - 1)))))</f>
        <v>10.11.10.151</v>
      </c>
      <c r="D159" s="347"/>
      <c r="E159" s="4"/>
    </row>
    <row r="160" spans="2:5" ht="20" customHeight="1" x14ac:dyDescent="0.2">
      <c r="B160" s="4" t="s">
        <v>209</v>
      </c>
      <c r="C160" s="362" t="str">
        <f>CONCATENATE(this_instance,"-w0",wld_domain_number_chosen,"-avilb01",".",sample_child_dns_zone)</f>
        <v>sfo-w01-avilb01.sfo.rainpole.io</v>
      </c>
      <c r="D160" s="347"/>
      <c r="E160" s="4"/>
    </row>
    <row r="161" spans="2:7" ht="20" customHeight="1" x14ac:dyDescent="0.2">
      <c r="B161" s="4" t="s">
        <v>210</v>
      </c>
      <c r="C161" s="362" t="str">
        <f>CONCATENATE(this_instance,"-w01-cl01-avilb01")</f>
        <v>sfo-w01-cl01-avilb01</v>
      </c>
      <c r="D161" s="347"/>
      <c r="E161" s="4"/>
    </row>
    <row r="162" spans="2:7" ht="16" customHeight="1" x14ac:dyDescent="0.2"/>
    <row r="163" spans="2:7" ht="34" customHeight="1" x14ac:dyDescent="0.2">
      <c r="B163" s="508" t="s">
        <v>1064</v>
      </c>
      <c r="C163" s="509"/>
      <c r="D163" s="509"/>
      <c r="E163" s="510"/>
    </row>
    <row r="164" spans="2:7" ht="16" customHeight="1" x14ac:dyDescent="0.2">
      <c r="G164" s="27"/>
    </row>
    <row r="165" spans="2:7" ht="34" customHeight="1" x14ac:dyDescent="0.2">
      <c r="B165" s="522" t="s">
        <v>802</v>
      </c>
      <c r="C165" s="523"/>
      <c r="D165" s="523"/>
      <c r="E165" s="524"/>
    </row>
    <row r="166" spans="2:7" ht="20" customHeight="1" x14ac:dyDescent="0.2">
      <c r="B166" s="562"/>
      <c r="C166" s="562"/>
      <c r="D166" s="562"/>
      <c r="E166" s="562"/>
    </row>
    <row r="167" spans="2:7" ht="20" customHeight="1" x14ac:dyDescent="0.2">
      <c r="B167" s="346" t="s">
        <v>17</v>
      </c>
      <c r="C167" s="346" t="s">
        <v>18</v>
      </c>
      <c r="D167" s="346" t="s">
        <v>19</v>
      </c>
      <c r="E167" s="346" t="s">
        <v>20</v>
      </c>
    </row>
    <row r="168" spans="2:7" ht="20" customHeight="1" x14ac:dyDescent="0.2">
      <c r="B168" s="492" t="s">
        <v>213</v>
      </c>
      <c r="C168" s="493"/>
      <c r="D168" s="493"/>
      <c r="E168" s="494"/>
    </row>
    <row r="169" spans="2:7" ht="20" customHeight="1" x14ac:dyDescent="0.2">
      <c r="B169" s="4" t="s">
        <v>85</v>
      </c>
      <c r="C169" s="80" t="str">
        <f>CONCATENATE(prefix_wld_az2_vlan,"11")</f>
        <v>1411</v>
      </c>
      <c r="D169" s="347"/>
      <c r="E169" s="93"/>
    </row>
    <row r="170" spans="2:7" ht="20" customHeight="1" x14ac:dyDescent="0.2">
      <c r="B170" s="4" t="s">
        <v>187</v>
      </c>
      <c r="C170" s="80" t="str">
        <f>CONCATENATE(prefix_wld_az2_cidr,"11.1")</f>
        <v>10.14.11.1</v>
      </c>
      <c r="D170" s="347"/>
      <c r="E170" s="32"/>
    </row>
    <row r="171" spans="2:7" ht="20" customHeight="1" x14ac:dyDescent="0.2">
      <c r="B171" s="4" t="s">
        <v>188</v>
      </c>
      <c r="C171" s="80" t="str">
        <f>CONCATENATE(prefix_wld_az2_cidr,"11.0/24")</f>
        <v>10.14.11.0/24</v>
      </c>
      <c r="D171" s="347"/>
      <c r="E171" s="32"/>
    </row>
    <row r="172" spans="2:7" ht="20" customHeight="1" x14ac:dyDescent="0.2">
      <c r="B172" s="4" t="s">
        <v>160</v>
      </c>
      <c r="C172" s="80">
        <v>1500</v>
      </c>
      <c r="D172" s="347"/>
      <c r="E172" s="32"/>
    </row>
    <row r="173" spans="2:7" ht="20" customHeight="1" x14ac:dyDescent="0.2">
      <c r="B173" s="535" t="s">
        <v>214</v>
      </c>
      <c r="C173" s="536"/>
      <c r="D173" s="536"/>
      <c r="E173" s="537"/>
    </row>
    <row r="174" spans="2:7" ht="20" customHeight="1" x14ac:dyDescent="0.2">
      <c r="B174" s="17" t="s">
        <v>215</v>
      </c>
      <c r="C174" s="89" t="str">
        <f>CONCATENATE(prefix_wld_az2_cidr,"11.101")</f>
        <v>10.14.11.101</v>
      </c>
      <c r="D174" s="347"/>
      <c r="E174" s="132" t="s">
        <v>216</v>
      </c>
    </row>
    <row r="175" spans="2:7" ht="20" customHeight="1" x14ac:dyDescent="0.2">
      <c r="B175" s="17" t="s">
        <v>217</v>
      </c>
      <c r="C175" s="89" t="str">
        <f>CONCATENATE(prefix_wld_az2_cidr,"11.102")</f>
        <v>10.14.11.102</v>
      </c>
      <c r="D175" s="347"/>
      <c r="E175" s="132" t="s">
        <v>218</v>
      </c>
    </row>
    <row r="176" spans="2:7" ht="20" customHeight="1" x14ac:dyDescent="0.2">
      <c r="B176" s="17" t="s">
        <v>219</v>
      </c>
      <c r="C176" s="89" t="str">
        <f>CONCATENATE(prefix_wld_az2_cidr,"11.103")</f>
        <v>10.14.11.103</v>
      </c>
      <c r="D176" s="347"/>
      <c r="E176" s="132" t="s">
        <v>220</v>
      </c>
    </row>
    <row r="177" spans="2:7" ht="20" customHeight="1" x14ac:dyDescent="0.2">
      <c r="B177" s="17" t="s">
        <v>221</v>
      </c>
      <c r="C177" s="89" t="str">
        <f>CONCATENATE(prefix_wld_az2_cidr,"11.104")</f>
        <v>10.14.11.104</v>
      </c>
      <c r="D177" s="347"/>
      <c r="E177" s="132" t="s">
        <v>222</v>
      </c>
    </row>
    <row r="178" spans="2:7" ht="20" customHeight="1" x14ac:dyDescent="0.2">
      <c r="B178" s="17" t="s">
        <v>223</v>
      </c>
      <c r="C178" s="89" t="str">
        <f>CONCATENATE(prefix_wld_az2_cidr,"11.105")</f>
        <v>10.14.11.105</v>
      </c>
      <c r="D178" s="347"/>
      <c r="E178" s="132" t="s">
        <v>224</v>
      </c>
    </row>
    <row r="179" spans="2:7" ht="20" customHeight="1" x14ac:dyDescent="0.2">
      <c r="B179" s="17" t="s">
        <v>225</v>
      </c>
      <c r="C179" s="89" t="str">
        <f>CONCATENATE(prefix_wld_az2_cidr,"11.106")</f>
        <v>10.14.11.106</v>
      </c>
      <c r="D179" s="347"/>
      <c r="E179" s="132" t="s">
        <v>226</v>
      </c>
    </row>
    <row r="180" spans="2:7" ht="20" customHeight="1" x14ac:dyDescent="0.2">
      <c r="B180" s="17" t="s">
        <v>227</v>
      </c>
      <c r="C180" s="89" t="str">
        <f>CONCATENATE(prefix_wld_az2_cidr,"11.107")</f>
        <v>10.14.11.107</v>
      </c>
      <c r="D180" s="347"/>
      <c r="E180" s="132" t="s">
        <v>228</v>
      </c>
    </row>
    <row r="181" spans="2:7" ht="20" customHeight="1" x14ac:dyDescent="0.2">
      <c r="B181" s="17" t="s">
        <v>229</v>
      </c>
      <c r="C181" s="89" t="str">
        <f>CONCATENATE(prefix_wld_az2_cidr,"11.108")</f>
        <v>10.14.11.108</v>
      </c>
      <c r="D181" s="347"/>
      <c r="E181" s="132" t="s">
        <v>230</v>
      </c>
    </row>
    <row r="182" spans="2:7" ht="20" customHeight="1" x14ac:dyDescent="0.2">
      <c r="B182" s="17" t="s">
        <v>231</v>
      </c>
      <c r="C182" s="89" t="str">
        <f>CONCATENATE(prefix_wld_az2_cidr,"11.109")</f>
        <v>10.14.11.109</v>
      </c>
      <c r="D182" s="347"/>
      <c r="E182" s="132" t="s">
        <v>232</v>
      </c>
    </row>
    <row r="183" spans="2:7" ht="20" customHeight="1" x14ac:dyDescent="0.2">
      <c r="B183" s="17" t="s">
        <v>233</v>
      </c>
      <c r="C183" s="89" t="str">
        <f>CONCATENATE(prefix_wld_az2_cidr,"11.110")</f>
        <v>10.14.11.110</v>
      </c>
      <c r="D183" s="347"/>
      <c r="E183" s="132" t="s">
        <v>234</v>
      </c>
    </row>
    <row r="184" spans="2:7" ht="20" customHeight="1" x14ac:dyDescent="0.2">
      <c r="B184" s="17" t="s">
        <v>235</v>
      </c>
      <c r="C184" s="89" t="str">
        <f>CONCATENATE(prefix_wld_az2_cidr,"11.111")</f>
        <v>10.14.11.111</v>
      </c>
      <c r="D184" s="347"/>
      <c r="E184" s="132" t="s">
        <v>236</v>
      </c>
    </row>
    <row r="185" spans="2:7" ht="20" customHeight="1" x14ac:dyDescent="0.2">
      <c r="B185" s="17" t="s">
        <v>237</v>
      </c>
      <c r="C185" s="89" t="str">
        <f>CONCATENATE(prefix_wld_az2_cidr,"11.112")</f>
        <v>10.14.11.112</v>
      </c>
      <c r="D185" s="347"/>
      <c r="E185" s="132" t="s">
        <v>238</v>
      </c>
    </row>
    <row r="186" spans="2:7" ht="20" customHeight="1" x14ac:dyDescent="0.2">
      <c r="B186" s="17" t="s">
        <v>239</v>
      </c>
      <c r="C186" s="89" t="str">
        <f>CONCATENATE(prefix_wld_az2_cidr,"11.113")</f>
        <v>10.14.11.113</v>
      </c>
      <c r="D186" s="347"/>
      <c r="E186" s="132" t="s">
        <v>240</v>
      </c>
    </row>
    <row r="187" spans="2:7" ht="20" customHeight="1" x14ac:dyDescent="0.2">
      <c r="B187" s="17" t="s">
        <v>241</v>
      </c>
      <c r="C187" s="89" t="str">
        <f>CONCATENATE(prefix_wld_az2_cidr,"11.114")</f>
        <v>10.14.11.114</v>
      </c>
      <c r="D187" s="347"/>
      <c r="E187" s="132" t="s">
        <v>242</v>
      </c>
    </row>
    <row r="188" spans="2:7" ht="20" customHeight="1" x14ac:dyDescent="0.2">
      <c r="B188" s="17" t="s">
        <v>243</v>
      </c>
      <c r="C188" s="89" t="str">
        <f>CONCATENATE(prefix_wld_az2_cidr,"11.115")</f>
        <v>10.14.11.115</v>
      </c>
      <c r="D188" s="347"/>
      <c r="E188" s="132" t="s">
        <v>244</v>
      </c>
    </row>
    <row r="189" spans="2:7" ht="20" customHeight="1" x14ac:dyDescent="0.2">
      <c r="B189" s="17" t="s">
        <v>245</v>
      </c>
      <c r="C189" s="89" t="str">
        <f>CONCATENATE(prefix_wld_az2_cidr,"11.116")</f>
        <v>10.14.11.116</v>
      </c>
      <c r="D189" s="347"/>
      <c r="E189" s="132" t="s">
        <v>246</v>
      </c>
    </row>
    <row r="190" spans="2:7" ht="16" customHeight="1" x14ac:dyDescent="0.2">
      <c r="D190" s="1"/>
      <c r="G190" s="27"/>
    </row>
    <row r="191" spans="2:7" ht="34" customHeight="1" x14ac:dyDescent="0.2">
      <c r="B191" s="522" t="s">
        <v>804</v>
      </c>
      <c r="C191" s="523"/>
      <c r="D191" s="523"/>
      <c r="E191" s="524"/>
    </row>
    <row r="192" spans="2:7" ht="20" customHeight="1" x14ac:dyDescent="0.2">
      <c r="B192" s="562"/>
      <c r="C192" s="562"/>
      <c r="D192" s="562"/>
      <c r="E192" s="562"/>
    </row>
    <row r="193" spans="2:5" ht="20" customHeight="1" x14ac:dyDescent="0.2">
      <c r="B193" s="346" t="s">
        <v>17</v>
      </c>
      <c r="C193" s="346" t="s">
        <v>18</v>
      </c>
      <c r="D193" s="346" t="s">
        <v>19</v>
      </c>
      <c r="E193" s="346" t="s">
        <v>20</v>
      </c>
    </row>
    <row r="194" spans="2:5" ht="20" customHeight="1" x14ac:dyDescent="0.2">
      <c r="B194" s="4" t="s">
        <v>248</v>
      </c>
      <c r="C194" s="362" t="s">
        <v>249</v>
      </c>
      <c r="D194" s="347" t="s">
        <v>249</v>
      </c>
      <c r="E194" s="4" t="str">
        <f>IF(wld_az2_reuse_vcf_networkpool_chosen="Re-use an existing VCF Network Pool","An exisiting VCF Network Pool will be reused for Host TEP assignment","A new VCF Network Pool will be created")</f>
        <v>A new VCF Network Pool will be created</v>
      </c>
    </row>
    <row r="195" spans="2:5" ht="20" customHeight="1" x14ac:dyDescent="0.2">
      <c r="B195" s="17" t="s">
        <v>250</v>
      </c>
      <c r="C195" s="80" t="str">
        <f>CONCATENATE(this_instance,"02-w0",wld_domain_number_chosen,"-r01-network-pool-01")</f>
        <v>sfo02-w01-r01-network-pool-01</v>
      </c>
      <c r="D195" s="347"/>
      <c r="E195" s="32"/>
    </row>
    <row r="196" spans="2:5" ht="20" customHeight="1" x14ac:dyDescent="0.2">
      <c r="B196" s="492" t="s">
        <v>251</v>
      </c>
      <c r="C196" s="493"/>
      <c r="D196" s="493"/>
      <c r="E196" s="494"/>
    </row>
    <row r="197" spans="2:5" ht="20" customHeight="1" x14ac:dyDescent="0.2">
      <c r="B197" s="4" t="s">
        <v>85</v>
      </c>
      <c r="C197" s="80" t="str">
        <f>CONCATENATE(prefix_wld_az2_vlan,"12")</f>
        <v>1412</v>
      </c>
      <c r="D197" s="347"/>
      <c r="E197" s="93"/>
    </row>
    <row r="198" spans="2:5" ht="20" customHeight="1" x14ac:dyDescent="0.2">
      <c r="B198" s="4" t="s">
        <v>160</v>
      </c>
      <c r="C198" s="80">
        <v>9000</v>
      </c>
      <c r="D198" s="347"/>
      <c r="E198" s="32"/>
    </row>
    <row r="199" spans="2:5" ht="20" customHeight="1" x14ac:dyDescent="0.2">
      <c r="B199" s="4" t="s">
        <v>252</v>
      </c>
      <c r="C199" s="80" t="str">
        <f>CONCATENATE(prefix_wld_az2_cidr,"12.0")</f>
        <v>10.14.12.0</v>
      </c>
      <c r="D199" s="347"/>
      <c r="E199" s="32"/>
    </row>
    <row r="200" spans="2:5" ht="20" customHeight="1" x14ac:dyDescent="0.2">
      <c r="B200" s="4" t="s">
        <v>285</v>
      </c>
      <c r="C200" s="80" t="s">
        <v>128</v>
      </c>
      <c r="D200" s="347"/>
      <c r="E200" s="32"/>
    </row>
    <row r="201" spans="2:5" ht="20" customHeight="1" x14ac:dyDescent="0.2">
      <c r="B201" s="4" t="s">
        <v>187</v>
      </c>
      <c r="C201" s="80" t="str">
        <f>CONCATENATE(prefix_wld_az2_cidr,"12.1")</f>
        <v>10.14.12.1</v>
      </c>
      <c r="D201" s="347"/>
      <c r="E201" s="32"/>
    </row>
    <row r="202" spans="2:5" ht="20" customHeight="1" x14ac:dyDescent="0.2">
      <c r="B202" s="17" t="s">
        <v>255</v>
      </c>
      <c r="C202" s="80" t="str">
        <f>CONCATENATE(prefix_wld_az2_cidr,"12.101")</f>
        <v>10.14.12.101</v>
      </c>
      <c r="D202" s="347"/>
      <c r="E202" s="32"/>
    </row>
    <row r="203" spans="2:5" ht="20" customHeight="1" x14ac:dyDescent="0.2">
      <c r="B203" s="17" t="s">
        <v>256</v>
      </c>
      <c r="C203" s="80" t="str">
        <f>CONCATENATE(prefix_wld_az2_cidr,"12.116")</f>
        <v>10.14.12.116</v>
      </c>
      <c r="D203" s="347"/>
      <c r="E203" s="32"/>
    </row>
    <row r="204" spans="2:5" ht="20" customHeight="1" x14ac:dyDescent="0.2">
      <c r="B204" s="492" t="s">
        <v>257</v>
      </c>
      <c r="C204" s="493"/>
      <c r="D204" s="493"/>
      <c r="E204" s="494"/>
    </row>
    <row r="205" spans="2:5" ht="20" customHeight="1" x14ac:dyDescent="0.2">
      <c r="B205" s="4" t="s">
        <v>85</v>
      </c>
      <c r="C205" s="80" t="str">
        <f>CONCATENATE(prefix_wld_az2_vlan,"13")</f>
        <v>1413</v>
      </c>
      <c r="D205" s="347"/>
      <c r="E205" s="32"/>
    </row>
    <row r="206" spans="2:5" ht="20" customHeight="1" x14ac:dyDescent="0.2">
      <c r="B206" s="4" t="s">
        <v>160</v>
      </c>
      <c r="C206" s="80">
        <v>9000</v>
      </c>
      <c r="D206" s="347"/>
      <c r="E206" s="32"/>
    </row>
    <row r="207" spans="2:5" ht="20" customHeight="1" x14ac:dyDescent="0.2">
      <c r="B207" s="4" t="s">
        <v>252</v>
      </c>
      <c r="C207" s="80" t="str">
        <f>CONCATENATE(prefix_wld_az2_cidr,"13.0")</f>
        <v>10.14.13.0</v>
      </c>
      <c r="D207" s="347"/>
      <c r="E207" s="56"/>
    </row>
    <row r="208" spans="2:5" ht="20" customHeight="1" x14ac:dyDescent="0.2">
      <c r="B208" s="4" t="s">
        <v>285</v>
      </c>
      <c r="C208" s="80" t="s">
        <v>128</v>
      </c>
      <c r="D208" s="347"/>
      <c r="E208" s="56"/>
    </row>
    <row r="209" spans="2:5" ht="20" customHeight="1" x14ac:dyDescent="0.2">
      <c r="B209" s="4" t="s">
        <v>187</v>
      </c>
      <c r="C209" s="80" t="str">
        <f>CONCATENATE(prefix_wld_az2_cidr,"13.1")</f>
        <v>10.14.13.1</v>
      </c>
      <c r="D209" s="347"/>
      <c r="E209" s="32" t="str">
        <f>IF(AND(mgmt_stretched_cluster_result="Included",mgmt_dpg_reuse_result="Excluded"),"Stretched L2","")</f>
        <v/>
      </c>
    </row>
    <row r="210" spans="2:5" ht="20" customHeight="1" x14ac:dyDescent="0.2">
      <c r="B210" s="17" t="s">
        <v>255</v>
      </c>
      <c r="C210" s="80" t="str">
        <f>CONCATENATE(prefix_wld_az2_cidr,"13.101")</f>
        <v>10.14.13.101</v>
      </c>
      <c r="D210" s="347"/>
      <c r="E210" s="56"/>
    </row>
    <row r="211" spans="2:5" ht="20" customHeight="1" x14ac:dyDescent="0.2">
      <c r="B211" s="17" t="s">
        <v>256</v>
      </c>
      <c r="C211" s="80" t="str">
        <f>CONCATENATE(prefix_wld_az2_cidr,"13.116")</f>
        <v>10.14.13.116</v>
      </c>
      <c r="D211" s="347"/>
      <c r="E211" s="56"/>
    </row>
    <row r="212" spans="2:5" ht="20" customHeight="1" x14ac:dyDescent="0.2">
      <c r="B212" s="492" t="str">
        <f>IF(wld_secondary_storage_chosen="Secondary NFS Storage Network","NFS Storage Network","vSAN Storage Client")</f>
        <v>vSAN Storage Client</v>
      </c>
      <c r="C212" s="493"/>
      <c r="D212" s="493"/>
      <c r="E212" s="494"/>
    </row>
    <row r="213" spans="2:5" ht="20" customHeight="1" x14ac:dyDescent="0.2">
      <c r="B213" s="4" t="s">
        <v>85</v>
      </c>
      <c r="C213" s="80" t="str">
        <f>CONCATENATE(prefix_wld_az2_vlan,"15")</f>
        <v>1415</v>
      </c>
      <c r="D213" s="347"/>
      <c r="E213" s="32"/>
    </row>
    <row r="214" spans="2:5" ht="20" customHeight="1" x14ac:dyDescent="0.2">
      <c r="B214" s="4" t="s">
        <v>160</v>
      </c>
      <c r="C214" s="80">
        <v>9000</v>
      </c>
      <c r="D214" s="347"/>
      <c r="E214" s="56"/>
    </row>
    <row r="215" spans="2:5" ht="20" customHeight="1" x14ac:dyDescent="0.2">
      <c r="B215" s="4" t="s">
        <v>252</v>
      </c>
      <c r="C215" s="80" t="str">
        <f>CONCATENATE(prefix_wld_az2_cidr,"15.0")</f>
        <v>10.14.15.0</v>
      </c>
      <c r="D215" s="347"/>
      <c r="E215" s="32"/>
    </row>
    <row r="216" spans="2:5" ht="20" customHeight="1" x14ac:dyDescent="0.2">
      <c r="B216" s="4" t="s">
        <v>285</v>
      </c>
      <c r="C216" s="80" t="s">
        <v>128</v>
      </c>
      <c r="D216" s="347"/>
      <c r="E216" s="32"/>
    </row>
    <row r="217" spans="2:5" ht="20" customHeight="1" x14ac:dyDescent="0.2">
      <c r="B217" s="4" t="s">
        <v>187</v>
      </c>
      <c r="C217" s="80" t="str">
        <f>CONCATENATE(prefix_wld_az2_cidr,"15.1")</f>
        <v>10.14.15.1</v>
      </c>
      <c r="D217" s="347"/>
      <c r="E217" s="32" t="str">
        <f>IF(AND(mgmt_stretched_cluster_result="Included",mgmt_dpg_reuse_result="Excluded"),"Stretched L2","")</f>
        <v/>
      </c>
    </row>
    <row r="218" spans="2:5" ht="20" customHeight="1" x14ac:dyDescent="0.2">
      <c r="B218" s="17" t="s">
        <v>255</v>
      </c>
      <c r="C218" s="80" t="str">
        <f>CONCATENATE(prefix_wld_az2_cidr,"15.101")</f>
        <v>10.14.15.101</v>
      </c>
      <c r="D218" s="347"/>
      <c r="E218" s="56"/>
    </row>
    <row r="219" spans="2:5" ht="20" customHeight="1" x14ac:dyDescent="0.2">
      <c r="B219" s="17" t="s">
        <v>256</v>
      </c>
      <c r="C219" s="80" t="str">
        <f>CONCATENATE(prefix_wld_az2_cidr,"15.116")</f>
        <v>10.14.15.116</v>
      </c>
      <c r="D219" s="347"/>
      <c r="E219" s="56"/>
    </row>
    <row r="220" spans="2:5" ht="20" customHeight="1" x14ac:dyDescent="0.2">
      <c r="B220" s="492" t="s">
        <v>805</v>
      </c>
      <c r="C220" s="493"/>
      <c r="D220" s="493"/>
      <c r="E220" s="494"/>
    </row>
    <row r="221" spans="2:5" ht="20" customHeight="1" x14ac:dyDescent="0.2">
      <c r="B221" s="4" t="s">
        <v>85</v>
      </c>
      <c r="C221" s="80" t="str">
        <f>CONCATENATE(prefix_wld_az2_vlan,"16")</f>
        <v>1416</v>
      </c>
      <c r="D221" s="347"/>
      <c r="E221" s="32"/>
    </row>
    <row r="222" spans="2:5" ht="20" customHeight="1" x14ac:dyDescent="0.2">
      <c r="B222" s="4" t="s">
        <v>160</v>
      </c>
      <c r="C222" s="80">
        <v>9000</v>
      </c>
      <c r="D222" s="347"/>
      <c r="E222" s="56"/>
    </row>
    <row r="223" spans="2:5" ht="20" customHeight="1" x14ac:dyDescent="0.2">
      <c r="B223" s="4" t="s">
        <v>252</v>
      </c>
      <c r="C223" s="80" t="str">
        <f>CONCATENATE(prefix_wld_az2_cidr,"16.0")</f>
        <v>10.14.16.0</v>
      </c>
      <c r="D223" s="347"/>
      <c r="E223" s="32"/>
    </row>
    <row r="224" spans="2:5" ht="20" customHeight="1" x14ac:dyDescent="0.2">
      <c r="B224" s="4" t="s">
        <v>285</v>
      </c>
      <c r="C224" s="80" t="s">
        <v>128</v>
      </c>
      <c r="D224" s="347"/>
      <c r="E224" s="32"/>
    </row>
    <row r="225" spans="2:5" ht="20" customHeight="1" x14ac:dyDescent="0.2">
      <c r="B225" s="4" t="s">
        <v>187</v>
      </c>
      <c r="C225" s="80" t="str">
        <f>CONCATENATE(prefix_wld_az2_cidr,"16.1")</f>
        <v>10.14.16.1</v>
      </c>
      <c r="D225" s="347"/>
      <c r="E225" s="32" t="str">
        <f>IF(AND(mgmt_stretched_cluster_result="Included",mgmt_dpg_reuse_result="Excluded"),"Stretched L2","")</f>
        <v/>
      </c>
    </row>
    <row r="226" spans="2:5" ht="20" customHeight="1" x14ac:dyDescent="0.2">
      <c r="B226" s="17" t="s">
        <v>255</v>
      </c>
      <c r="C226" s="80" t="str">
        <f>CONCATENATE(prefix_wld_az2_cidr,"16.101")</f>
        <v>10.14.16.101</v>
      </c>
      <c r="D226" s="347"/>
      <c r="E226" s="56"/>
    </row>
    <row r="227" spans="2:5" ht="20" customHeight="1" x14ac:dyDescent="0.2">
      <c r="B227" s="17" t="s">
        <v>256</v>
      </c>
      <c r="C227" s="80" t="str">
        <f>CONCATENATE(prefix_wld_az2_cidr,"16.116")</f>
        <v>10.14.16.116</v>
      </c>
      <c r="D227" s="347"/>
      <c r="E227" s="56"/>
    </row>
    <row r="228" spans="2:5" ht="16" customHeight="1" x14ac:dyDescent="0.2"/>
    <row r="229" spans="2:5" ht="34" customHeight="1" x14ac:dyDescent="0.2">
      <c r="B229" s="522" t="s">
        <v>806</v>
      </c>
      <c r="C229" s="523"/>
      <c r="D229" s="523"/>
      <c r="E229" s="524"/>
    </row>
    <row r="230" spans="2:5" ht="20" customHeight="1" x14ac:dyDescent="0.2">
      <c r="B230" s="562"/>
      <c r="C230" s="562"/>
      <c r="D230" s="562"/>
      <c r="E230" s="562"/>
    </row>
    <row r="231" spans="2:5" ht="20" customHeight="1" x14ac:dyDescent="0.2">
      <c r="B231" s="346" t="s">
        <v>17</v>
      </c>
      <c r="C231" s="346" t="s">
        <v>18</v>
      </c>
      <c r="D231" s="346" t="s">
        <v>19</v>
      </c>
      <c r="E231" s="346" t="s">
        <v>20</v>
      </c>
    </row>
    <row r="232" spans="2:5" ht="20" customHeight="1" x14ac:dyDescent="0.2">
      <c r="B232" s="17" t="s">
        <v>215</v>
      </c>
      <c r="C232" s="149" t="str">
        <f>CONCATENATE(this_instance,"02-w0",wld_domain_number_chosen,"-r01-esx01",".",sample_child_dns_zone)</f>
        <v>sfo02-w01-r01-esx01.sfo.rainpole.io</v>
      </c>
      <c r="D232" s="175"/>
      <c r="E232" s="32"/>
    </row>
    <row r="233" spans="2:5" ht="20" customHeight="1" x14ac:dyDescent="0.2">
      <c r="B233" s="17" t="s">
        <v>217</v>
      </c>
      <c r="C233" s="176" t="str">
        <f>CONCATENATE(this_instance,"02-w0",wld_domain_number_chosen,"-r01-esx02",".",sample_child_dns_zone)</f>
        <v>sfo02-w01-r01-esx02.sfo.rainpole.io</v>
      </c>
      <c r="D233" s="175"/>
      <c r="E233" s="32"/>
    </row>
    <row r="234" spans="2:5" ht="20" customHeight="1" x14ac:dyDescent="0.2">
      <c r="B234" s="17" t="s">
        <v>219</v>
      </c>
      <c r="C234" s="176" t="str">
        <f>CONCATENATE(this_instance,"02-w0",wld_domain_number_chosen,"-r01-esx03",".",sample_child_dns_zone)</f>
        <v>sfo02-w01-r01-esx03.sfo.rainpole.io</v>
      </c>
      <c r="D234" s="175"/>
      <c r="E234" s="32"/>
    </row>
    <row r="235" spans="2:5" ht="20" customHeight="1" x14ac:dyDescent="0.2">
      <c r="B235" s="17" t="s">
        <v>221</v>
      </c>
      <c r="C235" s="176" t="str">
        <f>CONCATENATE(this_instance,"02-w0",wld_domain_number_chosen,"-r01-esx04",".",sample_child_dns_zone)</f>
        <v>sfo02-w01-r01-esx04.sfo.rainpole.io</v>
      </c>
      <c r="D235" s="175"/>
      <c r="E235" s="32"/>
    </row>
    <row r="236" spans="2:5" ht="20" customHeight="1" x14ac:dyDescent="0.2">
      <c r="B236" s="17" t="s">
        <v>223</v>
      </c>
      <c r="C236" s="176" t="str">
        <f>CONCATENATE(this_instance,"02-w0",wld_domain_number_chosen,"-r01-esx05",".",sample_child_dns_zone)</f>
        <v>sfo02-w01-r01-esx05.sfo.rainpole.io</v>
      </c>
      <c r="D236" s="175"/>
      <c r="E236" s="32"/>
    </row>
    <row r="237" spans="2:5" ht="20" customHeight="1" x14ac:dyDescent="0.2">
      <c r="B237" s="17" t="s">
        <v>225</v>
      </c>
      <c r="C237" s="176" t="str">
        <f>CONCATENATE(this_instance,"02-w0",wld_domain_number_chosen,"-r01-esx06",".",sample_child_dns_zone)</f>
        <v>sfo02-w01-r01-esx06.sfo.rainpole.io</v>
      </c>
      <c r="D237" s="175"/>
      <c r="E237" s="32"/>
    </row>
    <row r="238" spans="2:5" ht="20" customHeight="1" x14ac:dyDescent="0.2">
      <c r="B238" s="17" t="s">
        <v>227</v>
      </c>
      <c r="C238" s="176" t="str">
        <f>CONCATENATE(this_instance,"02-w0",wld_domain_number_chosen,"-r01-esx07",".",sample_child_dns_zone)</f>
        <v>sfo02-w01-r01-esx07.sfo.rainpole.io</v>
      </c>
      <c r="D238" s="175"/>
      <c r="E238" s="32"/>
    </row>
    <row r="239" spans="2:5" ht="20" customHeight="1" x14ac:dyDescent="0.2">
      <c r="B239" s="17" t="s">
        <v>229</v>
      </c>
      <c r="C239" s="176" t="str">
        <f>CONCATENATE(this_instance,"02-w0",wld_domain_number_chosen,"-r01-esx08",".",sample_child_dns_zone)</f>
        <v>sfo02-w01-r01-esx08.sfo.rainpole.io</v>
      </c>
      <c r="D239" s="175"/>
      <c r="E239" s="32"/>
    </row>
    <row r="240" spans="2:5" ht="20" customHeight="1" x14ac:dyDescent="0.2">
      <c r="B240" s="17" t="s">
        <v>231</v>
      </c>
      <c r="C240" s="176" t="str">
        <f>CONCATENATE(this_instance,"02-w0",wld_domain_number_chosen,"-r01-esx09",".",sample_child_dns_zone)</f>
        <v>sfo02-w01-r01-esx09.sfo.rainpole.io</v>
      </c>
      <c r="D240" s="175"/>
      <c r="E240" s="32"/>
    </row>
    <row r="241" spans="2:5" ht="20" customHeight="1" x14ac:dyDescent="0.2">
      <c r="B241" s="17" t="s">
        <v>233</v>
      </c>
      <c r="C241" s="176" t="str">
        <f>CONCATENATE(this_instance,"02-w0",wld_domain_number_chosen,"-r01-esx10",".",sample_child_dns_zone)</f>
        <v>sfo02-w01-r01-esx10.sfo.rainpole.io</v>
      </c>
      <c r="D241" s="175"/>
      <c r="E241" s="32"/>
    </row>
    <row r="242" spans="2:5" ht="20" customHeight="1" x14ac:dyDescent="0.2">
      <c r="B242" s="17" t="s">
        <v>235</v>
      </c>
      <c r="C242" s="176" t="str">
        <f>CONCATENATE(this_instance,"02-w0",wld_domain_number_chosen,"-r01-esx11",".",sample_child_dns_zone)</f>
        <v>sfo02-w01-r01-esx11.sfo.rainpole.io</v>
      </c>
      <c r="D242" s="175"/>
      <c r="E242" s="32"/>
    </row>
    <row r="243" spans="2:5" ht="20" customHeight="1" x14ac:dyDescent="0.2">
      <c r="B243" s="17" t="s">
        <v>237</v>
      </c>
      <c r="C243" s="176" t="str">
        <f>CONCATENATE(this_instance,"02-w0",wld_domain_number_chosen,"-r01-esx12",".",sample_child_dns_zone)</f>
        <v>sfo02-w01-r01-esx12.sfo.rainpole.io</v>
      </c>
      <c r="D243" s="175"/>
      <c r="E243" s="32"/>
    </row>
    <row r="244" spans="2:5" ht="20" customHeight="1" x14ac:dyDescent="0.2">
      <c r="B244" s="17" t="s">
        <v>239</v>
      </c>
      <c r="C244" s="176" t="str">
        <f>CONCATENATE(this_instance,"02-w0",wld_domain_number_chosen,"-r01-esx13",".",sample_child_dns_zone)</f>
        <v>sfo02-w01-r01-esx13.sfo.rainpole.io</v>
      </c>
      <c r="D244" s="175"/>
      <c r="E244" s="32"/>
    </row>
    <row r="245" spans="2:5" ht="20" customHeight="1" x14ac:dyDescent="0.2">
      <c r="B245" s="17" t="s">
        <v>241</v>
      </c>
      <c r="C245" s="176" t="str">
        <f>CONCATENATE(this_instance,"02-w0",wld_domain_number_chosen,"-r01-esx14",".",sample_child_dns_zone)</f>
        <v>sfo02-w01-r01-esx14.sfo.rainpole.io</v>
      </c>
      <c r="D245" s="175"/>
      <c r="E245" s="32"/>
    </row>
    <row r="246" spans="2:5" ht="20" customHeight="1" x14ac:dyDescent="0.2">
      <c r="B246" s="17" t="s">
        <v>243</v>
      </c>
      <c r="C246" s="176" t="str">
        <f>CONCATENATE(this_instance,"02-w0",wld_domain_number_chosen,"-r01-esx15",".",sample_child_dns_zone)</f>
        <v>sfo02-w01-r01-esx15.sfo.rainpole.io</v>
      </c>
      <c r="D246" s="175"/>
      <c r="E246" s="32"/>
    </row>
    <row r="247" spans="2:5" ht="20" customHeight="1" x14ac:dyDescent="0.2">
      <c r="B247" s="17" t="s">
        <v>245</v>
      </c>
      <c r="C247" s="176" t="str">
        <f>CONCATENATE(this_instance,"02-w0",wld_domain_number_chosen,"-r01-esx16",".",sample_child_dns_zone)</f>
        <v>sfo02-w01-r01-esx16.sfo.rainpole.io</v>
      </c>
      <c r="D247" s="175"/>
      <c r="E247" s="32"/>
    </row>
    <row r="248" spans="2:5" ht="20" customHeight="1" x14ac:dyDescent="0.2">
      <c r="B248" s="17" t="s">
        <v>264</v>
      </c>
      <c r="C248" s="78" t="s">
        <v>762</v>
      </c>
      <c r="D248" s="177" t="str">
        <f>IF(wld_principal_storage_chosen="vSAN-ESA","Selected","Unselected")</f>
        <v>Selected</v>
      </c>
      <c r="E248" s="32"/>
    </row>
    <row r="249" spans="2:5" ht="20" customHeight="1" x14ac:dyDescent="0.2">
      <c r="B249" s="17" t="s">
        <v>266</v>
      </c>
      <c r="C249" s="78" t="s">
        <v>267</v>
      </c>
      <c r="D249" s="175" t="s">
        <v>267</v>
      </c>
      <c r="E249" s="32"/>
    </row>
    <row r="250" spans="2:5" ht="20" customHeight="1" x14ac:dyDescent="0.2">
      <c r="B250" s="17" t="s">
        <v>268</v>
      </c>
      <c r="C250" s="78" t="s">
        <v>159</v>
      </c>
      <c r="D250" s="177" t="str">
        <f>IF(OR(wld_principal_storage_chosen="vSAN-ESA",wld_principal_storage_chosen="vSAN Storage Cluster"),"Selected","Unselected")</f>
        <v>Selected</v>
      </c>
      <c r="E250" s="32"/>
    </row>
    <row r="251" spans="2:5" ht="20" customHeight="1" x14ac:dyDescent="0.2">
      <c r="B251" s="17" t="s">
        <v>250</v>
      </c>
      <c r="C251" s="78" t="str">
        <f>sample_wld_az2_pool_name</f>
        <v>sfo02-w01-r01-network-pool-01</v>
      </c>
      <c r="D251" s="177" t="str">
        <f>wld_az2_pool_name</f>
        <v>Value Missing</v>
      </c>
      <c r="E251" s="32"/>
    </row>
    <row r="252" spans="2:5" ht="20" customHeight="1" x14ac:dyDescent="0.2">
      <c r="B252" s="17" t="s">
        <v>46</v>
      </c>
      <c r="C252" s="78" t="s">
        <v>269</v>
      </c>
      <c r="D252" s="175"/>
      <c r="E252" s="32"/>
    </row>
    <row r="253" spans="2:5" ht="20" customHeight="1" x14ac:dyDescent="0.2">
      <c r="B253" s="17" t="s">
        <v>29</v>
      </c>
      <c r="C253" s="78" t="s">
        <v>30</v>
      </c>
      <c r="D253" s="175"/>
      <c r="E253" s="32"/>
    </row>
    <row r="254" spans="2:5" ht="16" customHeight="1" x14ac:dyDescent="0.2">
      <c r="B254" s="168"/>
      <c r="C254" s="168"/>
      <c r="D254" s="168"/>
    </row>
    <row r="255" spans="2:5" ht="20" customHeight="1" x14ac:dyDescent="0.2">
      <c r="B255" s="492" t="s">
        <v>1065</v>
      </c>
      <c r="C255" s="493"/>
      <c r="D255" s="493"/>
      <c r="E255" s="494"/>
    </row>
    <row r="256" spans="2:5" ht="20" customHeight="1" x14ac:dyDescent="0.2">
      <c r="B256" s="346" t="s">
        <v>17</v>
      </c>
      <c r="C256" s="346" t="s">
        <v>18</v>
      </c>
      <c r="D256" s="346" t="s">
        <v>19</v>
      </c>
      <c r="E256" s="346" t="s">
        <v>20</v>
      </c>
    </row>
    <row r="257" spans="2:5" ht="20" customHeight="1" x14ac:dyDescent="0.2">
      <c r="B257" s="4" t="s">
        <v>85</v>
      </c>
      <c r="C257" s="80" t="str">
        <f>IF(mgmt_dpg_reuse_result="Included",CONCATENATE(prefix_wld_witness_vlan,"10"),CONCATENATE(prefix_wld_witness_vlan,"11"))</f>
        <v>2110</v>
      </c>
      <c r="D257" s="347"/>
      <c r="E257" s="32"/>
    </row>
    <row r="258" spans="2:5" ht="20" customHeight="1" x14ac:dyDescent="0.2">
      <c r="B258" s="4" t="s">
        <v>187</v>
      </c>
      <c r="C258" s="362" t="str">
        <f>IF(mgmt_dpg_reuse_result="Included",CONCATENATE(prefix_wld_witness_cidr,"10.1"),CONCATENATE(prefix_wld_witness_cidr,"11.1"))</f>
        <v>10.21.10.1</v>
      </c>
      <c r="D258" s="347"/>
      <c r="E258" s="32" t="str">
        <f>IF(AND(mgmt_stretched_cluster_result="Included",mgmt_dpg_reuse_result="Excluded"),"Stretched L2","")</f>
        <v/>
      </c>
    </row>
    <row r="259" spans="2:5" ht="20" customHeight="1" x14ac:dyDescent="0.2">
      <c r="B259" s="4" t="s">
        <v>188</v>
      </c>
      <c r="C259" s="80" t="str">
        <f>IF(mgmt_dpg_reuse_result="Included",CONCATENATE(prefix_wld_witness_cidr,"10.0/24"),CONCATENATE(prefix_wld_witness_cidr,"11.0/24"))</f>
        <v>10.21.10.0/24</v>
      </c>
      <c r="D259" s="347"/>
      <c r="E259" s="32"/>
    </row>
    <row r="260" spans="2:5" ht="20" customHeight="1" x14ac:dyDescent="0.2">
      <c r="B260" s="4" t="s">
        <v>160</v>
      </c>
      <c r="C260" s="362">
        <f>sample_wld_witnessaz_mgmt_mtu</f>
        <v>1500</v>
      </c>
      <c r="D260" s="175"/>
      <c r="E260" s="32"/>
    </row>
    <row r="261" spans="2:5" ht="20" customHeight="1" x14ac:dyDescent="0.2"/>
    <row r="262" spans="2:5" ht="34" customHeight="1" x14ac:dyDescent="0.2">
      <c r="B262" s="522" t="s">
        <v>1066</v>
      </c>
      <c r="C262" s="523"/>
      <c r="D262" s="523"/>
      <c r="E262" s="524"/>
    </row>
    <row r="263" spans="2:5" ht="20" customHeight="1" x14ac:dyDescent="0.2">
      <c r="B263" s="366"/>
      <c r="C263" s="367"/>
      <c r="D263" s="367"/>
      <c r="E263" s="368"/>
    </row>
    <row r="264" spans="2:5" ht="20" customHeight="1" x14ac:dyDescent="0.2">
      <c r="B264" s="346" t="s">
        <v>17</v>
      </c>
      <c r="C264" s="346" t="s">
        <v>18</v>
      </c>
      <c r="D264" s="346" t="s">
        <v>19</v>
      </c>
      <c r="E264" s="346" t="s">
        <v>20</v>
      </c>
    </row>
    <row r="265" spans="2:5" ht="20" customHeight="1" x14ac:dyDescent="0.2">
      <c r="B265" s="4" t="s">
        <v>273</v>
      </c>
      <c r="C265" s="126" t="str">
        <f>CONCATENATE(other_instance,"-m01-vc01.",other_instance,".rainpole.io")</f>
        <v>lax-m01-vc01.lax.rainpole.io</v>
      </c>
      <c r="D265" s="347"/>
      <c r="E265" s="4"/>
    </row>
    <row r="266" spans="2:5" ht="20" customHeight="1" x14ac:dyDescent="0.2">
      <c r="B266" s="4" t="s">
        <v>275</v>
      </c>
      <c r="C266" s="89" t="str">
        <f>IF(mgmt_dpg_reuse_result="Included",CONCATENATE(prefix_other_region_az1_cidr,"10.70"),CONCATENATE(prefix_other_region_az1_cidr,"11.70"))</f>
        <v>10.21.10.70</v>
      </c>
      <c r="D266" s="347"/>
      <c r="E266" s="4"/>
    </row>
    <row r="267" spans="2:5" ht="20" customHeight="1" x14ac:dyDescent="0.2">
      <c r="B267" s="4" t="s">
        <v>276</v>
      </c>
      <c r="C267" s="126" t="str">
        <f>CONCATENATE(this_instance,"-w0",wld_domain_number_chosen,"-cl01-vsw01")</f>
        <v>sfo-w01-cl01-vsw01</v>
      </c>
      <c r="D267" s="347"/>
      <c r="E267" s="4"/>
    </row>
    <row r="268" spans="2:5" ht="20" customHeight="1" x14ac:dyDescent="0.2">
      <c r="B268" s="4" t="s">
        <v>277</v>
      </c>
      <c r="C268" s="362" t="str">
        <f>CONCATENATE(other_instance,"-m01-cl01")</f>
        <v>lax-m01-cl01</v>
      </c>
      <c r="D268" s="347"/>
      <c r="E268" s="4"/>
    </row>
    <row r="269" spans="2:5" ht="20" customHeight="1" x14ac:dyDescent="0.2">
      <c r="B269" s="4" t="s">
        <v>278</v>
      </c>
      <c r="C269" s="362" t="str">
        <f>CONCATENATE(other_instance,"-fd-mgmt")</f>
        <v>lax-fd-mgmt</v>
      </c>
      <c r="D269" s="347"/>
      <c r="E269" s="4"/>
    </row>
    <row r="270" spans="2:5" ht="20" customHeight="1" x14ac:dyDescent="0.2">
      <c r="B270" s="4" t="s">
        <v>279</v>
      </c>
      <c r="C270" s="362" t="str">
        <f>CONCATENATE(other_instance,"-m01-cl01-ds-vsan01")</f>
        <v>lax-m01-cl01-ds-vsan01</v>
      </c>
      <c r="D270" s="347"/>
      <c r="E270" s="4"/>
    </row>
    <row r="271" spans="2:5" ht="20" customHeight="1" x14ac:dyDescent="0.2">
      <c r="B271" s="4" t="s">
        <v>280</v>
      </c>
      <c r="C271" s="362" t="str">
        <f>CONCATENATE(other_instance,"01-m01-cl01-vds01-pg-vm-mgmt")</f>
        <v>lax01-m01-cl01-vds01-pg-vm-mgmt</v>
      </c>
      <c r="D271" s="347"/>
      <c r="E271" s="4"/>
    </row>
    <row r="272" spans="2:5" ht="20" customHeight="1" x14ac:dyDescent="0.2">
      <c r="B272" s="4" t="s">
        <v>281</v>
      </c>
      <c r="C272" s="362" t="str">
        <f>sample_wld_witness_mgmt_pg</f>
        <v>lax01-m01-cl01-vds01-pg-vm-mgmt</v>
      </c>
      <c r="D272" s="177" t="str">
        <f>wld_witness_mgmt_pg</f>
        <v>Value Missing</v>
      </c>
      <c r="E272" s="4"/>
    </row>
    <row r="273" spans="2:5" ht="20" customHeight="1" x14ac:dyDescent="0.2">
      <c r="B273" s="4" t="s">
        <v>282</v>
      </c>
      <c r="C273" s="362" t="s">
        <v>30</v>
      </c>
      <c r="D273" s="129"/>
      <c r="E273" s="337" t="s">
        <v>1067</v>
      </c>
    </row>
    <row r="274" spans="2:5" ht="20" customHeight="1" x14ac:dyDescent="0.2">
      <c r="B274" s="4" t="s">
        <v>1068</v>
      </c>
      <c r="C274" s="126" t="str">
        <f>IF(mgmt_dpg_reuse_result="Included",CONCATENATE(prefix_other_region_az1_cidr,"10.",(218 + wld_domain_number_chosen)),CONCATENATE(prefix_other_region_az1_cidr,"11.",(218 + wld_domain_number_chosen)))</f>
        <v>10.21.10.219</v>
      </c>
      <c r="D274" s="347"/>
      <c r="E274" s="4"/>
    </row>
    <row r="275" spans="2:5" ht="20" customHeight="1" x14ac:dyDescent="0.2">
      <c r="B275" s="4" t="s">
        <v>285</v>
      </c>
      <c r="C275" s="362" t="s">
        <v>128</v>
      </c>
      <c r="D275" s="337" t="str">
        <f>wld_witnessaz_mgmt_mask</f>
        <v>Value Missing</v>
      </c>
      <c r="E275" s="4"/>
    </row>
    <row r="276" spans="2:5" ht="20" customHeight="1" x14ac:dyDescent="0.2">
      <c r="B276" s="4" t="s">
        <v>187</v>
      </c>
      <c r="C276" s="362" t="str">
        <f>sample_wld_witnessaz_mgmt_gateway_ip</f>
        <v>10.21.10.1</v>
      </c>
      <c r="D276" s="337"/>
      <c r="E276" s="4"/>
    </row>
    <row r="277" spans="2:5" ht="20" customHeight="1" x14ac:dyDescent="0.2">
      <c r="B277" s="4" t="s">
        <v>286</v>
      </c>
      <c r="C277" s="362" t="str">
        <f>sample_child_dns_zone</f>
        <v>sfo.rainpole.io</v>
      </c>
      <c r="D277" s="347"/>
      <c r="E277" s="4"/>
    </row>
    <row r="278" spans="2:5" ht="20" customHeight="1" x14ac:dyDescent="0.2">
      <c r="B278" s="4" t="s">
        <v>287</v>
      </c>
      <c r="C278" s="362" t="str">
        <f>sample_wld_witness_hostname</f>
        <v>sfo-w01-cl01-vsw01</v>
      </c>
      <c r="D278" s="337" t="str">
        <f>wld_witness_hostname</f>
        <v>Value Missing</v>
      </c>
      <c r="E278" s="4"/>
    </row>
    <row r="279" spans="2:5" ht="20" customHeight="1" x14ac:dyDescent="0.2">
      <c r="B279" s="4" t="s">
        <v>288</v>
      </c>
      <c r="C279" s="362" t="str">
        <f>IF(mgmt_dpg_reuse_result="Included",CONCATENATE(prefix_other_region_az1_cidr,"10.4"),CONCATENATE(prefix_other_region_az1_cidr,"11.4"))</f>
        <v>10.21.10.4</v>
      </c>
      <c r="D279" s="347"/>
      <c r="E279" s="32"/>
    </row>
    <row r="280" spans="2:5" ht="20" customHeight="1" x14ac:dyDescent="0.2">
      <c r="B280" s="4" t="s">
        <v>290</v>
      </c>
      <c r="C280" s="362" t="str">
        <f>IF(mgmt_dpg_reuse_result="Included",CONCATENATE(prefix_other_region_az1_cidr,"10.5"),CONCATENATE(prefix_other_region_az1_cidr,"11.5"))</f>
        <v>10.21.10.5</v>
      </c>
      <c r="D280" s="347"/>
      <c r="E280" s="32"/>
    </row>
    <row r="281" spans="2:5" ht="20" customHeight="1" x14ac:dyDescent="0.2">
      <c r="B281" s="4" t="s">
        <v>292</v>
      </c>
      <c r="C281" s="362" t="str">
        <f>CONCATENATE("ntp0.",other_instance,".rainpole.io")</f>
        <v>ntp0.lax.rainpole.io</v>
      </c>
      <c r="D281" s="347"/>
      <c r="E281" s="4"/>
    </row>
    <row r="282" spans="2:5" ht="20" customHeight="1" x14ac:dyDescent="0.2">
      <c r="B282" s="4" t="s">
        <v>293</v>
      </c>
      <c r="C282" s="362" t="str">
        <f>CONCATENATE("ntp1.",other_instance,".rainpole.io")</f>
        <v>ntp1.lax.rainpole.io</v>
      </c>
      <c r="D282" s="347"/>
      <c r="E282" s="4"/>
    </row>
    <row r="283" spans="2:5" ht="20" customHeight="1" x14ac:dyDescent="0.2">
      <c r="B283" s="505" t="s">
        <v>294</v>
      </c>
      <c r="C283" s="506"/>
      <c r="D283" s="506"/>
      <c r="E283" s="507"/>
    </row>
    <row r="284" spans="2:5" ht="20" customHeight="1" x14ac:dyDescent="0.2">
      <c r="B284" s="346" t="s">
        <v>17</v>
      </c>
      <c r="C284" s="346" t="s">
        <v>18</v>
      </c>
      <c r="D284" s="346" t="s">
        <v>19</v>
      </c>
      <c r="E284" s="346" t="s">
        <v>20</v>
      </c>
    </row>
    <row r="285" spans="2:5" ht="20" customHeight="1" x14ac:dyDescent="0.2">
      <c r="B285" s="4" t="s">
        <v>273</v>
      </c>
      <c r="C285" s="362" t="str">
        <f>sample_wld_vc_fqdn</f>
        <v>sfo-w01-vc01.sfo.rainpole.io</v>
      </c>
      <c r="D285" s="337" t="str">
        <f>wld_vc_fqdn</f>
        <v>Value Missing</v>
      </c>
      <c r="E285" s="4"/>
    </row>
    <row r="286" spans="2:5" ht="20" customHeight="1" x14ac:dyDescent="0.2">
      <c r="B286" s="4" t="s">
        <v>295</v>
      </c>
      <c r="C286" s="362" t="str">
        <f>CONCATENATE(this_instance,"-w0",wld_domain_number_chosen,"-dc")</f>
        <v>sfo-w01-dc</v>
      </c>
      <c r="D286" s="347"/>
      <c r="E286" s="4"/>
    </row>
    <row r="287" spans="2:5" ht="20" customHeight="1" x14ac:dyDescent="0.2">
      <c r="B287" s="4" t="s">
        <v>38</v>
      </c>
      <c r="C287" s="362" t="str">
        <f>CONCATENATE(sample_wld_witness_hostname,".",sample_child_dns_zone)</f>
        <v>sfo-w01-cl01-vsw01.sfo.rainpole.io</v>
      </c>
      <c r="D287" s="347"/>
      <c r="E287" s="4"/>
    </row>
    <row r="288" spans="2:5" ht="20" customHeight="1" x14ac:dyDescent="0.2">
      <c r="B288" s="4" t="s">
        <v>296</v>
      </c>
      <c r="C288" s="362" t="str">
        <f>sample_wld_witness_root_password</f>
        <v>VMw@re1!</v>
      </c>
      <c r="D288" s="337" t="str">
        <f>wld_witness_root_password</f>
        <v>Value Missing</v>
      </c>
      <c r="E288" s="4"/>
    </row>
    <row r="289" spans="2:5" ht="20" customHeight="1" x14ac:dyDescent="0.2">
      <c r="B289" s="505" t="s">
        <v>297</v>
      </c>
      <c r="C289" s="506"/>
      <c r="D289" s="506"/>
      <c r="E289" s="507"/>
    </row>
    <row r="290" spans="2:5" ht="20" customHeight="1" x14ac:dyDescent="0.2">
      <c r="B290" s="346" t="s">
        <v>17</v>
      </c>
      <c r="C290" s="346" t="s">
        <v>18</v>
      </c>
      <c r="D290" s="346" t="s">
        <v>19</v>
      </c>
      <c r="E290" s="346" t="s">
        <v>20</v>
      </c>
    </row>
    <row r="291" spans="2:5" ht="20" customHeight="1" x14ac:dyDescent="0.2">
      <c r="B291" s="4" t="s">
        <v>273</v>
      </c>
      <c r="C291" s="362" t="str">
        <f>sample_wld_vc_fqdn</f>
        <v>sfo-w01-vc01.sfo.rainpole.io</v>
      </c>
      <c r="D291" s="337" t="str">
        <f>wld_vc_fqdn</f>
        <v>Value Missing</v>
      </c>
      <c r="E291" s="4"/>
    </row>
    <row r="292" spans="2:5" ht="20" customHeight="1" x14ac:dyDescent="0.2">
      <c r="B292" s="4" t="s">
        <v>298</v>
      </c>
      <c r="C292" s="362" t="str">
        <f>sample_wld_witness_hostname</f>
        <v>sfo-w01-cl01-vsw01</v>
      </c>
      <c r="D292" s="337" t="str">
        <f>wld_witness_hostname</f>
        <v>Value Missing</v>
      </c>
      <c r="E292" s="4"/>
    </row>
    <row r="293" spans="2:5" ht="20" customHeight="1" x14ac:dyDescent="0.2">
      <c r="B293" s="4" t="s">
        <v>299</v>
      </c>
      <c r="C293" s="362" t="str">
        <f>IF(AND((NOT(ISBLANK(sample_mgmt_witness_ntp2_server))),(sample_mgmt_witness_ntp2_server &lt;&gt; "n/a")),CONCATENATE(sample_mgmt_witness_ntp1_server,",",sample_mgmt_witness_ntp2_server),sample_mgmt_witness_ntp1_server)</f>
        <v>ntp0.sfo.rainpole.io,ntp1.sfo.rainpole.io</v>
      </c>
      <c r="D293" s="337" t="str">
        <f>IF(AND((NOT(ISBLANK(witness_ntp2_server))),(witness_ntp2_server&lt;&gt;"n/a"),(witness_ntp2_server&lt;&gt;"")),CONCATENATE(witness_ntp1_server,",",witness_ntp2_server,witness_ntp1_server))</f>
        <v>Value Missing,Value MissingValue Missing</v>
      </c>
      <c r="E293" s="32"/>
    </row>
    <row r="294" spans="2:5" ht="20" customHeight="1" x14ac:dyDescent="0.2">
      <c r="B294" s="505" t="s">
        <v>300</v>
      </c>
      <c r="C294" s="506"/>
      <c r="D294" s="506"/>
      <c r="E294" s="507"/>
    </row>
    <row r="295" spans="2:5" ht="20" customHeight="1" x14ac:dyDescent="0.2">
      <c r="B295" s="346" t="s">
        <v>17</v>
      </c>
      <c r="C295" s="346" t="s">
        <v>18</v>
      </c>
      <c r="D295" s="346" t="s">
        <v>19</v>
      </c>
      <c r="E295" s="346" t="s">
        <v>20</v>
      </c>
    </row>
    <row r="296" spans="2:5" ht="20" customHeight="1" x14ac:dyDescent="0.2">
      <c r="B296" s="4" t="s">
        <v>273</v>
      </c>
      <c r="C296" s="362" t="str">
        <f>sample_wld_vc_fqdn</f>
        <v>sfo-w01-vc01.sfo.rainpole.io</v>
      </c>
      <c r="D296" s="337" t="str">
        <f>mgmt_vc_fqdn</f>
        <v>Value Missing</v>
      </c>
      <c r="E296" s="4"/>
    </row>
    <row r="297" spans="2:5" ht="20" customHeight="1" x14ac:dyDescent="0.2">
      <c r="B297" s="4" t="s">
        <v>295</v>
      </c>
      <c r="C297" s="362" t="str">
        <f>sample_wld_datacenter</f>
        <v>sfo-w01-dc</v>
      </c>
      <c r="D297" s="337" t="str">
        <f>wld_datacenter</f>
        <v>Value Missing</v>
      </c>
      <c r="E297" s="4"/>
    </row>
    <row r="298" spans="2:5" ht="20" customHeight="1" x14ac:dyDescent="0.2">
      <c r="B298" s="4" t="s">
        <v>302</v>
      </c>
      <c r="C298" s="362" t="str">
        <f>sample_wld_witness_hostname</f>
        <v>sfo-w01-cl01-vsw01</v>
      </c>
      <c r="D298" s="337" t="str">
        <f>wld_witness_hostname</f>
        <v>Value Missing</v>
      </c>
      <c r="E298" s="4"/>
    </row>
    <row r="299" spans="2:5" ht="20" customHeight="1" x14ac:dyDescent="0.2">
      <c r="B299" s="372"/>
      <c r="C299" s="327"/>
      <c r="D299" s="344"/>
      <c r="E299" s="372"/>
    </row>
    <row r="300" spans="2:5" ht="34" customHeight="1" x14ac:dyDescent="0.2">
      <c r="B300" s="522" t="s">
        <v>303</v>
      </c>
      <c r="C300" s="523"/>
      <c r="D300" s="523"/>
      <c r="E300" s="524"/>
    </row>
    <row r="301" spans="2:5" ht="20" customHeight="1" x14ac:dyDescent="0.2">
      <c r="B301" s="366"/>
      <c r="C301" s="367"/>
      <c r="D301" s="367"/>
      <c r="E301" s="368"/>
    </row>
    <row r="302" spans="2:5" ht="20" customHeight="1" x14ac:dyDescent="0.2">
      <c r="B302" s="346" t="s">
        <v>17</v>
      </c>
      <c r="C302" s="346" t="s">
        <v>18</v>
      </c>
      <c r="D302" s="346" t="s">
        <v>19</v>
      </c>
      <c r="E302" s="346" t="s">
        <v>20</v>
      </c>
    </row>
    <row r="303" spans="2:5" ht="20" customHeight="1" x14ac:dyDescent="0.2">
      <c r="B303" s="361" t="str">
        <f t="array" ref="B303:B318">wld_az2_host_fqdns</f>
        <v>Value Missing</v>
      </c>
      <c r="C303" s="362" t="s">
        <v>305</v>
      </c>
      <c r="D303" s="347"/>
      <c r="E303" s="337" t="s">
        <v>1069</v>
      </c>
    </row>
    <row r="304" spans="2:5" ht="20" customHeight="1" x14ac:dyDescent="0.2">
      <c r="B304" s="4" t="str">
        <v>Value Missing</v>
      </c>
      <c r="C304" s="362" t="s">
        <v>307</v>
      </c>
      <c r="D304" s="347"/>
      <c r="E304" s="337" t="s">
        <v>1069</v>
      </c>
    </row>
    <row r="305" spans="2:5" ht="20" customHeight="1" x14ac:dyDescent="0.2">
      <c r="B305" s="4" t="str">
        <v>Value Missing</v>
      </c>
      <c r="C305" s="362" t="s">
        <v>309</v>
      </c>
      <c r="D305" s="347"/>
      <c r="E305" s="337" t="s">
        <v>1069</v>
      </c>
    </row>
    <row r="306" spans="2:5" ht="20" customHeight="1" x14ac:dyDescent="0.2">
      <c r="B306" s="4" t="str">
        <v>Value Missing</v>
      </c>
      <c r="C306" s="362" t="s">
        <v>311</v>
      </c>
      <c r="D306" s="347"/>
      <c r="E306" s="337" t="s">
        <v>1069</v>
      </c>
    </row>
    <row r="307" spans="2:5" ht="20" customHeight="1" x14ac:dyDescent="0.2">
      <c r="B307" s="4" t="str">
        <v>Value Missing</v>
      </c>
      <c r="C307" s="362" t="s">
        <v>1070</v>
      </c>
      <c r="D307" s="347"/>
      <c r="E307" s="337"/>
    </row>
    <row r="308" spans="2:5" ht="20" customHeight="1" x14ac:dyDescent="0.2">
      <c r="B308" s="4" t="str">
        <v>Value Missing</v>
      </c>
      <c r="C308" s="362" t="s">
        <v>1071</v>
      </c>
      <c r="D308" s="347"/>
      <c r="E308" s="337"/>
    </row>
    <row r="309" spans="2:5" ht="20" customHeight="1" x14ac:dyDescent="0.2">
      <c r="B309" s="4" t="str">
        <v>Value Missing</v>
      </c>
      <c r="C309" s="362" t="s">
        <v>1072</v>
      </c>
      <c r="D309" s="347"/>
      <c r="E309" s="337"/>
    </row>
    <row r="310" spans="2:5" ht="20" customHeight="1" x14ac:dyDescent="0.2">
      <c r="B310" s="4" t="str">
        <v>Value Missing</v>
      </c>
      <c r="C310" s="362" t="s">
        <v>1073</v>
      </c>
      <c r="D310" s="347"/>
      <c r="E310" s="337"/>
    </row>
    <row r="311" spans="2:5" ht="20" customHeight="1" x14ac:dyDescent="0.2">
      <c r="B311" s="4" t="str">
        <v>Value Missing</v>
      </c>
      <c r="C311" s="362" t="s">
        <v>1074</v>
      </c>
      <c r="D311" s="347"/>
      <c r="E311" s="337"/>
    </row>
    <row r="312" spans="2:5" ht="20" customHeight="1" x14ac:dyDescent="0.2">
      <c r="B312" s="4" t="str">
        <v>Value Missing</v>
      </c>
      <c r="C312" s="362" t="s">
        <v>1075</v>
      </c>
      <c r="D312" s="347"/>
      <c r="E312" s="337"/>
    </row>
    <row r="313" spans="2:5" ht="20" customHeight="1" x14ac:dyDescent="0.2">
      <c r="B313" s="4" t="str">
        <v>Value Missing</v>
      </c>
      <c r="C313" s="362" t="s">
        <v>1076</v>
      </c>
      <c r="D313" s="347"/>
      <c r="E313" s="337"/>
    </row>
    <row r="314" spans="2:5" ht="20" customHeight="1" x14ac:dyDescent="0.2">
      <c r="B314" s="4" t="str">
        <v>Value Missing</v>
      </c>
      <c r="C314" s="362" t="s">
        <v>1077</v>
      </c>
      <c r="D314" s="347"/>
      <c r="E314" s="337"/>
    </row>
    <row r="315" spans="2:5" ht="20" customHeight="1" x14ac:dyDescent="0.2">
      <c r="B315" s="4" t="str">
        <v>Value Missing</v>
      </c>
      <c r="C315" s="362" t="s">
        <v>1078</v>
      </c>
      <c r="D315" s="347"/>
      <c r="E315" s="337"/>
    </row>
    <row r="316" spans="2:5" ht="20" customHeight="1" x14ac:dyDescent="0.2">
      <c r="B316" s="4" t="str">
        <v>Value Missing</v>
      </c>
      <c r="C316" s="362" t="s">
        <v>1079</v>
      </c>
      <c r="D316" s="347"/>
      <c r="E316" s="337"/>
    </row>
    <row r="317" spans="2:5" ht="20" customHeight="1" x14ac:dyDescent="0.2">
      <c r="B317" s="4" t="str">
        <v>Value Missing</v>
      </c>
      <c r="C317" s="362" t="s">
        <v>1080</v>
      </c>
      <c r="D317" s="347"/>
      <c r="E317" s="337"/>
    </row>
    <row r="318" spans="2:5" ht="20" customHeight="1" x14ac:dyDescent="0.2">
      <c r="B318" s="4" t="str">
        <v>Value Missing</v>
      </c>
      <c r="C318" s="362" t="s">
        <v>1081</v>
      </c>
      <c r="D318" s="347"/>
      <c r="E318" s="337"/>
    </row>
    <row r="319" spans="2:5" ht="20" customHeight="1" x14ac:dyDescent="0.2">
      <c r="B319" s="4" t="s">
        <v>337</v>
      </c>
      <c r="C319" s="362" t="str">
        <f>CONCATENATE(this_instance,"02-",sample_wld_cl01_cluster,"-r01-network-profile")</f>
        <v>sfo02-sfo-w01-cl01-r01-network-profile</v>
      </c>
      <c r="D319" s="347"/>
      <c r="E319" s="178"/>
    </row>
    <row r="320" spans="2:5" ht="20" customHeight="1" x14ac:dyDescent="0.2">
      <c r="B320" s="4" t="s">
        <v>338</v>
      </c>
      <c r="C320" s="362" t="s">
        <v>339</v>
      </c>
      <c r="D320" s="347" t="s">
        <v>339</v>
      </c>
      <c r="E320"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21" spans="2:5" ht="20" customHeight="1" x14ac:dyDescent="0.2">
      <c r="B321" s="4" t="s">
        <v>340</v>
      </c>
      <c r="C321" s="362" t="str">
        <f>CONCATENATE(this_instance,"02-w0",wld_domain_number_chosen,"-r01-ip-pool01-host")</f>
        <v>sfo02-w01-r01-ip-pool01-host</v>
      </c>
      <c r="D321" s="347"/>
      <c r="E321" s="4"/>
    </row>
    <row r="322" spans="2:5" ht="20" customHeight="1" x14ac:dyDescent="0.2">
      <c r="B322" s="4" t="s">
        <v>341</v>
      </c>
      <c r="C322" s="362" t="str">
        <f>CONCATENATE(this_instance,"02-w0",wld_domain_number_chosen,"-r01-uplink-profile01")</f>
        <v>sfo02-w01-r01-uplink-profile01</v>
      </c>
      <c r="D322" s="347"/>
      <c r="E322" s="4"/>
    </row>
    <row r="323" spans="2:5" ht="20" customHeight="1" x14ac:dyDescent="0.2">
      <c r="B323" s="17" t="s">
        <v>342</v>
      </c>
      <c r="C323" s="362" t="str">
        <f>CONCATENATE(prefix_wld_az2_vlan,"14")</f>
        <v>1414</v>
      </c>
      <c r="D323" s="347"/>
      <c r="E323" s="4"/>
    </row>
    <row r="324" spans="2:5" ht="20" customHeight="1" x14ac:dyDescent="0.2">
      <c r="B324" s="4" t="s">
        <v>343</v>
      </c>
      <c r="C324" s="80" t="str">
        <f>CONCATENATE(prefix_wld_az2_cidr,"14.1")</f>
        <v>10.14.14.1</v>
      </c>
      <c r="D324" s="347"/>
      <c r="E324" s="32" t="str">
        <f>IF(AND(mgmt_stretched_cluster_result="Included",mgmt_dpg_reuse_result="Excluded"),"Stretched L2","")</f>
        <v/>
      </c>
    </row>
    <row r="325" spans="2:5" ht="20" customHeight="1" x14ac:dyDescent="0.2">
      <c r="B325" s="4" t="s">
        <v>344</v>
      </c>
      <c r="C325" s="80" t="str">
        <f>CONCATENATE(prefix_wld_az2_cidr,"14.0/24")</f>
        <v>10.14.14.0/24</v>
      </c>
      <c r="D325" s="347"/>
      <c r="E325" s="32"/>
    </row>
    <row r="326" spans="2:5" ht="20" customHeight="1" x14ac:dyDescent="0.2">
      <c r="B326" s="4" t="s">
        <v>345</v>
      </c>
      <c r="C326" s="80">
        <v>9000</v>
      </c>
      <c r="D326" s="347"/>
      <c r="E326" s="56"/>
    </row>
    <row r="327" spans="2:5" ht="20" customHeight="1" x14ac:dyDescent="0.2">
      <c r="B327" s="17" t="s">
        <v>255</v>
      </c>
      <c r="C327" s="80" t="str">
        <f>CONCATENATE(prefix_wld_az2_cidr,"14.101")</f>
        <v>10.14.14.101</v>
      </c>
      <c r="D327" s="347"/>
      <c r="E327" s="56"/>
    </row>
    <row r="328" spans="2:5" ht="20" customHeight="1" x14ac:dyDescent="0.2">
      <c r="B328" s="17" t="s">
        <v>256</v>
      </c>
      <c r="C328" s="80" t="str">
        <f>CONCATENATE(prefix_wld_az2_cidr,"14.132")</f>
        <v>10.14.14.132</v>
      </c>
      <c r="D328" s="347"/>
      <c r="E328" s="56"/>
    </row>
    <row r="329" spans="2:5" ht="20" customHeight="1" x14ac:dyDescent="0.2">
      <c r="B329" s="4" t="s">
        <v>1082</v>
      </c>
      <c r="C329" s="362" t="str">
        <f>sample_wld_witness_fqdn</f>
        <v>sfo-w01-cl01-vsw01.sfo.rainpole.io</v>
      </c>
      <c r="D329" s="337" t="str">
        <f>wld_witness_fqdn</f>
        <v>Value Missing</v>
      </c>
      <c r="E329" s="4"/>
    </row>
    <row r="330" spans="2:5" ht="20" customHeight="1" x14ac:dyDescent="0.2">
      <c r="B330" s="4" t="s">
        <v>350</v>
      </c>
      <c r="C330" s="362" t="str">
        <f>sample_wld_witnessaz_mgmt_cidr</f>
        <v>10.21.10.0/24</v>
      </c>
      <c r="D330" s="337" t="str">
        <f>wld_witnessaz_mgmt_cidr</f>
        <v>Value Missing</v>
      </c>
      <c r="E330" s="4"/>
    </row>
    <row r="331" spans="2:5" ht="20" customHeight="1" x14ac:dyDescent="0.2">
      <c r="B331" s="4" t="s">
        <v>348</v>
      </c>
      <c r="C331" s="362" t="str">
        <f>sample_wld_witness_ip</f>
        <v>10.21.10.219</v>
      </c>
      <c r="D331" s="337" t="e">
        <f>wld_witness_mgmt_ip</f>
        <v>#NAME?</v>
      </c>
      <c r="E331" s="4"/>
    </row>
    <row r="332" spans="2:5" ht="20" customHeight="1" x14ac:dyDescent="0.2">
      <c r="B332" s="4" t="s">
        <v>353</v>
      </c>
      <c r="C332" s="362" t="s">
        <v>352</v>
      </c>
      <c r="D332" s="347"/>
      <c r="E332" s="337"/>
    </row>
    <row r="333" spans="2:5" ht="20" customHeight="1" x14ac:dyDescent="0.2">
      <c r="B333" s="525"/>
      <c r="C333" s="525"/>
      <c r="D333" s="525"/>
      <c r="E333" s="525"/>
    </row>
    <row r="334" spans="2:5" ht="34" customHeight="1" x14ac:dyDescent="0.2">
      <c r="B334" s="522" t="s">
        <v>354</v>
      </c>
      <c r="C334" s="523"/>
      <c r="D334" s="523"/>
      <c r="E334" s="524"/>
    </row>
    <row r="335" spans="2:5" ht="20" customHeight="1" x14ac:dyDescent="0.2">
      <c r="B335" s="373" t="s">
        <v>355</v>
      </c>
      <c r="C335" s="374"/>
      <c r="D335" s="374"/>
      <c r="E335" s="374"/>
    </row>
    <row r="336" spans="2:5" ht="20" customHeight="1" x14ac:dyDescent="0.2">
      <c r="B336" s="346" t="s">
        <v>17</v>
      </c>
      <c r="C336" s="346" t="s">
        <v>18</v>
      </c>
      <c r="D336" s="346" t="s">
        <v>19</v>
      </c>
      <c r="E336" s="346" t="s">
        <v>20</v>
      </c>
    </row>
    <row r="337" spans="2:5" ht="20" customHeight="1" x14ac:dyDescent="0.2">
      <c r="B337" s="4" t="s">
        <v>356</v>
      </c>
      <c r="C337" s="362" t="str">
        <f>sample_wld_nsxt_vip_fqdn</f>
        <v>sfo-w01-nsx01.sfo.rainpole.io</v>
      </c>
      <c r="D337" s="337" t="str">
        <f>wld_nsxt_vip_fqdn</f>
        <v>Value Missing</v>
      </c>
      <c r="E337" s="4"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338" spans="2:5" ht="20" customHeight="1" x14ac:dyDescent="0.2">
      <c r="B338" s="561" t="s">
        <v>357</v>
      </c>
      <c r="C338" s="562"/>
      <c r="D338" s="562"/>
      <c r="E338" s="562"/>
    </row>
    <row r="339" spans="2:5" ht="20" customHeight="1" x14ac:dyDescent="0.2">
      <c r="B339" s="346" t="s">
        <v>17</v>
      </c>
      <c r="C339" s="346" t="s">
        <v>18</v>
      </c>
      <c r="D339" s="346" t="s">
        <v>19</v>
      </c>
      <c r="E339" s="346" t="s">
        <v>20</v>
      </c>
    </row>
    <row r="340" spans="2:5" ht="20" customHeight="1" x14ac:dyDescent="0.2">
      <c r="B340" s="4" t="s">
        <v>356</v>
      </c>
      <c r="C340" s="362" t="str">
        <f>sample_wld_nsxt_vip_fqdn</f>
        <v>sfo-w01-nsx01.sfo.rainpole.io</v>
      </c>
      <c r="D340" s="337" t="str">
        <f>wld_nsxt_vip_fqdn</f>
        <v>Value Missing</v>
      </c>
      <c r="E340" s="4"/>
    </row>
    <row r="341" spans="2:5" ht="20" customHeight="1" x14ac:dyDescent="0.2">
      <c r="B341" s="4" t="s">
        <v>358</v>
      </c>
      <c r="C341" s="362" t="str">
        <f>sample_wld_en_asn</f>
        <v>65102</v>
      </c>
      <c r="D341" s="337" t="str">
        <f>wld_en_asn</f>
        <v>Value Missing</v>
      </c>
      <c r="E341" s="4"/>
    </row>
    <row r="342" spans="2:5" ht="20" customHeight="1" x14ac:dyDescent="0.2">
      <c r="B342" s="561" t="s">
        <v>359</v>
      </c>
      <c r="C342" s="562"/>
      <c r="D342" s="562"/>
      <c r="E342" s="562"/>
    </row>
    <row r="343" spans="2:5" ht="20" customHeight="1" x14ac:dyDescent="0.2">
      <c r="B343" s="346" t="s">
        <v>17</v>
      </c>
      <c r="C343" s="346" t="s">
        <v>18</v>
      </c>
      <c r="D343" s="346" t="s">
        <v>19</v>
      </c>
      <c r="E343" s="346" t="s">
        <v>20</v>
      </c>
    </row>
    <row r="344" spans="2:5" ht="20" customHeight="1" x14ac:dyDescent="0.2">
      <c r="B344" s="4" t="s">
        <v>356</v>
      </c>
      <c r="C344" s="362" t="str">
        <f>sample_wld_nsxt_vip_fqdn</f>
        <v>sfo-w01-nsx01.sfo.rainpole.io</v>
      </c>
      <c r="D344" s="337" t="str">
        <f>wld_nsxt_vip_fqdn</f>
        <v>Value Missing</v>
      </c>
      <c r="E344" s="4"/>
    </row>
    <row r="345" spans="2:5" ht="20" customHeight="1" x14ac:dyDescent="0.2">
      <c r="B345" s="4" t="s">
        <v>360</v>
      </c>
      <c r="C345" s="80" t="str">
        <f>CONCATENATE(prefix_wld_az1_cidr,"17.11")</f>
        <v>10.13.17.11</v>
      </c>
      <c r="D345" s="347"/>
      <c r="E345" s="4"/>
    </row>
    <row r="346" spans="2:5" ht="20" customHeight="1" x14ac:dyDescent="0.2">
      <c r="B346" s="4" t="s">
        <v>361</v>
      </c>
      <c r="C346" s="80" t="str">
        <f>CONCATENATE(asn_start,asn_instance,asn_wld_az2,1)</f>
        <v>65141</v>
      </c>
      <c r="D346" s="347"/>
      <c r="E346" s="4"/>
    </row>
    <row r="347" spans="2:5" ht="20" customHeight="1" x14ac:dyDescent="0.2">
      <c r="B347" s="4" t="s">
        <v>362</v>
      </c>
      <c r="C347" s="362" t="str">
        <f>sample_wld_az1_en1_uplink01_interface_cidr</f>
        <v>10.13.17.2/24</v>
      </c>
      <c r="D347" s="337" t="str">
        <f>wld_az1_en1_uplink01_interface_cidr</f>
        <v>Value Missing</v>
      </c>
      <c r="E347" s="4"/>
    </row>
    <row r="348" spans="2:5" ht="20" customHeight="1" x14ac:dyDescent="0.2">
      <c r="B348" s="4" t="s">
        <v>363</v>
      </c>
      <c r="C348" s="362" t="str">
        <f>sample_wld_az1_en2_uplink01_interface_cidr</f>
        <v>10.13.17.3/24</v>
      </c>
      <c r="D348" s="337" t="str">
        <f>wld_az1_en2_uplink01_interface_cidr</f>
        <v>Value Missing</v>
      </c>
      <c r="E348" s="4"/>
    </row>
    <row r="349" spans="2:5" ht="20" customHeight="1" x14ac:dyDescent="0.2">
      <c r="B349" s="4" t="s">
        <v>364</v>
      </c>
      <c r="C349" s="80" t="s">
        <v>30</v>
      </c>
      <c r="D349" s="347"/>
      <c r="E349" s="4"/>
    </row>
    <row r="350" spans="2:5" ht="20" customHeight="1" x14ac:dyDescent="0.2">
      <c r="B350" s="4" t="s">
        <v>365</v>
      </c>
      <c r="C350" s="80" t="str">
        <f>CONCATENATE(prefix_wld_az1_cidr,"18.11")</f>
        <v>10.13.18.11</v>
      </c>
      <c r="D350" s="347"/>
      <c r="E350" s="4"/>
    </row>
    <row r="351" spans="2:5" ht="20" customHeight="1" x14ac:dyDescent="0.2">
      <c r="B351" s="4" t="s">
        <v>366</v>
      </c>
      <c r="C351" s="80" t="str">
        <f>CONCATENATE(asn_start,asn_instance,asn_wld_az2,1)</f>
        <v>65141</v>
      </c>
      <c r="D351" s="347"/>
      <c r="E351" s="4"/>
    </row>
    <row r="352" spans="2:5" ht="20" customHeight="1" x14ac:dyDescent="0.2">
      <c r="B352" s="4" t="s">
        <v>362</v>
      </c>
      <c r="C352" s="362" t="str">
        <f>sample_wld_az1_en1_uplink02_interface_cidr</f>
        <v>10.13.18.2/24</v>
      </c>
      <c r="D352" s="337" t="str">
        <f>wld_az1_en1_uplink02_interface_cidr</f>
        <v>Value Missing</v>
      </c>
      <c r="E352" s="4"/>
    </row>
    <row r="353" spans="2:5" ht="20" customHeight="1" x14ac:dyDescent="0.2">
      <c r="B353" s="4" t="s">
        <v>363</v>
      </c>
      <c r="C353" s="362" t="str">
        <f>sample_wld_az1_en2_uplink02_interface_cidr</f>
        <v>10.13.18.3/24</v>
      </c>
      <c r="D353" s="337" t="str">
        <f>wld_az1_en2_uplink02_interface_cidr</f>
        <v>Value Missing</v>
      </c>
      <c r="E353" s="4"/>
    </row>
    <row r="354" spans="2:5" ht="20" customHeight="1" x14ac:dyDescent="0.2">
      <c r="B354" s="4" t="s">
        <v>364</v>
      </c>
      <c r="C354" s="80" t="s">
        <v>30</v>
      </c>
      <c r="D354" s="347"/>
      <c r="E354" s="4"/>
    </row>
    <row r="355" spans="2:5" ht="16" customHeight="1" x14ac:dyDescent="0.2"/>
    <row r="356" spans="2:5" ht="34" customHeight="1" x14ac:dyDescent="0.2">
      <c r="B356" s="520" t="s">
        <v>1032</v>
      </c>
      <c r="C356" s="521"/>
      <c r="D356" s="521"/>
      <c r="E356" s="521"/>
    </row>
    <row r="357" spans="2:5" ht="20" customHeight="1" x14ac:dyDescent="0.2">
      <c r="B357" s="561" t="s">
        <v>367</v>
      </c>
      <c r="C357" s="562"/>
      <c r="D357" s="562"/>
      <c r="E357" s="562"/>
    </row>
    <row r="358" spans="2:5" ht="20" customHeight="1" x14ac:dyDescent="0.2">
      <c r="B358" s="346" t="s">
        <v>17</v>
      </c>
      <c r="C358" s="346" t="s">
        <v>18</v>
      </c>
      <c r="D358" s="346" t="s">
        <v>19</v>
      </c>
      <c r="E358" s="346" t="s">
        <v>20</v>
      </c>
    </row>
    <row r="359" spans="2:5" ht="20" customHeight="1" x14ac:dyDescent="0.2">
      <c r="B359" s="17" t="s">
        <v>368</v>
      </c>
      <c r="C359" s="362" t="str">
        <f>sample_mgmt_vc_fqdn</f>
        <v>sfo-m01-vc01.sfo.rainpole.io</v>
      </c>
      <c r="D359" s="337" t="str">
        <f>mgmt_vc_fqdn</f>
        <v>Value Missing</v>
      </c>
      <c r="E359" s="4"/>
    </row>
    <row r="360" spans="2:5" ht="20" customHeight="1" x14ac:dyDescent="0.2">
      <c r="B360" s="505" t="s">
        <v>369</v>
      </c>
      <c r="C360" s="506"/>
      <c r="D360" s="506"/>
      <c r="E360" s="507"/>
    </row>
    <row r="361" spans="2:5" ht="20" customHeight="1" x14ac:dyDescent="0.2">
      <c r="B361" s="22" t="s">
        <v>1083</v>
      </c>
      <c r="C361" s="89" t="str">
        <f>CONCATENATE(this_instance,"-w0",wld_domain_number_chosen,"-nsx-gm01a")</f>
        <v>sfo-w01-nsx-gm01a</v>
      </c>
      <c r="D361" s="337"/>
      <c r="E361" s="4"/>
    </row>
    <row r="362" spans="2:5" ht="20" customHeight="1" x14ac:dyDescent="0.2">
      <c r="B362" s="22" t="s">
        <v>1084</v>
      </c>
      <c r="C362" s="362" t="str">
        <f>sample_mgmt_datacenter</f>
        <v>sfo-m01-dc01</v>
      </c>
      <c r="D362" s="337" t="str">
        <f>mgmt_datacenter</f>
        <v>Value Missing</v>
      </c>
      <c r="E362" s="4"/>
    </row>
    <row r="363" spans="2:5" ht="20" customHeight="1" x14ac:dyDescent="0.2">
      <c r="B363" s="22" t="s">
        <v>1085</v>
      </c>
      <c r="C363" s="362" t="str">
        <f>sample_mgmt_cl01_cluster</f>
        <v>sfo-m01-cl01</v>
      </c>
      <c r="D363" s="337" t="str">
        <f>mgmt_cl01_cluster</f>
        <v>Value Missing</v>
      </c>
      <c r="E363" s="4"/>
    </row>
    <row r="364" spans="2:5" ht="20" customHeight="1" x14ac:dyDescent="0.2">
      <c r="B364" s="22" t="s">
        <v>1086</v>
      </c>
      <c r="C364" s="362" t="s">
        <v>751</v>
      </c>
      <c r="D364" s="337" t="s">
        <v>751</v>
      </c>
      <c r="E364" s="4"/>
    </row>
    <row r="365" spans="2:5" ht="20" customHeight="1" x14ac:dyDescent="0.2">
      <c r="B365" s="22" t="s">
        <v>1087</v>
      </c>
      <c r="C365" s="362" t="str">
        <f>sample_mgmt_cl01_vsan_datastore</f>
        <v>sfo-m01-cl01-ds-vsan01</v>
      </c>
      <c r="D365" s="337" t="str">
        <f>mgmt_cl01_vsan_datastore</f>
        <v>Value Missing</v>
      </c>
      <c r="E365" s="4"/>
    </row>
    <row r="366" spans="2:5" ht="20" customHeight="1" x14ac:dyDescent="0.2">
      <c r="B366" s="22" t="s">
        <v>1088</v>
      </c>
      <c r="C366" s="362" t="str">
        <f>sample_mgmt_cl01_az1_mgmt_vm_pg</f>
        <v>sfo-m01-cl01-vds01-pg-vm-mgmt</v>
      </c>
      <c r="D366" s="337" t="str">
        <f>mgmt_cl01_az1_mgmt_vm_pg</f>
        <v>Value Missing</v>
      </c>
      <c r="E366" s="4"/>
    </row>
    <row r="367" spans="2:5" ht="20" customHeight="1" x14ac:dyDescent="0.2">
      <c r="B367" s="22" t="s">
        <v>1089</v>
      </c>
      <c r="C367" s="362" t="s">
        <v>141</v>
      </c>
      <c r="D367" s="337"/>
      <c r="E367" s="4"/>
    </row>
    <row r="368" spans="2:5" ht="20" customHeight="1" x14ac:dyDescent="0.2">
      <c r="B368" s="22" t="s">
        <v>1090</v>
      </c>
      <c r="C368" s="362" t="s">
        <v>141</v>
      </c>
      <c r="D368" s="337"/>
      <c r="E368" s="4"/>
    </row>
    <row r="369" spans="2:5" ht="20" customHeight="1" x14ac:dyDescent="0.2">
      <c r="B369" s="22" t="s">
        <v>1091</v>
      </c>
      <c r="C369" s="362" t="s">
        <v>141</v>
      </c>
      <c r="D369" s="337"/>
      <c r="E369" s="4"/>
    </row>
    <row r="370" spans="2:5" ht="20" customHeight="1" x14ac:dyDescent="0.2">
      <c r="B370" s="22" t="s">
        <v>1092</v>
      </c>
      <c r="C370" s="362" t="str">
        <f>CONCATENATE(sample_wld_nsxt_global_mgra_hostname,".",sample_child_dns_zone)</f>
        <v>sfo-w01-nsx-gm01a.sfo.rainpole.io</v>
      </c>
      <c r="D370" s="337"/>
      <c r="E370" s="4"/>
    </row>
    <row r="371" spans="2:5" ht="20" customHeight="1" x14ac:dyDescent="0.2">
      <c r="B371" s="22" t="s">
        <v>1093</v>
      </c>
      <c r="C371" s="89" t="str">
        <f>IF(mgmt_dpg_reuse_result="Included",CONCATENATE(prefix_mgmt_az1_cidr,"10.",(142 + (30*(wld_domain_number_chosen - 1)))),CONCATENATE(prefix_mgmt_az1_cidr,"11.",(142 + (30*(wld_domain_number_chosen - 1)))))</f>
        <v>10.11.10.142</v>
      </c>
      <c r="D371" s="337"/>
      <c r="E371" s="4"/>
    </row>
    <row r="372" spans="2:5" ht="20" customHeight="1" x14ac:dyDescent="0.2">
      <c r="B372" s="22" t="s">
        <v>1094</v>
      </c>
      <c r="C372" s="362" t="s">
        <v>128</v>
      </c>
      <c r="D372" s="337" t="str">
        <f>mgmt_az1_mgmt_vm_mask</f>
        <v>Value Missing</v>
      </c>
      <c r="E372" s="4"/>
    </row>
    <row r="373" spans="2:5" ht="20" customHeight="1" x14ac:dyDescent="0.2">
      <c r="B373" s="22" t="s">
        <v>1095</v>
      </c>
      <c r="C373" s="362" t="str">
        <f>sample_mgmt_az1_mgmt_vm_gateway_ip</f>
        <v>10.11.10.1</v>
      </c>
      <c r="D373" s="337" t="str">
        <f>mgmt_az1_mgmt_vm_gateway_ip</f>
        <v>Value Missing</v>
      </c>
      <c r="E373" s="4"/>
    </row>
    <row r="374" spans="2:5" ht="20" customHeight="1" x14ac:dyDescent="0.2">
      <c r="B374" s="22" t="s">
        <v>1096</v>
      </c>
      <c r="C374" s="362" t="str">
        <f>CONCATENATE(sample_region_dns1_ip,",",sample_region_dns2_ip)</f>
        <v>10.11.10.4,10.11.10.5</v>
      </c>
      <c r="D374" s="337" t="str">
        <f>IF(ISBLANK(input_region_dns1_ip),"Value Missing",CONCATENATE(region_dns1_ip,",",IF(ISBLANK(input_region_dns2_ip),"Value Missing",region_dns2_ip)))</f>
        <v>Value Missing</v>
      </c>
      <c r="E374" s="4"/>
    </row>
    <row r="375" spans="2:5" ht="20" customHeight="1" x14ac:dyDescent="0.2">
      <c r="B375" s="22" t="s">
        <v>1097</v>
      </c>
      <c r="C375" s="362" t="str">
        <f>CONCATENATE(sample_child_dns_zone,",",sample_parent_dns_zone)</f>
        <v>sfo.rainpole.io,rainpole.io</v>
      </c>
      <c r="D375" s="337" t="str">
        <f>child_dns_zone</f>
        <v>Value Missing</v>
      </c>
      <c r="E375" s="4"/>
    </row>
    <row r="376" spans="2:5" ht="20" customHeight="1" x14ac:dyDescent="0.2">
      <c r="B376" s="22" t="s">
        <v>1098</v>
      </c>
      <c r="C376" s="362" t="str">
        <f>IF(AND((NOT(ISBLANK(sample_region_ntp2_server))),(sample_region_ntp2_server &lt;&gt; "n/a")),CONCATENATE(sample_region_ntp1_server,",",sample_region_ntp2_server),sample_region_ntp1_server)</f>
        <v>ntp0.sfo.rainpole.io,ntp1.sfo.rainpole.io</v>
      </c>
      <c r="D376" s="337" t="str">
        <f>IF(AND((NOT(ISBLANK(region_ntp2_server))),(region_ntp2_server &lt;&gt; "n/a")),CONCATENATE(region_ntp1_server,",",region_ntp2_server),region_ntp1_server)</f>
        <v>Value Missing,Value Missing</v>
      </c>
      <c r="E376" s="4"/>
    </row>
    <row r="377" spans="2:5" ht="20" customHeight="1" x14ac:dyDescent="0.2">
      <c r="B377" s="505" t="s">
        <v>387</v>
      </c>
      <c r="C377" s="506"/>
      <c r="D377" s="506"/>
      <c r="E377" s="507"/>
    </row>
    <row r="378" spans="2:5" ht="20" customHeight="1" x14ac:dyDescent="0.2">
      <c r="B378" s="22" t="s">
        <v>1099</v>
      </c>
      <c r="C378" s="89" t="str">
        <f>CONCATENATE(this_instance,"-w0",wld_domain_number_chosen,"-nsx-gm01b")</f>
        <v>sfo-w01-nsx-gm01b</v>
      </c>
      <c r="D378" s="337"/>
      <c r="E378" s="4"/>
    </row>
    <row r="379" spans="2:5" ht="20" customHeight="1" x14ac:dyDescent="0.2">
      <c r="B379" s="22" t="s">
        <v>1100</v>
      </c>
      <c r="C379" s="362" t="str">
        <f>sample_mgmt_datacenter</f>
        <v>sfo-m01-dc01</v>
      </c>
      <c r="D379" s="337" t="str">
        <f>mgmt_datacenter</f>
        <v>Value Missing</v>
      </c>
      <c r="E379" s="4"/>
    </row>
    <row r="380" spans="2:5" ht="20" customHeight="1" x14ac:dyDescent="0.2">
      <c r="B380" s="22" t="s">
        <v>1101</v>
      </c>
      <c r="C380" s="362" t="str">
        <f>sample_mgmt_cl01_cluster</f>
        <v>sfo-m01-cl01</v>
      </c>
      <c r="D380" s="337" t="str">
        <f>mgmt_cl01_cluster</f>
        <v>Value Missing</v>
      </c>
      <c r="E380" s="4"/>
    </row>
    <row r="381" spans="2:5" ht="20" customHeight="1" x14ac:dyDescent="0.2">
      <c r="B381" s="22" t="s">
        <v>1102</v>
      </c>
      <c r="C381" s="362" t="s">
        <v>751</v>
      </c>
      <c r="D381" s="337" t="str">
        <f>D364</f>
        <v>Large</v>
      </c>
      <c r="E381" s="4"/>
    </row>
    <row r="382" spans="2:5" ht="20" customHeight="1" x14ac:dyDescent="0.2">
      <c r="B382" s="22" t="s">
        <v>1103</v>
      </c>
      <c r="C382" s="362" t="str">
        <f>sample_mgmt_cl01_vsan_datastore</f>
        <v>sfo-m01-cl01-ds-vsan01</v>
      </c>
      <c r="D382" s="337" t="str">
        <f>mgmt_cl01_vsan_datastore</f>
        <v>Value Missing</v>
      </c>
      <c r="E382" s="4"/>
    </row>
    <row r="383" spans="2:5" ht="20" customHeight="1" x14ac:dyDescent="0.2">
      <c r="B383" s="22" t="s">
        <v>1104</v>
      </c>
      <c r="C383" s="362" t="str">
        <f>sample_mgmt_cl01_az1_mgmt_vm_pg</f>
        <v>sfo-m01-cl01-vds01-pg-vm-mgmt</v>
      </c>
      <c r="D383" s="337" t="str">
        <f>mgmt_cl01_az1_mgmt_vm_pg</f>
        <v>Value Missing</v>
      </c>
      <c r="E383" s="4"/>
    </row>
    <row r="384" spans="2:5" ht="20" customHeight="1" x14ac:dyDescent="0.2">
      <c r="B384" s="22" t="s">
        <v>1105</v>
      </c>
      <c r="C384" s="362" t="str">
        <f>sample_wld_nsxt_gm_root_password</f>
        <v>VMw@re1!VMw@re1!</v>
      </c>
      <c r="D384" s="337" t="str">
        <f t="array" ref="D384">wld_nsxt_gm_root_password</f>
        <v>Value Missing</v>
      </c>
      <c r="E384" s="4"/>
    </row>
    <row r="385" spans="2:5" ht="20" customHeight="1" x14ac:dyDescent="0.2">
      <c r="B385" s="22" t="s">
        <v>1106</v>
      </c>
      <c r="C385" s="362" t="str">
        <f>sample_wld_nsxt_gm_admin_password</f>
        <v>VMw@re1!VMw@re1!</v>
      </c>
      <c r="D385" s="337" t="str">
        <f t="array" ref="D385">wld_nsxt_gm_admin_password</f>
        <v>Value Missing</v>
      </c>
      <c r="E385" s="4"/>
    </row>
    <row r="386" spans="2:5" ht="20" customHeight="1" x14ac:dyDescent="0.2">
      <c r="B386" s="22" t="s">
        <v>1107</v>
      </c>
      <c r="C386" s="362" t="str">
        <f>sample_wld_nsxt_gm_audit_password</f>
        <v>VMw@re1!VMw@re1!</v>
      </c>
      <c r="D386" s="337" t="str">
        <f t="array" ref="D386">wld_nsxt_gm_audit_password</f>
        <v>Value Missing</v>
      </c>
      <c r="E386" s="4"/>
    </row>
    <row r="387" spans="2:5" ht="20" customHeight="1" x14ac:dyDescent="0.2">
      <c r="B387" s="22" t="s">
        <v>1108</v>
      </c>
      <c r="C387" s="362" t="str">
        <f>CONCATENATE(sample_wld_nsxt_global_mgrb_hostname,".",sample_child_dns_zone)</f>
        <v>sfo-w01-nsx-gm01b.sfo.rainpole.io</v>
      </c>
      <c r="D387" s="337"/>
      <c r="E387" s="4"/>
    </row>
    <row r="388" spans="2:5" ht="20" customHeight="1" x14ac:dyDescent="0.2">
      <c r="B388" s="22" t="s">
        <v>1109</v>
      </c>
      <c r="C388" s="89" t="str">
        <f>IF(mgmt_dpg_reuse_result="Included",CONCATENATE(prefix_mgmt_az1_cidr,"10.",(143 + (30*(wld_domain_number_chosen - 1)))),CONCATENATE(prefix_mgmt_az1_cidr,"11.",(143 + (30*(wld_domain_number_chosen - 1)))))</f>
        <v>10.11.10.143</v>
      </c>
      <c r="D388" s="337"/>
      <c r="E388" s="4"/>
    </row>
    <row r="389" spans="2:5" ht="20" customHeight="1" x14ac:dyDescent="0.2">
      <c r="B389" s="22" t="s">
        <v>1110</v>
      </c>
      <c r="C389" s="362" t="s">
        <v>128</v>
      </c>
      <c r="D389" s="337" t="str">
        <f>mgmt_az1_mgmt_vm_mask</f>
        <v>Value Missing</v>
      </c>
      <c r="E389" s="4"/>
    </row>
    <row r="390" spans="2:5" ht="20" customHeight="1" x14ac:dyDescent="0.2">
      <c r="B390" s="22" t="s">
        <v>1111</v>
      </c>
      <c r="C390" s="362" t="str">
        <f>sample_mgmt_az1_mgmt_vm_gateway_ip</f>
        <v>10.11.10.1</v>
      </c>
      <c r="D390" s="337" t="str">
        <f>mgmt_az1_mgmt_vm_gateway_ip</f>
        <v>Value Missing</v>
      </c>
      <c r="E390" s="4"/>
    </row>
    <row r="391" spans="2:5" ht="20" customHeight="1" x14ac:dyDescent="0.2">
      <c r="B391" s="22" t="s">
        <v>1112</v>
      </c>
      <c r="C391" s="362" t="str">
        <f>CONCATENATE(sample_region_dns1_ip,",",sample_region_dns2_ip)</f>
        <v>10.11.10.4,10.11.10.5</v>
      </c>
      <c r="D391" s="337" t="str">
        <f>IF(ISBLANK(input_region_dns1_ip),"Value Missing",CONCATENATE(region_dns1_ip,",",IF(ISBLANK(region_dns2_ip),"Value Missing",region_dns2_ip)))</f>
        <v>Value Missing</v>
      </c>
      <c r="E391" s="4"/>
    </row>
    <row r="392" spans="2:5" ht="20" customHeight="1" x14ac:dyDescent="0.2">
      <c r="B392" s="22" t="s">
        <v>1113</v>
      </c>
      <c r="C392" s="362" t="str">
        <f>CONCATENATE(sample_child_dns_zone,",",sample_parent_dns_zone)</f>
        <v>sfo.rainpole.io,rainpole.io</v>
      </c>
      <c r="D392" s="337" t="str">
        <f>CONCATENATE(child_dns_zone,",",parent_dns_zone)</f>
        <v>Value Missing,Value Missing</v>
      </c>
      <c r="E392" s="4"/>
    </row>
    <row r="393" spans="2:5" ht="20" customHeight="1" x14ac:dyDescent="0.2">
      <c r="B393" s="22" t="s">
        <v>1114</v>
      </c>
      <c r="C393" s="362" t="str">
        <f>IF(AND((NOT(ISBLANK(sample_region_ntp2_server))),(sample_region_ntp2_server &lt;&gt; "n/a")),CONCATENATE(sample_region_ntp1_server,",",sample_region_ntp2_server),sample_region_ntp1_server)</f>
        <v>ntp0.sfo.rainpole.io,ntp1.sfo.rainpole.io</v>
      </c>
      <c r="D393" s="337" t="str">
        <f>IF(AND((NOT(ISBLANK(region_ntp2_server))),(region_ntp2_server &lt;&gt; "n/a")),CONCATENATE(region_ntp1_server,",",region_ntp2_server),region_ntp1_server)</f>
        <v>Value Missing,Value Missing</v>
      </c>
      <c r="E393" s="4"/>
    </row>
    <row r="394" spans="2:5" ht="20" customHeight="1" x14ac:dyDescent="0.2">
      <c r="B394" s="505" t="s">
        <v>404</v>
      </c>
      <c r="C394" s="506"/>
      <c r="D394" s="506"/>
      <c r="E394" s="507"/>
    </row>
    <row r="395" spans="2:5" ht="20" customHeight="1" x14ac:dyDescent="0.2">
      <c r="B395" s="22" t="s">
        <v>1115</v>
      </c>
      <c r="C395" s="89" t="str">
        <f>CONCATENATE(this_instance,"-w0",wld_domain_number_chosen,"-nsx-gm01c")</f>
        <v>sfo-w01-nsx-gm01c</v>
      </c>
      <c r="D395" s="337"/>
      <c r="E395" s="4"/>
    </row>
    <row r="396" spans="2:5" ht="20" customHeight="1" x14ac:dyDescent="0.2">
      <c r="B396" s="22" t="s">
        <v>1116</v>
      </c>
      <c r="C396" s="362" t="str">
        <f>sample_mgmt_datacenter</f>
        <v>sfo-m01-dc01</v>
      </c>
      <c r="D396" s="337" t="str">
        <f>mgmt_datacenter</f>
        <v>Value Missing</v>
      </c>
      <c r="E396" s="4"/>
    </row>
    <row r="397" spans="2:5" ht="20" customHeight="1" x14ac:dyDescent="0.2">
      <c r="B397" s="22" t="s">
        <v>1117</v>
      </c>
      <c r="C397" s="362" t="str">
        <f>sample_mgmt_cl01_cluster</f>
        <v>sfo-m01-cl01</v>
      </c>
      <c r="D397" s="337" t="str">
        <f>mgmt_cl01_cluster</f>
        <v>Value Missing</v>
      </c>
      <c r="E397" s="4"/>
    </row>
    <row r="398" spans="2:5" ht="20" customHeight="1" x14ac:dyDescent="0.2">
      <c r="B398" s="22" t="s">
        <v>1118</v>
      </c>
      <c r="C398" s="362" t="s">
        <v>751</v>
      </c>
      <c r="D398" s="337" t="str">
        <f>D364</f>
        <v>Large</v>
      </c>
      <c r="E398" s="4"/>
    </row>
    <row r="399" spans="2:5" ht="20" customHeight="1" x14ac:dyDescent="0.2">
      <c r="B399" s="22" t="s">
        <v>1119</v>
      </c>
      <c r="C399" s="362" t="str">
        <f>sample_mgmt_cl01_vsan_datastore</f>
        <v>sfo-m01-cl01-ds-vsan01</v>
      </c>
      <c r="D399" s="337" t="str">
        <f>mgmt_cl01_vsan_datastore</f>
        <v>Value Missing</v>
      </c>
      <c r="E399" s="4"/>
    </row>
    <row r="400" spans="2:5" ht="20" customHeight="1" x14ac:dyDescent="0.2">
      <c r="B400" s="22" t="s">
        <v>1120</v>
      </c>
      <c r="C400" s="362" t="str">
        <f>sample_mgmt_cl01_az1_mgmt_vm_pg</f>
        <v>sfo-m01-cl01-vds01-pg-vm-mgmt</v>
      </c>
      <c r="D400" s="337" t="str">
        <f>mgmt_cl01_az1_mgmt_vm_pg</f>
        <v>Value Missing</v>
      </c>
      <c r="E400" s="4"/>
    </row>
    <row r="401" spans="2:5" ht="20" customHeight="1" x14ac:dyDescent="0.2">
      <c r="B401" s="22" t="s">
        <v>1121</v>
      </c>
      <c r="C401" s="362" t="str">
        <f>sample_wld_nsxt_gm_root_password</f>
        <v>VMw@re1!VMw@re1!</v>
      </c>
      <c r="D401" s="337" t="str">
        <f t="array" ref="D401">wld_nsxt_gm_root_password</f>
        <v>Value Missing</v>
      </c>
      <c r="E401" s="4"/>
    </row>
    <row r="402" spans="2:5" ht="20" customHeight="1" x14ac:dyDescent="0.2">
      <c r="B402" s="22" t="s">
        <v>1122</v>
      </c>
      <c r="C402" s="362" t="str">
        <f>sample_wld_nsxt_gm_admin_password</f>
        <v>VMw@re1!VMw@re1!</v>
      </c>
      <c r="D402" s="337" t="str">
        <f t="array" ref="D402">wld_nsxt_gm_admin_password</f>
        <v>Value Missing</v>
      </c>
      <c r="E402" s="4"/>
    </row>
    <row r="403" spans="2:5" ht="20" customHeight="1" x14ac:dyDescent="0.2">
      <c r="B403" s="22" t="s">
        <v>1123</v>
      </c>
      <c r="C403" s="362" t="str">
        <f>sample_wld_nsxt_gm_audit_password</f>
        <v>VMw@re1!VMw@re1!</v>
      </c>
      <c r="D403" s="337" t="str">
        <f t="array" ref="D403">wld_nsxt_gm_audit_password</f>
        <v>Value Missing</v>
      </c>
      <c r="E403" s="4"/>
    </row>
    <row r="404" spans="2:5" ht="20" customHeight="1" x14ac:dyDescent="0.2">
      <c r="B404" s="22" t="s">
        <v>1124</v>
      </c>
      <c r="C404" s="362" t="str">
        <f>CONCATENATE(sample_wld_nsxt_global_mgrc_hostname,".",sample_child_dns_zone)</f>
        <v>sfo-w01-nsx-gm01c.sfo.rainpole.io</v>
      </c>
      <c r="D404" s="337"/>
      <c r="E404" s="4"/>
    </row>
    <row r="405" spans="2:5" ht="20" customHeight="1" x14ac:dyDescent="0.2">
      <c r="B405" s="22" t="s">
        <v>1125</v>
      </c>
      <c r="C405" s="89" t="str">
        <f>IF(mgmt_dpg_reuse_result="Included",CONCATENATE(prefix_mgmt_az1_cidr,"10.",(144 + (30*(wld_domain_number_chosen - 1)))),CONCATENATE(prefix_mgmt_az1_cidr,"11.",(144 + (30*(wld_domain_number_chosen - 1)))))</f>
        <v>10.11.10.144</v>
      </c>
      <c r="D405" s="337"/>
      <c r="E405" s="4"/>
    </row>
    <row r="406" spans="2:5" ht="20" customHeight="1" x14ac:dyDescent="0.2">
      <c r="B406" s="22" t="s">
        <v>1126</v>
      </c>
      <c r="C406" s="362" t="s">
        <v>128</v>
      </c>
      <c r="D406" s="337" t="str">
        <f>mgmt_az1_mgmt_vm_mask</f>
        <v>Value Missing</v>
      </c>
      <c r="E406" s="4"/>
    </row>
    <row r="407" spans="2:5" ht="20" customHeight="1" x14ac:dyDescent="0.2">
      <c r="B407" s="22" t="s">
        <v>1127</v>
      </c>
      <c r="C407" s="362" t="str">
        <f>sample_mgmt_az1_mgmt_vm_gateway_ip</f>
        <v>10.11.10.1</v>
      </c>
      <c r="D407" s="337" t="str">
        <f>mgmt_az1_mgmt_vm_gateway_ip</f>
        <v>Value Missing</v>
      </c>
      <c r="E407" s="4"/>
    </row>
    <row r="408" spans="2:5" ht="20" customHeight="1" x14ac:dyDescent="0.2">
      <c r="B408" s="22" t="s">
        <v>1128</v>
      </c>
      <c r="C408" s="362" t="str">
        <f>CONCATENATE(sample_region_dns1_ip,",",sample_region_dns2_ip)</f>
        <v>10.11.10.4,10.11.10.5</v>
      </c>
      <c r="D408" s="337" t="str">
        <f>IF(ISBLANK(region_dns1_ip),"Value Missing",_xlfn.CONCAT(region_dns1_ip,",",IF(ISBLANK(region_dns2_ip),"Value Missing",region_dns2_ip)))</f>
        <v>Value Missing,Value Missing</v>
      </c>
      <c r="E408" s="4"/>
    </row>
    <row r="409" spans="2:5" ht="20" customHeight="1" x14ac:dyDescent="0.2">
      <c r="B409" s="22" t="s">
        <v>1129</v>
      </c>
      <c r="C409" s="362" t="str">
        <f>CONCATENATE(sample_child_dns_zone,",",sample_parent_dns_zone)</f>
        <v>sfo.rainpole.io,rainpole.io</v>
      </c>
      <c r="D409" s="337" t="str">
        <f>CONCATENATE(child_dns_zone,",",parent_dns_zone)</f>
        <v>Value Missing,Value Missing</v>
      </c>
      <c r="E409" s="4"/>
    </row>
    <row r="410" spans="2:5" ht="20" customHeight="1" x14ac:dyDescent="0.2">
      <c r="B410" s="22" t="s">
        <v>1130</v>
      </c>
      <c r="C410" s="362" t="str">
        <f>IF(AND((NOT(ISBLANK(sample_region_ntp2_server))),(sample_region_ntp2_server &lt;&gt; "n/a")),CONCATENATE(sample_region_ntp1_server,",",sample_region_ntp2_server),sample_region_ntp1_server)</f>
        <v>ntp0.sfo.rainpole.io,ntp1.sfo.rainpole.io</v>
      </c>
      <c r="D410" s="337" t="str">
        <f>IF(AND((NOT(ISBLANK(region_ntp2_server))),(region_ntp2_server &lt;&gt; "n/a")),CONCATENATE(region_ntp1_server,",",region_ntp2_server),region_ntp1_server)</f>
        <v>Value Missing,Value Missing</v>
      </c>
      <c r="E410" s="4"/>
    </row>
    <row r="411" spans="2:5" ht="20" customHeight="1" x14ac:dyDescent="0.2">
      <c r="B411" s="22" t="s">
        <v>421</v>
      </c>
      <c r="C411" s="362" t="str">
        <f>CONCATENATE(sample_wld_nsxt_global_mgra_hostname,".",sample_child_dns_zone)</f>
        <v>sfo-w01-nsx-gm01a.sfo.rainpole.io</v>
      </c>
      <c r="D411" s="337" t="str">
        <f>wld_nsxt_global_mgra_fqdn</f>
        <v>Value Missing</v>
      </c>
      <c r="E411" s="4"/>
    </row>
    <row r="412" spans="2:5" ht="16" customHeight="1" x14ac:dyDescent="0.2"/>
    <row r="413" spans="2:5" ht="20" customHeight="1" x14ac:dyDescent="0.2">
      <c r="B413" s="561" t="s">
        <v>422</v>
      </c>
      <c r="C413" s="562"/>
      <c r="D413" s="562"/>
      <c r="E413" s="562"/>
    </row>
    <row r="414" spans="2:5" ht="20" customHeight="1" x14ac:dyDescent="0.2">
      <c r="B414" s="346" t="s">
        <v>17</v>
      </c>
      <c r="C414" s="346" t="s">
        <v>18</v>
      </c>
      <c r="D414" s="346" t="s">
        <v>19</v>
      </c>
      <c r="E414" s="346" t="s">
        <v>20</v>
      </c>
    </row>
    <row r="415" spans="2:5" ht="20" customHeight="1" x14ac:dyDescent="0.2">
      <c r="B415" s="17" t="s">
        <v>368</v>
      </c>
      <c r="C415" s="362" t="str">
        <f>sample_mgmt_vc_fqdn</f>
        <v>sfo-m01-vc01.sfo.rainpole.io</v>
      </c>
      <c r="D415" s="337" t="str">
        <f>mgmt_vc_fqdn</f>
        <v>Value Missing</v>
      </c>
      <c r="E415" s="4"/>
    </row>
    <row r="416" spans="2:5" ht="20" customHeight="1" x14ac:dyDescent="0.2">
      <c r="B416" s="17" t="s">
        <v>423</v>
      </c>
      <c r="C416" s="126" t="s">
        <v>1131</v>
      </c>
      <c r="D416" s="337"/>
      <c r="E416" s="66"/>
    </row>
    <row r="417" spans="2:5" ht="20" customHeight="1" x14ac:dyDescent="0.2">
      <c r="B417" s="17" t="s">
        <v>1132</v>
      </c>
      <c r="C417" s="126" t="s">
        <v>1133</v>
      </c>
      <c r="D417" s="337"/>
      <c r="E417" s="66"/>
    </row>
    <row r="418" spans="2:5" ht="20" customHeight="1" x14ac:dyDescent="0.2">
      <c r="B418" s="17" t="s">
        <v>427</v>
      </c>
      <c r="C418" s="362" t="str">
        <f>CONCATENATE(sample_wld_nsxt_global_mgrb_hostname,".",sample_child_dns_zone)</f>
        <v>sfo-w01-nsx-gm01b.sfo.rainpole.io</v>
      </c>
      <c r="D418" s="337" t="str">
        <f>wld_nsxt_global_mgrb_fqdn</f>
        <v>Value Missing</v>
      </c>
      <c r="E418" s="66"/>
    </row>
    <row r="419" spans="2:5" ht="20" customHeight="1" x14ac:dyDescent="0.2">
      <c r="B419" s="17" t="s">
        <v>428</v>
      </c>
      <c r="C419" s="362" t="str">
        <f>sample_wld_nsxt_global_mgra_ip</f>
        <v>10.11.10.142</v>
      </c>
      <c r="D419" s="337" t="str">
        <f>wld_nsxt_global_mgra_ip</f>
        <v>Value Missing</v>
      </c>
      <c r="E419" s="66"/>
    </row>
    <row r="420" spans="2:5" ht="20" customHeight="1" x14ac:dyDescent="0.2">
      <c r="B420" s="17" t="s">
        <v>429</v>
      </c>
      <c r="C420" s="362" t="str">
        <f>sample_wld_nsxt_global_mgr_cluster_id</f>
        <v>da3bd7dc-aa06-4f2d-a9e1-0c4999354c9b</v>
      </c>
      <c r="D420" s="337" t="str">
        <f>wld_nsxt_global_mgr_cluster_id</f>
        <v>Value Missing</v>
      </c>
      <c r="E420" s="66"/>
    </row>
    <row r="421" spans="2:5" ht="20" customHeight="1" x14ac:dyDescent="0.2">
      <c r="B421" s="17" t="s">
        <v>430</v>
      </c>
      <c r="C421" s="362" t="s">
        <v>431</v>
      </c>
      <c r="D421" s="337"/>
      <c r="E421" s="66"/>
    </row>
    <row r="422" spans="2:5" ht="20" customHeight="1" x14ac:dyDescent="0.2">
      <c r="B422" s="17" t="s">
        <v>432</v>
      </c>
      <c r="C422" s="362" t="str">
        <f>sample_nsxt_gm_admin_password</f>
        <v>VMw@re1!VMw@re1!</v>
      </c>
      <c r="D422" s="337" t="str">
        <f>nsxt_gm_admin_password</f>
        <v>Value Missing</v>
      </c>
      <c r="E422" s="66"/>
    </row>
    <row r="423" spans="2:5" ht="20" customHeight="1" x14ac:dyDescent="0.2">
      <c r="B423" s="17" t="s">
        <v>433</v>
      </c>
      <c r="C423" s="362" t="str">
        <f>sample_wld_nsxt_global_mgr_vmca_signed_thumbprint</f>
        <v>d7a6264cd8f74033e851944a205110afdeb046386af42ce47240939c417acb93</v>
      </c>
      <c r="D423" s="337" t="str">
        <f>wld_nsxt_global_mgr_vmca_signed_thumbprint</f>
        <v>Value Missing</v>
      </c>
      <c r="E423" s="66"/>
    </row>
    <row r="424" spans="2:5" ht="20" customHeight="1" x14ac:dyDescent="0.2">
      <c r="B424" s="17" t="s">
        <v>434</v>
      </c>
      <c r="C424" s="362" t="str">
        <f>CONCATENATE(sample_wld_nsxt_global_mgrc_hostname,".",sample_child_dns_zone)</f>
        <v>sfo-w01-nsx-gm01c.sfo.rainpole.io</v>
      </c>
      <c r="D424" s="337" t="str">
        <f>wld_nsxt_global_mgrc_fqdn</f>
        <v>Value Missing</v>
      </c>
      <c r="E424" s="66"/>
    </row>
    <row r="425" spans="2:5" ht="20" customHeight="1" x14ac:dyDescent="0.2">
      <c r="B425" s="17" t="s">
        <v>1134</v>
      </c>
      <c r="C425" s="362" t="str">
        <f>sample_wld_nsxt_global_mgra_ip</f>
        <v>10.11.10.142</v>
      </c>
      <c r="D425" s="337" t="str">
        <f>wld_nsxt_global_mgra_ip</f>
        <v>Value Missing</v>
      </c>
      <c r="E425" s="66"/>
    </row>
    <row r="426" spans="2:5" ht="20" customHeight="1" x14ac:dyDescent="0.2">
      <c r="B426" s="17" t="s">
        <v>1135</v>
      </c>
      <c r="C426" s="362" t="str">
        <f>sample_wld_nsxt_global_mgr_cluster_id</f>
        <v>da3bd7dc-aa06-4f2d-a9e1-0c4999354c9b</v>
      </c>
      <c r="D426" s="337" t="str">
        <f>wld_nsxt_global_mgr_cluster_id</f>
        <v>Value Missing</v>
      </c>
      <c r="E426" s="66"/>
    </row>
    <row r="427" spans="2:5" ht="20" customHeight="1" x14ac:dyDescent="0.2">
      <c r="B427" s="17" t="s">
        <v>437</v>
      </c>
      <c r="C427" s="362" t="s">
        <v>431</v>
      </c>
      <c r="D427" s="337"/>
      <c r="E427" s="66"/>
    </row>
    <row r="428" spans="2:5" ht="20" customHeight="1" x14ac:dyDescent="0.2">
      <c r="B428" s="17" t="s">
        <v>438</v>
      </c>
      <c r="C428" s="362" t="str">
        <f>sample_nsxt_gm_admin_password</f>
        <v>VMw@re1!VMw@re1!</v>
      </c>
      <c r="D428" s="337" t="str">
        <f>nsxt_gm_admin_password</f>
        <v>Value Missing</v>
      </c>
      <c r="E428" s="66"/>
    </row>
    <row r="429" spans="2:5" ht="20" customHeight="1" x14ac:dyDescent="0.2">
      <c r="B429" s="17" t="s">
        <v>439</v>
      </c>
      <c r="C429" s="362" t="str">
        <f>sample_wld_nsxt_global_mgr_vmca_signed_thumbprint</f>
        <v>d7a6264cd8f74033e851944a205110afdeb046386af42ce47240939c417acb93</v>
      </c>
      <c r="D429" s="337" t="str">
        <f>wld_nsxt_global_mgr_vmca_signed_thumbprint</f>
        <v>Value Missing</v>
      </c>
      <c r="E429" s="66"/>
    </row>
    <row r="430" spans="2:5" ht="16" customHeight="1" x14ac:dyDescent="0.2"/>
    <row r="431" spans="2:5" ht="20" customHeight="1" x14ac:dyDescent="0.2">
      <c r="B431" s="505" t="s">
        <v>440</v>
      </c>
      <c r="C431" s="506"/>
      <c r="D431" s="506"/>
      <c r="E431" s="507"/>
    </row>
    <row r="432" spans="2:5" ht="20" customHeight="1" x14ac:dyDescent="0.2">
      <c r="B432" s="346" t="s">
        <v>17</v>
      </c>
      <c r="C432" s="346" t="s">
        <v>18</v>
      </c>
      <c r="D432" s="346" t="s">
        <v>19</v>
      </c>
      <c r="E432" s="346" t="s">
        <v>20</v>
      </c>
    </row>
    <row r="433" spans="2:5" ht="20" customHeight="1" x14ac:dyDescent="0.2">
      <c r="B433" s="4" t="s">
        <v>368</v>
      </c>
      <c r="C433" s="362" t="str">
        <f>sample_mgmt_vc_fqdn</f>
        <v>sfo-m01-vc01.sfo.rainpole.io</v>
      </c>
      <c r="D433" s="337" t="str">
        <f>mgmt_vc_fqdn</f>
        <v>Value Missing</v>
      </c>
      <c r="E433" s="4"/>
    </row>
    <row r="434" spans="2:5" ht="20" customHeight="1" x14ac:dyDescent="0.2">
      <c r="B434" s="4" t="s">
        <v>261</v>
      </c>
      <c r="C434" s="362" t="str">
        <f>CONCATENATE(sample_wld_sddc_domain,"-anti-affinity-rule-nsx-global-managers")</f>
        <v>sfo-w01-anti-affinity-rule-nsx-global-managers</v>
      </c>
      <c r="D434" s="337"/>
      <c r="E434" s="4"/>
    </row>
    <row r="435" spans="2:5" ht="20" customHeight="1" x14ac:dyDescent="0.2">
      <c r="B435" s="4" t="s">
        <v>441</v>
      </c>
      <c r="C435" s="362" t="str">
        <f>sample_wld_nsxt_global_mgra_hostname</f>
        <v>sfo-w01-nsx-gm01a</v>
      </c>
      <c r="D435" s="337" t="str">
        <f>wld_nsxt_global_mgra_hostname</f>
        <v>Value Missing</v>
      </c>
      <c r="E435" s="4"/>
    </row>
    <row r="436" spans="2:5" ht="20" customHeight="1" x14ac:dyDescent="0.2">
      <c r="B436" s="4" t="s">
        <v>442</v>
      </c>
      <c r="C436" s="362" t="str">
        <f>sample_wld_nsxt_global_mgrb_hostname</f>
        <v>sfo-w01-nsx-gm01b</v>
      </c>
      <c r="D436" s="337" t="str">
        <f>wld_nsxt_global_mgrb_hostname</f>
        <v>Value Missing</v>
      </c>
      <c r="E436" s="4"/>
    </row>
    <row r="437" spans="2:5" ht="20" customHeight="1" x14ac:dyDescent="0.2">
      <c r="B437" s="4" t="s">
        <v>443</v>
      </c>
      <c r="C437" s="362" t="str">
        <f>sample_wld_nsxt_global_mgrc_hostname</f>
        <v>sfo-w01-nsx-gm01c</v>
      </c>
      <c r="D437" s="337" t="str">
        <f>wld_nsxt_global_mgrc_hostname</f>
        <v>Value Missing</v>
      </c>
      <c r="E437" s="4"/>
    </row>
    <row r="438" spans="2:5" ht="16" customHeight="1" x14ac:dyDescent="0.2"/>
    <row r="439" spans="2:5" ht="20" customHeight="1" x14ac:dyDescent="0.2">
      <c r="B439" s="505" t="s">
        <v>444</v>
      </c>
      <c r="C439" s="506"/>
      <c r="D439" s="506"/>
      <c r="E439" s="507"/>
    </row>
    <row r="440" spans="2:5" ht="20" customHeight="1" x14ac:dyDescent="0.2">
      <c r="B440" s="346" t="s">
        <v>17</v>
      </c>
      <c r="C440" s="346" t="s">
        <v>18</v>
      </c>
      <c r="D440" s="346" t="s">
        <v>19</v>
      </c>
      <c r="E440" s="346" t="s">
        <v>20</v>
      </c>
    </row>
    <row r="441" spans="2:5" ht="20" customHeight="1" x14ac:dyDescent="0.2">
      <c r="B441" s="4" t="s">
        <v>445</v>
      </c>
      <c r="C441" s="362" t="str">
        <f>CONCATENATE(sample_wld_nsxt_global_mgra_hostname,".",sample_child_dns_zone)</f>
        <v>sfo-w01-nsx-gm01a.sfo.rainpole.io</v>
      </c>
      <c r="D441" s="337" t="str">
        <f>wld_nsxt_global_mgra_fqdn</f>
        <v>Value Missing</v>
      </c>
      <c r="E441" s="4"/>
    </row>
    <row r="442" spans="2:5" ht="20" customHeight="1" x14ac:dyDescent="0.2">
      <c r="B442" s="4" t="s">
        <v>446</v>
      </c>
      <c r="C442" s="89" t="str">
        <f>IF(mgmt_dpg_reuse_result="Included",CONCATENATE(prefix_mgmt_az1_cidr,"10.",(141 + (30*(wld_domain_number_chosen - 1)))),CONCATENATE(prefix_mgmt_az1_cidr,"11.",(141 + (30*(wld_domain_number_chosen - 1)))))</f>
        <v>10.11.10.141</v>
      </c>
      <c r="D442" s="337"/>
      <c r="E442" s="4"/>
    </row>
    <row r="443" spans="2:5" ht="20" customHeight="1" x14ac:dyDescent="0.2">
      <c r="B443" s="4" t="s">
        <v>447</v>
      </c>
      <c r="C443" s="89" t="str">
        <f>CONCATENATE(this_instance,"-w0",wld_domain_number_chosen,"-nsx-gm01",".",sample_child_dns_zone)</f>
        <v>sfo-w01-nsx-gm01.sfo.rainpole.io</v>
      </c>
      <c r="D443" s="337"/>
      <c r="E443" s="66"/>
    </row>
    <row r="444" spans="2:5" ht="16" customHeight="1" x14ac:dyDescent="0.2"/>
    <row r="445" spans="2:5" ht="20" customHeight="1" x14ac:dyDescent="0.2">
      <c r="B445" s="505" t="s">
        <v>448</v>
      </c>
      <c r="C445" s="506"/>
      <c r="D445" s="506"/>
      <c r="E445" s="507"/>
    </row>
    <row r="446" spans="2:5" ht="20" customHeight="1" x14ac:dyDescent="0.2">
      <c r="B446" s="346" t="s">
        <v>17</v>
      </c>
      <c r="C446" s="346" t="s">
        <v>18</v>
      </c>
      <c r="D446" s="346" t="s">
        <v>19</v>
      </c>
      <c r="E446" s="346" t="s">
        <v>20</v>
      </c>
    </row>
    <row r="447" spans="2:5" ht="20" customHeight="1" x14ac:dyDescent="0.2">
      <c r="B447" s="4" t="s">
        <v>447</v>
      </c>
      <c r="C447" s="362" t="str">
        <f>sample_wld_nsxt_gm_vip_fqdn</f>
        <v>sfo-w01-nsx-gm01.sfo.rainpole.io</v>
      </c>
      <c r="D447" s="337" t="str">
        <f>wld_nsxt_gm_vip_fqdn</f>
        <v>Value Missing</v>
      </c>
      <c r="E447" s="66"/>
    </row>
    <row r="448" spans="2:5" ht="16" customHeight="1" x14ac:dyDescent="0.2"/>
    <row r="449" spans="2:5" ht="20" customHeight="1" x14ac:dyDescent="0.2">
      <c r="B449" s="505" t="s">
        <v>449</v>
      </c>
      <c r="C449" s="506"/>
      <c r="D449" s="506"/>
      <c r="E449" s="507"/>
    </row>
    <row r="450" spans="2:5" ht="20" customHeight="1" x14ac:dyDescent="0.2">
      <c r="B450" s="346" t="s">
        <v>17</v>
      </c>
      <c r="C450" s="346" t="s">
        <v>18</v>
      </c>
      <c r="D450" s="346" t="s">
        <v>19</v>
      </c>
      <c r="E450" s="346" t="s">
        <v>20</v>
      </c>
    </row>
    <row r="451" spans="2:5" ht="20" customHeight="1" x14ac:dyDescent="0.2">
      <c r="B451" s="4" t="s">
        <v>447</v>
      </c>
      <c r="C451" s="362" t="str">
        <f>sample_wld_nsxt_gm_vip_fqdn</f>
        <v>sfo-w01-nsx-gm01.sfo.rainpole.io</v>
      </c>
      <c r="D451" s="337" t="str">
        <f>wld_nsxt_gm_vip_fqdn</f>
        <v>Value Missing</v>
      </c>
      <c r="E451" s="66"/>
    </row>
    <row r="452" spans="2:5" ht="20" customHeight="1" x14ac:dyDescent="0.2">
      <c r="B452" s="4" t="s">
        <v>450</v>
      </c>
      <c r="C452" s="126" t="s">
        <v>1136</v>
      </c>
      <c r="D452" s="337"/>
      <c r="E452" s="66"/>
    </row>
    <row r="453" spans="2:5" ht="20" customHeight="1" x14ac:dyDescent="0.2">
      <c r="B453" s="4" t="s">
        <v>445</v>
      </c>
      <c r="C453" s="362" t="str">
        <f>CONCATENATE(sample_wld_nsxt_global_mgra_hostname,".",sample_child_dns_zone)</f>
        <v>sfo-w01-nsx-gm01a.sfo.rainpole.io</v>
      </c>
      <c r="D453" s="337" t="str">
        <f>wld_nsxt_global_mgra_fqdn</f>
        <v>Value Missing</v>
      </c>
      <c r="E453" s="4"/>
    </row>
    <row r="454" spans="2:5" ht="20" customHeight="1" x14ac:dyDescent="0.2">
      <c r="B454" s="4" t="s">
        <v>452</v>
      </c>
      <c r="C454" s="362" t="str">
        <f>sample_wld_nsxt_global_mgr_certificate_id</f>
        <v>b900065b-aeb5-457e-aca6-4612b17d06d9</v>
      </c>
      <c r="D454" s="337" t="str">
        <f>wld_nsxt_global_mgr_certificate_id</f>
        <v>Value Missing</v>
      </c>
      <c r="E454" s="66"/>
    </row>
    <row r="455" spans="2:5" ht="16" customHeight="1" x14ac:dyDescent="0.2"/>
    <row r="456" spans="2:5" ht="20" customHeight="1" x14ac:dyDescent="0.2">
      <c r="B456" s="505" t="s">
        <v>453</v>
      </c>
      <c r="C456" s="506"/>
      <c r="D456" s="506"/>
      <c r="E456" s="507"/>
    </row>
    <row r="457" spans="2:5" ht="20" customHeight="1" x14ac:dyDescent="0.2">
      <c r="B457" s="346" t="s">
        <v>17</v>
      </c>
      <c r="C457" s="346" t="s">
        <v>18</v>
      </c>
      <c r="D457" s="346" t="s">
        <v>19</v>
      </c>
      <c r="E457" s="346" t="s">
        <v>20</v>
      </c>
    </row>
    <row r="458" spans="2:5" ht="20" customHeight="1" x14ac:dyDescent="0.2">
      <c r="B458" s="4" t="s">
        <v>447</v>
      </c>
      <c r="C458" s="362" t="str">
        <f>sample_wld_nsxt_gm_vip_fqdn</f>
        <v>sfo-w01-nsx-gm01.sfo.rainpole.io</v>
      </c>
      <c r="D458" s="337" t="str">
        <f>wld_nsxt_gm_vip_fqdn</f>
        <v>Value Missing</v>
      </c>
      <c r="E458" s="66"/>
    </row>
    <row r="459" spans="2:5" ht="20" customHeight="1" x14ac:dyDescent="0.2">
      <c r="B459" s="4" t="s">
        <v>454</v>
      </c>
      <c r="C459" s="362" t="str">
        <f>CONCATENATE(sample_wld_nsxt_global_mgrb_hostname,".",sample_child_dns_zone)</f>
        <v>sfo-w01-nsx-gm01b.sfo.rainpole.io</v>
      </c>
      <c r="D459" s="337" t="str">
        <f>wld_nsxt_global_mgrb_fqdn</f>
        <v>Value Missing</v>
      </c>
      <c r="E459" s="4"/>
    </row>
    <row r="460" spans="2:5" ht="20" customHeight="1" x14ac:dyDescent="0.2">
      <c r="B460" s="4" t="s">
        <v>455</v>
      </c>
      <c r="C460" s="362" t="str">
        <f>CONCATENATE(sample_wld_nsxt_global_mgrc_hostname,".",sample_child_dns_zone)</f>
        <v>sfo-w01-nsx-gm01c.sfo.rainpole.io</v>
      </c>
      <c r="D460" s="337" t="str">
        <f>wld_nsxt_global_mgrc_fqdn</f>
        <v>Value Missing</v>
      </c>
      <c r="E460" s="4"/>
    </row>
    <row r="461" spans="2:5" ht="20" customHeight="1" x14ac:dyDescent="0.2">
      <c r="B461" s="4" t="s">
        <v>452</v>
      </c>
      <c r="C461" s="362" t="str">
        <f>sample_wld_nsxt_global_mgr_certificate_id</f>
        <v>b900065b-aeb5-457e-aca6-4612b17d06d9</v>
      </c>
      <c r="D461" s="337" t="str">
        <f>wld_nsxt_global_mgr_certificate_id</f>
        <v>Value Missing</v>
      </c>
      <c r="E461" s="66"/>
    </row>
    <row r="462" spans="2:5" ht="16" customHeight="1" x14ac:dyDescent="0.2"/>
    <row r="463" spans="2:5" ht="20" customHeight="1" x14ac:dyDescent="0.2">
      <c r="B463" s="505" t="s">
        <v>456</v>
      </c>
      <c r="C463" s="506"/>
      <c r="D463" s="506"/>
      <c r="E463" s="507"/>
    </row>
    <row r="464" spans="2:5" ht="20" customHeight="1" x14ac:dyDescent="0.2">
      <c r="B464" s="346" t="s">
        <v>261</v>
      </c>
      <c r="C464" s="346" t="s">
        <v>262</v>
      </c>
      <c r="D464" s="97" t="s">
        <v>19</v>
      </c>
      <c r="E464" s="346" t="s">
        <v>263</v>
      </c>
    </row>
    <row r="465" spans="2:5" ht="20" customHeight="1" x14ac:dyDescent="0.2">
      <c r="B465" s="4" t="s">
        <v>457</v>
      </c>
      <c r="C465" s="362" t="str">
        <f>sample_wld_nsxt_vip_fqdn</f>
        <v>sfo-w01-nsx01.sfo.rainpole.io</v>
      </c>
      <c r="D465" s="337" t="str">
        <f>wld_nsxt_vip_fqdn</f>
        <v>Value Missing</v>
      </c>
      <c r="E465" s="4"/>
    </row>
    <row r="466" spans="2:5" ht="20" customHeight="1" x14ac:dyDescent="0.2">
      <c r="B466" s="4" t="s">
        <v>261</v>
      </c>
      <c r="C466" s="80" t="str">
        <f>CONCATENATE(this_instance,"-w0",wld_domain_number_chosen,"-r01-ip-pool-rtep")</f>
        <v>sfo-w01-r01-ip-pool-rtep</v>
      </c>
      <c r="D466" s="337"/>
      <c r="E466" s="4"/>
    </row>
    <row r="467" spans="2:5" ht="20" customHeight="1" x14ac:dyDescent="0.2">
      <c r="B467" s="17" t="s">
        <v>458</v>
      </c>
      <c r="C467" s="80" t="str">
        <f>CONCATENATE(prefix_wld_az1_cidr,"20.101")</f>
        <v>10.13.20.101</v>
      </c>
      <c r="D467" s="337"/>
      <c r="E467" s="4"/>
    </row>
    <row r="468" spans="2:5" ht="20" customHeight="1" x14ac:dyDescent="0.2">
      <c r="B468" s="22" t="s">
        <v>459</v>
      </c>
      <c r="C468" s="80" t="str">
        <f>IF(wld_stretched_cluster_result="Excluded",CONCATENATE(prefix_wld_az1_cidr,"20.116"),CONCATENATE(prefix_wld_az1_cidr,"20.132"))</f>
        <v>10.13.20.116</v>
      </c>
      <c r="D468" s="337"/>
      <c r="E468" s="4"/>
    </row>
    <row r="469" spans="2:5" ht="20" customHeight="1" x14ac:dyDescent="0.2">
      <c r="B469" s="4" t="s">
        <v>460</v>
      </c>
      <c r="C469" s="80" t="str">
        <f>CONCATENATE(prefix_wld_az1_cidr,"20.0/24")</f>
        <v>10.13.20.0/24</v>
      </c>
      <c r="D469" s="337"/>
      <c r="E469" s="4"/>
    </row>
    <row r="470" spans="2:5" ht="20" customHeight="1" x14ac:dyDescent="0.2">
      <c r="B470" s="4" t="s">
        <v>461</v>
      </c>
      <c r="C470" s="80" t="str">
        <f>CONCATENATE(prefix_wld_az1_cidr,"20.1")</f>
        <v>10.13.20.1</v>
      </c>
      <c r="D470" s="337"/>
      <c r="E470" s="4"/>
    </row>
    <row r="471" spans="2:5" ht="20" customHeight="1" x14ac:dyDescent="0.2"/>
    <row r="472" spans="2:5" ht="20" customHeight="1" x14ac:dyDescent="0.2">
      <c r="B472" s="505" t="s">
        <v>462</v>
      </c>
      <c r="C472" s="506"/>
      <c r="D472" s="506"/>
      <c r="E472" s="507"/>
    </row>
    <row r="473" spans="2:5" ht="20" customHeight="1" x14ac:dyDescent="0.2">
      <c r="B473" s="346" t="s">
        <v>17</v>
      </c>
      <c r="C473" s="346" t="s">
        <v>18</v>
      </c>
      <c r="D473" s="346" t="s">
        <v>19</v>
      </c>
      <c r="E473" s="346" t="s">
        <v>20</v>
      </c>
    </row>
    <row r="474" spans="2:5" ht="20" customHeight="1" x14ac:dyDescent="0.2">
      <c r="B474" s="4" t="s">
        <v>463</v>
      </c>
      <c r="C474" s="362" t="str">
        <f>sample_wld_nsxt_gm_vip_fqdn</f>
        <v>sfo-w01-nsx-gm01.sfo.rainpole.io</v>
      </c>
      <c r="D474" s="337" t="str">
        <f>wld_nsxt_gm_vip_fqdn</f>
        <v>Value Missing</v>
      </c>
      <c r="E474" s="66"/>
    </row>
    <row r="475" spans="2:5" ht="20" customHeight="1" x14ac:dyDescent="0.2">
      <c r="B475" s="4" t="s">
        <v>464</v>
      </c>
      <c r="C475" s="362" t="str">
        <f>sample_wld_nsxt_federation_global_manager_name</f>
        <v>sfo-w01-nsx-gm01</v>
      </c>
      <c r="D475" s="337"/>
      <c r="E475" s="66"/>
    </row>
    <row r="476" spans="2:5" ht="16" customHeight="1" x14ac:dyDescent="0.2"/>
    <row r="477" spans="2:5" ht="20" customHeight="1" x14ac:dyDescent="0.2">
      <c r="B477" s="505" t="s">
        <v>465</v>
      </c>
      <c r="C477" s="506"/>
      <c r="D477" s="506"/>
      <c r="E477" s="507"/>
    </row>
    <row r="478" spans="2:5" ht="20" customHeight="1" x14ac:dyDescent="0.2">
      <c r="B478" s="346" t="s">
        <v>17</v>
      </c>
      <c r="C478" s="346" t="s">
        <v>18</v>
      </c>
      <c r="D478" s="346" t="s">
        <v>19</v>
      </c>
      <c r="E478" s="346" t="s">
        <v>20</v>
      </c>
    </row>
    <row r="479" spans="2:5" ht="20" customHeight="1" x14ac:dyDescent="0.2">
      <c r="B479" s="4" t="s">
        <v>466</v>
      </c>
      <c r="C479" s="362" t="str">
        <f>sample_wld_nsxt_gm_vip_fqdn</f>
        <v>sfo-w01-nsx-gm01.sfo.rainpole.io</v>
      </c>
      <c r="D479" s="337" t="str">
        <f>wld_nsxt_gm_vip_fqdn</f>
        <v>Value Missing</v>
      </c>
      <c r="E479" s="66"/>
    </row>
    <row r="480" spans="2:5" ht="20" customHeight="1" x14ac:dyDescent="0.2">
      <c r="B480" s="4" t="s">
        <v>467</v>
      </c>
      <c r="C480" s="362" t="s">
        <v>473</v>
      </c>
      <c r="D480" s="337"/>
      <c r="E480" s="66" t="s">
        <v>1137</v>
      </c>
    </row>
    <row r="481" spans="2:5" ht="20" customHeight="1" x14ac:dyDescent="0.2">
      <c r="B481" s="4" t="s">
        <v>469</v>
      </c>
      <c r="C481" s="362" t="str">
        <f t="array" ref="C481">IF(mgmt_domain_chosen="Initial VCF Instance",CONCATENATE(sample_wld_nsxt_gm_hostname,".",sample_child_dns_zone),sample_wld_existing_active_nsx_gm)</f>
        <v>lax-w01-nsx-gm01.lax.rainpole.io</v>
      </c>
      <c r="D481" s="337" t="str">
        <f>IF(mgmt_domain_chosen="First Domain",wld_nsxt_gm_vip_fqdn,wld_existing_active_nsx_gm)</f>
        <v>Value Missing</v>
      </c>
      <c r="E481" s="66"/>
    </row>
    <row r="482" spans="2:5" ht="20" customHeight="1" x14ac:dyDescent="0.2">
      <c r="B482" s="4" t="s">
        <v>470</v>
      </c>
      <c r="C482" s="126" t="str">
        <f>CONCATENATE(this_instance,"-w0",wld_domain_number_chosen,"-nsx-gm01")</f>
        <v>sfo-w01-nsx-gm01</v>
      </c>
      <c r="D482" s="337" t="str">
        <f>wld_nsxt_federation_global_manager_name</f>
        <v>Value Missing</v>
      </c>
      <c r="E482" s="66"/>
    </row>
    <row r="483" spans="2:5" ht="20" customHeight="1" x14ac:dyDescent="0.2">
      <c r="B483" s="4" t="s">
        <v>471</v>
      </c>
      <c r="C483" s="362" t="str">
        <f>sample_wld_nsxt_gm_vip_fqdn</f>
        <v>sfo-w01-nsx-gm01.sfo.rainpole.io</v>
      </c>
      <c r="D483" s="337" t="str">
        <f>wld_nsxt_gm_vip_fqdn</f>
        <v>Value Missing</v>
      </c>
      <c r="E483" s="66"/>
    </row>
    <row r="484" spans="2:5" ht="20" customHeight="1" x14ac:dyDescent="0.2">
      <c r="B484" s="4" t="s">
        <v>27</v>
      </c>
      <c r="C484" s="362" t="s">
        <v>431</v>
      </c>
      <c r="D484" s="337" t="str">
        <f>C484</f>
        <v>admin</v>
      </c>
      <c r="E484" s="66"/>
    </row>
    <row r="485" spans="2:5" ht="20" customHeight="1" x14ac:dyDescent="0.2">
      <c r="B485" s="4" t="s">
        <v>29</v>
      </c>
      <c r="C485" s="362" t="str">
        <f>sample_wld_nsxt_gm_admin_password</f>
        <v>VMw@re1!VMw@re1!</v>
      </c>
      <c r="D485" s="337" t="str">
        <f>wld_nsxt_gm_admin_password</f>
        <v>Value Missing</v>
      </c>
      <c r="E485" s="66"/>
    </row>
    <row r="486" spans="2:5" ht="20" customHeight="1" x14ac:dyDescent="0.2">
      <c r="B486" s="4" t="s">
        <v>467</v>
      </c>
      <c r="C486" s="362" t="str">
        <f>sample_wld_nsxt_gm_fingerprint</f>
        <v>676edbc9b8c639d9311aaea32a357c7c81226856ad4f8c73a68dd760652d6b5d</v>
      </c>
      <c r="D486" s="337" t="str">
        <f>wld_nsxt_gm_fingerprint</f>
        <v>Value Missing</v>
      </c>
      <c r="E486" s="66"/>
    </row>
    <row r="487" spans="2:5" ht="16" customHeight="1" x14ac:dyDescent="0.2"/>
    <row r="488" spans="2:5" ht="20" customHeight="1" x14ac:dyDescent="0.2">
      <c r="B488" s="505" t="s">
        <v>472</v>
      </c>
      <c r="C488" s="506"/>
      <c r="D488" s="506"/>
      <c r="E488" s="507"/>
    </row>
    <row r="489" spans="2:5" ht="20" customHeight="1" x14ac:dyDescent="0.2">
      <c r="B489" s="346" t="s">
        <v>17</v>
      </c>
      <c r="C489" s="346" t="s">
        <v>18</v>
      </c>
      <c r="D489" s="346" t="s">
        <v>19</v>
      </c>
      <c r="E489" s="346" t="s">
        <v>20</v>
      </c>
    </row>
    <row r="490" spans="2:5" ht="20" customHeight="1" x14ac:dyDescent="0.2">
      <c r="B490" s="4" t="s">
        <v>457</v>
      </c>
      <c r="C490" s="362" t="str">
        <f>sample_wld_nsxt_vip_fqdn</f>
        <v>sfo-w01-nsx01.sfo.rainpole.io</v>
      </c>
      <c r="D490" s="337" t="str">
        <f>wld_nsxt_vip_fqdn</f>
        <v>Value Missing</v>
      </c>
      <c r="E490" s="4"/>
    </row>
    <row r="491" spans="2:5" ht="20" customHeight="1" x14ac:dyDescent="0.2">
      <c r="B491" s="4" t="s">
        <v>467</v>
      </c>
      <c r="C491" s="362" t="s">
        <v>468</v>
      </c>
      <c r="D491" s="337"/>
      <c r="E491" s="66" t="s">
        <v>1137</v>
      </c>
    </row>
    <row r="492" spans="2:5" ht="20" customHeight="1" x14ac:dyDescent="0.2">
      <c r="B492" s="4" t="s">
        <v>469</v>
      </c>
      <c r="C492" s="362" t="str">
        <f t="array" ref="C492">IF(mgmt_domain_chosen="Initial VCF Instance",CONCATENATE(sample_wld_nsxt_gm_hostname,".",sample_child_dns_zone),sample_wld_existing_active_nsx_gm)</f>
        <v>lax-w01-nsx-gm01.lax.rainpole.io</v>
      </c>
      <c r="D492" s="337" t="str">
        <f>IF(mgmt_domain_chosen="First Instance",wld_nsxt_gm_vip_fqdn,wld_existing_active_nsx_gm)</f>
        <v>Value Missing</v>
      </c>
      <c r="E492" s="66"/>
    </row>
    <row r="493" spans="2:5" ht="20" customHeight="1" x14ac:dyDescent="0.2">
      <c r="B493" s="4" t="s">
        <v>474</v>
      </c>
      <c r="C493" s="126" t="str">
        <f>CONCATENATE(this_instance,"-w0",wld_domain_number_chosen,)</f>
        <v>sfo-w01</v>
      </c>
      <c r="D493" s="337"/>
      <c r="E493" s="66"/>
    </row>
    <row r="494" spans="2:5" ht="20" customHeight="1" x14ac:dyDescent="0.2">
      <c r="B494" s="4" t="s">
        <v>471</v>
      </c>
      <c r="C494" s="362" t="str">
        <f>sample_wld_nsxt_vip_fqdn</f>
        <v>sfo-w01-nsx01.sfo.rainpole.io</v>
      </c>
      <c r="D494" s="337" t="str">
        <f>wld_nsxt_vip_fqdn</f>
        <v>Value Missing</v>
      </c>
      <c r="E494" s="66"/>
    </row>
    <row r="495" spans="2:5" ht="20" customHeight="1" x14ac:dyDescent="0.2">
      <c r="B495" s="4" t="s">
        <v>27</v>
      </c>
      <c r="C495" s="362" t="s">
        <v>431</v>
      </c>
      <c r="D495" s="337"/>
      <c r="E495" s="66"/>
    </row>
    <row r="496" spans="2:5" ht="20" customHeight="1" x14ac:dyDescent="0.2">
      <c r="B496" s="4" t="s">
        <v>29</v>
      </c>
      <c r="C496" s="362" t="str">
        <f>sample_wld_nsxt_lm_admin_password</f>
        <v>VMw@re1!VMw@re1!</v>
      </c>
      <c r="D496" s="337" t="str">
        <f>wld_nsxt_lm_admin_password</f>
        <v>Value Missing</v>
      </c>
      <c r="E496" s="66"/>
    </row>
    <row r="497" spans="2:5" ht="20" customHeight="1" x14ac:dyDescent="0.2">
      <c r="B497" s="4" t="s">
        <v>467</v>
      </c>
      <c r="C497" s="362" t="str">
        <f>sample_wld_nsxt_lm_fingerprint</f>
        <v>0d472de0d92da89f2b469d4d10ab23505ad4edb90cd7e68f84497008f6c89ff1</v>
      </c>
      <c r="D497" s="337" t="str">
        <f>wld_nsxt_lm_fingerprint</f>
        <v>Value Missing</v>
      </c>
      <c r="E497" s="66"/>
    </row>
    <row r="498" spans="2:5" ht="20" customHeight="1" x14ac:dyDescent="0.2">
      <c r="B498" s="4" t="s">
        <v>475</v>
      </c>
      <c r="C498" s="362" t="s">
        <v>476</v>
      </c>
      <c r="D498" s="337" t="str">
        <f>C498</f>
        <v>nsxDefaultHostSwitch</v>
      </c>
      <c r="E498" s="143"/>
    </row>
    <row r="499" spans="2:5" ht="20" customHeight="1" x14ac:dyDescent="0.2">
      <c r="B499" s="4" t="s">
        <v>477</v>
      </c>
      <c r="C499" s="80" t="str">
        <f>CONCATENATE(prefix_wld_az1_vlan,"20")</f>
        <v>1320</v>
      </c>
      <c r="D499" s="337"/>
      <c r="E499" s="66"/>
    </row>
    <row r="500" spans="2:5" ht="20" customHeight="1" x14ac:dyDescent="0.2">
      <c r="B500" s="4" t="s">
        <v>478</v>
      </c>
      <c r="C500" s="362" t="str">
        <f>sample_wld_az1_rtep_ip_pool_name</f>
        <v>sfo-w01-r01-ip-pool-rtep</v>
      </c>
      <c r="D500" s="337" t="str">
        <f>wld_az1_rtep_ip_pool_name</f>
        <v>Value Missing</v>
      </c>
      <c r="E500" s="66"/>
    </row>
    <row r="501" spans="2:5" ht="16" customHeight="1" x14ac:dyDescent="0.2"/>
    <row r="502" spans="2:5" ht="20" customHeight="1" x14ac:dyDescent="0.2">
      <c r="B502" s="505" t="s">
        <v>479</v>
      </c>
      <c r="C502" s="506"/>
      <c r="D502" s="506"/>
      <c r="E502" s="507"/>
    </row>
    <row r="503" spans="2:5" ht="20" customHeight="1" x14ac:dyDescent="0.2">
      <c r="B503" s="346" t="s">
        <v>17</v>
      </c>
      <c r="C503" s="346" t="s">
        <v>18</v>
      </c>
      <c r="D503" s="346" t="s">
        <v>19</v>
      </c>
      <c r="E503" s="346" t="s">
        <v>20</v>
      </c>
    </row>
    <row r="504" spans="2:5" ht="20" customHeight="1" x14ac:dyDescent="0.2">
      <c r="B504" s="4" t="s">
        <v>447</v>
      </c>
      <c r="C504" s="362" t="str">
        <f>sample_wld_nsxt_gm_vip_fqdn</f>
        <v>sfo-w01-nsx-gm01.sfo.rainpole.io</v>
      </c>
      <c r="D504" s="337" t="str">
        <f>wld_nsxt_gm_vip_fqdn</f>
        <v>Value Missing</v>
      </c>
      <c r="E504" s="66"/>
    </row>
    <row r="505" spans="2:5" ht="20" customHeight="1" x14ac:dyDescent="0.2">
      <c r="B505" s="4" t="s">
        <v>480</v>
      </c>
      <c r="C505" s="126" t="str">
        <f>CONCATENATE(prefix_portable_component,"-w0",wld_domain_number_chosen,"-ec01-t1-gw01")</f>
        <v>flt-w01-ec01-t1-gw01</v>
      </c>
      <c r="D505" s="337"/>
      <c r="E505" s="66"/>
    </row>
    <row r="506" spans="2:5" ht="20" customHeight="1" x14ac:dyDescent="0.2">
      <c r="B506" s="4" t="s">
        <v>481</v>
      </c>
      <c r="C506" s="362" t="str">
        <f>sample_wld_tier0_name</f>
        <v>sfo-w01-ec01-t0-gw01</v>
      </c>
      <c r="D506" s="337" t="str">
        <f>wld_tier0_name</f>
        <v>Value Missing</v>
      </c>
      <c r="E506" s="66"/>
    </row>
    <row r="507" spans="2:5" ht="20" customHeight="1" x14ac:dyDescent="0.2">
      <c r="B507" s="4" t="s">
        <v>482</v>
      </c>
      <c r="C507" s="362" t="str">
        <f>sample_wld_nsxt_federation_location_name</f>
        <v>sfo-w01</v>
      </c>
      <c r="D507" s="337" t="str">
        <f>wld_nsxt_federation_location_name</f>
        <v>Value Missing</v>
      </c>
      <c r="E507" s="25"/>
    </row>
    <row r="508" spans="2:5" ht="20" customHeight="1" x14ac:dyDescent="0.2">
      <c r="B508" s="4" t="s">
        <v>88</v>
      </c>
      <c r="C508" s="362" t="str">
        <f>sample_wld_ec_name</f>
        <v>sfo-w01-ec01</v>
      </c>
      <c r="D508" s="337" t="str">
        <f>wld_ec_name</f>
        <v>Value Missing</v>
      </c>
      <c r="E508" s="66"/>
    </row>
    <row r="509" spans="2:5" ht="16" customHeight="1" x14ac:dyDescent="0.2"/>
    <row r="510" spans="2:5" ht="20" customHeight="1" x14ac:dyDescent="0.2">
      <c r="B510" s="505" t="s">
        <v>486</v>
      </c>
      <c r="C510" s="506"/>
      <c r="D510" s="506"/>
      <c r="E510" s="507"/>
    </row>
    <row r="511" spans="2:5" ht="20" customHeight="1" x14ac:dyDescent="0.2">
      <c r="B511" s="346" t="s">
        <v>17</v>
      </c>
      <c r="C511" s="346" t="s">
        <v>18</v>
      </c>
      <c r="D511" s="346" t="s">
        <v>19</v>
      </c>
      <c r="E511" s="346" t="s">
        <v>20</v>
      </c>
    </row>
    <row r="512" spans="2:5" ht="20" customHeight="1" x14ac:dyDescent="0.2">
      <c r="B512" s="4" t="s">
        <v>469</v>
      </c>
      <c r="C512" s="362" t="str">
        <f>IF(mgmt_domain_chosen="First Domain",CONCATENATE(this_instance,"-w01-nsx-gm01.",this_instance,".",sample_parent_dns_zone),CONCATENATE(other_instance,"-w01-nsx-gm01.",other_instance,".",sample_parent_dns_zone))</f>
        <v>lax-w01-nsx-gm01.lax.rainpole.io</v>
      </c>
      <c r="D512" s="337"/>
      <c r="E512" s="66"/>
    </row>
    <row r="513" spans="2:5" ht="20" customHeight="1" x14ac:dyDescent="0.2">
      <c r="B513" s="4" t="s">
        <v>487</v>
      </c>
      <c r="C513" s="362" t="str">
        <f>CONCATENATE(this_instance,"-w01-ec01-t0-gw01")</f>
        <v>sfo-w01-ec01-t0-gw01</v>
      </c>
      <c r="D513" s="337"/>
      <c r="E513" s="66"/>
    </row>
    <row r="514" spans="2:5" ht="20" customHeight="1" x14ac:dyDescent="0.2">
      <c r="B514" s="4" t="s">
        <v>482</v>
      </c>
      <c r="C514" s="362" t="str">
        <f>sample_wld_nsxt_federation_location_name</f>
        <v>sfo-w01</v>
      </c>
      <c r="D514" s="337" t="str">
        <f>wld_nsxt_federation_location_name</f>
        <v>Value Missing</v>
      </c>
      <c r="E514" s="25"/>
    </row>
    <row r="515" spans="2:5" ht="20" customHeight="1" x14ac:dyDescent="0.2">
      <c r="B515" s="4" t="s">
        <v>88</v>
      </c>
      <c r="C515" s="362" t="str">
        <f>sample_wld_ec_name</f>
        <v>sfo-w01-ec01</v>
      </c>
      <c r="D515" s="337" t="str">
        <f>wld_ec_name</f>
        <v>Value Missing</v>
      </c>
      <c r="E515" s="66"/>
    </row>
    <row r="516" spans="2:5" ht="20" customHeight="1" x14ac:dyDescent="0.2">
      <c r="B516" s="4" t="s">
        <v>489</v>
      </c>
      <c r="C516" s="362" t="str">
        <f>CONCATENATE(sample_wld_az1_en1_hostname,"_VCF-edge_",sample_wld_ec_name,"_segment_",sample_wld_az1_uplink01_vlan,"_",sample_wld_az1_en1_uplink01_interface_cidr)</f>
        <v>sfo-w01-r01-en01_VCF-edge_sfo-w01-ec01_segment_1317_10.13.17.2/24</v>
      </c>
      <c r="D516" s="337" t="str">
        <f>CONCATENATE(wld_az1_en1_hostname,"_VCF-edge_",wld_ec_name,"_segment_",wld_az1_uplink01_vlan,"_",wld_az1_en1_uplink01_interface_cidr)</f>
        <v>Value Missing_VCF-edge_Value Missing_segment_Value Missing_Value Missing</v>
      </c>
      <c r="E516" s="66"/>
    </row>
    <row r="517" spans="2:5" ht="20" customHeight="1" x14ac:dyDescent="0.2">
      <c r="B517" s="4" t="s">
        <v>490</v>
      </c>
      <c r="C517" s="362" t="str">
        <f>sample_wld_nsxt_federation_location_name</f>
        <v>sfo-w01</v>
      </c>
      <c r="D517" s="337" t="str">
        <f>wld_nsxt_federation_location_name</f>
        <v>Value Missing</v>
      </c>
      <c r="E517" s="66"/>
    </row>
    <row r="518" spans="2:5" ht="20" customHeight="1" x14ac:dyDescent="0.2">
      <c r="B518" s="4" t="s">
        <v>491</v>
      </c>
      <c r="C518" s="362" t="str">
        <f>sample_wld_az1_en1_uplink01_interface_cidr</f>
        <v>10.13.17.2/24</v>
      </c>
      <c r="D518" s="337" t="str">
        <f>wld_az1_en1_uplink01_interface_cidr</f>
        <v>Value Missing</v>
      </c>
      <c r="E518" s="66"/>
    </row>
    <row r="519" spans="2:5" ht="20" customHeight="1" x14ac:dyDescent="0.2">
      <c r="B519" s="4" t="s">
        <v>492</v>
      </c>
      <c r="C519" s="362" t="str">
        <f>CONCATENATE("VCF-edge_",sample_wld_ec_name,"_segment_uplink1_",sample_wld_az1_uplink01_vlan)</f>
        <v>VCF-edge_sfo-w01-ec01_segment_uplink1_1317</v>
      </c>
      <c r="D519" s="337" t="str">
        <f>CONCATENATE("VCF-edge_",wld_ec_name,"_segment_uplink1_",wld_az1_uplink01_vlan)</f>
        <v>VCF-edge_Value Missing_segment_uplink1_Value Missing</v>
      </c>
      <c r="E519" s="66"/>
    </row>
    <row r="520" spans="2:5" ht="20" customHeight="1" x14ac:dyDescent="0.2">
      <c r="B520" s="4" t="s">
        <v>1138</v>
      </c>
      <c r="C520" s="362" t="str">
        <f>CONCATENATE(this_instance,"-w0",wld_domain_number_chosen,"-r01-en01")</f>
        <v>sfo-w01-r01-en01</v>
      </c>
      <c r="D520" s="337" t="str">
        <f>wld_az1_en1_hostname</f>
        <v>Value Missing</v>
      </c>
      <c r="E520" s="66"/>
    </row>
    <row r="521" spans="2:5" ht="20" customHeight="1" x14ac:dyDescent="0.2">
      <c r="B521" s="4" t="s">
        <v>1139</v>
      </c>
      <c r="C521" s="362">
        <f>sample_wld_az1_uplink01_mtu</f>
        <v>9000</v>
      </c>
      <c r="D521" s="337" t="str">
        <f>wld_az1_uplink01_mtu</f>
        <v>Value Missing</v>
      </c>
      <c r="E521" s="66"/>
    </row>
    <row r="522" spans="2:5" ht="20" customHeight="1" x14ac:dyDescent="0.2">
      <c r="B522" s="4" t="s">
        <v>1140</v>
      </c>
      <c r="C522" s="362" t="str">
        <f>CONCATENATE(sample_wld_az1_en1_hostname,"_VCF-edge_",sample_wld_ec_name,"_segment_",sample_wld_az1_uplink02_vlan,"_",sample_wld_az1_en1_uplink02_interface_cidr)</f>
        <v>sfo-w01-r01-en01_VCF-edge_sfo-w01-ec01_segment_1318_10.13.18.2/24</v>
      </c>
      <c r="D522" s="337" t="str">
        <f>CONCATENATE(wld_az1_en1_hostname,"_VCF-edge_",wld_ec_name,"_segment_",wld_az1_uplink02_vlan,"_",wld_az1_en1_uplink02_interface_cidr)</f>
        <v>Value Missing_VCF-edge_Value Missing_segment_Value Missing_Value Missing</v>
      </c>
      <c r="E522" s="66"/>
    </row>
    <row r="523" spans="2:5" ht="20" customHeight="1" x14ac:dyDescent="0.2">
      <c r="B523" s="4" t="s">
        <v>1141</v>
      </c>
      <c r="C523" s="362" t="str">
        <f>sample_wld_nsxt_federation_location_name</f>
        <v>sfo-w01</v>
      </c>
      <c r="D523" s="337" t="str">
        <f>wld_nsxt_federation_location_name</f>
        <v>Value Missing</v>
      </c>
      <c r="E523" s="66"/>
    </row>
    <row r="524" spans="2:5" ht="20" customHeight="1" x14ac:dyDescent="0.2">
      <c r="B524" s="4" t="s">
        <v>498</v>
      </c>
      <c r="C524" s="362" t="str">
        <f>sample_wld_az1_en1_uplink02_interface_cidr</f>
        <v>10.13.18.2/24</v>
      </c>
      <c r="D524" s="337" t="str">
        <f>wld_az1_en1_uplink02_interface_cidr</f>
        <v>Value Missing</v>
      </c>
      <c r="E524" s="66"/>
    </row>
    <row r="525" spans="2:5" ht="20" customHeight="1" x14ac:dyDescent="0.2">
      <c r="B525" s="17" t="s">
        <v>1142</v>
      </c>
      <c r="C525" s="362" t="str">
        <f>CONCATENATE("VCF-edge_",sample_wld_ec_name,"_segment_uplink2_",sample_wld_az1_uplink02_vlan)</f>
        <v>VCF-edge_sfo-w01-ec01_segment_uplink2_1318</v>
      </c>
      <c r="D525" s="337" t="str">
        <f>CONCATENATE("VCF-edge_",wld_ec_name,"_segment_uplink2_",wld_az1_uplink02_vlan)</f>
        <v>VCF-edge_Value Missing_segment_uplink2_Value Missing</v>
      </c>
      <c r="E525" s="66"/>
    </row>
    <row r="526" spans="2:5" ht="20" customHeight="1" x14ac:dyDescent="0.2">
      <c r="B526" s="4" t="s">
        <v>500</v>
      </c>
      <c r="C526" s="362" t="str">
        <f>sample_wld_az1_en1_hostname</f>
        <v>sfo-w01-r01-en01</v>
      </c>
      <c r="D526" s="337" t="str">
        <f>wld_az1_en1_hostname</f>
        <v>Value Missing</v>
      </c>
      <c r="E526" s="66"/>
    </row>
    <row r="527" spans="2:5" ht="20" customHeight="1" x14ac:dyDescent="0.2">
      <c r="B527" s="4" t="s">
        <v>502</v>
      </c>
      <c r="C527" s="362">
        <f>sample_wld_az1_uplink01_mtu</f>
        <v>9000</v>
      </c>
      <c r="D527" s="337" t="str">
        <f>wld_az1_uplink02_mtu</f>
        <v>Value Missing</v>
      </c>
      <c r="E527" s="66"/>
    </row>
    <row r="528" spans="2:5" ht="20" customHeight="1" x14ac:dyDescent="0.2">
      <c r="B528" s="4" t="s">
        <v>503</v>
      </c>
      <c r="C528" s="362" t="str">
        <f>CONCATENATE(sample_wld_az1_en2_hostname,"_VCF-edge_",sample_wld_ec_name,"_segment_",sample_wld_az1_uplink01_vlan,"_",sample_wld_az1_en2_uplink01_interface_cidr)</f>
        <v>sfo-w01-r01-en02_VCF-edge_sfo-w01-ec01_segment_1317_10.13.17.3/24</v>
      </c>
      <c r="D528" s="337" t="str">
        <f>CONCATENATE(wld_az1_en2_hostname,"_VCF-edge_",wld_ec_name,"_segment_",wld_az1_uplink01_vlan,"_",wld_az1_en2_uplink01_interface_cidr)</f>
        <v>Value Missing_VCF-edge_Value Missing_segment_Value Missing_Value Missing</v>
      </c>
      <c r="E528" s="66"/>
    </row>
    <row r="529" spans="2:5" ht="20" customHeight="1" x14ac:dyDescent="0.2">
      <c r="B529" s="4" t="s">
        <v>1143</v>
      </c>
      <c r="C529" s="362" t="str">
        <f>sample_wld_nsxt_federation_location_name</f>
        <v>sfo-w01</v>
      </c>
      <c r="D529" s="337" t="str">
        <f>wld_nsxt_federation_location_name</f>
        <v>Value Missing</v>
      </c>
      <c r="E529" s="66"/>
    </row>
    <row r="530" spans="2:5" ht="20" customHeight="1" x14ac:dyDescent="0.2">
      <c r="B530" s="4" t="s">
        <v>1144</v>
      </c>
      <c r="C530" s="362" t="str">
        <f>sample_wld_az1_en2_uplink01_interface_cidr</f>
        <v>10.13.17.3/24</v>
      </c>
      <c r="D530" s="337" t="str">
        <f>wld_az1_en2_uplink01_interface_cidr</f>
        <v>Value Missing</v>
      </c>
      <c r="E530" s="66"/>
    </row>
    <row r="531" spans="2:5" ht="20" customHeight="1" x14ac:dyDescent="0.2">
      <c r="B531" s="17" t="s">
        <v>1145</v>
      </c>
      <c r="C531" s="362" t="str">
        <f>CONCATENATE("VCF-edge_",sample_wld_ec_name,"_segment_uplink1_",sample_wld_az1_uplink01_vlan)</f>
        <v>VCF-edge_sfo-w01-ec01_segment_uplink1_1317</v>
      </c>
      <c r="D531" s="337" t="str">
        <f>CONCATENATE("VCF-edge_",wld_ec_name,"_segment_uplink1_",wld_az1_uplink01_vlan)</f>
        <v>VCF-edge_Value Missing_segment_uplink1_Value Missing</v>
      </c>
      <c r="E531" s="66"/>
    </row>
    <row r="532" spans="2:5" ht="20" customHeight="1" x14ac:dyDescent="0.2">
      <c r="B532" s="4" t="s">
        <v>1146</v>
      </c>
      <c r="C532" s="362" t="str">
        <f>CONCATENATE(this_instance,"-w0",wld_domain_number_chosen,"-r01-en02")</f>
        <v>sfo-w01-r01-en02</v>
      </c>
      <c r="D532" s="337" t="str">
        <f>wld_az1_en2_hostname</f>
        <v>Value Missing</v>
      </c>
      <c r="E532" s="66"/>
    </row>
    <row r="533" spans="2:5" ht="20" customHeight="1" x14ac:dyDescent="0.2">
      <c r="B533" s="4" t="s">
        <v>1147</v>
      </c>
      <c r="C533" s="362">
        <f>sample_wld_az1_uplink01_mtu</f>
        <v>9000</v>
      </c>
      <c r="D533" s="337" t="str">
        <f>wld_az1_uplink01_mtu</f>
        <v>Value Missing</v>
      </c>
      <c r="E533" s="66"/>
    </row>
    <row r="534" spans="2:5" ht="20" customHeight="1" x14ac:dyDescent="0.2">
      <c r="B534" s="4" t="s">
        <v>509</v>
      </c>
      <c r="C534" s="362" t="str">
        <f>CONCATENATE(sample_wld_az1_en2_hostname,"_VCF-edge_",sample_wld_ec_name,"_segment_",sample_wld_az1_uplink02_vlan,"_",sample_wld_az1_en2_uplink02_interface_cidr)</f>
        <v>sfo-w01-r01-en02_VCF-edge_sfo-w01-ec01_segment_1318_10.13.18.3/24</v>
      </c>
      <c r="D534" s="337" t="str">
        <f>CONCATENATE(wld_az1_en2_hostname,"_VCF-edge_",wld_ec_name,"_segment_",wld_az1_uplink02_vlan,"_",wld_az1_en2_uplink02_interface_cidr)</f>
        <v>Value Missing_VCF-edge_Value Missing_segment_Value Missing_Value Missing</v>
      </c>
      <c r="E534" s="66"/>
    </row>
    <row r="535" spans="2:5" ht="20" customHeight="1" x14ac:dyDescent="0.2">
      <c r="B535" s="4" t="s">
        <v>510</v>
      </c>
      <c r="C535" s="362" t="str">
        <f>sample_wld_nsxt_federation_location_name</f>
        <v>sfo-w01</v>
      </c>
      <c r="D535" s="337" t="str">
        <f>wld_nsxt_federation_location_name</f>
        <v>Value Missing</v>
      </c>
      <c r="E535" s="66"/>
    </row>
    <row r="536" spans="2:5" ht="20" customHeight="1" x14ac:dyDescent="0.2">
      <c r="B536" s="4" t="s">
        <v>1148</v>
      </c>
      <c r="C536" s="362" t="str">
        <f>sample_wld_az1_en2_uplink02_interface_cidr</f>
        <v>10.13.18.3/24</v>
      </c>
      <c r="D536" s="337" t="str">
        <f>wld_az1_en2_uplink02_interface_cidr</f>
        <v>Value Missing</v>
      </c>
      <c r="E536" s="66"/>
    </row>
    <row r="537" spans="2:5" ht="20" customHeight="1" x14ac:dyDescent="0.2">
      <c r="B537" s="17" t="s">
        <v>512</v>
      </c>
      <c r="C537" s="362" t="str">
        <f>CONCATENATE("VCF-edge_",sample_wld_ec_name,"_segment_uplink2_",sample_wld_az1_uplink02_vlan)</f>
        <v>VCF-edge_sfo-w01-ec01_segment_uplink2_1318</v>
      </c>
      <c r="D537" s="337" t="str">
        <f>CONCATENATE("VCF-edge_",wld_ec_name,"_segment_uplink2_",wld_az1_uplink02_vlan)</f>
        <v>VCF-edge_Value Missing_segment_uplink2_Value Missing</v>
      </c>
      <c r="E537" s="66"/>
    </row>
    <row r="538" spans="2:5" ht="20" customHeight="1" x14ac:dyDescent="0.2">
      <c r="B538" s="4" t="s">
        <v>1149</v>
      </c>
      <c r="C538" s="362" t="str">
        <f>sample_wld_az1_en2_hostname</f>
        <v>sfo-w01-r01-en02</v>
      </c>
      <c r="D538" s="337" t="str">
        <f>wld_az1_en2_hostname</f>
        <v>Value Missing</v>
      </c>
      <c r="E538" s="66"/>
    </row>
    <row r="539" spans="2:5" ht="20" customHeight="1" x14ac:dyDescent="0.2">
      <c r="B539" s="4" t="s">
        <v>514</v>
      </c>
      <c r="C539" s="362">
        <f>sample_wld_az1_uplink01_mtu</f>
        <v>9000</v>
      </c>
      <c r="D539" s="337" t="str">
        <f>wld_az1_uplink02_mtu</f>
        <v>Value Missing</v>
      </c>
      <c r="E539" s="66"/>
    </row>
    <row r="540" spans="2:5" ht="20" customHeight="1" x14ac:dyDescent="0.2">
      <c r="B540" s="4" t="s">
        <v>515</v>
      </c>
      <c r="C540" s="362" t="str">
        <f>sample_wld_az1_tor1_peer_ip</f>
        <v>10.13.17.10</v>
      </c>
      <c r="D540" s="337" t="str">
        <f>wld_az1_tor1_peer_ip</f>
        <v>Value Missing</v>
      </c>
      <c r="E540" s="66"/>
    </row>
    <row r="541" spans="2:5" ht="20" customHeight="1" x14ac:dyDescent="0.2">
      <c r="B541" s="4" t="s">
        <v>1150</v>
      </c>
      <c r="C541" s="362" t="str">
        <f>sample_wld_nsxt_federation_location_name</f>
        <v>sfo-w01</v>
      </c>
      <c r="D541" s="337" t="str">
        <f>wld_nsxt_federation_location_name</f>
        <v>Value Missing</v>
      </c>
      <c r="E541" s="66"/>
    </row>
    <row r="542" spans="2:5" ht="20" customHeight="1" x14ac:dyDescent="0.2">
      <c r="B542" s="4" t="s">
        <v>517</v>
      </c>
      <c r="C542" s="362" t="str">
        <f>sample_wld_az1_tor1_peer_asn</f>
        <v>65131</v>
      </c>
      <c r="D542" s="337" t="str">
        <f>wld_az1_tor1_peer_asn</f>
        <v>Value Missing</v>
      </c>
      <c r="E542" s="66"/>
    </row>
    <row r="543" spans="2:5" ht="20" customHeight="1" x14ac:dyDescent="0.2">
      <c r="B543" s="4" t="s">
        <v>1151</v>
      </c>
      <c r="C543" s="362" t="str">
        <f>sample_wld_az1_en1_uplink01_interface_cidr</f>
        <v>10.13.17.2/24</v>
      </c>
      <c r="D543" s="337" t="str">
        <f>wld_az1_en1_uplink01_interface_cidr</f>
        <v>Value Missing</v>
      </c>
      <c r="E543" s="66"/>
    </row>
    <row r="544" spans="2:5" ht="20" customHeight="1" x14ac:dyDescent="0.2">
      <c r="B544" s="4" t="s">
        <v>1152</v>
      </c>
      <c r="C544" s="362" t="str">
        <f>sample_wld_az1_en2_uplink01_interface_cidr</f>
        <v>10.13.17.3/24</v>
      </c>
      <c r="D544" s="337" t="str">
        <f>wld_az1_en2_uplink01_interface_cidr</f>
        <v>Value Missing</v>
      </c>
      <c r="E544" s="66"/>
    </row>
    <row r="545" spans="2:5" ht="20" customHeight="1" x14ac:dyDescent="0.2">
      <c r="B545" s="4" t="s">
        <v>1153</v>
      </c>
      <c r="C545" s="362" t="str">
        <f>sample_wld_az1_tor1_peer_bgp_password</f>
        <v>VMw@re1!</v>
      </c>
      <c r="D545" s="337" t="str">
        <f>wld_az1_tor1_peer_bgp_password</f>
        <v>Value Missing</v>
      </c>
      <c r="E545" s="66"/>
    </row>
    <row r="546" spans="2:5" ht="20" customHeight="1" x14ac:dyDescent="0.2">
      <c r="B546" s="4" t="s">
        <v>1154</v>
      </c>
      <c r="C546" s="362" t="str">
        <f>sample_wld_az1_tor2_peer_ip</f>
        <v>10.13.18.10</v>
      </c>
      <c r="D546" s="337" t="str">
        <f>wld_az1_tor2_peer_ip</f>
        <v>Value Missing</v>
      </c>
      <c r="E546" s="66"/>
    </row>
    <row r="547" spans="2:5" ht="20" customHeight="1" x14ac:dyDescent="0.2">
      <c r="B547" s="4" t="s">
        <v>522</v>
      </c>
      <c r="C547" s="362" t="str">
        <f>sample_wld_nsxt_federation_location_name</f>
        <v>sfo-w01</v>
      </c>
      <c r="D547" s="337" t="str">
        <f>wld_nsxt_federation_location_name</f>
        <v>Value Missing</v>
      </c>
      <c r="E547" s="66"/>
    </row>
    <row r="548" spans="2:5" ht="20" customHeight="1" x14ac:dyDescent="0.2">
      <c r="B548" s="4" t="s">
        <v>1155</v>
      </c>
      <c r="C548" s="362" t="str">
        <f>sample_wld_az1_tor1_peer_asn</f>
        <v>65131</v>
      </c>
      <c r="D548" s="337" t="str">
        <f>wld_az1_tor1_peer_asn</f>
        <v>Value Missing</v>
      </c>
      <c r="E548" s="66"/>
    </row>
    <row r="549" spans="2:5" ht="20" customHeight="1" x14ac:dyDescent="0.2">
      <c r="B549" s="4" t="s">
        <v>1156</v>
      </c>
      <c r="C549" s="362" t="str">
        <f>sample_wld_az1_en1_uplink02_interface_cidr</f>
        <v>10.13.18.2/24</v>
      </c>
      <c r="D549" s="337" t="str">
        <f>wld_az1_en1_uplink02_interface_cidr</f>
        <v>Value Missing</v>
      </c>
      <c r="E549" s="66"/>
    </row>
    <row r="550" spans="2:5" ht="20" customHeight="1" x14ac:dyDescent="0.2">
      <c r="B550" s="4" t="s">
        <v>1157</v>
      </c>
      <c r="C550" s="362" t="str">
        <f>sample_wld_az1_en2_uplink02_interface_cidr</f>
        <v>10.13.18.3/24</v>
      </c>
      <c r="D550" s="337" t="str">
        <f>wld_az1_en2_uplink02_interface_cidr</f>
        <v>Value Missing</v>
      </c>
      <c r="E550" s="66"/>
    </row>
    <row r="551" spans="2:5" ht="20" customHeight="1" x14ac:dyDescent="0.2">
      <c r="B551" s="4" t="s">
        <v>526</v>
      </c>
      <c r="C551" s="362" t="str">
        <f>sample_wld_az1_tor2_peer_bgp_password</f>
        <v>VMw@re1!</v>
      </c>
      <c r="D551" s="337" t="str">
        <f>wld_az1_tor2_peer_bgp_password</f>
        <v>Value Missing</v>
      </c>
      <c r="E551" s="66"/>
    </row>
    <row r="552" spans="2:5" ht="16" customHeight="1" x14ac:dyDescent="0.2"/>
    <row r="553" spans="2:5" ht="20" customHeight="1" x14ac:dyDescent="0.2">
      <c r="B553" s="505" t="s">
        <v>527</v>
      </c>
      <c r="C553" s="506"/>
      <c r="D553" s="506"/>
      <c r="E553" s="507"/>
    </row>
    <row r="554" spans="2:5" ht="20" customHeight="1" x14ac:dyDescent="0.2">
      <c r="B554" s="346" t="s">
        <v>17</v>
      </c>
      <c r="C554" s="346" t="s">
        <v>18</v>
      </c>
      <c r="D554" s="346" t="s">
        <v>19</v>
      </c>
      <c r="E554" s="346" t="s">
        <v>20</v>
      </c>
    </row>
    <row r="555" spans="2:5" ht="20" customHeight="1" x14ac:dyDescent="0.2">
      <c r="B555" s="4" t="s">
        <v>469</v>
      </c>
      <c r="C555" s="362" t="str">
        <f>sample_wld_existing_active_nsx_gm</f>
        <v>lax-w01-nsx-gm01.lax.rainpole.io</v>
      </c>
      <c r="D555" s="337" t="str">
        <f>IF(mgmt_domain_chosen="First Domain",wld_nsxt_gm_vip_fqdn,wld_existing_active_nsx_gm)</f>
        <v>Value Missing</v>
      </c>
      <c r="E555" s="66"/>
    </row>
    <row r="556" spans="2:5" ht="20" customHeight="1" x14ac:dyDescent="0.2">
      <c r="B556" s="4" t="s">
        <v>485</v>
      </c>
      <c r="C556" s="362" t="str">
        <f>sample_wld_nsxt_xreg_t1_name</f>
        <v>flt-w01-ec01-t1-gw01</v>
      </c>
      <c r="D556" s="337" t="str">
        <f>IF(mgmt_domain_chosen="First Domain",wld_nsxt_xreg_t1_name,wld_existing_cross_instance_t0_name)</f>
        <v>Value Missing</v>
      </c>
      <c r="E556" s="66"/>
    </row>
    <row r="557" spans="2:5" ht="20" customHeight="1" x14ac:dyDescent="0.2">
      <c r="B557" s="4" t="s">
        <v>482</v>
      </c>
      <c r="C557" s="362" t="str">
        <f>sample_wld_nsxt_federation_location_name</f>
        <v>sfo-w01</v>
      </c>
      <c r="D557" s="337" t="str">
        <f>wld_nsxt_federation_location_name</f>
        <v>Value Missing</v>
      </c>
      <c r="E557" s="25"/>
    </row>
    <row r="558" spans="2:5" ht="20" customHeight="1" x14ac:dyDescent="0.2">
      <c r="B558" s="4" t="s">
        <v>88</v>
      </c>
      <c r="C558" s="362" t="str">
        <f>sample_wld_ec_name</f>
        <v>sfo-w01-ec01</v>
      </c>
      <c r="D558" s="337" t="str">
        <f>wld_ec_name</f>
        <v>Value Missing</v>
      </c>
      <c r="E558" s="66"/>
    </row>
  </sheetData>
  <sheetProtection algorithmName="SHA-512" hashValue="JmFKu9gYOQBp9pMmUpdXaHGJaOmAFM4XkLwceYdNsdFwO7wZ8fSUL7azfX79sI9bLrome5vWGJFaE+5oltp71w==" saltValue="ARhbVZOGf0DwngVnLBhd4A==" spinCount="100000" sheet="1" selectLockedCells="1"/>
  <mergeCells count="68">
    <mergeCell ref="B230:E230"/>
    <mergeCell ref="B148:E148"/>
    <mergeCell ref="B166:E166"/>
    <mergeCell ref="B192:E192"/>
    <mergeCell ref="B2:E2"/>
    <mergeCell ref="B3:E3"/>
    <mergeCell ref="B17:E17"/>
    <mergeCell ref="B18:E18"/>
    <mergeCell ref="B67:E67"/>
    <mergeCell ref="B29:E29"/>
    <mergeCell ref="B30:E30"/>
    <mergeCell ref="B32:E32"/>
    <mergeCell ref="B37:E37"/>
    <mergeCell ref="B34:E34"/>
    <mergeCell ref="B41:E41"/>
    <mergeCell ref="B9:E9"/>
    <mergeCell ref="B139:E139"/>
    <mergeCell ref="B191:E191"/>
    <mergeCell ref="B204:E204"/>
    <mergeCell ref="B212:E212"/>
    <mergeCell ref="B168:E168"/>
    <mergeCell ref="B173:E173"/>
    <mergeCell ref="B196:E196"/>
    <mergeCell ref="B360:E360"/>
    <mergeCell ref="B100:E100"/>
    <mergeCell ref="B115:E115"/>
    <mergeCell ref="B53:E53"/>
    <mergeCell ref="B79:E79"/>
    <mergeCell ref="B165:E165"/>
    <mergeCell ref="B94:E94"/>
    <mergeCell ref="B130:E130"/>
    <mergeCell ref="B163:E163"/>
    <mergeCell ref="B152:E152"/>
    <mergeCell ref="B154:E154"/>
    <mergeCell ref="B147:E147"/>
    <mergeCell ref="B150:E150"/>
    <mergeCell ref="B133:E133"/>
    <mergeCell ref="B135:E135"/>
    <mergeCell ref="B143:E143"/>
    <mergeCell ref="B463:E463"/>
    <mergeCell ref="B472:E472"/>
    <mergeCell ref="B413:E413"/>
    <mergeCell ref="B431:E431"/>
    <mergeCell ref="B439:E439"/>
    <mergeCell ref="B445:E445"/>
    <mergeCell ref="B456:E456"/>
    <mergeCell ref="B449:E449"/>
    <mergeCell ref="B553:E553"/>
    <mergeCell ref="B488:E488"/>
    <mergeCell ref="B502:E502"/>
    <mergeCell ref="B510:E510"/>
    <mergeCell ref="B477:E477"/>
    <mergeCell ref="B377:E377"/>
    <mergeCell ref="B394:E394"/>
    <mergeCell ref="B220:E220"/>
    <mergeCell ref="B338:E338"/>
    <mergeCell ref="B342:E342"/>
    <mergeCell ref="B357:E357"/>
    <mergeCell ref="B356:E356"/>
    <mergeCell ref="B294:E294"/>
    <mergeCell ref="B334:E334"/>
    <mergeCell ref="B300:E300"/>
    <mergeCell ref="B283:E283"/>
    <mergeCell ref="B289:E289"/>
    <mergeCell ref="B262:E262"/>
    <mergeCell ref="B229:E229"/>
    <mergeCell ref="B255:E255"/>
    <mergeCell ref="B333:E333"/>
  </mergeCells>
  <phoneticPr fontId="0" type="noConversion"/>
  <conditionalFormatting sqref="B11">
    <cfRule type="expression" dxfId="1620" priority="1533">
      <formula>AND((wld_signed_certs_chosen="Include"),(wld_signed_certs_result="Included"))</formula>
    </cfRule>
    <cfRule type="expression" dxfId="1619" priority="1532">
      <formula>AND((wld_signed_certs_chosen="Include"),(wld_signed_certs_result="Excluded"))</formula>
    </cfRule>
    <cfRule type="expression" dxfId="1618" priority="1531">
      <formula>AND((vcf_granular_option_chosen="Deploy a new VCF fleet"),(wld_signed_certs_chosen="Include"),(wld_signed_certs_result="Excluded"))</formula>
    </cfRule>
    <cfRule type="expression" dxfId="1617" priority="1530">
      <formula>(wld_signed_certs_chosen="Exclude")</formula>
    </cfRule>
  </conditionalFormatting>
  <conditionalFormatting sqref="B12 D12:E12">
    <cfRule type="expression" dxfId="1616" priority="1522">
      <formula>AND((wld_bgp_chosen&lt;&gt;"Exclude"),(wld_bgp_result="Excluded"))</formula>
    </cfRule>
  </conditionalFormatting>
  <conditionalFormatting sqref="B12">
    <cfRule type="expression" dxfId="1615" priority="1542">
      <formula>(wld_bgp_chosen="Exclude")</formula>
    </cfRule>
  </conditionalFormatting>
  <conditionalFormatting sqref="B12:B14">
    <cfRule type="expression" dxfId="1614" priority="1545">
      <formula>AND((wld_bgp_chosen&lt;&gt;"Exclude"),(wld_bgp_result="Included"))</formula>
    </cfRule>
  </conditionalFormatting>
  <conditionalFormatting sqref="B13 D13:E13">
    <cfRule type="expression" dxfId="1613" priority="1490">
      <formula>AND((wld_avi_loadbalancer_chosen&lt;&gt;"Exclude"),(wld_avi_loadbalancer_result="Excluded"))</formula>
    </cfRule>
    <cfRule type="expression" dxfId="1612" priority="1491">
      <formula>wld_avi_loadbalancer_result="Excluded"</formula>
    </cfRule>
    <cfRule type="expression" dxfId="1611" priority="1492">
      <formula>AND((wld_avi_loadbalancer_chosen="Include"),(wld_avi_loadbalancer_result="Included"))</formula>
    </cfRule>
    <cfRule type="expression" dxfId="1610" priority="1523">
      <formula>AND((vcf_granular_option_chosen&lt;&gt;"Additional MGMT Cluster"),(wld_avi_loadbalancer_chosen="Include"),(wld_avi_loadbalancer_result="Excluded"))</formula>
    </cfRule>
  </conditionalFormatting>
  <conditionalFormatting sqref="B14 D14:E14">
    <cfRule type="expression" dxfId="1609" priority="178">
      <formula>AND((wld_stretched_cluster_chosen="Include"),(wld_stretched_cluster_result="Excluded"))</formula>
    </cfRule>
  </conditionalFormatting>
  <conditionalFormatting sqref="B15">
    <cfRule type="expression" dxfId="1608" priority="1536">
      <formula>AND((wld_nsxt_federation_chosen&lt;&gt;"Exclude"),(wld_nsxt_federation_result="Included"))</formula>
    </cfRule>
    <cfRule type="expression" dxfId="1607" priority="1535">
      <formula>AND((wld_nsxt_federation_chosen&lt;&gt;"Exclude"),(wld_nsxt_federation_result="Excluded"))</formula>
    </cfRule>
    <cfRule type="expression" dxfId="1606" priority="1534">
      <formula>(wld_nsxt_federation_chosen="Exclude")</formula>
    </cfRule>
  </conditionalFormatting>
  <conditionalFormatting 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
    <cfRule type="notContainsBlanks" dxfId="1604" priority="1354">
      <formula>LEN(TRIM(D20))&gt;0</formula>
    </cfRule>
  </conditionalFormatting>
  <conditionalFormatting sqref="D20:D27 D447 D451:D454 D474:D475 D479:D486 D490:D500 D555:D558 D116:D129 D54:D66 D151 D153 D155:D161 D337 D340:D341 D344:D354 D441:D443 D465:D470 D512:D551 D359 D361:D376 D378:D393 D395:D411 D415:D429 D433:D437 D504:D508 D303:D332 D80:D93 D101:D114 D42:D52 D68:D78 D169:D172 D213:D219 D174:D189 D232:D253 D33 D38:D40 D95:D99 D131:D132 D35:D36 D257:D260 D136:D138 D140:D142 D144:D145 D197:D203 D205:D211 D265:D282 D134 D194:D195 D221:D227 D285:D288 D291:D293 D296:D298">
    <cfRule type="containsBlanks" dxfId="1603" priority="1342">
      <formula>LEN(TRIM(D20))=0</formula>
    </cfRule>
  </conditionalFormatting>
  <conditionalFormatting sqref="D20:D27">
    <cfRule type="expression" dxfId="1602" priority="1339">
      <formula>wld_signed_certs_result="Excluded"</formula>
    </cfRule>
  </conditionalFormatting>
  <conditionalFormatting sqref="D35:D36">
    <cfRule type="expression" dxfId="1601" priority="149" stopIfTrue="1">
      <formula>input_wld_ec_gateway_type="Centralized Connectivity"</formula>
    </cfRule>
    <cfRule type="expression" dxfId="1600" priority="131">
      <formula>wld_bgp_chosen="Exclude"</formula>
    </cfRule>
  </conditionalFormatting>
  <conditionalFormatting sqref="D38:D40 D42:D52 D54:D66 D68:D78 D80:D93 D96:D99 D101:D114 D116:D129">
    <cfRule type="expression" dxfId="1599" priority="52">
      <formula>wld_bgp_chosen="Distributed Connectivity"</formula>
    </cfRule>
  </conditionalFormatting>
  <conditionalFormatting sqref="D46 D72">
    <cfRule type="expression" dxfId="1598" priority="637">
      <formula>wld_ec01_host_group_affinity_rule_chosen="No"</formula>
    </cfRule>
  </conditionalFormatting>
  <conditionalFormatting sqref="D50:D51">
    <cfRule type="expression" dxfId="1597" priority="337">
      <formula>wld_az1_en1_ip_allocation_chosen="DHCP"</formula>
    </cfRule>
  </conditionalFormatting>
  <conditionalFormatting sqref="D54:D66 D101:D114 D116:D129 D80:D93 D38:D40 D42:D52 D68:D78 D96:D99 D33 D131:D132">
    <cfRule type="expression" dxfId="1596" priority="150">
      <formula>wld_bgp_result="Excluded"</formula>
    </cfRule>
  </conditionalFormatting>
  <conditionalFormatting sqref="D58:D66 D84:D91">
    <cfRule type="expression" dxfId="1595" priority="154">
      <formula>wld_ec01_use_host_overlay_chosen="Selected"</formula>
    </cfRule>
  </conditionalFormatting>
  <conditionalFormatting sqref="D60:D62">
    <cfRule type="expression" dxfId="1594" priority="636">
      <formula>wld_az1_en1_edge_overlay_network_ip_allocation_chosen&lt;&gt;"IP Pool"</formula>
    </cfRule>
  </conditionalFormatting>
  <conditionalFormatting sqref="D63:D64 D66">
    <cfRule type="expression" dxfId="1593" priority="788">
      <formula>wld_az1_en1_edge_overlay_network_ip_allocation_chosen&lt;&gt;"Static IP List"</formula>
    </cfRule>
  </conditionalFormatting>
  <conditionalFormatting sqref="D65">
    <cfRule type="expression" dxfId="1592" priority="148">
      <formula>wld_az1_en1_edge_overlay_network_ip_allocation_chosen="DHCP"</formula>
    </cfRule>
  </conditionalFormatting>
  <conditionalFormatting sqref="D76:D77">
    <cfRule type="expression" dxfId="1591" priority="248">
      <formula>wld_az1_en2_ip_allocation_chosen="DHCP"</formula>
    </cfRule>
  </conditionalFormatting>
  <conditionalFormatting sqref="D86">
    <cfRule type="expression" dxfId="1590" priority="231" stopIfTrue="1">
      <formula>wld_az1_en2_edge_overlay_network_ip_allocation_chosen&lt;&gt;"IP Pool"</formula>
    </cfRule>
  </conditionalFormatting>
  <conditionalFormatting sqref="D87:D90">
    <cfRule type="expression" dxfId="1589" priority="639">
      <formula>wld_az1_en2_edge_overlay_network_ip_allocation_chosen&lt;&gt;"Static IP List"</formula>
    </cfRule>
  </conditionalFormatting>
  <conditionalFormatting sqref="D92:D93">
    <cfRule type="expression" dxfId="1588" priority="134">
      <formula>wld_az1_ec01_password_creation_chosen="Selected"</formula>
    </cfRule>
  </conditionalFormatting>
  <conditionalFormatting sqref="D95">
    <cfRule type="expression" dxfId="1587" priority="23">
      <formula>wld_bgp_chosen&lt;&gt;"Centralized Connectivity"</formula>
    </cfRule>
    <cfRule type="expression" dxfId="1586" priority="21">
      <formula>wld_bgp_result="Excluded"</formula>
    </cfRule>
  </conditionalFormatting>
  <conditionalFormatting sqref="D96:D99">
    <cfRule type="expression" dxfId="1585" priority="15">
      <formula>wld_tier0_skip_chosen="Selected"</formula>
    </cfRule>
    <cfRule type="expression" dxfId="1584" priority="14">
      <formula>OR((wld_nsxt_federation_chosen="Standby Global Manager"),(wld_nsxt_federation_chosen="Connect Instance"))</formula>
    </cfRule>
  </conditionalFormatting>
  <conditionalFormatting sqref="D103:D107 D110:D114 D118:D122 D125:D129">
    <cfRule type="expression" dxfId="1583" priority="135">
      <formula>wld_gateway_routing_type_chosen="STATIC"</formula>
    </cfRule>
  </conditionalFormatting>
  <conditionalFormatting sqref="D105">
    <cfRule type="expression" dxfId="1582" priority="638">
      <formula>AND(wld_multi_rack_count_result&lt;&gt;"Excluded",wld_dedicated_edge_cluster_chosen_first&lt;&gt;1,wld_dedicated_edge_cluster_chosen_second&lt;&gt;1)</formula>
    </cfRule>
  </conditionalFormatting>
  <conditionalFormatting sqref="D118 D121:D122 D125 D128:D129">
    <cfRule type="expression" dxfId="1581" priority="805">
      <formula>(mgmt_vns_chosen="VLAN-Backed")</formula>
    </cfRule>
  </conditionalFormatting>
  <conditionalFormatting sqref="D134">
    <cfRule type="expression" dxfId="1580" priority="5267">
      <formula>AND((wld_bgp_chosen&lt;&gt;"Exclude"),(wld_bgp_result="Included"))</formula>
    </cfRule>
    <cfRule type="expression" dxfId="1579" priority="24">
      <formula>(wld_bgp_chosen="Exclude")</formula>
    </cfRule>
    <cfRule type="expression" dxfId="1578" priority="25">
      <formula>$D$134="Exclude"</formula>
    </cfRule>
    <cfRule type="expression" dxfId="1577" priority="37">
      <formula>AND((wld_bgp_chosen&lt;&gt;"Exclude"),(wld_bgp_result="Excluded"))</formula>
    </cfRule>
  </conditionalFormatting>
  <conditionalFormatting sqref="D136 D140">
    <cfRule type="expression" dxfId="1576" priority="7">
      <formula>wld_ec_api_chosen="Exclude"</formula>
    </cfRule>
  </conditionalFormatting>
  <conditionalFormatting sqref="D136:D138">
    <cfRule type="expression" dxfId="1575" priority="73">
      <formula>OR((wld_domain_result="Excluded"),(wld_bgp_result="Excluded"))</formula>
    </cfRule>
    <cfRule type="expression" dxfId="1574" priority="67">
      <formula>AND(wld_multi_rack_count_result&lt;&gt;"Excluded",wld_dedicated_edge_cluster_chosen_first&lt;&gt;1,wld_dedicated_edge_cluster_chosen_second&lt;&gt;1)</formula>
    </cfRule>
  </conditionalFormatting>
  <conditionalFormatting sqref="D137:D138 D141:D142 D144:D145">
    <cfRule type="expression" dxfId="1573" priority="1">
      <formula>wld_bgp_chosen="Distributed Connectivity"</formula>
    </cfRule>
  </conditionalFormatting>
  <conditionalFormatting sqref="D140:D142">
    <cfRule type="expression" dxfId="1572" priority="62">
      <formula>OR((wld_domain_result="Excluded"),(wld_bgp_result="Excluded"))</formula>
    </cfRule>
  </conditionalFormatting>
  <conditionalFormatting sqref="D143">
    <cfRule type="containsBlanks" dxfId="1571" priority="119">
      <formula>LEN(TRIM(D143))=0</formula>
    </cfRule>
    <cfRule type="notContainsBlanks" dxfId="1570" priority="118">
      <formula>LEN(TRIM(D143))&gt;0</formula>
    </cfRule>
    <cfRule type="expression" dxfId="1568" priority="116">
      <formula>mgmt_domain_existing_vcenter_chosen="Selected"</formula>
    </cfRule>
    <cfRule type="expression" dxfId="1567" priority="115">
      <formula>input_mgmt_principal_storage_chosen="VMFS on Fibre Channel (FC)"</formula>
    </cfRule>
  </conditionalFormatting>
  <conditionalFormatting sqref="D144:D145">
    <cfRule type="expression" dxfId="1566" priority="57">
      <formula>OR((wld_domain_result="Excluded"),(wld_bgp_result="Excluded"))</formula>
    </cfRule>
  </conditionalFormatting>
  <conditionalFormatting sqref="D151 D153 D155:D161 D163">
    <cfRule type="expression" dxfId="1565" priority="728">
      <formula>wld_avi_loadbalancer_result="Excluded"</formula>
    </cfRule>
  </conditionalFormatting>
  <conditionalFormatting sqref="D169:D172 D174:D189 D194:D195 D197:D203 D205:D211 D213:D219 D221:D227 D232:D253 D285:D288 D291:D293 D296:D298 D303:D332 D258">
    <cfRule type="expression" dxfId="1564" priority="12">
      <formula>OR((wld_domain_result="Excluded"),(wld_stretched_cluster_result="Excluded"))</formula>
    </cfRule>
  </conditionalFormatting>
  <conditionalFormatting sqref="D169:D172">
    <cfRule type="expression" dxfId="1563" priority="229">
      <formula>wld_multi_rack_count_result&lt;&gt;"Excluded"</formula>
    </cfRule>
  </conditionalFormatting>
  <conditionalFormatting sqref="D174:D189">
    <cfRule type="expression" dxfId="1562" priority="153">
      <formula>wld_multi_rack_count_result&lt;&gt;"Excluded"</formula>
    </cfRule>
  </conditionalFormatting>
  <conditionalFormatting sqref="D197:D203 D205:D211 D213:D219">
    <cfRule type="expression" dxfId="1561" priority="51">
      <formula>wld_az2_reuse_vcf_networkpool_chosen="Re-use an existing VCF Network Pool"</formula>
    </cfRule>
  </conditionalFormatting>
  <conditionalFormatting sqref="D204">
    <cfRule type="expression" dxfId="1560" priority="328">
      <formula>mgmt_domain_existing_vcenter_chosen="Selected"</formula>
    </cfRule>
    <cfRule type="expression" dxfId="1559" priority="327">
      <formula>input_mgmt_principal_storage_chosen="VMFS on Fibre Channel (FC)"</formula>
    </cfRule>
    <cfRule type="containsBlanks" dxfId="1557" priority="330">
      <formula>LEN(TRIM(D204))=0</formula>
    </cfRule>
    <cfRule type="notContainsBlanks" dxfId="1556" priority="331">
      <formula>LEN(TRIM(D204))&gt;0</formula>
    </cfRule>
  </conditionalFormatting>
  <conditionalFormatting sqref="D205:D211">
    <cfRule type="expression" dxfId="1555" priority="13">
      <formula>AND((wld_principal_storage_chosen&lt;&gt;"vSAN-ESA"),(wld_principal_storage_chosen&lt;&gt;"vSAN-OSA"))</formula>
    </cfRule>
  </conditionalFormatting>
  <conditionalFormatting sqref="D213:D219">
    <cfRule type="expression" dxfId="1554" priority="168">
      <formula>OR((wld_domain_result="Excluded"),(wld_stretched_cluster_result="Excluded"),(wld_secondary_storage_result="Excluded"))</formula>
    </cfRule>
  </conditionalFormatting>
  <conditionalFormatting sqref="D221:D227">
    <cfRule type="expression" dxfId="1553" priority="9">
      <formula>wld_principal_storage_chosen&lt;&gt;"vSAN Storage Cluster"</formula>
    </cfRule>
  </conditionalFormatting>
  <conditionalFormatting sqref="D248:D253">
    <cfRule type="expression" dxfId="1552" priority="152">
      <formula>wld_domain_result="Excluded"</formula>
    </cfRule>
  </conditionalFormatting>
  <conditionalFormatting sqref="D255">
    <cfRule type="expression" dxfId="1551" priority="145">
      <formula>mgmt_domain_existing_vcenter_chosen="Selected"</formula>
    </cfRule>
  </conditionalFormatting>
  <conditionalFormatting sqref="D257">
    <cfRule type="expression" dxfId="1550" priority="121">
      <formula>wld_multi_rack_count_result&lt;&gt;"Excluded"</formula>
    </cfRule>
    <cfRule type="expression" dxfId="1549" priority="130">
      <formula>OR((wld_domain_result="Excluded"),(wld_stretched_cluster_result="Excluded"))</formula>
    </cfRule>
  </conditionalFormatting>
  <conditionalFormatting sqref="D257:D260">
    <cfRule type="expression" dxfId="1548" priority="78">
      <formula>mgmt_domain_deployment_type_chosen="VMware vSphere Foundation"</formula>
    </cfRule>
  </conditionalFormatting>
  <conditionalFormatting sqref="D259">
    <cfRule type="expression" dxfId="1547" priority="120">
      <formula>OR((wld_domain_result="Excluded"),(wld_stretched_cluster_result="Excluded"))</formula>
    </cfRule>
    <cfRule type="expression" dxfId="1546" priority="86">
      <formula>wld_multi_rack_count_result&lt;&gt;"Excluded"</formula>
    </cfRule>
  </conditionalFormatting>
  <conditionalFormatting sqref="D260">
    <cfRule type="expression" dxfId="1545" priority="85">
      <formula>OR((wld_domain_result="Excluded"),(wld_stretched_cluster_result="Excluded"))</formula>
    </cfRule>
  </conditionalFormatting>
  <conditionalFormatting sqref="D265:D282">
    <cfRule type="expression" dxfId="1544" priority="38">
      <formula>OR((wld_domain_result="Excluded"),(wld_stretched_cluster_result="Excluded"))</formula>
    </cfRule>
  </conditionalFormatting>
  <conditionalFormatting sqref="D303:D318">
    <cfRule type="expression" dxfId="1543" priority="647">
      <formula>OR((wld_domain_result="Excluded"),(wld_stretched_cluster_result="Excluded"))</formula>
    </cfRule>
    <cfRule type="expression" dxfId="1542" priority="643">
      <formula>wld_multi_rack_count_result&lt;&gt;"Excluded"</formula>
    </cfRule>
  </conditionalFormatting>
  <conditionalFormatting sqref="D320">
    <cfRule type="expression" dxfId="1541" priority="42">
      <formula>wld_domain_chosen="Import Workload Domain"</formula>
    </cfRule>
    <cfRule type="expression" dxfId="1540" priority="44" stopIfTrue="1">
      <formula>wld_domain_result="Excluded"</formula>
    </cfRule>
    <cfRule type="expression" dxfId="1539" priority="46">
      <formula>wld_host_overlay_addressing_chosen="DHCP"</formula>
    </cfRule>
    <cfRule type="expression" dxfId="1538" priority="48" stopIfTrue="1">
      <formula>wld_domain_result="Excluded"</formula>
    </cfRule>
    <cfRule type="expression" dxfId="1537" priority="50">
      <formula>wld_multirack_result="Included"</formula>
    </cfRule>
  </conditionalFormatting>
  <conditionalFormatting sqref="D324:D328">
    <cfRule type="expression" dxfId="1536" priority="53">
      <formula>wld_multi_rack_count_result&lt;&gt;"Excluded"</formula>
    </cfRule>
  </conditionalFormatting>
  <conditionalFormatting sqref="D327:D328">
    <cfRule type="expression" dxfId="1535" priority="161">
      <formula>OR((wld_domain_result="Excluded"),(wld_stretched_cluster_result="Excluded"),(wld_host_overlay_addressing_chosen&lt;&gt;"Static IP Pool"))</formula>
    </cfRule>
  </conditionalFormatting>
  <conditionalFormatting sqref="D337 D340:D341 D344:D354">
    <cfRule type="expression" dxfId="1534" priority="727">
      <formula>OR((wld_domain_result="Excluded"),(wld_stretched_cluster_result="Excluded"),(wld_bgp_chosen&lt;&gt;"Centralized Connectivity"))</formula>
    </cfRule>
  </conditionalFormatting>
  <conditionalFormatting sqref="D359 D361:D376 D378:D393 D395:D411 D415:D429 D433:D437 D441:D443 D452 D454 D458:D461 D474:D475 D479:D486 D504:D508">
    <cfRule type="expression" dxfId="1533" priority="666" stopIfTrue="1">
      <formula>OR((wld_nsxt_federation_result="Excluded"),(wld_nsxt_federation_chosen="Connect Instance"))</formula>
    </cfRule>
  </conditionalFormatting>
  <conditionalFormatting sqref="D442:D443">
    <cfRule type="expression" dxfId="1532" priority="709">
      <formula>OR((wld_domain_result="Excluded"),(wld_nsxt_federation_result="Excluded"),(wld_nsxt_federation_chosen="Connect Instance"))</formula>
    </cfRule>
  </conditionalFormatting>
  <conditionalFormatting sqref="D447">
    <cfRule type="expression" dxfId="1531" priority="1336">
      <formula>OR((wld_nsxt_federation_result="Excluded"),(wld_nsxt_federation_chosen="Connect Instance"),(wld_signed_certs_result="Excluded"))</formula>
    </cfRule>
  </conditionalFormatting>
  <conditionalFormatting sqref="D451:D454">
    <cfRule type="expression" dxfId="1530" priority="1333">
      <formula>OR((wld_nsxt_federation_result="Excluded"),(wld_nsxt_federation_chosen="Connect Instance"),(wld_signed_certs_result="Excluded"))</formula>
    </cfRule>
  </conditionalFormatting>
  <conditionalFormatting sqref="D458:D461 D20:D27 D33 D35:D36 D38:D40 D42:D52 D54:D66 D68:D78 D80:D93 D96:D99 D101:D114 D116:D129 D131:D132 D151 D153 D155:D161 D169:D172 D174:D189 D194:D195 D197:D203 D205:D211 D213:D219 D221:D227 D232:D253 D265 D267:D282 D285:D288 D291:D293 D296:D298 D303:D332 D337 D340:D341 D344:D354 D359 D361:D376 D378:D393 D395:D411 D415:D429 D433:D437 D441:D443 D447 D451:D454 D465:D470 D474:D475 D479:D486 D490:D500 D504:D508 D512:D551 D555:D558">
    <cfRule type="expression" dxfId="1529" priority="10">
      <formula>mgmt_domain_deployment_type_chosen="VMware vSphere Foundation"</formula>
    </cfRule>
  </conditionalFormatting>
  <conditionalFormatting sqref="D458:D461">
    <cfRule type="notContainsBlanks" dxfId="1528" priority="5">
      <formula>LEN(TRIM(D458))&gt;0</formula>
    </cfRule>
    <cfRule type="expression" dxfId="1526" priority="1341">
      <formula>OR((wld_nsxt_federation_result="Excluded"),(wld_nsxt_federation_chosen="Connect Instance"),(wld_signed_certs_result="Excluded"))</formula>
    </cfRule>
    <cfRule type="containsBlanks" dxfId="1525" priority="3">
      <formula>LEN(TRIM(D458))=0</formula>
    </cfRule>
    <cfRule type="expression" dxfId="1524" priority="2">
      <formula>OR((wld_nsxt_federation_result="Excluded"),(wld_nsxt_federation_chosen="Connect Instance"),(wld_signed_certs_result="Excluded"))</formula>
    </cfRule>
  </conditionalFormatting>
  <conditionalFormatting sqref="D465:D470">
    <cfRule type="expression" dxfId="1523" priority="665">
      <formula>OR((wld_domain_result="Excluded"),(wld_nsxt_federation_result="Excluded"))</formula>
    </cfRule>
  </conditionalFormatting>
  <conditionalFormatting sqref="D467:D468">
    <cfRule type="expression" dxfId="1522" priority="648">
      <formula>wld_domain_result="Excluded"</formula>
    </cfRule>
  </conditionalFormatting>
  <conditionalFormatting sqref="D469:D470">
    <cfRule type="expression" dxfId="1521" priority="708">
      <formula>OR((wld_domain_result="Excluded"),(wld_nsxt_federation_result="Excluded"))</formula>
    </cfRule>
    <cfRule type="expression" dxfId="1520" priority="707">
      <formula>AND(wld_multi_rack_count_result&lt;&gt;"Excluded",wld_dedicated_edge_cluster_chosen_first&lt;&gt;1,wld_dedicated_edge_cluster_chosen_second&lt;&gt;1)</formula>
    </cfRule>
  </conditionalFormatting>
  <conditionalFormatting sqref="D474:D475">
    <cfRule type="expression" dxfId="1519" priority="1055">
      <formula>OR((wld_nsxt_federation_result="Excluded"),(wld_nsxt_federation_chosen&lt;&gt;"Active Global Manager"))</formula>
    </cfRule>
  </conditionalFormatting>
  <conditionalFormatting sqref="D479:D486 D490:D500">
    <cfRule type="expression" dxfId="1518" priority="935">
      <formula>OR((wld_nsxt_federation_result="Excluded"),(wld_nsxt_federation_chosen&lt;&gt;"Standby Global Manager"))</formula>
    </cfRule>
  </conditionalFormatting>
  <conditionalFormatting sqref="D512">
    <cfRule type="expression" dxfId="1517" priority="701">
      <formula>OR((wld_domain_result="Excluded"),(wld_nsxt_federation_result="Excluded"))</formula>
    </cfRule>
    <cfRule type="expression" dxfId="1516" priority="699">
      <formula>wld_domain_result="Excluded"</formula>
    </cfRule>
  </conditionalFormatting>
  <conditionalFormatting sqref="D512:D551">
    <cfRule type="expression" dxfId="1515" priority="41">
      <formula>OR((wld_nsxt_federation_result="Excluded"),(wld_nsxt_federation_chosen="Active Global Manager"))</formula>
    </cfRule>
  </conditionalFormatting>
  <conditionalFormatting sqref="D555:D558">
    <cfRule type="expression" dxfId="1514" priority="887">
      <formula>OR((wld_nsxt_federation_result="Excluded"),(wld_nsxt_federation_chosen="Active Global Manager"))</formula>
    </cfRule>
  </conditionalFormatting>
  <conditionalFormatting sqref="D11:E11 B11">
    <cfRule type="expression" dxfId="1513" priority="183">
      <formula>AND((wld_signed_certs_chosen&lt;&gt;"Exclude"),(wld_signed_certs_result="Excluded"))</formula>
    </cfRule>
  </conditionalFormatting>
  <conditionalFormatting sqref="D11:E11">
    <cfRule type="expression" dxfId="1512" priority="1528">
      <formula>AND((vcf_granular_option_chosen="Full Deployment"),(wld_signed_certs_chosen="Include"),(wld_signed_certs_result="Excluded"))</formula>
    </cfRule>
    <cfRule type="expression" dxfId="1511" priority="1529">
      <formula>AND((wld_signed_certs_chosen="Include"),(wld_signed_certs_result="Included"))</formula>
    </cfRule>
    <cfRule type="expression" dxfId="1510" priority="1487">
      <formula>(wld_signed_certs_chosen="Exclude")</formula>
    </cfRule>
    <cfRule type="expression" dxfId="1509" priority="1488">
      <formula>AND((wld_signed_certs_chosen="Include"),(wld_signed_certs_result="Excluded"))</formula>
    </cfRule>
  </conditionalFormatting>
  <conditionalFormatting sqref="D12:E12">
    <cfRule type="expression" dxfId="1508" priority="1537">
      <formula>(wld_bgp_result="Excluded")</formula>
    </cfRule>
    <cfRule type="expression" dxfId="1507" priority="1539">
      <formula>AND((wld_bgp_chosen&lt;&gt;"Exclude"),(wld_bgp_result="Included"))</formula>
    </cfRule>
  </conditionalFormatting>
  <conditionalFormatting sqref="D14:E14 B14">
    <cfRule type="expression" dxfId="1506" priority="1540">
      <formula>(wld_stretched_cluster_chosen="Exclude")</formula>
    </cfRule>
    <cfRule type="expression" dxfId="1505" priority="1543">
      <formula>AND((wld_stretched_cluster_chosen="Include"),(wld_stretched_cluster_result="Included"))</formula>
    </cfRule>
  </conditionalFormatting>
  <conditionalFormatting sqref="D14:E14">
    <cfRule type="expression" dxfId="1504" priority="1541">
      <formula>AND((wld_stretched_cluster_chosen="Include"),(wld_stretched_cluster_result="Excluded"))</formula>
    </cfRule>
    <cfRule type="expression" dxfId="1503" priority="1544">
      <formula>AND((wld_stretched_cluster_chosen="Include"),(wld_stretched_cluster_result="Included"))</formula>
    </cfRule>
  </conditionalFormatting>
  <conditionalFormatting sqref="D15:E15">
    <cfRule type="expression" dxfId="1502" priority="1526">
      <formula>AND((wld_nsxt_federation_chosen&lt;&gt;"Exclude"),(wld_nsxt_federation_result="Excluded"))</formula>
    </cfRule>
    <cfRule type="expression" dxfId="1501" priority="1527">
      <formula>AND((wld_nsxt_federation_chosen&lt;&gt;"Exclude"),(wld_nsxt_federation_result="Included"))</formula>
    </cfRule>
    <cfRule type="expression" dxfId="1500" priority="1525">
      <formula>(wld_nsxt_federation_chosen="Exclude")</formula>
    </cfRule>
  </conditionalFormatting>
  <conditionalFormatting sqref="E14:E15">
    <cfRule type="containsText" dxfId="1498" priority="1484" operator="containsText" text="Note:">
      <formula>NOT(ISERROR(SEARCH("Note:",E14)))</formula>
    </cfRule>
  </conditionalFormatting>
  <dataValidations count="16">
    <dataValidation type="list" allowBlank="1" showInputMessage="1" showErrorMessage="1" sqref="B15"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B13:B14 D134" xr:uid="{C69FA742-5038-9D45-BD6D-BB0D8DB6294F}">
      <formula1>"Include,Exclude"</formula1>
    </dataValidation>
    <dataValidation type="list" allowBlank="1" showInputMessage="1" showErrorMessage="1" sqref="D104 D95 D119" xr:uid="{1FA25AA4-C7C4-224F-A74A-E18EB0A0D6B9}">
      <formula1>"Unselected,Selected"</formula1>
    </dataValidation>
    <dataValidation type="list" allowBlank="1" showInputMessage="1" showErrorMessage="1" sqref="D98" xr:uid="{F2F55751-BB10-E84F-9AD8-518EAD20263D}">
      <formula1>"BGP,STATIC"</formula1>
    </dataValidation>
    <dataValidation type="list" allowBlank="1" showInputMessage="1" showErrorMessage="1" sqref="D52 D91"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8 D74" xr:uid="{B79D3647-2C48-7E4B-84CE-38073E4D2E1B}">
      <formula1>"DHCP,Static"</formula1>
    </dataValidation>
    <dataValidation type="list" allowBlank="1" showInputMessage="1" showErrorMessage="1" sqref="D59" xr:uid="{D4E60F0F-0F73-3E4E-B263-BF2E7937FF8E}">
      <formula1>"DHCP,IP Pool,Static IP List"</formula1>
    </dataValidation>
    <dataValidation type="list" allowBlank="1" showInputMessage="1" showErrorMessage="1" sqref="D40" xr:uid="{745744E8-9BDB-EF47-909E-01A0278A7BE3}">
      <formula1>"Small,Medium,Large,Extra Large"</formula1>
    </dataValidation>
    <dataValidation type="list" allowBlank="1" showInputMessage="1" showErrorMessage="1" sqref="D153" xr:uid="{223675FF-994A-B14A-A66F-B3D900280D48}">
      <formula1>"Excluded,Small,Medium,Large"</formula1>
    </dataValidation>
    <dataValidation type="list" allowBlank="1" showInputMessage="1" showErrorMessage="1" sqref="D97" xr:uid="{A470D2E1-F581-F74A-B599-24F7809B8FFB}">
      <formula1>"Active Active,Active Standby"</formula1>
    </dataValidation>
    <dataValidation type="list" allowBlank="1" showInputMessage="1" showErrorMessage="1" sqref="D194" xr:uid="{CCAF4F8A-F76A-2842-8C67-E8F0466D0CEA}">
      <formula1>"Re-use an existing VCF Network Pool,Create a new VCF Network Pool"</formula1>
    </dataValidation>
    <dataValidation type="list" allowBlank="1" showInputMessage="1" showErrorMessage="1" sqref="D320" xr:uid="{ADF891B3-FBF5-0544-BC0F-71FC8A0ADD84}">
      <formula1>"Re-use an existing Pool,Create New Static IP Pool"</formula1>
    </dataValidation>
    <dataValidation type="list" allowBlank="1" showInputMessage="1" showErrorMessage="1" sqref="D66 D200 D208 D216 D224" xr:uid="{F6283ECB-5E37-9248-9A2F-1A27ABA84247}">
      <formula1>table_masks</formula1>
    </dataValidation>
    <dataValidation type="list" allowBlank="1" showInputMessage="1" showErrorMessage="1" sqref="D364" xr:uid="{F610C192-E65D-4841-85C4-A947DAA7556F}">
      <formula1>"Small,Medium,Large,X-Large"</formula1>
    </dataValidation>
  </dataValidations>
  <hyperlinks>
    <hyperlink ref="B5" location="'Configure Workload Domain'!navigation_apply_signed_certs_wld_domain" display="Apply Signed Certificates" xr:uid="{00000000-0004-0000-0800-000000000000}"/>
    <hyperlink ref="C5" location="'Configure Workload Domain'!navigation_nsx_routing_wld_domain" display="NSX Network Connectivity for the Workload Domain" xr:uid="{00000000-0004-0000-0800-000001000000}"/>
    <hyperlink ref="D5" location="'Configure Workload Domain'!navigation_avi_lb_wld_domain" display="Deploy AVI Loadbalancer " xr:uid="{00000000-0004-0000-0800-000002000000}"/>
    <hyperlink ref="E5" location="'Configure Workload Domain'!navigation_stretched_cluster_wld_domain" display="Stretched Cluster" xr:uid="{00000000-0004-0000-0800-000003000000}"/>
    <hyperlink ref="B7" location="'Configure Workload Domain'!navigation_nsx_federation_for_wld_domain" display="NSX Federation for Workload Domain" xr:uid="{00000000-0004-0000-0800-000004000000}"/>
    <hyperlink ref="E20" location="'Configure Workload Domain'!navigation_apply_signed_certs_mgmt_domain" display="navigation_apply_signed_certs_mgmt_domain" xr:uid="{00000000-0004-0000-0800-000005000000}"/>
    <hyperlink ref="E43" location="'Deploy Workload Domain'!D163" display="Values are set based on vSphere Cluster configuration in the Deploy Workload Domain Tab. Click to Redirect" xr:uid="{00000000-0004-0000-0800-000006000000}"/>
    <hyperlink ref="E47" location="'Deploy Workload Domain'!D199" display="Values are set based on Datastore configuration in the Deploy Workload Domain Tab. Click to Redirect" xr:uid="{00000000-0004-0000-0800-000007000000}"/>
    <hyperlink ref="E49" location="'Deploy Workload Domain'!D250" display="Must be precreated in vCenter, Value is deterimined based on input in Deploy Workload Domain Tab." xr:uid="{00000000-0004-0000-0800-000008000000}"/>
    <hyperlink ref="E51" location="'Deploy Workload Domain'!D332" display="Value is deterimined based on input in Deploy Workload Domain Tab. Click to Redirect" xr:uid="{00000000-0004-0000-0800-000009000000}"/>
    <hyperlink ref="E69" location="'Deploy Workload Domain'!D163" display="Values are set based on vSphere Cluster configuration in the Deploy Workload Domain Tab. Click to Redirect" xr:uid="{00000000-0004-0000-0800-00000A000000}"/>
    <hyperlink ref="E70" location="'Deploy Workload Domain'!L94" display="Values are set based on vSphere Cluster configuration in the Deploy Workload Domain Tab" xr:uid="{00000000-0004-0000-0800-00000B000000}"/>
    <hyperlink ref="E73" location="'Deploy Workload Domain'!D199" display="Values are set based on Datastore configuration in the Deploy Workload Domain Tab. Click to Redirect" xr:uid="{00000000-0004-0000-0800-00000C000000}"/>
    <hyperlink ref="E75" location="'Deploy Workload Domain'!D250" display="Must be precreated in vCenter, Value is deterimined based on input in Deploy Workload Domain Tab." xr:uid="{00000000-0004-0000-0800-00000D000000}"/>
    <hyperlink ref="E77" location="'Deploy Workload Domain'!D332" display="Value is deterimined based on input in Deploy Workload Domain Tab. Click to Redirect" xr:uid="{00000000-0004-0000-0800-00000E000000}"/>
    <hyperlink ref="E480" location="'VI Workload Domain'!input_wld_nsxt_gm_fingerprint" display="Note: Click this cell to redirect to the location for storing this output" xr:uid="{00000000-0004-0000-0800-00000F000000}"/>
    <hyperlink ref="E491" location="'VI Workload Domain'!input_wld_nsxt_lm_fingerprint" display="Note: Click this cell to redirect to the location for storing this output" xr:uid="{00000000-0004-0000-0800-000010000000}"/>
  </hyperlinks>
  <pageMargins left="0.7" right="0.7" top="0.75" bottom="0.75" header="0.3" footer="0.3"/>
  <pageSetup paperSize="9" orientation="portrait" horizontalDpi="0" verticalDpi="0"/>
  <ignoredErrors>
    <ignoredError sqref="C62"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43" operator="containsText" id="{17D4330D-4A3B-7F45-A84A-0EA101F3B4C0}">
            <xm:f>NOT(ISERROR(SEARCH("Value Missing",D20)))</xm:f>
            <xm:f>"Value Missing"</xm:f>
            <x14:dxf>
              <fill>
                <patternFill>
                  <bgColor rgb="FFFFBE29"/>
                </patternFill>
              </fill>
            </x14:dxf>
          </x14:cfRule>
          <xm: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xm:sqref>
        </x14:conditionalFormatting>
        <x14:conditionalFormatting xmlns:xm="http://schemas.microsoft.com/office/excel/2006/main">
          <x14:cfRule type="containsText" priority="117" stopIfTrue="1" operator="containsText" id="{C98AE17A-A6AF-AC4F-AB86-EC82F8190CF7}">
            <xm:f>NOT(ISERROR(SEARCH("Value Missing",D143)))</xm:f>
            <xm:f>"Value Missing"</xm:f>
            <x14:dxf>
              <font>
                <color rgb="FF0E223A"/>
              </font>
              <fill>
                <patternFill>
                  <bgColor rgb="FFFFBE29"/>
                </patternFill>
              </fill>
            </x14:dxf>
          </x14:cfRule>
          <xm:sqref>D143</xm:sqref>
        </x14:conditionalFormatting>
        <x14:conditionalFormatting xmlns:xm="http://schemas.microsoft.com/office/excel/2006/main">
          <x14:cfRule type="containsText" priority="329" stopIfTrue="1" operator="containsText" id="{0BA8D10D-B6F0-DA4D-AECB-738162EE74F4}">
            <xm:f>NOT(ISERROR(SEARCH("Value Missing",D204)))</xm:f>
            <xm:f>"Value Missing"</xm:f>
            <x14:dxf>
              <font>
                <color rgb="FF0E223A"/>
              </font>
              <fill>
                <patternFill>
                  <bgColor rgb="FFFFBE29"/>
                </patternFill>
              </fill>
            </x14:dxf>
          </x14:cfRule>
          <xm:sqref>D204</xm:sqref>
        </x14:conditionalFormatting>
        <x14:conditionalFormatting xmlns:xm="http://schemas.microsoft.com/office/excel/2006/main">
          <x14:cfRule type="containsText" priority="4" operator="containsText" id="{4D51BEA6-2F87-5A42-92E0-216754F83A07}">
            <xm:f>NOT(ISERROR(SEARCH("Value Missing",D458)))</xm:f>
            <xm:f>"Value Missing"</xm:f>
            <x14:dxf>
              <fill>
                <patternFill>
                  <bgColor rgb="FFFFBE29"/>
                </patternFill>
              </fill>
            </x14:dxf>
          </x14:cfRule>
          <xm:sqref>D458:D461</xm:sqref>
        </x14:conditionalFormatting>
        <x14:conditionalFormatting xmlns:xm="http://schemas.microsoft.com/office/excel/2006/main">
          <x14:cfRule type="containsText" priority="6"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41"/>
  <sheetViews>
    <sheetView showGridLines="0" workbookViewId="0">
      <pane ySplit="4" topLeftCell="A5" activePane="bottomLeft" state="frozen"/>
      <selection pane="bottomLeft" activeCell="D122" sqref="D122"/>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25.83203125" style="2" customWidth="1"/>
    <col min="6" max="13" width="10.83203125" style="8" customWidth="1"/>
    <col min="14" max="16384" width="10.83203125" style="8"/>
  </cols>
  <sheetData>
    <row r="1" spans="1:10" s="2" customFormat="1" ht="16" customHeight="1" x14ac:dyDescent="0.2">
      <c r="A1" s="1"/>
      <c r="F1" s="8"/>
      <c r="G1" s="8"/>
      <c r="H1" s="8"/>
      <c r="I1" s="8"/>
      <c r="J1" s="8"/>
    </row>
    <row r="2" spans="1:10" s="2" customFormat="1" ht="54" customHeight="1" x14ac:dyDescent="0.2">
      <c r="B2" s="550" t="s">
        <v>1158</v>
      </c>
      <c r="C2" s="551"/>
      <c r="D2" s="551"/>
      <c r="E2" s="552"/>
      <c r="F2" s="8"/>
      <c r="G2" s="8"/>
      <c r="H2" s="8"/>
      <c r="I2" s="8"/>
      <c r="J2" s="8"/>
    </row>
    <row r="3" spans="1:10" s="2" customFormat="1" ht="20" customHeight="1" x14ac:dyDescent="0.2">
      <c r="B3" s="553" t="s">
        <v>756</v>
      </c>
      <c r="C3" s="554"/>
      <c r="D3" s="554"/>
      <c r="E3" s="555"/>
      <c r="F3" s="8"/>
      <c r="G3" s="8"/>
      <c r="H3" s="8"/>
      <c r="I3" s="8"/>
      <c r="J3" s="8"/>
    </row>
    <row r="4" spans="1:10" s="2" customFormat="1" x14ac:dyDescent="0.2">
      <c r="B4" s="2" t="s">
        <v>1027</v>
      </c>
      <c r="D4" s="10"/>
      <c r="E4" s="3"/>
      <c r="F4" s="3"/>
    </row>
    <row r="6" spans="1:10" ht="34" customHeight="1" x14ac:dyDescent="0.2">
      <c r="B6" s="377" t="s">
        <v>1159</v>
      </c>
      <c r="C6" s="378"/>
      <c r="D6" s="378"/>
      <c r="E6" s="396"/>
    </row>
    <row r="7" spans="1:10" ht="20" customHeight="1" x14ac:dyDescent="0.2">
      <c r="B7" s="157" t="s">
        <v>1160</v>
      </c>
      <c r="C7" s="158" t="s">
        <v>10</v>
      </c>
      <c r="D7" s="158" t="s">
        <v>11</v>
      </c>
      <c r="E7" s="158" t="s">
        <v>12</v>
      </c>
    </row>
    <row r="8" spans="1:10" ht="20" customHeight="1" x14ac:dyDescent="0.2">
      <c r="B8" s="79" t="s">
        <v>1161</v>
      </c>
      <c r="C8" s="255" t="s">
        <v>1162</v>
      </c>
      <c r="D8" s="256"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257"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20" customHeight="1" x14ac:dyDescent="0.2">
      <c r="A9" s="120"/>
      <c r="B9" s="254" t="s">
        <v>13</v>
      </c>
      <c r="C9" s="255" t="s">
        <v>759</v>
      </c>
      <c r="D9" s="112"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337"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IF(AND(wld_multirack_calc="Include",cluster_multi_rack_count_chosen="Exclude"),"Cause: Number of Additional Racks not selected",
IF(AND(cluster_chosen="Deploy a Multi-Rack Layer 3 Cluster",wld_multirack_calc="Exclude"),"Cause: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20" customHeight="1" x14ac:dyDescent="0.2">
      <c r="B10" s="254" t="s">
        <v>13</v>
      </c>
      <c r="C10" s="362" t="s">
        <v>760</v>
      </c>
      <c r="D10"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337"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20" customHeight="1" x14ac:dyDescent="0.2">
      <c r="B11" s="79" t="s">
        <v>762</v>
      </c>
      <c r="C11" s="255" t="s">
        <v>763</v>
      </c>
      <c r="D11" s="77" t="str">
        <f>IF((cluster_result="Excluded"),"Excluded",
IF(AND(cluster_chosen="Deploy a Multi-Rack Layer 3 Cluster",AND(cluster_principal_storage_chosen&lt;&gt;"vSAN-ESA",cluster_principal_storage_chosen&lt;&gt;"vSAN-OSA",cluster_principal_storage_chosen&lt;&gt;"vSAN Compute Cluster")),"Excluded","Included"))</f>
        <v>Excluded</v>
      </c>
      <c r="E11" s="253"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20" customHeight="1" x14ac:dyDescent="0.2">
      <c r="B12" s="79" t="s">
        <v>13</v>
      </c>
      <c r="C12" s="362" t="s">
        <v>1163</v>
      </c>
      <c r="D12" s="77" t="str">
        <f>IF(mgmt_domain_deployment_type_chosen="VMware vSphere Foundation","Excluded",
IF(OR(AND(cluster_principal_storage_chosen="NFSv3",cluster_secondary_storage_chosen="Secondary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12" t="str">
        <f>IF(mgmt_domain_deployment_type_chosen="VMware vSphere Foundation","Cannot be performed on a VMware vSphere Foundation deployment",
IF(vcf_granular_option_chosen&lt;&gt;"Create Cluster","Option Not Required for current deployment type",
IF(wld_domain_chosen="Import VI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20" customHeight="1" x14ac:dyDescent="0.2">
      <c r="B13" s="79" t="s">
        <v>249</v>
      </c>
      <c r="C13" s="362" t="s">
        <v>764</v>
      </c>
      <c r="D13" s="77" t="str">
        <f>IF((cluster_result="Excluded"),"Excluded","Included")</f>
        <v>Excluded</v>
      </c>
      <c r="E13" s="112"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20" customHeight="1" x14ac:dyDescent="0.2">
      <c r="B14" s="299" t="s">
        <v>13</v>
      </c>
      <c r="C14" s="362" t="s">
        <v>6</v>
      </c>
      <c r="D14" s="247" t="str">
        <f>IF(cluster_chosen="Deploy a Multi-Rack Layer 3 Cluster","Excluded",
IF(cluster_stretched_cluster_chosen="Exclude","Excluded","Included"))</f>
        <v>Excluded</v>
      </c>
      <c r="E14" s="274"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6" customHeight="1" x14ac:dyDescent="0.2"/>
    <row r="16" spans="1:10" ht="34" customHeight="1" x14ac:dyDescent="0.2">
      <c r="B16" s="522" t="s">
        <v>769</v>
      </c>
      <c r="C16" s="523"/>
      <c r="D16" s="523"/>
      <c r="E16" s="524"/>
    </row>
    <row r="17" spans="2:5" ht="20" customHeight="1" x14ac:dyDescent="0.2">
      <c r="B17" s="346" t="s">
        <v>17</v>
      </c>
      <c r="C17" s="346" t="s">
        <v>18</v>
      </c>
      <c r="D17" s="346" t="s">
        <v>19</v>
      </c>
      <c r="E17" s="346" t="s">
        <v>20</v>
      </c>
    </row>
    <row r="18" spans="2:5" ht="20" customHeight="1" x14ac:dyDescent="0.2">
      <c r="B18" s="492" t="s">
        <v>606</v>
      </c>
      <c r="C18" s="493"/>
      <c r="D18" s="493"/>
      <c r="E18" s="494"/>
    </row>
    <row r="19" spans="2:5" ht="20" customHeight="1" x14ac:dyDescent="0.2">
      <c r="B19" s="4" t="s">
        <v>261</v>
      </c>
      <c r="C19" s="80" t="str">
        <f>IF(cluster_wld_domain_chosen="VI 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sfo-w01</v>
      </c>
      <c r="D19" s="347"/>
      <c r="E19" s="93"/>
    </row>
    <row r="20" spans="2:5" ht="16" customHeight="1" x14ac:dyDescent="0.2"/>
    <row r="21" spans="2:5" ht="34" customHeight="1" x14ac:dyDescent="0.2">
      <c r="B21" s="522" t="s">
        <v>802</v>
      </c>
      <c r="C21" s="523"/>
      <c r="D21" s="523"/>
      <c r="E21" s="524"/>
    </row>
    <row r="22" spans="2:5" ht="20" customHeight="1" x14ac:dyDescent="0.2">
      <c r="B22" s="346" t="s">
        <v>17</v>
      </c>
      <c r="C22" s="346" t="s">
        <v>18</v>
      </c>
      <c r="D22" s="346" t="s">
        <v>19</v>
      </c>
      <c r="E22" s="346" t="s">
        <v>20</v>
      </c>
    </row>
    <row r="23" spans="2:5" ht="20" customHeight="1" x14ac:dyDescent="0.2">
      <c r="B23" s="492" t="s">
        <v>213</v>
      </c>
      <c r="C23" s="493"/>
      <c r="D23" s="493"/>
      <c r="E23" s="494"/>
    </row>
    <row r="24" spans="2:5" ht="20" customHeight="1" x14ac:dyDescent="0.2">
      <c r="B24" s="4" t="s">
        <v>85</v>
      </c>
      <c r="C24" s="80" t="str">
        <f>IF(cluster_wld_domain_chosen="VI Workload Domain",CONCATENATE(prefix_wld_az1_vlan,"11"),CONCATENATE(prefix_mgmt_az1_vlan,"11"))</f>
        <v>1311</v>
      </c>
      <c r="D24" s="347"/>
      <c r="E24" s="93"/>
    </row>
    <row r="25" spans="2:5" ht="20" customHeight="1" x14ac:dyDescent="0.2">
      <c r="B25" s="4" t="s">
        <v>187</v>
      </c>
      <c r="C25" s="80" t="str">
        <f>IF(cluster_wld_domain_chosen="VI Workload Domain",CONCATENATE(prefix_wld_az1_cidr,"11.1"),CONCATENATE(prefix_mgmt_az1_cidr,"11.1"))</f>
        <v>10.13.11.1</v>
      </c>
      <c r="D25" s="347"/>
      <c r="E25" s="337"/>
    </row>
    <row r="26" spans="2:5" ht="20" customHeight="1" x14ac:dyDescent="0.2">
      <c r="B26" s="4" t="s">
        <v>188</v>
      </c>
      <c r="C26" s="80" t="str">
        <f>IF(cluster_wld_domain_chosen="VI Workload Domain",CONCATENATE(prefix_wld_az1_cidr,"11.0/24"),CONCATENATE(prefix_mgmt_az1_cidr,"11.0/24"))</f>
        <v>10.13.11.0/24</v>
      </c>
      <c r="D26" s="347"/>
      <c r="E26" s="337"/>
    </row>
    <row r="27" spans="2:5" ht="20" customHeight="1" x14ac:dyDescent="0.2">
      <c r="B27" s="4" t="s">
        <v>160</v>
      </c>
      <c r="C27" s="80">
        <v>1500</v>
      </c>
      <c r="D27" s="347"/>
      <c r="E27" s="337"/>
    </row>
    <row r="28" spans="2:5" ht="20" customHeight="1" x14ac:dyDescent="0.2">
      <c r="B28" s="535" t="s">
        <v>214</v>
      </c>
      <c r="C28" s="536"/>
      <c r="D28" s="536"/>
      <c r="E28" s="537"/>
    </row>
    <row r="29" spans="2:5" ht="20" customHeight="1" x14ac:dyDescent="0.2">
      <c r="B29" s="17" t="s">
        <v>215</v>
      </c>
      <c r="C29" s="89" t="str">
        <f>IF(cluster_wld_domain_chosen="VI Workload Domain",CONCATENATE(prefix_wld_az1_cidr,"11.101"),CONCATENATE(prefix_mgmt_az1_cidr,"11.101"))</f>
        <v>10.13.11.101</v>
      </c>
      <c r="D29" s="347"/>
      <c r="E29" s="132" t="s">
        <v>216</v>
      </c>
    </row>
    <row r="30" spans="2:5" ht="20" customHeight="1" x14ac:dyDescent="0.2">
      <c r="B30" s="17" t="s">
        <v>217</v>
      </c>
      <c r="C30" s="89" t="str">
        <f>IF(cluster_wld_domain_chosen="VI Workload Domain",CONCATENATE(prefix_wld_az1_cidr,"11.102"),CONCATENATE(prefix_mgmt_az1_cidr,"11.102"))</f>
        <v>10.13.11.102</v>
      </c>
      <c r="D30" s="347"/>
      <c r="E30" s="132" t="s">
        <v>218</v>
      </c>
    </row>
    <row r="31" spans="2:5" ht="20" customHeight="1" x14ac:dyDescent="0.2">
      <c r="B31" s="17" t="s">
        <v>219</v>
      </c>
      <c r="C31" s="89" t="str">
        <f>IF(cluster_wld_domain_chosen="VI Workload Domain",CONCATENATE(prefix_wld_az1_cidr,"11.103"),CONCATENATE(prefix_mgmt_az1_cidr,"11.103"))</f>
        <v>10.13.11.103</v>
      </c>
      <c r="D31" s="347"/>
      <c r="E31" s="132" t="s">
        <v>220</v>
      </c>
    </row>
    <row r="32" spans="2:5" ht="20" customHeight="1" x14ac:dyDescent="0.2">
      <c r="B32" s="17" t="s">
        <v>221</v>
      </c>
      <c r="C32" s="89" t="str">
        <f>IF(cluster_wld_domain_chosen="VI Workload Domain",CONCATENATE(prefix_wld_az1_cidr,"11.104"),CONCATENATE(prefix_mgmt_az1_cidr,"11.104"))</f>
        <v>10.13.11.104</v>
      </c>
      <c r="D32" s="347"/>
      <c r="E32" s="132" t="s">
        <v>222</v>
      </c>
    </row>
    <row r="33" spans="2:5" ht="20" customHeight="1" x14ac:dyDescent="0.2">
      <c r="B33" s="17" t="s">
        <v>223</v>
      </c>
      <c r="C33" s="89" t="str">
        <f>IF(cluster_wld_domain_chosen="VI Workload Domain",CONCATENATE(prefix_wld_az1_cidr,"11.105"),CONCATENATE(prefix_mgmt_az1_cidr,"11.105"))</f>
        <v>10.13.11.105</v>
      </c>
      <c r="D33" s="347"/>
      <c r="E33" s="132" t="s">
        <v>224</v>
      </c>
    </row>
    <row r="34" spans="2:5" ht="20" customHeight="1" x14ac:dyDescent="0.2">
      <c r="B34" s="17" t="s">
        <v>225</v>
      </c>
      <c r="C34" s="89" t="str">
        <f>IF(cluster_wld_domain_chosen="VI Workload Domain",CONCATENATE(prefix_wld_az1_cidr,"11.106"),CONCATENATE(prefix_mgmt_az1_cidr,"11.106"))</f>
        <v>10.13.11.106</v>
      </c>
      <c r="D34" s="347"/>
      <c r="E34" s="132" t="s">
        <v>226</v>
      </c>
    </row>
    <row r="35" spans="2:5" ht="20" customHeight="1" x14ac:dyDescent="0.2">
      <c r="B35" s="17" t="s">
        <v>227</v>
      </c>
      <c r="C35" s="89" t="str">
        <f>IF(cluster_wld_domain_chosen="VI Workload Domain",CONCATENATE(prefix_wld_az1_cidr,"11.107"),CONCATENATE(prefix_mgmt_az1_cidr,"11.107"))</f>
        <v>10.13.11.107</v>
      </c>
      <c r="D35" s="347"/>
      <c r="E35" s="132" t="s">
        <v>228</v>
      </c>
    </row>
    <row r="36" spans="2:5" ht="20" customHeight="1" x14ac:dyDescent="0.2">
      <c r="B36" s="17" t="s">
        <v>229</v>
      </c>
      <c r="C36" s="89" t="str">
        <f>IF(cluster_wld_domain_chosen="VI Workload Domain",CONCATENATE(prefix_wld_az1_cidr,"11.108"),CONCATENATE(prefix_mgmt_az1_cidr,"11.108"))</f>
        <v>10.13.11.108</v>
      </c>
      <c r="D36" s="347"/>
      <c r="E36" s="132" t="s">
        <v>230</v>
      </c>
    </row>
    <row r="37" spans="2:5" ht="20" customHeight="1" x14ac:dyDescent="0.2">
      <c r="B37" s="17" t="s">
        <v>231</v>
      </c>
      <c r="C37" s="89" t="str">
        <f>IF(cluster_wld_domain_chosen="VI Workload Domain",CONCATENATE(prefix_wld_az1_cidr,"11.109"),CONCATENATE(prefix_mgmt_az1_cidr,"11.109"))</f>
        <v>10.13.11.109</v>
      </c>
      <c r="D37" s="347"/>
      <c r="E37" s="132" t="s">
        <v>232</v>
      </c>
    </row>
    <row r="38" spans="2:5" ht="20" customHeight="1" x14ac:dyDescent="0.2">
      <c r="B38" s="17" t="s">
        <v>233</v>
      </c>
      <c r="C38" s="89" t="str">
        <f>IF(cluster_wld_domain_chosen="VI Workload Domain",CONCATENATE(prefix_wld_az1_cidr,"11.110"),CONCATENATE(prefix_mgmt_az1_cidr,"11.110"))</f>
        <v>10.13.11.110</v>
      </c>
      <c r="D38" s="347"/>
      <c r="E38" s="132" t="s">
        <v>234</v>
      </c>
    </row>
    <row r="39" spans="2:5" ht="20" customHeight="1" x14ac:dyDescent="0.2">
      <c r="B39" s="17" t="s">
        <v>235</v>
      </c>
      <c r="C39" s="89" t="str">
        <f>IF(cluster_wld_domain_chosen="VI Workload Domain",CONCATENATE(prefix_wld_az1_cidr,"11.111"),CONCATENATE(prefix_mgmt_az1_cidr,"11.111"))</f>
        <v>10.13.11.111</v>
      </c>
      <c r="D39" s="347"/>
      <c r="E39" s="132" t="s">
        <v>236</v>
      </c>
    </row>
    <row r="40" spans="2:5" ht="20" customHeight="1" x14ac:dyDescent="0.2">
      <c r="B40" s="17" t="s">
        <v>237</v>
      </c>
      <c r="C40" s="89" t="str">
        <f>IF(cluster_wld_domain_chosen="VI Workload Domain",CONCATENATE(prefix_wld_az1_cidr,"11.112"),CONCATENATE(prefix_mgmt_az1_cidr,"11.112"))</f>
        <v>10.13.11.112</v>
      </c>
      <c r="D40" s="347"/>
      <c r="E40" s="132" t="s">
        <v>238</v>
      </c>
    </row>
    <row r="41" spans="2:5" ht="20" customHeight="1" x14ac:dyDescent="0.2">
      <c r="B41" s="17" t="s">
        <v>239</v>
      </c>
      <c r="C41" s="89" t="str">
        <f>IF(cluster_wld_domain_chosen="VI Workload Domain",CONCATENATE(prefix_wld_az1_cidr,"11.113"),CONCATENATE(prefix_mgmt_az1_cidr,"11.113"))</f>
        <v>10.13.11.113</v>
      </c>
      <c r="D41" s="347"/>
      <c r="E41" s="132" t="s">
        <v>240</v>
      </c>
    </row>
    <row r="42" spans="2:5" ht="20" customHeight="1" x14ac:dyDescent="0.2">
      <c r="B42" s="17" t="s">
        <v>241</v>
      </c>
      <c r="C42" s="89" t="str">
        <f>IF(cluster_wld_domain_chosen="VI Workload Domain",CONCATENATE(prefix_wld_az1_cidr,"11.114"),CONCATENATE(prefix_mgmt_az1_cidr,"11.114"))</f>
        <v>10.13.11.114</v>
      </c>
      <c r="D42" s="347"/>
      <c r="E42" s="132" t="s">
        <v>242</v>
      </c>
    </row>
    <row r="43" spans="2:5" ht="20" customHeight="1" x14ac:dyDescent="0.2">
      <c r="B43" s="17" t="s">
        <v>243</v>
      </c>
      <c r="C43" s="89" t="str">
        <f>IF(cluster_wld_domain_chosen="VI Workload Domain",CONCATENATE(prefix_wld_az1_cidr,"11.115"),CONCATENATE(prefix_mgmt_az1_cidr,"11.115"))</f>
        <v>10.13.11.115</v>
      </c>
      <c r="D43" s="347"/>
      <c r="E43" s="132" t="s">
        <v>244</v>
      </c>
    </row>
    <row r="44" spans="2:5" ht="20" customHeight="1" x14ac:dyDescent="0.2">
      <c r="B44" s="17" t="s">
        <v>245</v>
      </c>
      <c r="C44" s="89" t="str">
        <f>IF(cluster_wld_domain_chosen="VI Workload Domain",CONCATENATE(prefix_wld_az1_cidr,"11.116"),CONCATENATE(prefix_mgmt_az1_cidr,"11.116"))</f>
        <v>10.13.11.116</v>
      </c>
      <c r="D44" s="347"/>
      <c r="E44" s="132" t="s">
        <v>246</v>
      </c>
    </row>
    <row r="45" spans="2:5" ht="16" customHeight="1" x14ac:dyDescent="0.2"/>
    <row r="46" spans="2:5" ht="34" customHeight="1" x14ac:dyDescent="0.2">
      <c r="B46" s="522" t="str">
        <f>IF(cluster_az1_reuse_vcf_networkpool_result="Excluded","Create Network Pool","Current Network Pool")</f>
        <v>Create Network Pool</v>
      </c>
      <c r="C46" s="523"/>
      <c r="D46" s="523"/>
      <c r="E46" s="524"/>
    </row>
    <row r="47" spans="2:5" ht="20" customHeight="1" x14ac:dyDescent="0.2">
      <c r="B47" s="346" t="s">
        <v>17</v>
      </c>
      <c r="C47" s="346" t="s">
        <v>18</v>
      </c>
      <c r="D47" s="346" t="s">
        <v>19</v>
      </c>
      <c r="E47" s="346" t="s">
        <v>20</v>
      </c>
    </row>
    <row r="48" spans="2:5" ht="20" customHeight="1" x14ac:dyDescent="0.2">
      <c r="B48" s="17" t="s">
        <v>250</v>
      </c>
      <c r="C48" s="80" t="str">
        <f>IF(cluster_wld_domain_chosen="VI Workload Domain",CONCATENATE(this_instance,"01-w0",wld_domain_number_chosen,"-r01-network-pool-01"),CONCATENATE(this_instance,"01-m01","-r01-network-pool-01"))</f>
        <v>sfo01-w01-r01-network-pool-01</v>
      </c>
      <c r="D48" s="347"/>
      <c r="E48" s="337"/>
    </row>
    <row r="49" spans="2:5" ht="20" customHeight="1" x14ac:dyDescent="0.2">
      <c r="B49" s="492" t="s">
        <v>251</v>
      </c>
      <c r="C49" s="493"/>
      <c r="D49" s="493"/>
      <c r="E49" s="494"/>
    </row>
    <row r="50" spans="2:5" ht="20" customHeight="1" x14ac:dyDescent="0.2">
      <c r="B50" s="4" t="s">
        <v>85</v>
      </c>
      <c r="C50" s="80" t="str">
        <f>IF(cluster_wld_domain_chosen="VI Workload Domain",CONCATENATE(prefix_wld_az1_vlan,"12"),CONCATENATE(prefix_mgmt_az1_vlan,"12"))</f>
        <v>1312</v>
      </c>
      <c r="D50" s="347"/>
      <c r="E50" s="93"/>
    </row>
    <row r="51" spans="2:5" ht="20" customHeight="1" x14ac:dyDescent="0.2">
      <c r="B51" s="4" t="s">
        <v>160</v>
      </c>
      <c r="C51" s="80">
        <v>9000</v>
      </c>
      <c r="D51" s="347"/>
      <c r="E51" s="337"/>
    </row>
    <row r="52" spans="2:5" ht="20" customHeight="1" x14ac:dyDescent="0.2">
      <c r="B52" s="4" t="s">
        <v>188</v>
      </c>
      <c r="C52" s="80" t="str">
        <f>IF(cluster_wld_domain_chosen="VI Workload Domain",CONCATENATE(prefix_wld_az1_cidr,"12.0"),CONCATENATE(prefix_mgmt_az1_cidr,"12.0"))</f>
        <v>10.13.12.0</v>
      </c>
      <c r="D52" s="347"/>
      <c r="E52" s="337"/>
    </row>
    <row r="53" spans="2:5" ht="20" customHeight="1" x14ac:dyDescent="0.2">
      <c r="B53" s="4" t="s">
        <v>285</v>
      </c>
      <c r="C53" s="80" t="s">
        <v>128</v>
      </c>
      <c r="D53" s="347"/>
      <c r="E53" s="337"/>
    </row>
    <row r="54" spans="2:5" ht="20" customHeight="1" x14ac:dyDescent="0.2">
      <c r="B54" s="4" t="s">
        <v>187</v>
      </c>
      <c r="C54" s="80" t="str">
        <f>IF(cluster_wld_domain_chosen="VI Workload Domain",CONCATENATE(prefix_wld_az1_cidr,"12.1"),CONCATENATE(prefix_mgmt_az1_cidr,"12.1"))</f>
        <v>10.13.12.1</v>
      </c>
      <c r="D54" s="347"/>
      <c r="E54" s="337"/>
    </row>
    <row r="55" spans="2:5" ht="20" customHeight="1" x14ac:dyDescent="0.2">
      <c r="B55" s="17" t="s">
        <v>255</v>
      </c>
      <c r="C55" s="80" t="str">
        <f>IF(cluster_wld_domain_chosen="VI Workload Domain",CONCATENATE(prefix_wld_az1_cidr,"12.101"),CONCATENATE(prefix_mgmt_az1_cidr,"12.101"))</f>
        <v>10.13.12.101</v>
      </c>
      <c r="D55" s="347"/>
      <c r="E55" s="337"/>
    </row>
    <row r="56" spans="2:5" ht="20" customHeight="1" x14ac:dyDescent="0.2">
      <c r="B56" s="17" t="s">
        <v>256</v>
      </c>
      <c r="C56" s="80" t="str">
        <f>IF(cluster_wld_domain_chosen="VI Workload Domain",CONCATENATE(prefix_wld_az1_cidr,"12.116"),CONCATENATE(prefix_mgmt_az1_cidr,"12.116"))</f>
        <v>10.13.12.116</v>
      </c>
      <c r="D56" s="347"/>
      <c r="E56" s="337"/>
    </row>
    <row r="57" spans="2:5" ht="20" customHeight="1" x14ac:dyDescent="0.2">
      <c r="B57" s="492" t="str">
        <f>IF(cluster_principal_storage_chosen="NFSv3","NFS Network","vSAN Network")</f>
        <v>vSAN Network</v>
      </c>
      <c r="C57" s="493"/>
      <c r="D57" s="493"/>
      <c r="E57" s="494"/>
    </row>
    <row r="58" spans="2:5" ht="20" customHeight="1" x14ac:dyDescent="0.2">
      <c r="B58" s="4" t="s">
        <v>85</v>
      </c>
      <c r="C58" s="80" t="str">
        <f>IF(cluster_wld_domain_chosen="VI Workload Domain",CONCATENATE(prefix_wld_az1_vlan,"13"),CONCATENATE(prefix_mgmt_az1_vlan,"13"))</f>
        <v>1313</v>
      </c>
      <c r="D58" s="148"/>
      <c r="E58" s="337"/>
    </row>
    <row r="59" spans="2:5" ht="20" customHeight="1" x14ac:dyDescent="0.2">
      <c r="B59" s="4" t="s">
        <v>160</v>
      </c>
      <c r="C59" s="80">
        <v>9000</v>
      </c>
      <c r="D59" s="347"/>
      <c r="E59" s="337"/>
    </row>
    <row r="60" spans="2:5" ht="20" customHeight="1" x14ac:dyDescent="0.2">
      <c r="B60" s="4" t="s">
        <v>188</v>
      </c>
      <c r="C60" s="80" t="str">
        <f>IF(cluster_wld_domain_chosen="VI Workload Domain",CONCATENATE(prefix_wld_az1_cidr,"13.0"),CONCATENATE(prefix_mgmt_az1_cidr,"13.0"))</f>
        <v>10.13.13.0</v>
      </c>
      <c r="D60" s="347"/>
      <c r="E60" s="345"/>
    </row>
    <row r="61" spans="2:5" ht="20" customHeight="1" x14ac:dyDescent="0.2">
      <c r="B61" s="4" t="s">
        <v>285</v>
      </c>
      <c r="C61" s="80" t="s">
        <v>128</v>
      </c>
      <c r="D61" s="347"/>
      <c r="E61" s="337"/>
    </row>
    <row r="62" spans="2:5" ht="20" customHeight="1" x14ac:dyDescent="0.2">
      <c r="B62" s="4" t="s">
        <v>187</v>
      </c>
      <c r="C62" s="80" t="str">
        <f>IF(cluster_wld_domain_chosen="VI Workload Domain",CONCATENATE(prefix_wld_az1_cidr,"13.1"),CONCATENATE(prefix_mgmt_az1_cidr,"13.1"))</f>
        <v>10.13.13.1</v>
      </c>
      <c r="D62" s="347"/>
      <c r="E62" s="337" t="str">
        <f>IF(AND(mgmt_stretched_cluster_result="Included",mgmt_dpg_reuse_result="Excluded"),"Stretched L2","")</f>
        <v/>
      </c>
    </row>
    <row r="63" spans="2:5" ht="20" customHeight="1" x14ac:dyDescent="0.2">
      <c r="B63" s="17" t="s">
        <v>255</v>
      </c>
      <c r="C63" s="80" t="str">
        <f>IF(cluster_wld_domain_chosen="VI Workload Domain",CONCATENATE(prefix_wld_az1_cidr,"13.101"),CONCATENATE(prefix_mgmt_az1_cidr,"13.101"))</f>
        <v>10.13.13.101</v>
      </c>
      <c r="D63" s="347"/>
      <c r="E63" s="345"/>
    </row>
    <row r="64" spans="2:5" ht="20" customHeight="1" x14ac:dyDescent="0.2">
      <c r="B64" s="17" t="s">
        <v>256</v>
      </c>
      <c r="C64" s="80" t="str">
        <f>IF(cluster_wld_domain_chosen="VI Workload Domain",CONCATENATE(prefix_wld_az1_cidr,"13.116"),CONCATENATE(prefix_mgmt_az1_cidr,"13.116"))</f>
        <v>10.13.13.116</v>
      </c>
      <c r="D64" s="347"/>
      <c r="E64" s="345"/>
    </row>
    <row r="65" spans="2:5" ht="20" customHeight="1" x14ac:dyDescent="0.2">
      <c r="B65" s="492" t="str">
        <f>IF(cluster_secondary_storage_chosen="Secondary NFS Storage Network","NFS Storage Network","vSAN Storage Client")</f>
        <v>vSAN Storage Client</v>
      </c>
      <c r="C65" s="493"/>
      <c r="D65" s="493"/>
      <c r="E65" s="494"/>
    </row>
    <row r="66" spans="2:5" ht="20" customHeight="1" x14ac:dyDescent="0.2">
      <c r="B66" s="4" t="s">
        <v>85</v>
      </c>
      <c r="C66" s="80" t="str">
        <f>IF(cluster_wld_domain_chosen="VI Workload Domain",CONCATENATE(prefix_wld_az1_vlan,"15"),CONCATENATE(prefix_mgmt_az1_vlan,"15"))</f>
        <v>1315</v>
      </c>
      <c r="D66" s="347"/>
      <c r="E66" s="337"/>
    </row>
    <row r="67" spans="2:5" ht="20" customHeight="1" x14ac:dyDescent="0.2">
      <c r="B67" s="4" t="s">
        <v>160</v>
      </c>
      <c r="C67" s="80">
        <v>9000</v>
      </c>
      <c r="D67" s="347"/>
      <c r="E67" s="345"/>
    </row>
    <row r="68" spans="2:5" ht="20" customHeight="1" x14ac:dyDescent="0.2">
      <c r="B68" s="4" t="s">
        <v>188</v>
      </c>
      <c r="C68" s="80" t="str">
        <f>IF(cluster_wld_domain_chosen="VI Workload Domain",CONCATENATE(prefix_wld_az1_cidr,"15.0"),CONCATENATE(prefix_mgmt_az1_cidr,"15.0"))</f>
        <v>10.13.15.0</v>
      </c>
      <c r="D68" s="347"/>
      <c r="E68" s="337"/>
    </row>
    <row r="69" spans="2:5" ht="20" customHeight="1" x14ac:dyDescent="0.2">
      <c r="B69" s="4" t="s">
        <v>285</v>
      </c>
      <c r="C69" s="80" t="s">
        <v>128</v>
      </c>
      <c r="D69" s="347"/>
      <c r="E69" s="337"/>
    </row>
    <row r="70" spans="2:5" ht="20" customHeight="1" x14ac:dyDescent="0.2">
      <c r="B70" s="4" t="s">
        <v>187</v>
      </c>
      <c r="C70" s="80" t="str">
        <f>IF(cluster_wld_domain_chosen="VI Workload Domain",CONCATENATE(prefix_wld_az1_cidr,"15.1"),CONCATENATE(prefix_mgmt_az1_cidr,"15.1"))</f>
        <v>10.13.15.1</v>
      </c>
      <c r="D70" s="347"/>
      <c r="E70" s="337" t="str">
        <f>IF(AND(mgmt_stretched_cluster_result="Included",mgmt_dpg_reuse_result="Excluded"),"Stretched L2","")</f>
        <v/>
      </c>
    </row>
    <row r="71" spans="2:5" ht="20" customHeight="1" x14ac:dyDescent="0.2">
      <c r="B71" s="17" t="s">
        <v>255</v>
      </c>
      <c r="C71" s="80" t="str">
        <f>IF(cluster_wld_domain_chosen="VI Workload Domain",CONCATENATE(prefix_wld_az1_cidr,"15.101"),CONCATENATE(prefix_mgmt_az1_cidr,"15.101"))</f>
        <v>10.13.15.101</v>
      </c>
      <c r="D71" s="347"/>
      <c r="E71" s="345"/>
    </row>
    <row r="72" spans="2:5" ht="20" customHeight="1" x14ac:dyDescent="0.2">
      <c r="B72" s="17" t="s">
        <v>256</v>
      </c>
      <c r="C72" s="80" t="str">
        <f>IF(cluster_wld_domain_chosen="VI Workload Domain",CONCATENATE(prefix_wld_az1_cidr,"15.116"),CONCATENATE(prefix_mgmt_az1_cidr,"15.116"))</f>
        <v>10.13.15.116</v>
      </c>
      <c r="D72" s="347"/>
      <c r="E72" s="345"/>
    </row>
    <row r="73" spans="2:5" ht="20" customHeight="1" x14ac:dyDescent="0.2">
      <c r="B73" s="492" t="s">
        <v>805</v>
      </c>
      <c r="C73" s="493"/>
      <c r="D73" s="493"/>
      <c r="E73" s="494"/>
    </row>
    <row r="74" spans="2:5" ht="20" customHeight="1" x14ac:dyDescent="0.2">
      <c r="B74" s="4" t="s">
        <v>85</v>
      </c>
      <c r="C74" s="80" t="str">
        <f>IF(cluster_wld_domain_chosen="VI Workload Domain",CONCATENATE(prefix_wld_az1_vlan,"16"),CONCATENATE(prefix_mgmt_az1_vlan,"16"))</f>
        <v>1316</v>
      </c>
      <c r="D74" s="347"/>
      <c r="E74" s="337"/>
    </row>
    <row r="75" spans="2:5" ht="20" customHeight="1" x14ac:dyDescent="0.2">
      <c r="B75" s="4" t="s">
        <v>160</v>
      </c>
      <c r="C75" s="80">
        <v>9000</v>
      </c>
      <c r="D75" s="347"/>
      <c r="E75" s="345"/>
    </row>
    <row r="76" spans="2:5" ht="20" customHeight="1" x14ac:dyDescent="0.2">
      <c r="B76" s="4" t="s">
        <v>188</v>
      </c>
      <c r="C76" s="80" t="str">
        <f>IF(cluster_wld_domain_chosen="VI Workload Domain",CONCATENATE(prefix_wld_az1_cidr,"16.0"),CONCATENATE(prefix_mgmt_az1_cidr,"16.0"))</f>
        <v>10.13.16.0</v>
      </c>
      <c r="D76" s="347"/>
      <c r="E76" s="337"/>
    </row>
    <row r="77" spans="2:5" ht="20" customHeight="1" x14ac:dyDescent="0.2">
      <c r="B77" s="4" t="s">
        <v>285</v>
      </c>
      <c r="C77" s="80" t="s">
        <v>128</v>
      </c>
      <c r="D77" s="347"/>
      <c r="E77" s="337"/>
    </row>
    <row r="78" spans="2:5" ht="20" customHeight="1" x14ac:dyDescent="0.2">
      <c r="B78" s="4" t="s">
        <v>187</v>
      </c>
      <c r="C78" s="80" t="str">
        <f>IF(cluster_wld_domain_chosen="VI Workload Domain",CONCATENATE(prefix_wld_az1_cidr,"16.1"),CONCATENATE(prefix_mgmt_az1_cidr,"16.1"))</f>
        <v>10.13.16.1</v>
      </c>
      <c r="D78" s="347"/>
      <c r="E78" s="337" t="str">
        <f>IF(AND(mgmt_stretched_cluster_result="Included",mgmt_dpg_reuse_result="Excluded"),"Stretched L2","")</f>
        <v/>
      </c>
    </row>
    <row r="79" spans="2:5" ht="20" customHeight="1" x14ac:dyDescent="0.2">
      <c r="B79" s="17" t="s">
        <v>255</v>
      </c>
      <c r="C79" s="80" t="str">
        <f>IF(cluster_wld_domain_chosen="VI Workload Domain",CONCATENATE(prefix_wld_az1_cidr,"16.101"),CONCATENATE(prefix_mgmt_az1_cidr,"16.101"))</f>
        <v>10.13.16.101</v>
      </c>
      <c r="D79" s="347"/>
      <c r="E79" s="345"/>
    </row>
    <row r="80" spans="2:5" ht="20" customHeight="1" x14ac:dyDescent="0.2">
      <c r="B80" s="17" t="s">
        <v>256</v>
      </c>
      <c r="C80" s="80" t="str">
        <f>IF(cluster_wld_domain_chosen="VI Workload Domain",CONCATENATE(prefix_wld_az1_cidr,"16.116"),CONCATENATE(prefix_mgmt_az1_cidr,"16.116"))</f>
        <v>10.13.16.116</v>
      </c>
      <c r="D80" s="347"/>
      <c r="E80" s="345"/>
    </row>
    <row r="81" spans="2:5" ht="16" customHeight="1" x14ac:dyDescent="0.2"/>
    <row r="82" spans="2:5" ht="34" customHeight="1" x14ac:dyDescent="0.2">
      <c r="B82" s="522" t="s">
        <v>806</v>
      </c>
      <c r="C82" s="523"/>
      <c r="D82" s="523"/>
      <c r="E82" s="524"/>
    </row>
    <row r="83" spans="2:5" ht="20" customHeight="1" x14ac:dyDescent="0.2">
      <c r="B83" s="346" t="s">
        <v>17</v>
      </c>
      <c r="C83" s="346" t="s">
        <v>18</v>
      </c>
      <c r="D83" s="346" t="s">
        <v>19</v>
      </c>
      <c r="E83" s="346" t="s">
        <v>20</v>
      </c>
    </row>
    <row r="84" spans="2:5" ht="20" customHeight="1" x14ac:dyDescent="0.2">
      <c r="B84" s="17" t="s">
        <v>215</v>
      </c>
      <c r="C84" s="89" t="str">
        <f>IF(cluster_wld_domain_chosen="VI Workload Domain",CONCATENATE(this_instance,"01-w0",wld_domain_number_chosen,"-r01-esx01",".",sample_child_dns_zone),CONCATENATE(this_instance,"01-m01","-r01-esx01",".",sample_child_dns_zone))</f>
        <v>sfo01-w01-r01-esx01.sfo.rainpole.io</v>
      </c>
      <c r="D84" s="347"/>
      <c r="E84" s="337"/>
    </row>
    <row r="85" spans="2:5" ht="20" customHeight="1" x14ac:dyDescent="0.2">
      <c r="B85" s="17" t="s">
        <v>217</v>
      </c>
      <c r="C85" s="89" t="str">
        <f>IF(cluster_wld_domain_chosen="VI Workload Domain",CONCATENATE(this_instance,"01-w0",wld_domain_number_chosen,"-r01-esx02",".",sample_child_dns_zone),CONCATENATE(this_instance,"01-m01","-r01-esx02",".",sample_child_dns_zone))</f>
        <v>sfo01-w01-r01-esx02.sfo.rainpole.io</v>
      </c>
      <c r="D85" s="347"/>
      <c r="E85" s="337"/>
    </row>
    <row r="86" spans="2:5" ht="20" customHeight="1" x14ac:dyDescent="0.2">
      <c r="B86" s="17" t="s">
        <v>219</v>
      </c>
      <c r="C86" s="89" t="str">
        <f>IF(cluster_wld_domain_chosen="VI Workload Domain",CONCATENATE(this_instance,"01-w0",wld_domain_number_chosen,"-r01-esx03",".",sample_child_dns_zone),CONCATENATE(this_instance,"01-m01","-r01-esx03",".",sample_child_dns_zone))</f>
        <v>sfo01-w01-r01-esx03.sfo.rainpole.io</v>
      </c>
      <c r="D86" s="347"/>
      <c r="E86" s="337"/>
    </row>
    <row r="87" spans="2:5" ht="20" customHeight="1" x14ac:dyDescent="0.2">
      <c r="B87" s="17" t="s">
        <v>221</v>
      </c>
      <c r="C87" s="89" t="str">
        <f>IF(cluster_wld_domain_chosen="VI Workload Domain",CONCATENATE(this_instance,"01-w0",wld_domain_number_chosen,"-r01-esx04",".",sample_child_dns_zone),CONCATENATE(this_instance,"01-m01","-r01-esx04",".",sample_child_dns_zone))</f>
        <v>sfo01-w01-r01-esx04.sfo.rainpole.io</v>
      </c>
      <c r="D87" s="347"/>
      <c r="E87" s="337"/>
    </row>
    <row r="88" spans="2:5" ht="20" customHeight="1" x14ac:dyDescent="0.2">
      <c r="B88" s="17" t="s">
        <v>223</v>
      </c>
      <c r="C88" s="89" t="str">
        <f>IF(cluster_wld_domain_chosen="VI Workload Domain",CONCATENATE(this_instance,"01-w0",wld_domain_number_chosen,"-r01-esx05",".",sample_child_dns_zone),CONCATENATE(this_instance,"01-m01","-r01-esx05",".",sample_child_dns_zone))</f>
        <v>sfo01-w01-r01-esx05.sfo.rainpole.io</v>
      </c>
      <c r="D88" s="347"/>
      <c r="E88" s="337"/>
    </row>
    <row r="89" spans="2:5" ht="20" customHeight="1" x14ac:dyDescent="0.2">
      <c r="B89" s="17" t="s">
        <v>225</v>
      </c>
      <c r="C89" s="89" t="str">
        <f>IF(cluster_wld_domain_chosen="VI Workload Domain",CONCATENATE(this_instance,"01-w0",wld_domain_number_chosen,"-r01-esx06",".",sample_child_dns_zone),CONCATENATE(this_instance,"01-m01","-r01-esx06",".",sample_child_dns_zone))</f>
        <v>sfo01-w01-r01-esx06.sfo.rainpole.io</v>
      </c>
      <c r="D89" s="347"/>
      <c r="E89" s="337"/>
    </row>
    <row r="90" spans="2:5" ht="20" customHeight="1" x14ac:dyDescent="0.2">
      <c r="B90" s="17" t="s">
        <v>227</v>
      </c>
      <c r="C90" s="89" t="str">
        <f>IF(cluster_wld_domain_chosen="VI Workload Domain",CONCATENATE(this_instance,"01-w0",wld_domain_number_chosen,"-r01-esx07",".",sample_child_dns_zone),CONCATENATE(this_instance,"01-m01","-r01-esx07",".",sample_child_dns_zone))</f>
        <v>sfo01-w01-r01-esx07.sfo.rainpole.io</v>
      </c>
      <c r="D90" s="347"/>
      <c r="E90" s="337"/>
    </row>
    <row r="91" spans="2:5" ht="20" customHeight="1" x14ac:dyDescent="0.2">
      <c r="B91" s="17" t="s">
        <v>229</v>
      </c>
      <c r="C91" s="89" t="str">
        <f>IF(cluster_wld_domain_chosen="VI Workload Domain",CONCATENATE(this_instance,"01-w0",wld_domain_number_chosen,"-r01-esx08",".",sample_child_dns_zone),CONCATENATE(this_instance,"01-m01","-r01-esx08",".",sample_child_dns_zone))</f>
        <v>sfo01-w01-r01-esx08.sfo.rainpole.io</v>
      </c>
      <c r="D91" s="347"/>
      <c r="E91" s="337"/>
    </row>
    <row r="92" spans="2:5" ht="20" customHeight="1" x14ac:dyDescent="0.2">
      <c r="B92" s="17" t="s">
        <v>231</v>
      </c>
      <c r="C92" s="89" t="str">
        <f>IF(cluster_wld_domain_chosen="VI Workload Domain",CONCATENATE(this_instance,"01-w0",wld_domain_number_chosen,"-r01-esx09",".",sample_child_dns_zone),CONCATENATE(this_instance,"01-m01","-r01-esx09",".",sample_child_dns_zone))</f>
        <v>sfo01-w01-r01-esx09.sfo.rainpole.io</v>
      </c>
      <c r="D92" s="347"/>
      <c r="E92" s="337"/>
    </row>
    <row r="93" spans="2:5" ht="20" customHeight="1" x14ac:dyDescent="0.2">
      <c r="B93" s="17" t="s">
        <v>233</v>
      </c>
      <c r="C93" s="89" t="str">
        <f>IF(cluster_wld_domain_chosen="VI Workload Domain",CONCATENATE(this_instance,"01-w0",wld_domain_number_chosen,"-r01-esx10",".",sample_child_dns_zone),CONCATENATE(this_instance,"01-m01","-r01-esx10",".",sample_child_dns_zone))</f>
        <v>sfo01-w01-r01-esx10.sfo.rainpole.io</v>
      </c>
      <c r="D93" s="347"/>
      <c r="E93" s="337"/>
    </row>
    <row r="94" spans="2:5" ht="20" customHeight="1" x14ac:dyDescent="0.2">
      <c r="B94" s="17" t="s">
        <v>235</v>
      </c>
      <c r="C94" s="89" t="str">
        <f>IF(cluster_wld_domain_chosen="VI Workload Domain",CONCATENATE(this_instance,"01-w0",wld_domain_number_chosen,"-r01-esx11",".",sample_child_dns_zone),CONCATENATE(this_instance,"01-m01","-r01-esx11",".",sample_child_dns_zone))</f>
        <v>sfo01-w01-r01-esx11.sfo.rainpole.io</v>
      </c>
      <c r="D94" s="347"/>
      <c r="E94" s="337"/>
    </row>
    <row r="95" spans="2:5" ht="20" customHeight="1" x14ac:dyDescent="0.2">
      <c r="B95" s="17" t="s">
        <v>237</v>
      </c>
      <c r="C95" s="89" t="str">
        <f>IF(cluster_wld_domain_chosen="VI Workload Domain",CONCATENATE(this_instance,"01-w0",wld_domain_number_chosen,"-r01-esx12",".",sample_child_dns_zone),CONCATENATE(this_instance,"01-m01","-r01-esx12",".",sample_child_dns_zone))</f>
        <v>sfo01-w01-r01-esx12.sfo.rainpole.io</v>
      </c>
      <c r="D95" s="347"/>
      <c r="E95" s="337"/>
    </row>
    <row r="96" spans="2:5" ht="20" customHeight="1" x14ac:dyDescent="0.2">
      <c r="B96" s="17" t="s">
        <v>239</v>
      </c>
      <c r="C96" s="89" t="str">
        <f>IF(cluster_wld_domain_chosen="VI Workload Domain",CONCATENATE(this_instance,"01-w0",wld_domain_number_chosen,"-r01-esx13",".",sample_child_dns_zone),CONCATENATE(this_instance,"01-m01","-r01-esx13",".",sample_child_dns_zone))</f>
        <v>sfo01-w01-r01-esx13.sfo.rainpole.io</v>
      </c>
      <c r="D96" s="347"/>
      <c r="E96" s="337"/>
    </row>
    <row r="97" spans="2:5" ht="20" customHeight="1" x14ac:dyDescent="0.2">
      <c r="B97" s="17" t="s">
        <v>241</v>
      </c>
      <c r="C97" s="89" t="str">
        <f>IF(cluster_wld_domain_chosen="VI Workload Domain",CONCATENATE(this_instance,"01-w0",wld_domain_number_chosen,"-r01-esx14",".",sample_child_dns_zone),CONCATENATE(this_instance,"01-m01","-r01-esx14",".",sample_child_dns_zone))</f>
        <v>sfo01-w01-r01-esx14.sfo.rainpole.io</v>
      </c>
      <c r="D97" s="347"/>
      <c r="E97" s="337"/>
    </row>
    <row r="98" spans="2:5" ht="20" customHeight="1" x14ac:dyDescent="0.2">
      <c r="B98" s="17" t="s">
        <v>243</v>
      </c>
      <c r="C98" s="89" t="str">
        <f>IF(cluster_wld_domain_chosen="VI Workload Domain",CONCATENATE(this_instance,"01-w0",wld_domain_number_chosen,"-r01-esx15",".",sample_child_dns_zone),CONCATENATE(this_instance,"01-m01","-r01-esx15",".",sample_child_dns_zone))</f>
        <v>sfo01-w01-r01-esx15.sfo.rainpole.io</v>
      </c>
      <c r="D98" s="347"/>
      <c r="E98" s="337"/>
    </row>
    <row r="99" spans="2:5" ht="20" customHeight="1" x14ac:dyDescent="0.2">
      <c r="B99" s="17" t="s">
        <v>245</v>
      </c>
      <c r="C99" s="89" t="str">
        <f>IF(cluster_wld_domain_chosen="VI Workload Domain",CONCATENATE(this_instance,"01-w0",wld_domain_number_chosen,"-r01-esx16",".",sample_child_dns_zone),CONCATENATE(this_instance,"01-m01","-r01-esx16",".",sample_child_dns_zone))</f>
        <v>sfo01-w01-r01-esx16.sfo.rainpole.io</v>
      </c>
      <c r="D99" s="347"/>
      <c r="E99" s="337"/>
    </row>
    <row r="100" spans="2:5" ht="20" customHeight="1" x14ac:dyDescent="0.2">
      <c r="B100" s="17" t="s">
        <v>264</v>
      </c>
      <c r="C100" s="78" t="s">
        <v>265</v>
      </c>
      <c r="D100" s="337"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00" s="337"/>
    </row>
    <row r="101" spans="2:5" ht="20" customHeight="1" x14ac:dyDescent="0.2">
      <c r="B101" s="17" t="s">
        <v>266</v>
      </c>
      <c r="C101" s="78" t="s">
        <v>267</v>
      </c>
      <c r="D101" s="337" t="str">
        <f>IF(cluster_principal_storage_chosen="vSAN Storage Cluster","vSAN Storage",IF(cluster_principal_storage_chosen="vSAN Compute Cluster","Compute Cluster",IF(OR(cluster_principal_storage_chosen="vSAN-ESA",cluster_principal_storage_chosen="vSAN-OSA"),"vSAN HCI","")))</f>
        <v>vSAN HCI</v>
      </c>
      <c r="E101" s="4"/>
    </row>
    <row r="102" spans="2:5" ht="20" customHeight="1" x14ac:dyDescent="0.2">
      <c r="B102" s="17" t="s">
        <v>268</v>
      </c>
      <c r="C102" s="78" t="s">
        <v>159</v>
      </c>
      <c r="D102" s="337" t="str">
        <f>IF(OR(cluster_principal_storage_chosen="vSAN-ESA",cluster_principal_storage_chosen="vSAN Storage Cluster",cluster_principal_storage_chosen="vSAN Compute Cluster"),"Selected","Unselected")</f>
        <v>Selected</v>
      </c>
      <c r="E102" s="337"/>
    </row>
    <row r="103" spans="2:5" ht="20" customHeight="1" x14ac:dyDescent="0.2">
      <c r="B103" s="17" t="s">
        <v>250</v>
      </c>
      <c r="C103" s="78" t="str">
        <f>C48</f>
        <v>sfo01-w01-r01-network-pool-01</v>
      </c>
      <c r="D103" s="337" t="str">
        <f>cluster_az1_pool_name</f>
        <v>Value Missing</v>
      </c>
      <c r="E103" s="337"/>
    </row>
    <row r="104" spans="2:5" ht="20" customHeight="1" x14ac:dyDescent="0.2">
      <c r="B104" s="17" t="s">
        <v>46</v>
      </c>
      <c r="C104" s="78" t="s">
        <v>269</v>
      </c>
      <c r="D104" s="347"/>
      <c r="E104" s="337"/>
    </row>
    <row r="105" spans="2:5" ht="20" customHeight="1" x14ac:dyDescent="0.2">
      <c r="B105" s="17" t="s">
        <v>29</v>
      </c>
      <c r="C105" s="78" t="s">
        <v>30</v>
      </c>
      <c r="D105" s="347"/>
      <c r="E105" s="337"/>
    </row>
    <row r="106" spans="2:5" ht="16" customHeight="1" x14ac:dyDescent="0.2"/>
    <row r="107" spans="2:5" ht="34" customHeight="1" x14ac:dyDescent="0.2">
      <c r="B107" s="522" t="s">
        <v>1164</v>
      </c>
      <c r="C107" s="523"/>
      <c r="D107" s="523"/>
      <c r="E107" s="524"/>
    </row>
    <row r="108" spans="2:5" ht="16" customHeight="1" x14ac:dyDescent="0.2"/>
    <row r="109" spans="2:5" ht="34" customHeight="1" x14ac:dyDescent="0.2">
      <c r="B109" s="425" t="s">
        <v>835</v>
      </c>
      <c r="C109" s="426"/>
      <c r="D109" s="426"/>
      <c r="E109" s="427"/>
    </row>
    <row r="110" spans="2:5" ht="20" customHeight="1" x14ac:dyDescent="0.2">
      <c r="B110" s="492" t="s">
        <v>1165</v>
      </c>
      <c r="C110" s="493"/>
      <c r="D110" s="493"/>
      <c r="E110" s="494"/>
    </row>
    <row r="111" spans="2:5" ht="20" customHeight="1" x14ac:dyDescent="0.2">
      <c r="B111" s="346" t="s">
        <v>17</v>
      </c>
      <c r="C111" s="346" t="s">
        <v>18</v>
      </c>
      <c r="D111" s="346" t="s">
        <v>19</v>
      </c>
      <c r="E111" s="346" t="s">
        <v>20</v>
      </c>
    </row>
    <row r="112" spans="2:5" ht="20" customHeight="1" x14ac:dyDescent="0.2">
      <c r="B112" s="17" t="s">
        <v>835</v>
      </c>
      <c r="C112" s="362" t="s">
        <v>762</v>
      </c>
      <c r="D112" s="337" t="str">
        <f>IF(cluster_principal_storage_chosen="vSAN Storage Cluster","vSAN-ESA",cluster_principal_storage_chosen)</f>
        <v>vSAN-ESA</v>
      </c>
      <c r="E112" s="337"/>
    </row>
    <row r="113" spans="2:5" ht="16" customHeight="1" x14ac:dyDescent="0.2"/>
    <row r="114" spans="2:5" ht="34" customHeight="1" x14ac:dyDescent="0.2">
      <c r="B114" s="425" t="s">
        <v>1166</v>
      </c>
      <c r="C114" s="426"/>
      <c r="D114" s="426"/>
      <c r="E114" s="427"/>
    </row>
    <row r="115" spans="2:5" ht="20" customHeight="1" x14ac:dyDescent="0.2">
      <c r="B115" s="492" t="s">
        <v>1167</v>
      </c>
      <c r="C115" s="493"/>
      <c r="D115" s="493"/>
      <c r="E115" s="494"/>
    </row>
    <row r="116" spans="2:5" ht="20" customHeight="1" x14ac:dyDescent="0.2">
      <c r="B116" s="346" t="s">
        <v>17</v>
      </c>
      <c r="C116" s="346" t="s">
        <v>18</v>
      </c>
      <c r="D116" s="346" t="s">
        <v>19</v>
      </c>
      <c r="E116" s="346" t="s">
        <v>20</v>
      </c>
    </row>
    <row r="117" spans="2:5" ht="20" customHeight="1" x14ac:dyDescent="0.2">
      <c r="B117" s="17" t="s">
        <v>210</v>
      </c>
      <c r="C117" s="362" t="str">
        <f>IF(cluster_wld_domain_chosen="VI Workload Domain",CONCATENATE(this_instance,"-w0",wld_domain_number_chosen,"-cl02"),CONCATENATE(this_instance,"-m01","-cl02"))</f>
        <v>sfo-w01-cl02</v>
      </c>
      <c r="D117" s="347"/>
      <c r="E117" s="337"/>
    </row>
    <row r="118" spans="2:5" ht="16" customHeight="1" x14ac:dyDescent="0.2"/>
    <row r="119" spans="2:5" ht="34" customHeight="1" x14ac:dyDescent="0.2">
      <c r="B119" s="425" t="s">
        <v>820</v>
      </c>
      <c r="C119" s="426"/>
      <c r="D119" s="426"/>
      <c r="E119" s="427"/>
    </row>
    <row r="120" spans="2:5" ht="20" customHeight="1" x14ac:dyDescent="0.2">
      <c r="B120" s="492" t="s">
        <v>821</v>
      </c>
      <c r="C120" s="493"/>
      <c r="D120" s="493"/>
      <c r="E120" s="494"/>
    </row>
    <row r="121" spans="2:5" ht="20" customHeight="1" x14ac:dyDescent="0.2">
      <c r="B121" s="346" t="s">
        <v>17</v>
      </c>
      <c r="C121" s="346" t="s">
        <v>18</v>
      </c>
      <c r="D121" s="346" t="s">
        <v>19</v>
      </c>
      <c r="E121" s="346" t="s">
        <v>20</v>
      </c>
    </row>
    <row r="122" spans="2:5" ht="20" customHeight="1" x14ac:dyDescent="0.2">
      <c r="B122" s="17" t="s">
        <v>820</v>
      </c>
      <c r="C122" s="362" t="str">
        <f>IF(cluster_wld_domain_chosen="VI Workload Domain",CONCATENATE(this_instance,"-w0",wld_domain_number_chosen,"-cl02"),CONCATENATE(this_instance,"-m01","-cl02"))</f>
        <v>sfo-w01-cl02</v>
      </c>
      <c r="D122" s="347"/>
      <c r="E122" s="337"/>
    </row>
    <row r="123" spans="2:5" ht="16" customHeight="1" x14ac:dyDescent="0.2"/>
    <row r="124" spans="2:5" ht="34" customHeight="1" x14ac:dyDescent="0.2">
      <c r="B124" s="425" t="str">
        <f>IF(OR(wld_principal_storage_chosen="vSAN-ESA",wld_principal_storage_chosen="vSAN-OSA"),"vSAN Storage",IF(wld_principal_storage_chosen="NFSv3","NFS Storage",""))</f>
        <v>vSAN Storage</v>
      </c>
      <c r="C124" s="426"/>
      <c r="D124" s="426"/>
      <c r="E124" s="427"/>
    </row>
    <row r="125" spans="2:5" ht="20" customHeight="1" x14ac:dyDescent="0.2">
      <c r="B125" s="492" t="s">
        <v>1168</v>
      </c>
      <c r="C125" s="493"/>
      <c r="D125" s="493"/>
      <c r="E125" s="494"/>
    </row>
    <row r="126" spans="2:5" ht="20" customHeight="1" x14ac:dyDescent="0.2">
      <c r="B126" s="346" t="s">
        <v>17</v>
      </c>
      <c r="C126" s="346" t="s">
        <v>18</v>
      </c>
      <c r="D126" s="346" t="s">
        <v>19</v>
      </c>
      <c r="E126" s="346" t="s">
        <v>20</v>
      </c>
    </row>
    <row r="127" spans="2:5" ht="20" customHeight="1" x14ac:dyDescent="0.2">
      <c r="B127" s="4" t="s">
        <v>838</v>
      </c>
      <c r="C127" s="362" t="s">
        <v>839</v>
      </c>
      <c r="D127" s="337" t="str">
        <f>cluster_vsan_type</f>
        <v>vSAN HCI</v>
      </c>
      <c r="E127" s="4" t="s">
        <v>1169</v>
      </c>
    </row>
    <row r="128" spans="2:5" ht="20" customHeight="1" x14ac:dyDescent="0.2">
      <c r="B128" s="4" t="s">
        <v>1170</v>
      </c>
      <c r="C128" s="362" t="str">
        <f>CONCATENATE(this_instance,"-w0",wld_domain_number_chosen,"-cl01")</f>
        <v>sfo-w01-cl01</v>
      </c>
      <c r="D128" s="347"/>
      <c r="E128" s="4"/>
    </row>
    <row r="129" spans="2:5" ht="20" customHeight="1" x14ac:dyDescent="0.2">
      <c r="B129" s="4" t="s">
        <v>279</v>
      </c>
      <c r="C129" s="362" t="str">
        <f>IF(cluster_wld_domain_chosen="VI Workload Domain",CONCATENATE(sample_wld_sddc_domain,"-",sample_cluster_name,"-vsan01"),CONCATENATE(sample_mgmt_sddc_domain,"-",sample_cluster_name,"-vsan01"))</f>
        <v>sfo-w01-sfo-w01-cl02-vsan01</v>
      </c>
      <c r="D129" s="347"/>
      <c r="E129" s="337" t="s">
        <v>840</v>
      </c>
    </row>
    <row r="130" spans="2:5" ht="20" customHeight="1" x14ac:dyDescent="0.2">
      <c r="B130" s="4" t="s">
        <v>841</v>
      </c>
      <c r="C130" s="362" t="s">
        <v>145</v>
      </c>
      <c r="D130" s="337" t="str">
        <f>IF(cluster_secondary_storage_result="Included","Selected","Unselected")</f>
        <v>Unselected</v>
      </c>
      <c r="E130" s="337" t="str">
        <f>IF(AND(cluster_secondary_storage_chosen&lt;&gt;"vSAN Storage Client Network",cluster_vsan_type="vSAN Storage"),"To use vSAN Storage Client Network it should be enabled in Deploy and New Cluster Options section","")</f>
        <v/>
      </c>
    </row>
    <row r="131" spans="2:5" ht="20" customHeight="1" x14ac:dyDescent="0.2">
      <c r="B131" s="4" t="str">
        <f>IF(wld_principal_storage_chosen="vSAN-ESA","Storage Policy", "vSAN: Failures to Tolerate (FTT)")</f>
        <v>Storage Policy</v>
      </c>
      <c r="C131" s="362">
        <v>1</v>
      </c>
      <c r="D131" s="347" t="s">
        <v>842</v>
      </c>
      <c r="E131" s="337"/>
    </row>
    <row r="132" spans="2:5" ht="20" customHeight="1" x14ac:dyDescent="0.2">
      <c r="B132" s="4" t="s">
        <v>843</v>
      </c>
      <c r="C132" s="362" t="s">
        <v>145</v>
      </c>
      <c r="D132" s="347" t="s">
        <v>145</v>
      </c>
      <c r="E132" s="337"/>
    </row>
    <row r="133" spans="2:5" ht="20" customHeight="1" x14ac:dyDescent="0.2">
      <c r="B133" s="152" t="s">
        <v>844</v>
      </c>
      <c r="C133" s="362" t="str">
        <f>IF(cluster_wld_domain_chosen="VI Workload Domain",CONCATENATE(this_instance,"-w0",wld_domain_number_chosen,"-cl02-ds-vmfs01"),CONCATENATE(this_instance,"-m01","-cl02-ds-vmfs01"))</f>
        <v>sfo-w01-cl02-ds-vmfs01</v>
      </c>
      <c r="D133" s="347"/>
      <c r="E133" s="337"/>
    </row>
    <row r="134" spans="2:5" ht="20" customHeight="1" x14ac:dyDescent="0.2">
      <c r="B134" s="22" t="s">
        <v>845</v>
      </c>
      <c r="C134" s="362" t="str">
        <f>IF(cluster_wld_domain_chosen="VI Workload Domain",CONCATENATE(this_instance,"-w0",wld_domain_number_chosen,"-cl02-ds-nfs01"),CONCATENATE(this_instance,"-m01","-cl02-ds-nfs01"))</f>
        <v>sfo-w01-cl02-ds-nfs01</v>
      </c>
      <c r="D134" s="347"/>
      <c r="E134" s="337"/>
    </row>
    <row r="135" spans="2:5" ht="20" customHeight="1" x14ac:dyDescent="0.2">
      <c r="B135" s="22" t="s">
        <v>846</v>
      </c>
      <c r="C135" s="362" t="str">
        <f>IF(cluster_wld_domain_chosen="VI Workload Domain",CONCATENATE(this_instance,"-w0",wld_domain_number_chosen,"-cl02-ds-nfs01-share"),CONCATENATE(this_instance,"-m01","-cl02-ds-nfs01-share"))</f>
        <v>sfo-w01-cl02-ds-nfs01-share</v>
      </c>
      <c r="D135" s="347"/>
      <c r="E135" s="337"/>
    </row>
    <row r="136" spans="2:5" ht="20" customHeight="1" x14ac:dyDescent="0.2">
      <c r="B136" s="22" t="s">
        <v>847</v>
      </c>
      <c r="C136" s="362" t="str">
        <f>IF(cluster_wld_domain_chosen="VI Workload Domain",CONCATENATE(prefix_wld_az1_cidr,"15.4"),CONCATENATE(prefix_mgmt_az1_cidr,"15.4"))</f>
        <v>10.13.15.4</v>
      </c>
      <c r="D136" s="347"/>
      <c r="E136" s="337"/>
    </row>
    <row r="137" spans="2:5" ht="16" customHeight="1" x14ac:dyDescent="0.2">
      <c r="B137" s="7"/>
      <c r="C137" s="7"/>
      <c r="D137" s="7"/>
      <c r="E137" s="7"/>
    </row>
    <row r="138" spans="2:5" ht="34" customHeight="1" x14ac:dyDescent="0.2">
      <c r="B138" s="425" t="s">
        <v>848</v>
      </c>
      <c r="C138" s="426"/>
      <c r="D138" s="426"/>
      <c r="E138" s="427"/>
    </row>
    <row r="139" spans="2:5" ht="20" customHeight="1" x14ac:dyDescent="0.2">
      <c r="B139" s="492"/>
      <c r="C139" s="493"/>
      <c r="D139" s="493"/>
      <c r="E139" s="494"/>
    </row>
    <row r="140" spans="2:5" ht="20" customHeight="1" x14ac:dyDescent="0.2">
      <c r="B140" s="346" t="s">
        <v>17</v>
      </c>
      <c r="C140" s="346" t="s">
        <v>18</v>
      </c>
      <c r="D140" s="346" t="s">
        <v>19</v>
      </c>
      <c r="E140" s="346" t="s">
        <v>20</v>
      </c>
    </row>
    <row r="141" spans="2:5" ht="20" customHeight="1" x14ac:dyDescent="0.2">
      <c r="B141" s="17" t="s">
        <v>215</v>
      </c>
      <c r="C141" s="362" t="str">
        <f t="array" ref="C141:C156">sample_wld_az1_host_fqdns</f>
        <v>sfo01-w01-r01-esx01.sfo.rainpole.io</v>
      </c>
      <c r="D141" s="337" t="str">
        <f t="array" ref="D141:D156">cluster_az1_host_fqdns</f>
        <v>Value Missing</v>
      </c>
      <c r="E141" s="337"/>
    </row>
    <row r="142" spans="2:5" ht="20" customHeight="1" x14ac:dyDescent="0.2">
      <c r="B142" s="17" t="s">
        <v>217</v>
      </c>
      <c r="C142" s="362" t="str">
        <v>sfo01-w01-r01-esx02.sfo.rainpole.io</v>
      </c>
      <c r="D142" s="337" t="str">
        <v>Value Missing</v>
      </c>
      <c r="E142" s="337"/>
    </row>
    <row r="143" spans="2:5" ht="20" customHeight="1" x14ac:dyDescent="0.2">
      <c r="B143" s="17" t="s">
        <v>219</v>
      </c>
      <c r="C143" s="362" t="str">
        <v>sfo01-w01-r01-esx03.sfo.rainpole.io</v>
      </c>
      <c r="D143" s="337" t="str">
        <v>Value Missing</v>
      </c>
      <c r="E143" s="337"/>
    </row>
    <row r="144" spans="2:5" ht="20" customHeight="1" x14ac:dyDescent="0.2">
      <c r="B144" s="17" t="s">
        <v>221</v>
      </c>
      <c r="C144" s="362" t="str">
        <v>sfo01-w01-r01-esx04.sfo.rainpole.io</v>
      </c>
      <c r="D144" s="337" t="str">
        <v>Value Missing</v>
      </c>
      <c r="E144" s="337"/>
    </row>
    <row r="145" spans="2:5" ht="20" customHeight="1" x14ac:dyDescent="0.2">
      <c r="B145" s="17" t="s">
        <v>223</v>
      </c>
      <c r="C145" s="362" t="str">
        <v>sfo01-w01-r01-esx05.sfo.rainpole.io</v>
      </c>
      <c r="D145" s="337" t="str">
        <v>Value Missing</v>
      </c>
      <c r="E145" s="17"/>
    </row>
    <row r="146" spans="2:5" ht="20" customHeight="1" x14ac:dyDescent="0.2">
      <c r="B146" s="17" t="s">
        <v>225</v>
      </c>
      <c r="C146" s="362" t="str">
        <v>sfo01-w01-r01-esx06.sfo.rainpole.io</v>
      </c>
      <c r="D146" s="337" t="str">
        <v>Value Missing</v>
      </c>
      <c r="E146" s="17"/>
    </row>
    <row r="147" spans="2:5" ht="20" customHeight="1" x14ac:dyDescent="0.2">
      <c r="B147" s="17" t="s">
        <v>227</v>
      </c>
      <c r="C147" s="362" t="str">
        <v>sfo01-w01-r01-esx07.sfo.rainpole.io</v>
      </c>
      <c r="D147" s="337" t="str">
        <v>Value Missing</v>
      </c>
      <c r="E147" s="17"/>
    </row>
    <row r="148" spans="2:5" ht="20" customHeight="1" x14ac:dyDescent="0.2">
      <c r="B148" s="17" t="s">
        <v>229</v>
      </c>
      <c r="C148" s="362" t="str">
        <v>sfo01-w01-r01-esx08.sfo.rainpole.io</v>
      </c>
      <c r="D148" s="337" t="str">
        <v>Value Missing</v>
      </c>
      <c r="E148" s="17"/>
    </row>
    <row r="149" spans="2:5" ht="20" customHeight="1" x14ac:dyDescent="0.2">
      <c r="B149" s="17" t="s">
        <v>231</v>
      </c>
      <c r="C149" s="362" t="str">
        <v>sfo01-w01-r01-esx09.sfo.rainpole.io</v>
      </c>
      <c r="D149" s="337" t="str">
        <v>Value Missing</v>
      </c>
      <c r="E149" s="17"/>
    </row>
    <row r="150" spans="2:5" ht="20" customHeight="1" x14ac:dyDescent="0.2">
      <c r="B150" s="17" t="s">
        <v>233</v>
      </c>
      <c r="C150" s="362" t="str">
        <v>sfo01-w01-r01-esx10.sfo.rainpole.io</v>
      </c>
      <c r="D150" s="337" t="str">
        <v>Value Missing</v>
      </c>
      <c r="E150" s="153"/>
    </row>
    <row r="151" spans="2:5" ht="20" customHeight="1" x14ac:dyDescent="0.2">
      <c r="B151" s="17" t="s">
        <v>235</v>
      </c>
      <c r="C151" s="362" t="str">
        <v>sfo01-w01-r01-esx11.sfo.rainpole.io</v>
      </c>
      <c r="D151" s="337" t="str">
        <v>Value Missing</v>
      </c>
      <c r="E151" s="17"/>
    </row>
    <row r="152" spans="2:5" ht="20" customHeight="1" x14ac:dyDescent="0.2">
      <c r="B152" s="17" t="s">
        <v>237</v>
      </c>
      <c r="C152" s="362" t="str">
        <v>sfo01-w01-r01-esx12.sfo.rainpole.io</v>
      </c>
      <c r="D152" s="337" t="str">
        <v>Value Missing</v>
      </c>
      <c r="E152" s="17"/>
    </row>
    <row r="153" spans="2:5" ht="20" customHeight="1" x14ac:dyDescent="0.2">
      <c r="B153" s="17" t="s">
        <v>239</v>
      </c>
      <c r="C153" s="362" t="str">
        <v>sfo01-w01-r01-esx13.sfo.rainpole.io</v>
      </c>
      <c r="D153" s="337" t="str">
        <v>Value Missing</v>
      </c>
      <c r="E153" s="17"/>
    </row>
    <row r="154" spans="2:5" ht="20" customHeight="1" x14ac:dyDescent="0.2">
      <c r="B154" s="17" t="s">
        <v>241</v>
      </c>
      <c r="C154" s="362" t="str">
        <v>sfo01-w01-r01-esx14.sfo.rainpole.io</v>
      </c>
      <c r="D154" s="337" t="str">
        <v>Value Missing</v>
      </c>
      <c r="E154" s="17"/>
    </row>
    <row r="155" spans="2:5" ht="20" customHeight="1" x14ac:dyDescent="0.2">
      <c r="B155" s="17" t="s">
        <v>243</v>
      </c>
      <c r="C155" s="362" t="str">
        <v>sfo01-w01-r01-esx15.sfo.rainpole.io</v>
      </c>
      <c r="D155" s="337" t="str">
        <v>Value Missing</v>
      </c>
      <c r="E155" s="17"/>
    </row>
    <row r="156" spans="2:5" ht="20" customHeight="1" x14ac:dyDescent="0.2">
      <c r="B156" s="17" t="s">
        <v>245</v>
      </c>
      <c r="C156" s="362" t="str">
        <v>sfo01-w01-r01-esx16.sfo.rainpole.io</v>
      </c>
      <c r="D156" s="337" t="str">
        <v>Value Missing</v>
      </c>
      <c r="E156" s="17"/>
    </row>
    <row r="157" spans="2:5" ht="16" customHeight="1" x14ac:dyDescent="0.2"/>
    <row r="158" spans="2:5" ht="34" customHeight="1" x14ac:dyDescent="0.2">
      <c r="B158" s="425" t="s">
        <v>849</v>
      </c>
      <c r="C158" s="426"/>
      <c r="D158" s="426"/>
      <c r="E158" s="427"/>
    </row>
    <row r="159" spans="2:5" ht="20" customHeight="1" x14ac:dyDescent="0.2">
      <c r="B159" s="492" t="s">
        <v>850</v>
      </c>
      <c r="C159" s="493"/>
      <c r="D159" s="493"/>
      <c r="E159" s="494"/>
    </row>
    <row r="160" spans="2:5" ht="20" customHeight="1" x14ac:dyDescent="0.2">
      <c r="B160" s="346" t="s">
        <v>17</v>
      </c>
      <c r="C160" s="346" t="s">
        <v>18</v>
      </c>
      <c r="D160" s="346" t="s">
        <v>19</v>
      </c>
      <c r="E160" s="346" t="s">
        <v>20</v>
      </c>
    </row>
    <row r="161" spans="2:5" ht="20" customHeight="1" x14ac:dyDescent="0.2">
      <c r="B161" s="17" t="s">
        <v>851</v>
      </c>
      <c r="C161" s="362" t="s">
        <v>852</v>
      </c>
      <c r="D161" s="347" t="s">
        <v>852</v>
      </c>
      <c r="E161" s="337"/>
    </row>
    <row r="162" spans="2:5" ht="20" customHeight="1" x14ac:dyDescent="0.2">
      <c r="B162" s="17" t="s">
        <v>853</v>
      </c>
      <c r="C162" s="362" t="s">
        <v>145</v>
      </c>
      <c r="D162" s="347" t="s">
        <v>145</v>
      </c>
      <c r="E162" s="337" t="s">
        <v>1171</v>
      </c>
    </row>
    <row r="163" spans="2:5" ht="16" customHeight="1" x14ac:dyDescent="0.2"/>
    <row r="164" spans="2:5" ht="34" customHeight="1" x14ac:dyDescent="0.2">
      <c r="B164" s="392" t="s">
        <v>855</v>
      </c>
      <c r="C164" s="393"/>
      <c r="D164" s="393"/>
      <c r="E164" s="394"/>
    </row>
    <row r="165" spans="2:5" ht="20" customHeight="1" x14ac:dyDescent="0.2">
      <c r="B165" s="154" t="s">
        <v>1172</v>
      </c>
      <c r="C165" s="155"/>
      <c r="D165" s="155"/>
      <c r="E165" s="156"/>
    </row>
    <row r="166" spans="2:5" ht="20" customHeight="1" x14ac:dyDescent="0.2">
      <c r="B166" s="346" t="s">
        <v>17</v>
      </c>
      <c r="C166" s="346" t="s">
        <v>18</v>
      </c>
      <c r="D166" s="346" t="s">
        <v>19</v>
      </c>
      <c r="E166" s="346" t="s">
        <v>20</v>
      </c>
    </row>
    <row r="167" spans="2:5" ht="20" customHeight="1" x14ac:dyDescent="0.2">
      <c r="B167" s="17" t="s">
        <v>857</v>
      </c>
      <c r="C167" s="362" t="str">
        <f>CONCATENATE(sample_cluster_name,"-vds01")</f>
        <v>sfo-w01-cl02-vds01</v>
      </c>
      <c r="D167" s="347"/>
      <c r="E167" s="337"/>
    </row>
    <row r="168" spans="2:5" ht="20" customHeight="1" x14ac:dyDescent="0.2">
      <c r="B168" s="17" t="s">
        <v>160</v>
      </c>
      <c r="C168" s="362">
        <v>9000</v>
      </c>
      <c r="D168" s="347"/>
      <c r="E168" s="337"/>
    </row>
    <row r="169" spans="2:5" ht="20" customHeight="1" x14ac:dyDescent="0.2">
      <c r="B169" s="17" t="s">
        <v>858</v>
      </c>
      <c r="C169" s="362" t="s">
        <v>859</v>
      </c>
      <c r="D169" s="347" t="s">
        <v>859</v>
      </c>
      <c r="E169" s="328" t="str">
        <f>IF(cluster_vds01_link_type_chosen="VDS Lag","Only supported via API. Use VCF.JSONGenerator to generate the JSON File once PnP is complete","Option is not visible in VMware Cloud Foundations Operations UI")</f>
        <v>Option is not visible in VMware Cloud Foundations Operations UI</v>
      </c>
    </row>
    <row r="170" spans="2:5" ht="20" customHeight="1" x14ac:dyDescent="0.2">
      <c r="B170" s="4" t="s">
        <v>860</v>
      </c>
      <c r="C170" s="84" t="str">
        <f>CONCATENATE("w01-cl02-vds1-lg")</f>
        <v>w01-cl02-vds1-lg</v>
      </c>
      <c r="D170" s="347"/>
      <c r="E170" s="328" t="str">
        <f>IF(cluster_vds01_link_type_chosen="VDS Uplinks","This input is masked out as you have chosen to configure VDS Uplinks","Option is not visible in VCF Operations UI. There is a 16 Character Limit for LAG Name")</f>
        <v>This input is masked out as you have chosen to configure VDS Uplinks</v>
      </c>
    </row>
    <row r="171" spans="2:5" ht="20" customHeight="1" x14ac:dyDescent="0.2">
      <c r="B171" s="4" t="s">
        <v>861</v>
      </c>
      <c r="C171" s="137" t="s">
        <v>862</v>
      </c>
      <c r="D171" s="347" t="s">
        <v>862</v>
      </c>
      <c r="E171" s="328" t="str">
        <f>IF(cluster_vds01_link_type_chosen="VDS Uplinks","This input is masked out as you have chosen to configure VDS Uplinks","Option is not visible in VMware Cloud Foundations Operations UI")</f>
        <v>This input is masked out as you have chosen to configure VDS Uplinks</v>
      </c>
    </row>
    <row r="172" spans="2:5" ht="20" customHeight="1" x14ac:dyDescent="0.2">
      <c r="B172" s="4" t="s">
        <v>863</v>
      </c>
      <c r="C172" s="137" t="s">
        <v>864</v>
      </c>
      <c r="D172" s="347" t="s">
        <v>864</v>
      </c>
      <c r="E172" s="328" t="str">
        <f>IF(cluster_vds01_link_type_chosen="VDS Uplinks","This input is masked out as you have chosen to configure VDS Uplinks","Option is not visible in VMware Cloud Foundations Operations UI")</f>
        <v>This input is masked out as you have chosen to configure VDS Uplinks</v>
      </c>
    </row>
    <row r="173" spans="2:5" ht="20" customHeight="1" x14ac:dyDescent="0.2">
      <c r="B173" s="4" t="s">
        <v>865</v>
      </c>
      <c r="C173" s="137" t="s">
        <v>866</v>
      </c>
      <c r="D173" s="347" t="s">
        <v>866</v>
      </c>
      <c r="E173" s="328" t="str">
        <f>IF(cluster_vds01_link_type_chosen="VDS Uplinks","This input is masked out as you have chosen to configure VDS Uplinks","Option is not visible in VMware Cloud Foundations Operations UI")</f>
        <v>This input is masked out as you have chosen to configure VDS Uplinks</v>
      </c>
    </row>
    <row r="174" spans="2:5" ht="20" customHeight="1" x14ac:dyDescent="0.2">
      <c r="B174" s="22" t="s">
        <v>867</v>
      </c>
      <c r="C174" s="159">
        <v>2</v>
      </c>
      <c r="D174" s="79"/>
      <c r="E174" s="161"/>
    </row>
    <row r="175" spans="2:5" ht="20" customHeight="1" x14ac:dyDescent="0.2">
      <c r="B175" s="17" t="s">
        <v>868</v>
      </c>
      <c r="C175" s="362" t="s">
        <v>869</v>
      </c>
      <c r="D175" s="347"/>
      <c r="E175" s="161"/>
    </row>
    <row r="176" spans="2:5" ht="20" customHeight="1" x14ac:dyDescent="0.2">
      <c r="B176" s="17" t="s">
        <v>870</v>
      </c>
      <c r="C176" s="362" t="str">
        <f>cluster_vds01_traffic_type</f>
        <v>Management vMotion vSAN NSX-Overlay</v>
      </c>
      <c r="D176" s="337" t="str">
        <f>cluster_vds01_traffic_type</f>
        <v>Management vMotion vSAN NSX-Overlay</v>
      </c>
      <c r="E176" s="337"/>
    </row>
    <row r="177" spans="2:5" ht="20" customHeight="1" x14ac:dyDescent="0.2">
      <c r="B177" s="492" t="s">
        <v>872</v>
      </c>
      <c r="C177" s="493"/>
      <c r="D177" s="493"/>
      <c r="E177" s="494"/>
    </row>
    <row r="178" spans="2:5" ht="20" customHeight="1" x14ac:dyDescent="0.2">
      <c r="B178" s="17" t="s">
        <v>873</v>
      </c>
      <c r="C178" s="362" t="str">
        <f>CONCATENATE(sample_cluster_name,"-vds02")</f>
        <v>sfo-w01-cl02-vds02</v>
      </c>
      <c r="D178" s="347"/>
      <c r="E178" s="337"/>
    </row>
    <row r="179" spans="2:5" ht="20" customHeight="1" x14ac:dyDescent="0.2">
      <c r="B179" s="17" t="s">
        <v>160</v>
      </c>
      <c r="C179" s="362">
        <v>9000</v>
      </c>
      <c r="D179" s="347"/>
      <c r="E179" s="337"/>
    </row>
    <row r="180" spans="2:5" ht="20" customHeight="1" x14ac:dyDescent="0.2">
      <c r="B180" s="17" t="s">
        <v>858</v>
      </c>
      <c r="C180" s="362" t="s">
        <v>859</v>
      </c>
      <c r="D180" s="347" t="s">
        <v>859</v>
      </c>
      <c r="E180" s="210" t="str">
        <f>IF(cluster_vds02_link_type_chosen="VDS Lag","Only supported via API. Use VCF.JSONGenerator to generate the JSON File once PnP is complete","Option is not visible in VMware Cloud Foundations Operations UI")</f>
        <v>Option is not visible in VMware Cloud Foundations Operations UI</v>
      </c>
    </row>
    <row r="181" spans="2:5" ht="20" customHeight="1" x14ac:dyDescent="0.2">
      <c r="B181" s="4" t="s">
        <v>860</v>
      </c>
      <c r="C181" s="84" t="str">
        <f>CONCATENATE("w01-cl02-vds2-lg")</f>
        <v>w01-cl02-vds2-lg</v>
      </c>
      <c r="D181" s="347"/>
      <c r="E181" s="210" t="str">
        <f>IF(cluster_vds02_link_type_chosen="VDS Uplinks","This input is masked out as you have chosen to configure VDS Uplinks","Option is not visible in VCF Operations UI. There is a 16 Character Limit for LAG Name")</f>
        <v>This input is masked out as you have chosen to configure VDS Uplinks</v>
      </c>
    </row>
    <row r="182" spans="2:5" ht="20" customHeight="1" x14ac:dyDescent="0.2">
      <c r="B182" s="4" t="s">
        <v>861</v>
      </c>
      <c r="C182" s="137" t="s">
        <v>862</v>
      </c>
      <c r="D182" s="347" t="s">
        <v>862</v>
      </c>
      <c r="E182" s="210" t="str">
        <f>IF(cluster_vds02_link_type_chosen="VDS Uplinks","This input is masked out as you have chosen to configure VDS Uplinks","Option is not visible in VMware Cloud Foundations Operations UI")</f>
        <v>This input is masked out as you have chosen to configure VDS Uplinks</v>
      </c>
    </row>
    <row r="183" spans="2:5" ht="20" customHeight="1" x14ac:dyDescent="0.2">
      <c r="B183" s="4" t="s">
        <v>863</v>
      </c>
      <c r="C183" s="137" t="s">
        <v>864</v>
      </c>
      <c r="D183" s="347" t="s">
        <v>864</v>
      </c>
      <c r="E183" s="210" t="str">
        <f>IF(cluster_vds02_link_type_chosen="VDS Uplinks","This input is masked out as you have chosen to configure VDS Uplinks","Option is not visible in VMware Cloud Foundations Operations UI")</f>
        <v>This input is masked out as you have chosen to configure VDS Uplinks</v>
      </c>
    </row>
    <row r="184" spans="2:5" ht="20" customHeight="1" x14ac:dyDescent="0.2">
      <c r="B184" s="4" t="s">
        <v>865</v>
      </c>
      <c r="C184" s="137" t="s">
        <v>866</v>
      </c>
      <c r="D184" s="347" t="s">
        <v>866</v>
      </c>
      <c r="E184" s="210" t="str">
        <f>IF(cluster_vds02_link_type_chosen="VDS Uplinks","This input is masked out as you have chosen to configure VDS Uplinks","Option is not visible in VMware Cloud Foundations Operations UI")</f>
        <v>This input is masked out as you have chosen to configure VDS Uplinks</v>
      </c>
    </row>
    <row r="185" spans="2:5" ht="20" customHeight="1" x14ac:dyDescent="0.2">
      <c r="B185" s="22" t="s">
        <v>867</v>
      </c>
      <c r="C185" s="159">
        <v>2</v>
      </c>
      <c r="D185" s="79"/>
      <c r="E185" s="161"/>
    </row>
    <row r="186" spans="2:5" ht="20" customHeight="1" x14ac:dyDescent="0.2">
      <c r="B186" s="17" t="s">
        <v>868</v>
      </c>
      <c r="C186" s="362" t="s">
        <v>874</v>
      </c>
      <c r="D186" s="347"/>
      <c r="E186" s="337"/>
    </row>
    <row r="187" spans="2:5" ht="20" customHeight="1" x14ac:dyDescent="0.2">
      <c r="B187" s="17" t="s">
        <v>870</v>
      </c>
      <c r="C187" s="362" t="s">
        <v>265</v>
      </c>
      <c r="D187" s="337" t="str">
        <f t="array" ref="D187">cluster_vds02_traffic_type</f>
        <v/>
      </c>
      <c r="E187" s="337"/>
    </row>
    <row r="188" spans="2:5" ht="20" customHeight="1" x14ac:dyDescent="0.2">
      <c r="B188" s="492" t="s">
        <v>875</v>
      </c>
      <c r="C188" s="493"/>
      <c r="D188" s="493"/>
      <c r="E188" s="494"/>
    </row>
    <row r="189" spans="2:5" ht="20" customHeight="1" x14ac:dyDescent="0.2">
      <c r="B189" s="17" t="s">
        <v>876</v>
      </c>
      <c r="C189" s="362" t="str">
        <f>CONCATENATE(sample_cluster_name,"-vds03")</f>
        <v>sfo-w01-cl02-vds03</v>
      </c>
      <c r="D189" s="347"/>
      <c r="E189" s="337"/>
    </row>
    <row r="190" spans="2:5" ht="20" customHeight="1" x14ac:dyDescent="0.2">
      <c r="B190" s="17" t="s">
        <v>160</v>
      </c>
      <c r="C190" s="362">
        <v>9000</v>
      </c>
      <c r="D190" s="347"/>
      <c r="E190" s="337"/>
    </row>
    <row r="191" spans="2:5" ht="20" customHeight="1" x14ac:dyDescent="0.2">
      <c r="B191" s="17" t="s">
        <v>858</v>
      </c>
      <c r="C191" s="362" t="s">
        <v>859</v>
      </c>
      <c r="D191" s="347" t="s">
        <v>859</v>
      </c>
      <c r="E191" s="337" t="str">
        <f>IF(cluster_vds_profile_chosen&lt;&gt;"Storage Traffic and NSX Traffic Separation",IF(cluster_vds03_link_type_chosen="VDS Lag","Only supported via API. Use VCF.JSONGenerator to generate the JSON File once PnP is complete","Option is not visible in VMware Cloud Foundations Operations UI"),"")</f>
        <v>Option is not visible in VMware Cloud Foundations Operations UI</v>
      </c>
    </row>
    <row r="192" spans="2:5" ht="20" customHeight="1" x14ac:dyDescent="0.2">
      <c r="B192" s="4" t="s">
        <v>860</v>
      </c>
      <c r="C192" s="84" t="str">
        <f>CONCATENATE("w01-cl02-vds3-lg")</f>
        <v>w01-cl02-vds3-lg</v>
      </c>
      <c r="D192" s="347"/>
      <c r="E192" s="337" t="str">
        <f>IF(cluster_vds_profile_chosen&lt;&gt;"Storage Traffic and NSX Traffic Separation",IF(cluster_vds03_link_type_chosen="VDS Uplinks","This input is masked out as you have chosen to configure VDS Uplinks","Option is not visible in VCF Operations UI. There is a 16 Character Limit for LAG Name"),"")</f>
        <v>This input is masked out as you have chosen to configure VDS Uplinks</v>
      </c>
    </row>
    <row r="193" spans="2:5" ht="20" customHeight="1" x14ac:dyDescent="0.2">
      <c r="B193" s="4" t="s">
        <v>861</v>
      </c>
      <c r="C193" s="137" t="s">
        <v>862</v>
      </c>
      <c r="D193" s="347" t="s">
        <v>862</v>
      </c>
      <c r="E193"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4" spans="2:5" ht="20" customHeight="1" x14ac:dyDescent="0.2">
      <c r="B194" s="4" t="s">
        <v>863</v>
      </c>
      <c r="C194" s="137" t="s">
        <v>864</v>
      </c>
      <c r="D194" s="347" t="s">
        <v>864</v>
      </c>
      <c r="E194"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5" spans="2:5" ht="20" customHeight="1" x14ac:dyDescent="0.2">
      <c r="B195" s="4" t="s">
        <v>865</v>
      </c>
      <c r="C195" s="137" t="s">
        <v>866</v>
      </c>
      <c r="D195" s="347" t="s">
        <v>866</v>
      </c>
      <c r="E195"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6" spans="2:5" ht="20" customHeight="1" x14ac:dyDescent="0.2">
      <c r="B196" s="22" t="s">
        <v>867</v>
      </c>
      <c r="C196" s="159">
        <v>2</v>
      </c>
      <c r="D196" s="79"/>
      <c r="E196" s="161"/>
    </row>
    <row r="197" spans="2:5" ht="20" customHeight="1" x14ac:dyDescent="0.2">
      <c r="B197" s="17" t="s">
        <v>868</v>
      </c>
      <c r="C197" s="362" t="s">
        <v>878</v>
      </c>
      <c r="D197" s="347"/>
      <c r="E197" s="337"/>
    </row>
    <row r="198" spans="2:5" ht="20" customHeight="1" x14ac:dyDescent="0.2">
      <c r="B198" s="17" t="s">
        <v>870</v>
      </c>
      <c r="C198" s="362" t="s">
        <v>879</v>
      </c>
      <c r="D198" s="337" t="str">
        <f>cluster_vds03_traffic_type</f>
        <v/>
      </c>
      <c r="E198" s="337"/>
    </row>
    <row r="199" spans="2:5" ht="20" customHeight="1" x14ac:dyDescent="0.2">
      <c r="B199" s="154" t="s">
        <v>880</v>
      </c>
      <c r="C199" s="155"/>
      <c r="D199" s="155"/>
      <c r="E199" s="156"/>
    </row>
    <row r="200" spans="2:5" ht="20" customHeight="1" x14ac:dyDescent="0.2">
      <c r="B200" s="22" t="s">
        <v>185</v>
      </c>
      <c r="C200" s="362" t="str">
        <f>CONCATENATE(sample_cluster_name,"-pg-esx-mgmt")</f>
        <v>sfo-w01-cl02-pg-esx-mgmt</v>
      </c>
      <c r="D200" s="347"/>
      <c r="E200" s="153" t="s">
        <v>881</v>
      </c>
    </row>
    <row r="201" spans="2:5" ht="20" customHeight="1" x14ac:dyDescent="0.2">
      <c r="B201" s="22" t="s">
        <v>882</v>
      </c>
      <c r="C201" s="159" t="s">
        <v>883</v>
      </c>
      <c r="D201" s="79" t="s">
        <v>883</v>
      </c>
      <c r="E201" s="161" t="str">
        <f>IF(cluster_vds01_link_type_chosen="VDS Lag","This input is masked out as you have chosen to configure VDS LAG","")</f>
        <v/>
      </c>
    </row>
    <row r="202" spans="2:5" ht="20" customHeight="1" x14ac:dyDescent="0.2">
      <c r="B202" s="22" t="s">
        <v>884</v>
      </c>
      <c r="C202" s="159" t="s">
        <v>862</v>
      </c>
      <c r="D202" s="79" t="s">
        <v>862</v>
      </c>
      <c r="E202" s="161" t="str">
        <f>IF(cluster_vds01_link_type_chosen="VDS Lag","This input is masked out as you have chosen to configure VDS LAG","")</f>
        <v/>
      </c>
    </row>
    <row r="203" spans="2:5" ht="20" customHeight="1" x14ac:dyDescent="0.2">
      <c r="B203" s="22" t="s">
        <v>885</v>
      </c>
      <c r="C203" s="159" t="s">
        <v>862</v>
      </c>
      <c r="D203" s="79" t="s">
        <v>862</v>
      </c>
      <c r="E203" s="161" t="str">
        <f>IF(cluster_vds01_link_type_chosen="VDS Lag","This input is masked out as you have chosen to configure VDS LAG","")</f>
        <v/>
      </c>
    </row>
    <row r="204" spans="2:5" ht="20" customHeight="1" x14ac:dyDescent="0.2">
      <c r="B204" s="154" t="s">
        <v>886</v>
      </c>
      <c r="C204" s="155"/>
      <c r="D204" s="155"/>
      <c r="E204" s="156"/>
    </row>
    <row r="205" spans="2:5" ht="20" customHeight="1" x14ac:dyDescent="0.2">
      <c r="B205" s="22" t="s">
        <v>185</v>
      </c>
      <c r="C205" s="362" t="str">
        <f>CONCATENATE(sample_cluster_name,"-pg-vm-mgmt")</f>
        <v>sfo-w01-cl02-pg-vm-mgmt</v>
      </c>
      <c r="D205" s="347"/>
      <c r="E205" s="161" t="s">
        <v>1173</v>
      </c>
    </row>
    <row r="206" spans="2:5" ht="20" customHeight="1" x14ac:dyDescent="0.2">
      <c r="B206" s="22" t="s">
        <v>882</v>
      </c>
      <c r="C206" s="159" t="s">
        <v>883</v>
      </c>
      <c r="D206" s="79" t="s">
        <v>883</v>
      </c>
      <c r="E206" s="161" t="str">
        <f>IF(cluster_vds01_link_type_chosen="VDS Lag","This input is masked out as you have chosen to configure VDS LAG","")</f>
        <v/>
      </c>
    </row>
    <row r="207" spans="2:5" ht="20" customHeight="1" x14ac:dyDescent="0.2">
      <c r="B207" s="22" t="s">
        <v>884</v>
      </c>
      <c r="C207" s="159" t="s">
        <v>862</v>
      </c>
      <c r="D207" s="79" t="s">
        <v>862</v>
      </c>
      <c r="E207" s="161" t="str">
        <f>IF(cluster_vds01_link_type_chosen="VDS Lag","This input is masked out as you have chosen to configure VDS LAG","")</f>
        <v/>
      </c>
    </row>
    <row r="208" spans="2:5" ht="20" customHeight="1" x14ac:dyDescent="0.2">
      <c r="B208" s="22" t="s">
        <v>885</v>
      </c>
      <c r="C208" s="159" t="s">
        <v>862</v>
      </c>
      <c r="D208" s="79" t="s">
        <v>862</v>
      </c>
      <c r="E208" s="161" t="str">
        <f>IF(cluster_vds01_link_type_chosen="VDS Lag","This input is masked out as you have chosen to configure VDS LAG","")</f>
        <v/>
      </c>
    </row>
    <row r="209" spans="2:5" ht="20" customHeight="1" x14ac:dyDescent="0.2">
      <c r="B209" s="154" t="s">
        <v>888</v>
      </c>
      <c r="C209" s="155"/>
      <c r="D209" s="155"/>
      <c r="E209" s="156"/>
    </row>
    <row r="210" spans="2:5" ht="20" customHeight="1" x14ac:dyDescent="0.2">
      <c r="B210" s="22" t="s">
        <v>185</v>
      </c>
      <c r="C210" s="362" t="str">
        <f>CONCATENATE(sample_cluster_name,"-pg-vmotion")</f>
        <v>sfo-w01-cl02-pg-vmotion</v>
      </c>
      <c r="D210" s="347"/>
      <c r="E210" s="337"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11" spans="2:5" ht="20" customHeight="1" x14ac:dyDescent="0.2">
      <c r="B211" s="22" t="s">
        <v>882</v>
      </c>
      <c r="C211" s="159" t="s">
        <v>883</v>
      </c>
      <c r="D211" s="79" t="s">
        <v>883</v>
      </c>
      <c r="E211" s="161" t="str">
        <f>IF(cluster_vds01_link_type_chosen="VDS Lag","This input is masked out as you have chosen to configure VDS LAG","")</f>
        <v/>
      </c>
    </row>
    <row r="212" spans="2:5" ht="20" customHeight="1" x14ac:dyDescent="0.2">
      <c r="B212" s="22" t="s">
        <v>884</v>
      </c>
      <c r="C212" s="159" t="s">
        <v>862</v>
      </c>
      <c r="D212" s="79" t="s">
        <v>862</v>
      </c>
      <c r="E212" s="161" t="str">
        <f>IF(cluster_vds01_link_type_chosen="VDS Lag","This input is masked out as you have chosen to configure VDS LAG","")</f>
        <v/>
      </c>
    </row>
    <row r="213" spans="2:5" ht="20" customHeight="1" x14ac:dyDescent="0.2">
      <c r="B213" s="22" t="s">
        <v>885</v>
      </c>
      <c r="C213" s="159" t="s">
        <v>862</v>
      </c>
      <c r="D213" s="79" t="s">
        <v>862</v>
      </c>
      <c r="E213" s="161" t="str">
        <f>IF(cluster_vds01_link_type_chosen="VDS Lag","This input is masked out as you have chosen to configure VDS LAG","")</f>
        <v/>
      </c>
    </row>
    <row r="214" spans="2:5" ht="20" customHeight="1" x14ac:dyDescent="0.2">
      <c r="B214" s="154" t="str">
        <f>IF(cluster_principal_storage_chosen="NFSv3","Network Traffic: NFS","Network Traffic: vSAN")</f>
        <v>Network Traffic: vSAN</v>
      </c>
      <c r="C214" s="155"/>
      <c r="D214" s="155"/>
      <c r="E214" s="156"/>
    </row>
    <row r="215" spans="2:5" ht="20" customHeight="1" x14ac:dyDescent="0.2">
      <c r="B215" s="22" t="s">
        <v>185</v>
      </c>
      <c r="C215" s="362" t="str">
        <f>CONCATENATE(sample_cluster_name,"-pg-vsan")</f>
        <v>sfo-w01-cl02-pg-vsan</v>
      </c>
      <c r="D215" s="347"/>
      <c r="E215" s="337" t="str">
        <f>IF(cluster_vds_profile_chosen="Storage Traffic Separation","Portgroup will be created on Secondary Distributed Switch",
IF(cluster_vds_profile_chosen="vSAN Max Storage Traffic Separation","Portgroup will be created on Secondary Distributed Switch",
IF(cluster_vds_profile_chosen="vSAN Max Storage Traffic and NSX Traffic Separation","Portgroup will be created on Secondary Distributed Switch",
IF(cluster_vds_profile_chosen="NSX Traffic Separation","Portgroup will be created on Primary Distributed Switch",
IF(cluster_vds_profile_chosen="Storage Traffic and NSX Traffic Separation","Portgroup will be created on Secondary Distributed Switch",
IF(cluster_vds_profile_chosen="Custom","","Portgroup will be created on Primary Distributed Switch"))))))</f>
        <v>Portgroup will be created on Primary Distributed Switch</v>
      </c>
    </row>
    <row r="216" spans="2:5" ht="20" customHeight="1" x14ac:dyDescent="0.2">
      <c r="B216" s="22" t="s">
        <v>882</v>
      </c>
      <c r="C216" s="159" t="s">
        <v>883</v>
      </c>
      <c r="D216" s="79" t="s">
        <v>883</v>
      </c>
      <c r="E216"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7" spans="2:5" ht="20" customHeight="1" x14ac:dyDescent="0.2">
      <c r="B217" s="22" t="s">
        <v>884</v>
      </c>
      <c r="C217" s="159" t="s">
        <v>862</v>
      </c>
      <c r="D217" s="79" t="s">
        <v>862</v>
      </c>
      <c r="E217"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8" spans="2:5" ht="20" customHeight="1" x14ac:dyDescent="0.2">
      <c r="B218" s="22" t="s">
        <v>885</v>
      </c>
      <c r="C218" s="159" t="s">
        <v>862</v>
      </c>
      <c r="D218" s="79" t="s">
        <v>862</v>
      </c>
      <c r="E218"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9" spans="2:5" ht="20" customHeight="1" x14ac:dyDescent="0.2">
      <c r="B219" s="154" t="s">
        <v>889</v>
      </c>
      <c r="C219" s="155"/>
      <c r="D219" s="155"/>
      <c r="E219" s="156"/>
    </row>
    <row r="220" spans="2:5" ht="20" customHeight="1" x14ac:dyDescent="0.2">
      <c r="B220" s="22" t="s">
        <v>185</v>
      </c>
      <c r="C220" s="362" t="str">
        <f>CONCATENATE(sample_cluster_name,"-pg-vsan-client")</f>
        <v>sfo-w01-cl02-pg-vsan-client</v>
      </c>
      <c r="D220" s="347"/>
      <c r="E220" s="153" t="str">
        <f>IF(OR((cluster_result="Excluded"),(cluster_secondary_storage_result="Excluded")),"This input is masked out as vSAN Storage Client Network in not enabled",
IF(cluster_vds_profile_chosen="vSAN Max Storage Traffic Separation","Portgroup will be created on Primary Distributed Switch",
IF(cluster_vds_profile_chosen="vSAN Max Storage Traffic and NSX Traffic Separation","Portgroup will be created on Primary Distributed Switch",
IF(cluster_vds_profile_chosen="Custom","","Portgroup will be created on Primary Distributed Switch"))))</f>
        <v>This input is masked out as vSAN Storage Client Network in not enabled</v>
      </c>
    </row>
    <row r="221" spans="2:5" ht="20" customHeight="1" x14ac:dyDescent="0.2">
      <c r="B221" s="22" t="s">
        <v>882</v>
      </c>
      <c r="C221" s="159" t="s">
        <v>883</v>
      </c>
      <c r="D221" s="79" t="s">
        <v>883</v>
      </c>
      <c r="E221"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2" spans="2:5" ht="20" customHeight="1" x14ac:dyDescent="0.2">
      <c r="B222" s="22" t="s">
        <v>884</v>
      </c>
      <c r="C222" s="159" t="s">
        <v>862</v>
      </c>
      <c r="D222" s="79" t="s">
        <v>862</v>
      </c>
      <c r="E222"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3" spans="2:5" ht="20" customHeight="1" x14ac:dyDescent="0.2">
      <c r="B223" s="22" t="s">
        <v>885</v>
      </c>
      <c r="C223" s="159" t="s">
        <v>862</v>
      </c>
      <c r="D223" s="79" t="s">
        <v>862</v>
      </c>
      <c r="E223"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4" spans="2:5" ht="20" customHeight="1" x14ac:dyDescent="0.2">
      <c r="B224" s="492" t="s">
        <v>890</v>
      </c>
      <c r="C224" s="493"/>
      <c r="D224" s="493"/>
      <c r="E224" s="494"/>
    </row>
    <row r="225" spans="2:5" ht="20" customHeight="1" x14ac:dyDescent="0.2">
      <c r="B225" s="4" t="s">
        <v>891</v>
      </c>
      <c r="C225" s="362" t="s">
        <v>159</v>
      </c>
      <c r="D225" s="347" t="s">
        <v>159</v>
      </c>
      <c r="E225" s="337"/>
    </row>
    <row r="226" spans="2:5" ht="20" customHeight="1" x14ac:dyDescent="0.2">
      <c r="B226" s="4" t="s">
        <v>538</v>
      </c>
      <c r="C226" s="362" t="s">
        <v>538</v>
      </c>
      <c r="D226" s="347" t="s">
        <v>538</v>
      </c>
      <c r="E226" s="337"/>
    </row>
    <row r="227" spans="2:5" ht="20" customHeight="1" x14ac:dyDescent="0.2">
      <c r="B227" s="4" t="s">
        <v>1174</v>
      </c>
      <c r="C227" s="362" t="s">
        <v>159</v>
      </c>
      <c r="D227" s="347" t="s">
        <v>159</v>
      </c>
      <c r="E227" s="337"/>
    </row>
    <row r="228" spans="2:5" ht="20" customHeight="1" x14ac:dyDescent="0.2">
      <c r="B228" s="4" t="s">
        <v>893</v>
      </c>
      <c r="C228" s="362" t="s">
        <v>145</v>
      </c>
      <c r="D228" s="347" t="s">
        <v>145</v>
      </c>
      <c r="E228" s="337"/>
    </row>
    <row r="229" spans="2:5" ht="20" customHeight="1" x14ac:dyDescent="0.2">
      <c r="B229" s="492" t="s">
        <v>894</v>
      </c>
      <c r="C229" s="493"/>
      <c r="D229" s="493"/>
      <c r="E229" s="494"/>
    </row>
    <row r="230" spans="2:5" ht="20" customHeight="1" x14ac:dyDescent="0.2">
      <c r="B230" s="4" t="s">
        <v>895</v>
      </c>
      <c r="C230" s="362" t="str">
        <f>IF(cluster_wld_domain_chosen="VI Workload Domain",CONCATENATE("overlay-tz-",this_instance,"-w0",wld_domain_number_chosen,"-nsx01"),CONCATENATE("overlay-tz-",this_instance,"-m01","-nsx01"))</f>
        <v>overlay-tz-sfo-w01-nsx01</v>
      </c>
      <c r="D230" s="347"/>
      <c r="E230" s="337"/>
    </row>
    <row r="231" spans="2:5" ht="20" customHeight="1" x14ac:dyDescent="0.2">
      <c r="B231" s="4" t="s">
        <v>85</v>
      </c>
      <c r="C231" s="362" t="str">
        <f>IF(cluster_wld_domain_chosen="VI Workload Domain",CONCATENATE(prefix_wld_az1_vlan,"14"),CONCATENATE(prefix_mgmt_az1_vlan,"14"))</f>
        <v>1314</v>
      </c>
      <c r="D231" s="347"/>
      <c r="E231" s="337"/>
    </row>
    <row r="232" spans="2:5" ht="20" customHeight="1" x14ac:dyDescent="0.2">
      <c r="B232" s="4" t="s">
        <v>896</v>
      </c>
      <c r="C232" s="362" t="s">
        <v>897</v>
      </c>
      <c r="D232" s="355" t="s">
        <v>897</v>
      </c>
      <c r="E232" s="337"/>
    </row>
    <row r="233" spans="2:5" ht="20" customHeight="1" x14ac:dyDescent="0.2">
      <c r="B233" s="4" t="s">
        <v>897</v>
      </c>
      <c r="C233" s="362" t="s">
        <v>1175</v>
      </c>
      <c r="D233" s="347" t="s">
        <v>1175</v>
      </c>
      <c r="E233" s="337"/>
    </row>
    <row r="234" spans="2:5" ht="20" customHeight="1" x14ac:dyDescent="0.2">
      <c r="B234" s="4" t="s">
        <v>898</v>
      </c>
      <c r="C234" s="126" t="str">
        <f>IF(cluster_wld_domain_chosen="VI Workload Domain",CONCATENATE(this_instance,"01-w0",wld_domain_number_chosen,"-r01-ip-pool01-host"),CONCATENATE(this_instance,"01-m01","-r01-ip-pool01-host"))</f>
        <v>sfo01-w01-r01-ip-pool01-host</v>
      </c>
      <c r="D234" s="347"/>
      <c r="E234" s="337"/>
    </row>
    <row r="235" spans="2:5" ht="20" customHeight="1" x14ac:dyDescent="0.2">
      <c r="B235" s="4" t="s">
        <v>1176</v>
      </c>
      <c r="C235" s="126" t="s">
        <v>899</v>
      </c>
      <c r="D235" s="347"/>
      <c r="E235" s="337"/>
    </row>
    <row r="236" spans="2:5" ht="20" customHeight="1" x14ac:dyDescent="0.2">
      <c r="B236" s="4" t="s">
        <v>460</v>
      </c>
      <c r="C236" s="362" t="str">
        <f>IF(cluster_wld_domain_chosen="VI Workload Domain",CONCATENATE(prefix_wld_az1_cidr,"14.0/24"),CONCATENATE(prefix_mgmt_az1_cidr,"14.0/24"))</f>
        <v>10.13.14.0/24</v>
      </c>
      <c r="D236" s="347"/>
      <c r="E236" s="337"/>
    </row>
    <row r="237" spans="2:5" ht="20" customHeight="1" x14ac:dyDescent="0.2">
      <c r="B237" s="4" t="s">
        <v>255</v>
      </c>
      <c r="C237" s="362" t="str">
        <f>IF(cluster_wld_domain_chosen="VI Workload Domain",CONCATENATE(prefix_wld_az1_cidr,"14.101"),CONCATENATE(prefix_mgmt_az1_cidr,"14.101"))</f>
        <v>10.13.14.101</v>
      </c>
      <c r="D237" s="347"/>
      <c r="E237" s="337"/>
    </row>
    <row r="238" spans="2:5" ht="20" customHeight="1" x14ac:dyDescent="0.2">
      <c r="B238" s="4" t="s">
        <v>256</v>
      </c>
      <c r="C238" s="362" t="str">
        <f>IF(cluster_wld_domain_chosen="VI Workload Domain",CONCATENATE(prefix_wld_az1_cidr,"14.132"),CONCATENATE(prefix_mgmt_az1_cidr,"14.132"))</f>
        <v>10.13.14.132</v>
      </c>
      <c r="D238" s="347"/>
      <c r="E238" s="337"/>
    </row>
    <row r="239" spans="2:5" ht="20" customHeight="1" x14ac:dyDescent="0.2">
      <c r="B239" s="4" t="s">
        <v>461</v>
      </c>
      <c r="C239" s="362" t="str">
        <f>IF(cluster_wld_domain_chosen="VI Workload Domain",CONCATENATE(prefix_wld_az1_cidr,"14.1"),CONCATENATE(prefix_mgmt_az1_cidr,"14.1"))</f>
        <v>10.13.14.1</v>
      </c>
      <c r="D239" s="347"/>
      <c r="E239" s="337"/>
    </row>
    <row r="240" spans="2:5" ht="20" customHeight="1" x14ac:dyDescent="0.2">
      <c r="B240" s="4" t="s">
        <v>900</v>
      </c>
      <c r="C240" s="362" t="s">
        <v>901</v>
      </c>
      <c r="D240" s="347"/>
      <c r="E240" s="337" t="str">
        <f>IF(cluster_nsx_vlan_transport_zone_chosen="Unselected","This input is masked out as your have not selected Transport Zone Type: NSX-VLAN","")</f>
        <v>This input is masked out as your have not selected Transport Zone Type: NSX-VLAN</v>
      </c>
    </row>
    <row r="241" spans="2:5" ht="20" customHeight="1" x14ac:dyDescent="0.2">
      <c r="B241" s="492" t="s">
        <v>1177</v>
      </c>
      <c r="C241" s="493"/>
      <c r="D241" s="493"/>
      <c r="E241" s="494"/>
    </row>
    <row r="242" spans="2:5" ht="20" customHeight="1" x14ac:dyDescent="0.2">
      <c r="B242" s="4" t="s">
        <v>337</v>
      </c>
      <c r="C242" s="362" t="str">
        <f>IF(cluster_wld_domain_chosen="VI Workload Domain",CONCATENATE(this_instance,"01-",sample_cluster_name,"-r01-network-profile"),CONCATENATE(this_instance,"01-",sample_cluster_name,"-r01-network-profile"))</f>
        <v>sfo01-sfo-w01-cl02-r01-network-profile</v>
      </c>
      <c r="D242" s="347"/>
      <c r="E242" s="337"/>
    </row>
    <row r="243" spans="2:5" ht="20" customHeight="1" x14ac:dyDescent="0.2">
      <c r="B243" s="4" t="s">
        <v>903</v>
      </c>
      <c r="C243" s="362">
        <v>2</v>
      </c>
      <c r="D243" s="347"/>
      <c r="E243" s="337"/>
    </row>
    <row r="244" spans="2:5" ht="20" customHeight="1" x14ac:dyDescent="0.2">
      <c r="B244" s="4" t="s">
        <v>904</v>
      </c>
      <c r="C244" s="362" t="s">
        <v>884</v>
      </c>
      <c r="D244" s="347"/>
      <c r="E244" s="337"/>
    </row>
    <row r="245" spans="2:5" ht="20" customHeight="1" x14ac:dyDescent="0.2">
      <c r="B245" s="4" t="s">
        <v>905</v>
      </c>
      <c r="C245" s="362" t="s">
        <v>885</v>
      </c>
      <c r="D245" s="347"/>
      <c r="E245" s="337"/>
    </row>
    <row r="246" spans="2:5" ht="20" customHeight="1" x14ac:dyDescent="0.2">
      <c r="B246" s="17" t="s">
        <v>906</v>
      </c>
      <c r="C246" s="126" t="str">
        <f>IF(cluster_wld_domain_chosen="VI Workload Domain",CONCATENATE(this_instance,"01-w0",wld_domain_number_chosen,"-r01-uplink-profile01"),CONCATENATE(this_instance,"01-m01","-r01-uplink-profile01"))</f>
        <v>sfo01-w01-r01-uplink-profile01</v>
      </c>
      <c r="D246" s="347"/>
      <c r="E246" s="337"/>
    </row>
    <row r="247" spans="2:5" ht="20" customHeight="1" x14ac:dyDescent="0.2">
      <c r="B247" s="4" t="s">
        <v>882</v>
      </c>
      <c r="C247" s="362" t="s">
        <v>908</v>
      </c>
      <c r="D247" s="347" t="s">
        <v>908</v>
      </c>
      <c r="E247"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48" spans="2:5" ht="20" customHeight="1" x14ac:dyDescent="0.2">
      <c r="B248" s="4" t="s">
        <v>1178</v>
      </c>
      <c r="C248" s="362" t="s">
        <v>884</v>
      </c>
      <c r="D248" s="347"/>
      <c r="E248"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49" spans="2:5" ht="20" customHeight="1" x14ac:dyDescent="0.2">
      <c r="B249" s="4" t="s">
        <v>1179</v>
      </c>
      <c r="C249" s="362" t="s">
        <v>885</v>
      </c>
      <c r="D249" s="347"/>
      <c r="E249"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50" spans="2:5" ht="16" customHeight="1" x14ac:dyDescent="0.2"/>
    <row r="251" spans="2:5" ht="34" customHeight="1" x14ac:dyDescent="0.2">
      <c r="B251" s="566" t="s">
        <v>1180</v>
      </c>
      <c r="C251" s="567"/>
      <c r="D251" s="567"/>
      <c r="E251" s="568"/>
    </row>
    <row r="252" spans="2:5" ht="16" customHeight="1" x14ac:dyDescent="0.2">
      <c r="B252" s="120"/>
      <c r="C252" s="35"/>
      <c r="D252" s="35"/>
      <c r="E252" s="35"/>
    </row>
    <row r="253" spans="2:5" ht="34" customHeight="1" x14ac:dyDescent="0.2">
      <c r="B253" s="569" t="s">
        <v>212</v>
      </c>
      <c r="C253" s="570"/>
      <c r="D253" s="570"/>
      <c r="E253" s="571"/>
    </row>
    <row r="254" spans="2:5" ht="20" customHeight="1" x14ac:dyDescent="0.2">
      <c r="B254" s="346" t="s">
        <v>17</v>
      </c>
      <c r="C254" s="346" t="s">
        <v>18</v>
      </c>
      <c r="D254" s="346" t="s">
        <v>19</v>
      </c>
      <c r="E254" s="346" t="s">
        <v>20</v>
      </c>
    </row>
    <row r="255" spans="2:5" ht="20" customHeight="1" x14ac:dyDescent="0.2">
      <c r="B255" s="495" t="s">
        <v>213</v>
      </c>
      <c r="C255" s="496"/>
      <c r="D255" s="496"/>
      <c r="E255" s="497"/>
    </row>
    <row r="256" spans="2:5" ht="20" customHeight="1" x14ac:dyDescent="0.2">
      <c r="B256" s="22" t="s">
        <v>85</v>
      </c>
      <c r="C256" s="80" t="str">
        <f>IF(cluster_wld_domain_chosen="VI Workload Domain",CONCATENATE(prefix_wld_az2_vlan,"11"),CONCATENATE(prefix_mgmt_az2_vlan,"11"))</f>
        <v>1411</v>
      </c>
      <c r="D256" s="267"/>
      <c r="E256" s="199"/>
    </row>
    <row r="257" spans="2:5" ht="20" customHeight="1" x14ac:dyDescent="0.2">
      <c r="B257" s="22" t="s">
        <v>187</v>
      </c>
      <c r="C257" s="80" t="str">
        <f>IF(cluster_wld_domain_chosen="VI Workload Domain",CONCATENATE(prefix_wld_az2_cidr,"11.1"),CONCATENATE(prefix_mgmt_az2_cidr,"11.1"))</f>
        <v>10.14.11.1</v>
      </c>
      <c r="D257" s="267"/>
      <c r="E257" s="161"/>
    </row>
    <row r="258" spans="2:5" ht="20" customHeight="1" x14ac:dyDescent="0.2">
      <c r="B258" s="22" t="s">
        <v>188</v>
      </c>
      <c r="C258" s="80" t="str">
        <f>IF(cluster_wld_domain_chosen="VI Workload Domain",CONCATENATE(prefix_wld_az2_cidr,"11.0/24"),CONCATENATE(prefix_mgmt_az2_cidr,"11.0/24"))</f>
        <v>10.14.11.0/24</v>
      </c>
      <c r="D258" s="267"/>
      <c r="E258" s="161"/>
    </row>
    <row r="259" spans="2:5" ht="20" customHeight="1" x14ac:dyDescent="0.2">
      <c r="B259" s="22" t="s">
        <v>160</v>
      </c>
      <c r="C259" s="80">
        <v>1500</v>
      </c>
      <c r="D259" s="267"/>
      <c r="E259" s="161"/>
    </row>
    <row r="260" spans="2:5" ht="20" customHeight="1" x14ac:dyDescent="0.2">
      <c r="B260" s="563" t="s">
        <v>214</v>
      </c>
      <c r="C260" s="564"/>
      <c r="D260" s="564"/>
      <c r="E260" s="565"/>
    </row>
    <row r="261" spans="2:5" ht="20" customHeight="1" x14ac:dyDescent="0.2">
      <c r="B261" s="22" t="s">
        <v>215</v>
      </c>
      <c r="C261" s="89" t="str">
        <f>IF(cluster_wld_domain_chosen="VI Workload Domain",CONCATENATE(prefix_wld_az2_cidr,"11.101"),CONCATENATE(prefix_mgmt_az2_cidr,"11.101"))</f>
        <v>10.14.11.101</v>
      </c>
      <c r="D261" s="265"/>
      <c r="E261" s="132" t="s">
        <v>216</v>
      </c>
    </row>
    <row r="262" spans="2:5" ht="20" customHeight="1" x14ac:dyDescent="0.2">
      <c r="B262" s="22" t="s">
        <v>217</v>
      </c>
      <c r="C262" s="89" t="str">
        <f>IF(cluster_wld_domain_chosen="VI Workload Domain",CONCATENATE(prefix_wld_az2_cidr,"11.102"),CONCATENATE(prefix_mgmt_az2_cidr,"11.102"))</f>
        <v>10.14.11.102</v>
      </c>
      <c r="D262" s="265"/>
      <c r="E262" s="132" t="s">
        <v>218</v>
      </c>
    </row>
    <row r="263" spans="2:5" ht="20" customHeight="1" x14ac:dyDescent="0.2">
      <c r="B263" s="22" t="s">
        <v>219</v>
      </c>
      <c r="C263" s="89" t="str">
        <f>IF(cluster_wld_domain_chosen="VI Workload Domain",CONCATENATE(prefix_wld_az2_cidr,"11.103"),CONCATENATE(prefix_mgmt_az2_cidr,"11.103"))</f>
        <v>10.14.11.103</v>
      </c>
      <c r="D263" s="265"/>
      <c r="E263" s="132" t="s">
        <v>220</v>
      </c>
    </row>
    <row r="264" spans="2:5" ht="20" customHeight="1" x14ac:dyDescent="0.2">
      <c r="B264" s="22" t="s">
        <v>221</v>
      </c>
      <c r="C264" s="89" t="str">
        <f>IF(cluster_wld_domain_chosen="VI Workload Domain",CONCATENATE(prefix_wld_az2_cidr,"11.104"),CONCATENATE(prefix_mgmt_az2_cidr,"11.104"))</f>
        <v>10.14.11.104</v>
      </c>
      <c r="D264" s="265"/>
      <c r="E264" s="132" t="s">
        <v>222</v>
      </c>
    </row>
    <row r="265" spans="2:5" ht="20" customHeight="1" x14ac:dyDescent="0.2">
      <c r="B265" s="22" t="s">
        <v>223</v>
      </c>
      <c r="C265" s="89" t="str">
        <f>IF(cluster_wld_domain_chosen="VI Workload Domain",CONCATENATE(prefix_wld_az2_cidr,"11.105"),CONCATENATE(prefix_mgmt_az2_cidr,"11.105"))</f>
        <v>10.14.11.105</v>
      </c>
      <c r="D265" s="265"/>
      <c r="E265" s="132" t="s">
        <v>224</v>
      </c>
    </row>
    <row r="266" spans="2:5" ht="20" customHeight="1" x14ac:dyDescent="0.2">
      <c r="B266" s="22" t="s">
        <v>225</v>
      </c>
      <c r="C266" s="89" t="str">
        <f>IF(cluster_wld_domain_chosen="VI Workload Domain",CONCATENATE(prefix_wld_az2_cidr,"11.106"),CONCATENATE(prefix_mgmt_az2_cidr,"11.106"))</f>
        <v>10.14.11.106</v>
      </c>
      <c r="D266" s="265"/>
      <c r="E266" s="132" t="s">
        <v>226</v>
      </c>
    </row>
    <row r="267" spans="2:5" ht="20" customHeight="1" x14ac:dyDescent="0.2">
      <c r="B267" s="22" t="s">
        <v>227</v>
      </c>
      <c r="C267" s="89" t="str">
        <f>IF(cluster_wld_domain_chosen="VI Workload Domain",CONCATENATE(prefix_wld_az2_cidr,"11.107"),CONCATENATE(prefix_mgmt_az2_cidr,"11.107"))</f>
        <v>10.14.11.107</v>
      </c>
      <c r="D267" s="265"/>
      <c r="E267" s="132" t="s">
        <v>228</v>
      </c>
    </row>
    <row r="268" spans="2:5" ht="20" customHeight="1" x14ac:dyDescent="0.2">
      <c r="B268" s="22" t="s">
        <v>229</v>
      </c>
      <c r="C268" s="89" t="str">
        <f>IF(cluster_wld_domain_chosen="VI Workload Domain",CONCATENATE(prefix_wld_az2_cidr,"11.108"),CONCATENATE(prefix_mgmt_az2_cidr,"11.108"))</f>
        <v>10.14.11.108</v>
      </c>
      <c r="D268" s="265"/>
      <c r="E268" s="132" t="s">
        <v>230</v>
      </c>
    </row>
    <row r="269" spans="2:5" ht="20" customHeight="1" x14ac:dyDescent="0.2">
      <c r="B269" s="22" t="s">
        <v>231</v>
      </c>
      <c r="C269" s="89" t="str">
        <f>IF(cluster_wld_domain_chosen="VI Workload Domain",CONCATENATE(prefix_wld_az2_cidr,"11.109"),CONCATENATE(prefix_mgmt_az2_cidr,"11.109"))</f>
        <v>10.14.11.109</v>
      </c>
      <c r="D269" s="265"/>
      <c r="E269" s="132" t="s">
        <v>232</v>
      </c>
    </row>
    <row r="270" spans="2:5" ht="20" customHeight="1" x14ac:dyDescent="0.2">
      <c r="B270" s="22" t="s">
        <v>233</v>
      </c>
      <c r="C270" s="89" t="str">
        <f>IF(cluster_wld_domain_chosen="VI Workload Domain",CONCATENATE(prefix_wld_az2_cidr,"11.110"),CONCATENATE(prefix_mgmt_az2_cidr,"11.110"))</f>
        <v>10.14.11.110</v>
      </c>
      <c r="D270" s="265"/>
      <c r="E270" s="132" t="s">
        <v>234</v>
      </c>
    </row>
    <row r="271" spans="2:5" ht="20" customHeight="1" x14ac:dyDescent="0.2">
      <c r="B271" s="22" t="s">
        <v>235</v>
      </c>
      <c r="C271" s="89" t="str">
        <f>IF(cluster_wld_domain_chosen="VI Workload Domain",CONCATENATE(prefix_wld_az2_cidr,"11.111"),CONCATENATE(prefix_mgmt_az2_cidr,"11.111"))</f>
        <v>10.14.11.111</v>
      </c>
      <c r="D271" s="265"/>
      <c r="E271" s="132" t="s">
        <v>236</v>
      </c>
    </row>
    <row r="272" spans="2:5" ht="20" customHeight="1" x14ac:dyDescent="0.2">
      <c r="B272" s="22" t="s">
        <v>237</v>
      </c>
      <c r="C272" s="89" t="str">
        <f>IF(cluster_wld_domain_chosen="VI Workload Domain",CONCATENATE(prefix_wld_az2_cidr,"11.112"),CONCATENATE(prefix_mgmt_az2_cidr,"11.112"))</f>
        <v>10.14.11.112</v>
      </c>
      <c r="D272" s="265"/>
      <c r="E272" s="132" t="s">
        <v>238</v>
      </c>
    </row>
    <row r="273" spans="2:5" ht="20" customHeight="1" x14ac:dyDescent="0.2">
      <c r="B273" s="22" t="s">
        <v>239</v>
      </c>
      <c r="C273" s="89" t="str">
        <f>IF(cluster_wld_domain_chosen="VI Workload Domain",CONCATENATE(prefix_wld_az2_cidr,"11.113"),CONCATENATE(prefix_mgmt_az2_cidr,"11.113"))</f>
        <v>10.14.11.113</v>
      </c>
      <c r="D273" s="265"/>
      <c r="E273" s="132" t="s">
        <v>240</v>
      </c>
    </row>
    <row r="274" spans="2:5" ht="20" customHeight="1" x14ac:dyDescent="0.2">
      <c r="B274" s="22" t="s">
        <v>241</v>
      </c>
      <c r="C274" s="89" t="str">
        <f>IF(cluster_wld_domain_chosen="VI Workload Domain",CONCATENATE(prefix_wld_az2_cidr,"11.114"),CONCATENATE(prefix_mgmt_az2_cidr,"11.114"))</f>
        <v>10.14.11.114</v>
      </c>
      <c r="D274" s="265"/>
      <c r="E274" s="132" t="s">
        <v>242</v>
      </c>
    </row>
    <row r="275" spans="2:5" ht="20" customHeight="1" x14ac:dyDescent="0.2">
      <c r="B275" s="22" t="s">
        <v>243</v>
      </c>
      <c r="C275" s="89" t="str">
        <f>IF(cluster_wld_domain_chosen="VI Workload Domain",CONCATENATE(prefix_wld_az2_cidr,"11.115"),CONCATENATE(prefix_mgmt_az2_cidr,"11.115"))</f>
        <v>10.14.11.115</v>
      </c>
      <c r="D275" s="265"/>
      <c r="E275" s="132" t="s">
        <v>244</v>
      </c>
    </row>
    <row r="276" spans="2:5" ht="20" customHeight="1" x14ac:dyDescent="0.2">
      <c r="B276" s="22" t="s">
        <v>245</v>
      </c>
      <c r="C276" s="89" t="str">
        <f>IF(cluster_wld_domain_chosen="VI Workload Domain",CONCATENATE(prefix_wld_az2_cidr,"11.116"),CONCATENATE(prefix_mgmt_az2_cidr,"11.116"))</f>
        <v>10.14.11.116</v>
      </c>
      <c r="D276" s="265"/>
      <c r="E276" s="132" t="s">
        <v>246</v>
      </c>
    </row>
    <row r="277" spans="2:5" ht="16" customHeight="1" x14ac:dyDescent="0.2">
      <c r="B277" s="120"/>
      <c r="C277" s="35"/>
      <c r="D277" s="35"/>
      <c r="E277" s="35"/>
    </row>
    <row r="278" spans="2:5" ht="34" customHeight="1" x14ac:dyDescent="0.2">
      <c r="B278" s="569" t="s">
        <v>247</v>
      </c>
      <c r="C278" s="570"/>
      <c r="D278" s="570"/>
      <c r="E278" s="571"/>
    </row>
    <row r="279" spans="2:5" ht="20" customHeight="1" x14ac:dyDescent="0.2">
      <c r="B279" s="346" t="s">
        <v>17</v>
      </c>
      <c r="C279" s="346" t="s">
        <v>18</v>
      </c>
      <c r="D279" s="346" t="s">
        <v>19</v>
      </c>
      <c r="E279" s="346" t="s">
        <v>20</v>
      </c>
    </row>
    <row r="280" spans="2:5" ht="20" customHeight="1" x14ac:dyDescent="0.2">
      <c r="B280" s="4" t="s">
        <v>248</v>
      </c>
      <c r="C280" s="362" t="s">
        <v>249</v>
      </c>
      <c r="D280" s="271" t="s">
        <v>249</v>
      </c>
      <c r="E280" s="4" t="str">
        <f>IF(wld_az2_reuse_vcf_networkpool_chosen="Re-use an existing VCF Network Pool","An exisiting VCF Network Pool will be reused for Host TEP assignment","A new VCF Network Pool will be created")</f>
        <v>A new VCF Network Pool will be created</v>
      </c>
    </row>
    <row r="281" spans="2:5" ht="20" customHeight="1" x14ac:dyDescent="0.2">
      <c r="B281" s="22" t="s">
        <v>250</v>
      </c>
      <c r="C281" s="262" t="str">
        <f>IF(cluster_az1_reuse_vcf_networkpool_result="Excluded",IF(cluster_wld_domain_chosen="VI Workload Domain",CONCATENATE(this_instance,"02-w0",wld_domain_number_chosen,"-r01-network-pool-01"),CONCATENATE(this_instance,"02-m01","-r01-network-pool-01")),IF(cluster_wld_domain_chosen="VI Workload Domain",CONCATENATE(this_instance,"02-w0",wld_domain_number_chosen,"-r01-network-pool-01"),CONCATENATE(this_instance,"02-m01","-r01-network-pool-01")))</f>
        <v>sfo02-w01-r01-network-pool-01</v>
      </c>
      <c r="D281" s="271"/>
      <c r="E281" s="161"/>
    </row>
    <row r="282" spans="2:5" ht="20" customHeight="1" x14ac:dyDescent="0.2">
      <c r="B282" s="495" t="s">
        <v>251</v>
      </c>
      <c r="C282" s="496"/>
      <c r="D282" s="496"/>
      <c r="E282" s="497"/>
    </row>
    <row r="283" spans="2:5" ht="20" customHeight="1" x14ac:dyDescent="0.2">
      <c r="B283" s="22" t="s">
        <v>85</v>
      </c>
      <c r="C283" s="80" t="str">
        <f>IF(cluster_wld_domain_chosen="VI Workload Domain",CONCATENATE(prefix_wld_az2_vlan,"12"),CONCATENATE(prefix_mgmt_az2_vlan,"12"))</f>
        <v>1412</v>
      </c>
      <c r="D283" s="267"/>
      <c r="E283" s="199"/>
    </row>
    <row r="284" spans="2:5" ht="20" customHeight="1" x14ac:dyDescent="0.2">
      <c r="B284" s="22" t="s">
        <v>160</v>
      </c>
      <c r="C284" s="80">
        <v>9000</v>
      </c>
      <c r="D284" s="267"/>
      <c r="E284" s="161"/>
    </row>
    <row r="285" spans="2:5" ht="20" customHeight="1" x14ac:dyDescent="0.2">
      <c r="B285" s="22" t="s">
        <v>252</v>
      </c>
      <c r="C285" s="80" t="str">
        <f>IF(cluster_wld_domain_chosen="VI Workload Domain",CONCATENATE(prefix_wld_az2_cidr,"12.0"),CONCATENATE(prefix_mgmt_az2_cidr,"12.0"))</f>
        <v>10.14.12.0</v>
      </c>
      <c r="D285" s="267"/>
      <c r="E285" s="161"/>
    </row>
    <row r="286" spans="2:5" ht="20" customHeight="1" x14ac:dyDescent="0.2">
      <c r="B286" s="22" t="s">
        <v>253</v>
      </c>
      <c r="C286" s="80" t="s">
        <v>128</v>
      </c>
      <c r="D286" s="267"/>
      <c r="E286" s="161"/>
    </row>
    <row r="287" spans="2:5" ht="20" customHeight="1" x14ac:dyDescent="0.2">
      <c r="B287" s="22" t="s">
        <v>254</v>
      </c>
      <c r="C287" s="80" t="str">
        <f>IF(cluster_wld_domain_chosen="VI Workload Domain",CONCATENATE(prefix_wld_az2_cidr,"12.1"),CONCATENATE(prefix_mgmt_az2_cidr,"12.1"))</f>
        <v>10.14.12.1</v>
      </c>
      <c r="D287" s="267"/>
      <c r="E287" s="161"/>
    </row>
    <row r="288" spans="2:5" ht="20" customHeight="1" x14ac:dyDescent="0.2">
      <c r="B288" s="22" t="s">
        <v>255</v>
      </c>
      <c r="C288" s="80" t="str">
        <f>IF(cluster_wld_domain_chosen="VI Workload Domain",CONCATENATE(prefix_wld_az2_cidr,"12.101"),CONCATENATE(prefix_mgmt_az2_cidr,"12.101"))</f>
        <v>10.14.12.101</v>
      </c>
      <c r="D288" s="267"/>
      <c r="E288" s="161"/>
    </row>
    <row r="289" spans="2:5" ht="20" customHeight="1" x14ac:dyDescent="0.2">
      <c r="B289" s="22" t="s">
        <v>256</v>
      </c>
      <c r="C289" s="80" t="str">
        <f>IF(cluster_wld_domain_chosen="VI Workload Domain",CONCATENATE(prefix_wld_az2_cidr,"12.116"),CONCATENATE(prefix_mgmt_az2_cidr,"12.116"))</f>
        <v>10.14.12.116</v>
      </c>
      <c r="D289" s="267"/>
      <c r="E289" s="161"/>
    </row>
    <row r="290" spans="2:5" ht="20" customHeight="1" x14ac:dyDescent="0.2">
      <c r="B290" s="495" t="s">
        <v>257</v>
      </c>
      <c r="C290" s="496"/>
      <c r="D290" s="496"/>
      <c r="E290" s="497"/>
    </row>
    <row r="291" spans="2:5" ht="20" customHeight="1" x14ac:dyDescent="0.2">
      <c r="B291" s="22" t="s">
        <v>85</v>
      </c>
      <c r="C291" s="80" t="str">
        <f>IF(cluster_wld_domain_chosen="VI Workload Domain",CONCATENATE(prefix_wld_az2_vlan,"13"),CONCATENATE(prefix_mgmt_az2_vlan,"13"))</f>
        <v>1413</v>
      </c>
      <c r="D291" s="267"/>
      <c r="E291" s="161"/>
    </row>
    <row r="292" spans="2:5" ht="20" customHeight="1" x14ac:dyDescent="0.2">
      <c r="B292" s="22" t="s">
        <v>160</v>
      </c>
      <c r="C292" s="80">
        <v>9000</v>
      </c>
      <c r="D292" s="267"/>
      <c r="E292" s="161"/>
    </row>
    <row r="293" spans="2:5" ht="20" customHeight="1" x14ac:dyDescent="0.2">
      <c r="B293" s="22" t="s">
        <v>252</v>
      </c>
      <c r="C293" s="80" t="str">
        <f>IF(cluster_wld_domain_chosen="VI Workload Domain",CONCATENATE(prefix_wld_az2_cidr,"13.0"),CONCATENATE(prefix_mgmt_az2_cidr,"13.0"))</f>
        <v>10.14.13.0</v>
      </c>
      <c r="D293" s="267"/>
      <c r="E293" s="161"/>
    </row>
    <row r="294" spans="2:5" ht="20" customHeight="1" x14ac:dyDescent="0.2">
      <c r="B294" s="22" t="s">
        <v>253</v>
      </c>
      <c r="C294" s="80" t="s">
        <v>128</v>
      </c>
      <c r="D294" s="267"/>
      <c r="E294" s="161"/>
    </row>
    <row r="295" spans="2:5" ht="20" customHeight="1" x14ac:dyDescent="0.2">
      <c r="B295" s="22" t="s">
        <v>254</v>
      </c>
      <c r="C295" s="80" t="str">
        <f>IF(cluster_wld_domain_chosen="VI Workload Domain",CONCATENATE(prefix_wld_az2_cidr,"13.1"),CONCATENATE(prefix_mgmt_az2_cidr,"13.1"))</f>
        <v>10.14.13.1</v>
      </c>
      <c r="D295" s="267"/>
      <c r="E295" s="161"/>
    </row>
    <row r="296" spans="2:5" ht="20" customHeight="1" x14ac:dyDescent="0.2">
      <c r="B296" s="22" t="s">
        <v>255</v>
      </c>
      <c r="C296" s="80" t="str">
        <f>IF(cluster_wld_domain_chosen="VI Workload Domain",CONCATENATE(prefix_wld_az2_cidr,"13.101"),CONCATENATE(prefix_mgmt_az2_cidr,"13.101"))</f>
        <v>10.14.13.101</v>
      </c>
      <c r="D296" s="267"/>
      <c r="E296" s="161"/>
    </row>
    <row r="297" spans="2:5" ht="20" customHeight="1" x14ac:dyDescent="0.2">
      <c r="B297" s="22" t="s">
        <v>256</v>
      </c>
      <c r="C297" s="80" t="str">
        <f>IF(cluster_wld_domain_chosen="VI Workload Domain",CONCATENATE(prefix_wld_az2_cidr,"13.116"),CONCATENATE(prefix_mgmt_az2_cidr,"13.116"))</f>
        <v>10.14.13.116</v>
      </c>
      <c r="D297" s="267"/>
      <c r="E297" s="161"/>
    </row>
    <row r="298" spans="2:5" ht="20" customHeight="1" x14ac:dyDescent="0.2">
      <c r="B298" s="495" t="str">
        <f>IF(cluster_secondary_storage_chosen="Secondary NFS Storage Network","NFS Storage Network","vSAN Storage Client")</f>
        <v>vSAN Storage Client</v>
      </c>
      <c r="C298" s="496"/>
      <c r="D298" s="496"/>
      <c r="E298" s="497"/>
    </row>
    <row r="299" spans="2:5" ht="20" customHeight="1" x14ac:dyDescent="0.2">
      <c r="B299" s="22" t="s">
        <v>85</v>
      </c>
      <c r="C299" s="80" t="str">
        <f>IF(cluster_wld_domain_chosen="VI Workload Domain",CONCATENATE(prefix_wld_az2_vlan,"15"),CONCATENATE(prefix_mgmt_az2_vlan,"15"))</f>
        <v>1415</v>
      </c>
      <c r="D299" s="267"/>
      <c r="E299" s="161"/>
    </row>
    <row r="300" spans="2:5" ht="20" customHeight="1" x14ac:dyDescent="0.2">
      <c r="B300" s="22" t="s">
        <v>160</v>
      </c>
      <c r="C300" s="80">
        <v>9000</v>
      </c>
      <c r="D300" s="267"/>
      <c r="E300" s="161"/>
    </row>
    <row r="301" spans="2:5" ht="20" customHeight="1" x14ac:dyDescent="0.2">
      <c r="B301" s="22" t="s">
        <v>252</v>
      </c>
      <c r="C301" s="80" t="str">
        <f>IF(cluster_wld_domain_chosen="VI Workload Domain",CONCATENATE(prefix_wld_az2_cidr,"15.0"),CONCATENATE(prefix_mgmt_az2_cidr,"15.0"))</f>
        <v>10.14.15.0</v>
      </c>
      <c r="D301" s="267"/>
      <c r="E301" s="161"/>
    </row>
    <row r="302" spans="2:5" ht="20" customHeight="1" x14ac:dyDescent="0.2">
      <c r="B302" s="22" t="s">
        <v>253</v>
      </c>
      <c r="C302" s="80" t="s">
        <v>128</v>
      </c>
      <c r="D302" s="267"/>
      <c r="E302" s="161"/>
    </row>
    <row r="303" spans="2:5" ht="20" customHeight="1" x14ac:dyDescent="0.2">
      <c r="B303" s="22" t="s">
        <v>254</v>
      </c>
      <c r="C303" s="80" t="str">
        <f>IF(cluster_wld_domain_chosen="VI Workload Domain",CONCATENATE(prefix_wld_az2_cidr,"15.1"),CONCATENATE(prefix_mgmt_az2_cidr,"15.1"))</f>
        <v>10.14.15.1</v>
      </c>
      <c r="D303" s="267"/>
      <c r="E303" s="161"/>
    </row>
    <row r="304" spans="2:5" ht="20" customHeight="1" x14ac:dyDescent="0.2">
      <c r="B304" s="22" t="s">
        <v>255</v>
      </c>
      <c r="C304" s="80" t="str">
        <f>IF(cluster_wld_domain_chosen="VI Workload Domain",CONCATENATE(prefix_wld_az2_cidr,"15.101"),CONCATENATE(prefix_mgmt_az2_cidr,"15.101"))</f>
        <v>10.14.15.101</v>
      </c>
      <c r="D304" s="267"/>
      <c r="E304" s="161"/>
    </row>
    <row r="305" spans="2:5" ht="20" customHeight="1" x14ac:dyDescent="0.2">
      <c r="B305" s="22" t="s">
        <v>256</v>
      </c>
      <c r="C305" s="80" t="str">
        <f>IF(cluster_wld_domain_chosen="VI Workload Domain",CONCATENATE(prefix_wld_az2_cidr,"15.116"),CONCATENATE(prefix_mgmt_az2_cidr,"15.116"))</f>
        <v>10.14.15.116</v>
      </c>
      <c r="D305" s="267"/>
      <c r="E305" s="161"/>
    </row>
    <row r="306" spans="2:5" ht="20" customHeight="1" x14ac:dyDescent="0.2">
      <c r="B306" s="495" t="s">
        <v>805</v>
      </c>
      <c r="C306" s="496"/>
      <c r="D306" s="496"/>
      <c r="E306" s="497"/>
    </row>
    <row r="307" spans="2:5" ht="20" customHeight="1" x14ac:dyDescent="0.2">
      <c r="B307" s="22" t="s">
        <v>85</v>
      </c>
      <c r="C307" s="80" t="str">
        <f>IF(cluster_wld_domain_chosen="VI Workload Domain",CONCATENATE(prefix_wld_az2_vlan,"16"),CONCATENATE(prefix_mgmt_az2_vlan,"16"))</f>
        <v>1416</v>
      </c>
      <c r="D307" s="347"/>
      <c r="E307" s="161"/>
    </row>
    <row r="308" spans="2:5" ht="20" customHeight="1" x14ac:dyDescent="0.2">
      <c r="B308" s="22" t="s">
        <v>160</v>
      </c>
      <c r="C308" s="80">
        <v>9000</v>
      </c>
      <c r="D308" s="347"/>
      <c r="E308" s="161"/>
    </row>
    <row r="309" spans="2:5" ht="20" customHeight="1" x14ac:dyDescent="0.2">
      <c r="B309" s="22" t="s">
        <v>252</v>
      </c>
      <c r="C309" s="80" t="str">
        <f>IF(cluster_wld_domain_chosen="VI Workload Domain",CONCATENATE(prefix_wld_az2_cidr,"16.0"),CONCATENATE(prefix_mgmt_az2_cidr,"16.0"))</f>
        <v>10.14.16.0</v>
      </c>
      <c r="D309" s="347"/>
      <c r="E309" s="161"/>
    </row>
    <row r="310" spans="2:5" ht="20" customHeight="1" x14ac:dyDescent="0.2">
      <c r="B310" s="22" t="s">
        <v>253</v>
      </c>
      <c r="C310" s="80" t="s">
        <v>128</v>
      </c>
      <c r="D310" s="347"/>
      <c r="E310" s="161"/>
    </row>
    <row r="311" spans="2:5" ht="20" customHeight="1" x14ac:dyDescent="0.2">
      <c r="B311" s="22" t="s">
        <v>254</v>
      </c>
      <c r="C311" s="80" t="str">
        <f>IF(cluster_wld_domain_chosen="VI Workload Domain",CONCATENATE(prefix_wld_az2_cidr,"16.1"),CONCATENATE(prefix_mgmt_az2_cidr,"16.1"))</f>
        <v>10.14.16.1</v>
      </c>
      <c r="D311" s="347"/>
      <c r="E311" s="161"/>
    </row>
    <row r="312" spans="2:5" ht="20" customHeight="1" x14ac:dyDescent="0.2">
      <c r="B312" s="22" t="s">
        <v>255</v>
      </c>
      <c r="C312" s="80" t="str">
        <f>IF(cluster_wld_domain_chosen="VI Workload Domain",CONCATENATE(prefix_wld_az2_cidr,"16.101"),CONCATENATE(prefix_mgmt_az2_cidr,"16.101"))</f>
        <v>10.14.16.101</v>
      </c>
      <c r="D312" s="347"/>
      <c r="E312" s="161"/>
    </row>
    <row r="313" spans="2:5" ht="20" customHeight="1" x14ac:dyDescent="0.2">
      <c r="B313" s="22" t="s">
        <v>256</v>
      </c>
      <c r="C313" s="80" t="str">
        <f>IF(cluster_wld_domain_chosen="VI Workload Domain",CONCATENATE(prefix_wld_az2_cidr,"16.116"),CONCATENATE(prefix_mgmt_az2_cidr,"16.116"))</f>
        <v>10.14.16.116</v>
      </c>
      <c r="D313" s="347"/>
      <c r="E313" s="161"/>
    </row>
    <row r="314" spans="2:5" ht="16" customHeight="1" x14ac:dyDescent="0.2">
      <c r="B314" s="120"/>
      <c r="C314" s="35"/>
      <c r="D314" s="35"/>
      <c r="E314" s="35"/>
    </row>
    <row r="315" spans="2:5" ht="34" customHeight="1" x14ac:dyDescent="0.2">
      <c r="B315" s="569" t="s">
        <v>1181</v>
      </c>
      <c r="C315" s="570"/>
      <c r="D315" s="570"/>
      <c r="E315" s="571"/>
    </row>
    <row r="316" spans="2:5" ht="20" customHeight="1" x14ac:dyDescent="0.2">
      <c r="B316" s="346" t="s">
        <v>17</v>
      </c>
      <c r="C316" s="346" t="s">
        <v>18</v>
      </c>
      <c r="D316" s="346" t="s">
        <v>19</v>
      </c>
      <c r="E316" s="346" t="s">
        <v>20</v>
      </c>
    </row>
    <row r="317" spans="2:5" ht="20" customHeight="1" x14ac:dyDescent="0.2">
      <c r="B317" s="22" t="s">
        <v>215</v>
      </c>
      <c r="C317" s="89" t="str">
        <f>IF(cluster_wld_domain_chosen="VI Workload Domain",CONCATENATE(this_instance,"02-w0",wld_domain_number_chosen,"-r01-esx01",".",sample_child_dns_zone),CONCATENATE(this_instance,"02-m01","-r01-esx01",".",sample_child_dns_zone))</f>
        <v>sfo02-w01-r01-esx01.sfo.rainpole.io</v>
      </c>
      <c r="D317" s="267"/>
      <c r="E317" s="161"/>
    </row>
    <row r="318" spans="2:5" ht="20" customHeight="1" x14ac:dyDescent="0.2">
      <c r="B318" s="22" t="s">
        <v>217</v>
      </c>
      <c r="C318" s="89" t="str">
        <f>IF(cluster_wld_domain_chosen="VI Workload Domain",CONCATENATE(this_instance,"02-w0",wld_domain_number_chosen,"-r01-esx02",".",sample_child_dns_zone),CONCATENATE(this_instance,"02-m01","-r01-esx02",".",sample_child_dns_zone))</f>
        <v>sfo02-w01-r01-esx02.sfo.rainpole.io</v>
      </c>
      <c r="D318" s="267"/>
      <c r="E318" s="161"/>
    </row>
    <row r="319" spans="2:5" ht="20" customHeight="1" x14ac:dyDescent="0.2">
      <c r="B319" s="22" t="s">
        <v>219</v>
      </c>
      <c r="C319" s="89" t="str">
        <f>IF(cluster_wld_domain_chosen="VI Workload Domain",CONCATENATE(this_instance,"02-w0",wld_domain_number_chosen,"-r01-esx03",".",sample_child_dns_zone),CONCATENATE(this_instance,"02-m01","-r01-esx03",".",sample_child_dns_zone))</f>
        <v>sfo02-w01-r01-esx03.sfo.rainpole.io</v>
      </c>
      <c r="D319" s="267"/>
      <c r="E319" s="161"/>
    </row>
    <row r="320" spans="2:5" ht="20" customHeight="1" x14ac:dyDescent="0.2">
      <c r="B320" s="22" t="s">
        <v>221</v>
      </c>
      <c r="C320" s="89" t="str">
        <f>IF(cluster_wld_domain_chosen="VI Workload Domain",CONCATENATE(this_instance,"02-w0",wld_domain_number_chosen,"-r01-esx04",".",sample_child_dns_zone),CONCATENATE(this_instance,"02-m01","-r01-esx04",".",sample_child_dns_zone))</f>
        <v>sfo02-w01-r01-esx04.sfo.rainpole.io</v>
      </c>
      <c r="D320" s="267"/>
      <c r="E320" s="161"/>
    </row>
    <row r="321" spans="2:5" ht="20" customHeight="1" x14ac:dyDescent="0.2">
      <c r="B321" s="22" t="s">
        <v>223</v>
      </c>
      <c r="C321" s="89" t="str">
        <f>IF(cluster_wld_domain_chosen="VI Workload Domain",CONCATENATE(this_instance,"02-w0",wld_domain_number_chosen,"-r01-esx05",".",sample_child_dns_zone),CONCATENATE(this_instance,"02-m01","-r01-esx05",".",sample_child_dns_zone))</f>
        <v>sfo02-w01-r01-esx05.sfo.rainpole.io</v>
      </c>
      <c r="D321" s="267"/>
      <c r="E321" s="161"/>
    </row>
    <row r="322" spans="2:5" ht="20" customHeight="1" x14ac:dyDescent="0.2">
      <c r="B322" s="22" t="s">
        <v>225</v>
      </c>
      <c r="C322" s="89" t="str">
        <f>IF(cluster_wld_domain_chosen="VI Workload Domain",CONCATENATE(this_instance,"02-w0",wld_domain_number_chosen,"-r01-esx06",".",sample_child_dns_zone),CONCATENATE(this_instance,"02-m01","-r01-esx06",".",sample_child_dns_zone))</f>
        <v>sfo02-w01-r01-esx06.sfo.rainpole.io</v>
      </c>
      <c r="D322" s="267"/>
      <c r="E322" s="161"/>
    </row>
    <row r="323" spans="2:5" ht="20" customHeight="1" x14ac:dyDescent="0.2">
      <c r="B323" s="22" t="s">
        <v>227</v>
      </c>
      <c r="C323" s="89" t="str">
        <f>IF(cluster_wld_domain_chosen="VI Workload Domain",CONCATENATE(this_instance,"02-w0",wld_domain_number_chosen,"-r01-esx07",".",sample_child_dns_zone),CONCATENATE(this_instance,"02-m01","-r01-esx07",".",sample_child_dns_zone))</f>
        <v>sfo02-w01-r01-esx07.sfo.rainpole.io</v>
      </c>
      <c r="D323" s="267"/>
      <c r="E323" s="161"/>
    </row>
    <row r="324" spans="2:5" ht="20" customHeight="1" x14ac:dyDescent="0.2">
      <c r="B324" s="22" t="s">
        <v>229</v>
      </c>
      <c r="C324" s="89" t="str">
        <f>IF(cluster_wld_domain_chosen="VI Workload Domain",CONCATENATE(this_instance,"02-w0",wld_domain_number_chosen,"-r01-esx08",".",sample_child_dns_zone),CONCATENATE(this_instance,"02-m01","-r01-esx08",".",sample_child_dns_zone))</f>
        <v>sfo02-w01-r01-esx08.sfo.rainpole.io</v>
      </c>
      <c r="D324" s="267"/>
      <c r="E324" s="161"/>
    </row>
    <row r="325" spans="2:5" ht="20" customHeight="1" x14ac:dyDescent="0.2">
      <c r="B325" s="22" t="s">
        <v>231</v>
      </c>
      <c r="C325" s="89" t="str">
        <f>IF(cluster_wld_domain_chosen="VI Workload Domain",CONCATENATE(this_instance,"02-w0",wld_domain_number_chosen,"-r01-esx09",".",sample_child_dns_zone),CONCATENATE(this_instance,"02-m01","-r01-esx09",".",sample_child_dns_zone))</f>
        <v>sfo02-w01-r01-esx09.sfo.rainpole.io</v>
      </c>
      <c r="D325" s="267"/>
      <c r="E325" s="161"/>
    </row>
    <row r="326" spans="2:5" ht="20" customHeight="1" x14ac:dyDescent="0.2">
      <c r="B326" s="22" t="s">
        <v>233</v>
      </c>
      <c r="C326" s="89" t="str">
        <f>IF(cluster_wld_domain_chosen="VI Workload Domain",CONCATENATE(this_instance,"02-w0",wld_domain_number_chosen,"-r01-esx10",".",sample_child_dns_zone),CONCATENATE(this_instance,"02-m01","-r01-esx10",".",sample_child_dns_zone))</f>
        <v>sfo02-w01-r01-esx10.sfo.rainpole.io</v>
      </c>
      <c r="D326" s="267"/>
      <c r="E326" s="161"/>
    </row>
    <row r="327" spans="2:5" ht="20" customHeight="1" x14ac:dyDescent="0.2">
      <c r="B327" s="22" t="s">
        <v>235</v>
      </c>
      <c r="C327" s="89" t="str">
        <f>IF(cluster_wld_domain_chosen="VI Workload Domain",CONCATENATE(this_instance,"02-w0",wld_domain_number_chosen,"-r01-esx11",".",sample_child_dns_zone),CONCATENATE(this_instance,"02-m01","-r01-esx11",".",sample_child_dns_zone))</f>
        <v>sfo02-w01-r01-esx11.sfo.rainpole.io</v>
      </c>
      <c r="D327" s="267"/>
      <c r="E327" s="161"/>
    </row>
    <row r="328" spans="2:5" ht="20" customHeight="1" x14ac:dyDescent="0.2">
      <c r="B328" s="22" t="s">
        <v>237</v>
      </c>
      <c r="C328" s="89" t="str">
        <f>IF(cluster_wld_domain_chosen="VI Workload Domain",CONCATENATE(this_instance,"02-w0",wld_domain_number_chosen,"-r01-esx12",".",sample_child_dns_zone),CONCATENATE(this_instance,"02-m01","-r01-esx12",".",sample_child_dns_zone))</f>
        <v>sfo02-w01-r01-esx12.sfo.rainpole.io</v>
      </c>
      <c r="D328" s="267"/>
      <c r="E328" s="161"/>
    </row>
    <row r="329" spans="2:5" ht="20" customHeight="1" x14ac:dyDescent="0.2">
      <c r="B329" s="22" t="s">
        <v>239</v>
      </c>
      <c r="C329" s="89" t="str">
        <f>IF(cluster_wld_domain_chosen="VI Workload Domain",CONCATENATE(this_instance,"02-w0",wld_domain_number_chosen,"-r01-esx13",".",sample_child_dns_zone),CONCATENATE(this_instance,"02-m01","-r01-esx13",".",sample_child_dns_zone))</f>
        <v>sfo02-w01-r01-esx13.sfo.rainpole.io</v>
      </c>
      <c r="D329" s="267"/>
      <c r="E329" s="161"/>
    </row>
    <row r="330" spans="2:5" ht="20" customHeight="1" x14ac:dyDescent="0.2">
      <c r="B330" s="22" t="s">
        <v>241</v>
      </c>
      <c r="C330" s="89" t="str">
        <f>IF(cluster_wld_domain_chosen="VI Workload Domain",CONCATENATE(this_instance,"02-w0",wld_domain_number_chosen,"-r01-esx14",".",sample_child_dns_zone),CONCATENATE(this_instance,"02-m01","-r01-esx14",".",sample_child_dns_zone))</f>
        <v>sfo02-w01-r01-esx14.sfo.rainpole.io</v>
      </c>
      <c r="D330" s="267"/>
      <c r="E330" s="161"/>
    </row>
    <row r="331" spans="2:5" ht="20" customHeight="1" x14ac:dyDescent="0.2">
      <c r="B331" s="22" t="s">
        <v>243</v>
      </c>
      <c r="C331" s="89" t="str">
        <f>IF(cluster_wld_domain_chosen="VI Workload Domain",CONCATENATE(this_instance,"02-w0",wld_domain_number_chosen,"-r01-esx15",".",sample_child_dns_zone),CONCATENATE(this_instance,"02-m01","-r01-esx15",".",sample_child_dns_zone))</f>
        <v>sfo02-w01-r01-esx15.sfo.rainpole.io</v>
      </c>
      <c r="D331" s="267"/>
      <c r="E331" s="161"/>
    </row>
    <row r="332" spans="2:5" ht="20" customHeight="1" x14ac:dyDescent="0.2">
      <c r="B332" s="22" t="s">
        <v>245</v>
      </c>
      <c r="C332" s="89" t="str">
        <f>IF(cluster_wld_domain_chosen="VI Workload Domain",CONCATENATE(this_instance,"02-w0",wld_domain_number_chosen,"-r01-esx16",".",sample_child_dns_zone),CONCATENATE(this_instance,"02-m01","-r01-esx16",".",sample_child_dns_zone))</f>
        <v>sfo02-w01-r01-esx16.sfo.rainpole.io</v>
      </c>
      <c r="D332" s="267"/>
      <c r="E332" s="161"/>
    </row>
    <row r="333" spans="2:5" ht="20" customHeight="1" x14ac:dyDescent="0.2">
      <c r="B333" s="22" t="s">
        <v>264</v>
      </c>
      <c r="C333" s="78" t="s">
        <v>265</v>
      </c>
      <c r="D333" s="337" t="str">
        <f>cluster_principal_storage_chosen</f>
        <v>vSAN-ESA</v>
      </c>
      <c r="E333" s="161"/>
    </row>
    <row r="334" spans="2:5" ht="20" customHeight="1" x14ac:dyDescent="0.2">
      <c r="B334" s="22" t="s">
        <v>266</v>
      </c>
      <c r="C334" s="78" t="s">
        <v>267</v>
      </c>
      <c r="D334" s="337" t="str">
        <f>cluster_vsan_type</f>
        <v>vSAN HCI</v>
      </c>
      <c r="E334" s="161"/>
    </row>
    <row r="335" spans="2:5" ht="20" customHeight="1" x14ac:dyDescent="0.2">
      <c r="B335" s="22" t="s">
        <v>268</v>
      </c>
      <c r="C335" s="78" t="s">
        <v>159</v>
      </c>
      <c r="D335" s="337" t="str">
        <f>D102</f>
        <v>Selected</v>
      </c>
      <c r="E335" s="161"/>
    </row>
    <row r="336" spans="2:5" ht="20" customHeight="1" x14ac:dyDescent="0.2">
      <c r="B336" s="22" t="s">
        <v>250</v>
      </c>
      <c r="C336" s="78" t="str">
        <f>sample_cluster_az2_pool_name</f>
        <v>sfo02-w01-r01-network-pool-01</v>
      </c>
      <c r="D336" s="270" t="str">
        <f>cluster_az2_pool_name</f>
        <v>Value Missing</v>
      </c>
      <c r="E336" s="161"/>
    </row>
    <row r="337" spans="2:5" ht="20" customHeight="1" x14ac:dyDescent="0.2">
      <c r="B337" s="22" t="s">
        <v>46</v>
      </c>
      <c r="C337" s="78" t="str">
        <f>sample_cluster_esx_root_username</f>
        <v>root</v>
      </c>
      <c r="D337" s="270" t="str">
        <f>cluster_esx_root_username</f>
        <v>Value Missing</v>
      </c>
      <c r="E337" s="161"/>
    </row>
    <row r="338" spans="2:5" ht="20" customHeight="1" x14ac:dyDescent="0.2">
      <c r="B338" s="22" t="s">
        <v>29</v>
      </c>
      <c r="C338" s="78" t="str">
        <f>sample_cluster_esx_root_password</f>
        <v>VMw@re1!</v>
      </c>
      <c r="D338" s="270" t="str">
        <f>cluster_esx_root_password</f>
        <v>Value Missing</v>
      </c>
      <c r="E338" s="161"/>
    </row>
    <row r="339" spans="2:5" ht="16" customHeight="1" x14ac:dyDescent="0.2">
      <c r="B339" s="120"/>
      <c r="C339" s="35"/>
      <c r="D339" s="35"/>
      <c r="E339" s="35"/>
    </row>
    <row r="340" spans="2:5" ht="20" customHeight="1" x14ac:dyDescent="0.2">
      <c r="B340" s="495" t="s">
        <v>271</v>
      </c>
      <c r="C340" s="496"/>
      <c r="D340" s="496"/>
      <c r="E340" s="497"/>
    </row>
    <row r="341" spans="2:5" ht="20" customHeight="1" x14ac:dyDescent="0.2">
      <c r="B341" s="346" t="s">
        <v>17</v>
      </c>
      <c r="C341" s="346" t="s">
        <v>18</v>
      </c>
      <c r="D341" s="346" t="s">
        <v>19</v>
      </c>
      <c r="E341" s="346" t="s">
        <v>20</v>
      </c>
    </row>
    <row r="342" spans="2:5" ht="20" customHeight="1" x14ac:dyDescent="0.2">
      <c r="B342" s="22" t="s">
        <v>85</v>
      </c>
      <c r="C342" s="262" t="str">
        <f>CONCATENATE(prefix_mgmt_witness_vlan,"10")</f>
        <v>2110</v>
      </c>
      <c r="D342" s="265"/>
      <c r="E342" s="161"/>
    </row>
    <row r="343" spans="2:5" ht="20" customHeight="1" x14ac:dyDescent="0.2">
      <c r="B343" s="22" t="s">
        <v>187</v>
      </c>
      <c r="C343" s="159" t="str">
        <f>IF(cluster_wld_domain_chosen="VI Workload Domain",CONCATENATE(prefix_other_region_az1_cidr,"10.1"),CONCATENATE(prefix_other_region_az1_cidr,"10.1"))</f>
        <v>10.21.10.1</v>
      </c>
      <c r="D343" s="265"/>
      <c r="E343" s="161"/>
    </row>
    <row r="344" spans="2:5" ht="20" customHeight="1" x14ac:dyDescent="0.2">
      <c r="B344" s="22" t="s">
        <v>188</v>
      </c>
      <c r="C344" s="159" t="str">
        <f>IF(cluster_wld_domain_chosen="VI Workload Domain",CONCATENATE(prefix_other_region_az1_cidr,"10.0/24"),CONCATENATE(prefix_other_region_az1_cidr,"10.0/24"))</f>
        <v>10.21.10.0/24</v>
      </c>
      <c r="D344" s="265"/>
      <c r="E344" s="161"/>
    </row>
    <row r="345" spans="2:5" ht="20" customHeight="1" x14ac:dyDescent="0.2">
      <c r="B345" s="22" t="s">
        <v>160</v>
      </c>
      <c r="C345" s="262">
        <v>1500</v>
      </c>
      <c r="D345" s="265"/>
      <c r="E345" s="161"/>
    </row>
    <row r="346" spans="2:5" ht="16" customHeight="1" x14ac:dyDescent="0.2">
      <c r="B346" s="120"/>
      <c r="C346" s="35"/>
      <c r="D346" s="35"/>
      <c r="E346" s="35"/>
    </row>
    <row r="347" spans="2:5" ht="34" customHeight="1" x14ac:dyDescent="0.2">
      <c r="B347" s="569" t="s">
        <v>1066</v>
      </c>
      <c r="C347" s="570"/>
      <c r="D347" s="570"/>
      <c r="E347" s="571"/>
    </row>
    <row r="348" spans="2:5" ht="20" customHeight="1" x14ac:dyDescent="0.2">
      <c r="B348" s="375"/>
      <c r="C348" s="376"/>
      <c r="D348" s="376"/>
      <c r="E348" s="376"/>
    </row>
    <row r="349" spans="2:5" ht="20" customHeight="1" x14ac:dyDescent="0.2">
      <c r="B349" s="346" t="s">
        <v>17</v>
      </c>
      <c r="C349" s="346" t="s">
        <v>18</v>
      </c>
      <c r="D349" s="346" t="s">
        <v>19</v>
      </c>
      <c r="E349" s="346" t="s">
        <v>20</v>
      </c>
    </row>
    <row r="350" spans="2:5" ht="20" customHeight="1" x14ac:dyDescent="0.2">
      <c r="B350" s="22" t="s">
        <v>273</v>
      </c>
      <c r="C350" s="126" t="str">
        <f>CONCATENATE(other_instance,"-m01-vc01.",other_instance,".rainpole.io")</f>
        <v>lax-m01-vc01.lax.rainpole.io</v>
      </c>
      <c r="D350" s="265"/>
      <c r="E350" s="161" t="s">
        <v>274</v>
      </c>
    </row>
    <row r="351" spans="2:5" ht="20" customHeight="1" x14ac:dyDescent="0.2">
      <c r="B351" s="22" t="s">
        <v>276</v>
      </c>
      <c r="C351" s="126" t="str">
        <f>IF(cluster_wld_domain_chosen="VI Workload Domain",CONCATENATE(this_instance,"-w0",wld_domain_number_chosen,"-cl02-vsw01"),CONCATENATE(this_instance,"-m01","-cl02-vsw01"))</f>
        <v>sfo-w01-cl02-vsw01</v>
      </c>
      <c r="D351" s="265"/>
      <c r="E351" s="161"/>
    </row>
    <row r="352" spans="2:5" ht="20" customHeight="1" x14ac:dyDescent="0.2">
      <c r="B352" s="22" t="s">
        <v>277</v>
      </c>
      <c r="C352" s="362" t="str">
        <f>CONCATENATE(other_instance,"-m01-cl01")</f>
        <v>lax-m01-cl01</v>
      </c>
      <c r="D352" s="265"/>
      <c r="E352" s="161"/>
    </row>
    <row r="353" spans="2:5" ht="20" customHeight="1" x14ac:dyDescent="0.2">
      <c r="B353" s="22" t="s">
        <v>278</v>
      </c>
      <c r="C353" s="362" t="str">
        <f>CONCATENATE(other_instance,"-fd-mgmt")</f>
        <v>lax-fd-mgmt</v>
      </c>
      <c r="D353" s="265"/>
      <c r="E353" s="161"/>
    </row>
    <row r="354" spans="2:5" ht="20" customHeight="1" x14ac:dyDescent="0.2">
      <c r="B354" s="22" t="s">
        <v>279</v>
      </c>
      <c r="C354" s="362" t="str">
        <f>CONCATENATE(other_instance,"-m01-cl01-ds-vsan01")</f>
        <v>lax-m01-cl01-ds-vsan01</v>
      </c>
      <c r="D354" s="265"/>
      <c r="E354" s="161"/>
    </row>
    <row r="355" spans="2:5" ht="20" customHeight="1" x14ac:dyDescent="0.2">
      <c r="B355" s="22" t="s">
        <v>280</v>
      </c>
      <c r="C355" s="362" t="str">
        <f>CONCATENATE(other_instance,"01-m01-cl01-vds01-pg-vm-mgmt")</f>
        <v>lax01-m01-cl01-vds01-pg-vm-mgmt</v>
      </c>
      <c r="D355" s="265"/>
      <c r="E355" s="161"/>
    </row>
    <row r="356" spans="2:5" ht="20" customHeight="1" x14ac:dyDescent="0.2">
      <c r="B356" s="22" t="s">
        <v>281</v>
      </c>
      <c r="C356" s="362" t="str">
        <f>CONCATENATE(other_instance,"01-m01-cl01-vds01-pg-vm-mgmt")</f>
        <v>lax01-m01-cl01-vds01-pg-vm-mgmt</v>
      </c>
      <c r="D356" s="269" t="str">
        <f>cluster_witness_mgmt_pg</f>
        <v>Value Missing</v>
      </c>
      <c r="E356" s="161"/>
    </row>
    <row r="357" spans="2:5" ht="20" customHeight="1" x14ac:dyDescent="0.2">
      <c r="B357" s="22" t="s">
        <v>282</v>
      </c>
      <c r="C357" s="362" t="str">
        <f>sample_cluster_esx_root_password</f>
        <v>VMw@re1!</v>
      </c>
      <c r="D357" s="269" t="str">
        <f>cluster_esx_root_password</f>
        <v>Value Missing</v>
      </c>
      <c r="E357" s="161"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row>
    <row r="358" spans="2:5" ht="20" customHeight="1" x14ac:dyDescent="0.2">
      <c r="B358" s="22" t="s">
        <v>283</v>
      </c>
      <c r="C358" s="126"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c r="D358" s="265"/>
      <c r="E358" s="161" t="s">
        <v>284</v>
      </c>
    </row>
    <row r="359" spans="2:5" ht="20" customHeight="1" x14ac:dyDescent="0.2">
      <c r="B359" s="22" t="s">
        <v>285</v>
      </c>
      <c r="C359" s="362" t="str">
        <f>VLOOKUP(INT(RIGHT(sample_wld_witnessaz_mgmt_cidr,LEN(sample_wld_witnessaz_mgmt_cidr)-FIND("/",sample_wld_witnessaz_mgmt_cidr))),table_cidr_to_mask,2,FALSE)</f>
        <v>255.255.255.0</v>
      </c>
      <c r="D359" s="269"/>
      <c r="E359" s="161"/>
    </row>
    <row r="360" spans="2:5" ht="20" customHeight="1" x14ac:dyDescent="0.2">
      <c r="B360" s="22" t="s">
        <v>187</v>
      </c>
      <c r="C360" s="362" t="str">
        <f>sample_cluster_witnessaz_mgmt_gateway_ip</f>
        <v>10.21.10.1</v>
      </c>
      <c r="D360" s="269" t="str">
        <f t="array" ref="D360">cluster_witnessaz_mgmt_gateway_ip</f>
        <v>Value Missing</v>
      </c>
      <c r="E360" s="161"/>
    </row>
    <row r="361" spans="2:5" ht="20" customHeight="1" x14ac:dyDescent="0.2">
      <c r="B361" s="22" t="s">
        <v>286</v>
      </c>
      <c r="C361" s="362" t="str">
        <f>sample_child_dns_zone</f>
        <v>sfo.rainpole.io</v>
      </c>
      <c r="D361" s="265"/>
      <c r="E361" s="161"/>
    </row>
    <row r="362" spans="2:5" ht="20" customHeight="1" x14ac:dyDescent="0.2">
      <c r="B362" s="22" t="s">
        <v>287</v>
      </c>
      <c r="C362" s="362" t="str">
        <f>sample_cluster_witness_hostname</f>
        <v>sfo-w01-cl02-vsw01</v>
      </c>
      <c r="D362" s="269" t="str">
        <f t="array" ref="D362">cluster_witness_hostname</f>
        <v>Value Missing</v>
      </c>
      <c r="E362" s="161"/>
    </row>
    <row r="363" spans="2:5" ht="20" customHeight="1" x14ac:dyDescent="0.2">
      <c r="B363" s="22" t="s">
        <v>288</v>
      </c>
      <c r="C363" s="362" t="str">
        <f>IF(mgmt_dpg_reuse_result="Included",CONCATENATE(prefix_other_region_az1_cidr,"10.4"),CONCATENATE(prefix_other_region_az1_cidr,"11.4"))</f>
        <v>10.21.10.4</v>
      </c>
      <c r="D363" s="265"/>
      <c r="E363" s="161" t="s">
        <v>289</v>
      </c>
    </row>
    <row r="364" spans="2:5" ht="20" customHeight="1" x14ac:dyDescent="0.2">
      <c r="B364" s="22" t="s">
        <v>290</v>
      </c>
      <c r="C364" s="362" t="str">
        <f>IF(mgmt_dpg_reuse_result="Included",CONCATENATE(prefix_other_region_az1_cidr,"10.5"),CONCATENATE(prefix_other_region_az1_cidr,"11.5"))</f>
        <v>10.21.10.5</v>
      </c>
      <c r="D364" s="265"/>
      <c r="E364" s="161" t="s">
        <v>291</v>
      </c>
    </row>
    <row r="365" spans="2:5" ht="20" customHeight="1" x14ac:dyDescent="0.2">
      <c r="B365" s="22" t="s">
        <v>292</v>
      </c>
      <c r="C365" s="362" t="str">
        <f>CONCATENATE("ntp0.",other_instance,".rainpole.io")</f>
        <v>ntp0.lax.rainpole.io</v>
      </c>
      <c r="D365" s="265"/>
      <c r="E365" s="161"/>
    </row>
    <row r="366" spans="2:5" ht="20" customHeight="1" x14ac:dyDescent="0.2">
      <c r="B366" s="22" t="s">
        <v>293</v>
      </c>
      <c r="C366" s="362" t="str">
        <f>CONCATENATE("ntp1.",other_instance,".rainpole.io")</f>
        <v>ntp1.lax.rainpole.io</v>
      </c>
      <c r="D366" s="265"/>
      <c r="E366" s="161"/>
    </row>
    <row r="367" spans="2:5" ht="20" customHeight="1" x14ac:dyDescent="0.2">
      <c r="B367" s="563" t="s">
        <v>294</v>
      </c>
      <c r="C367" s="564"/>
      <c r="D367" s="564"/>
      <c r="E367" s="565"/>
    </row>
    <row r="368" spans="2:5" ht="20" customHeight="1" x14ac:dyDescent="0.2">
      <c r="B368" s="346" t="s">
        <v>17</v>
      </c>
      <c r="C368" s="346" t="s">
        <v>18</v>
      </c>
      <c r="D368" s="346" t="s">
        <v>19</v>
      </c>
      <c r="E368" s="346" t="s">
        <v>20</v>
      </c>
    </row>
    <row r="369" spans="2:5" ht="20" customHeight="1" x14ac:dyDescent="0.2">
      <c r="B369" s="22" t="s">
        <v>273</v>
      </c>
      <c r="C369" s="362" t="str">
        <f>IF(cluster_wld_domain_chosen="VI Workload Domain",CONCATENATE(this_instance,"-w0",wld_domain_number_chosen,"-vc01",this_instance,".rainpole.io"),CONCATENATE(this_instance,"-m01-vc01.",this_instance,".rainpole.io"))</f>
        <v>sfo-w01-vc01sfo.rainpole.io</v>
      </c>
      <c r="D369" s="264"/>
      <c r="E369" s="22"/>
    </row>
    <row r="370" spans="2:5" ht="20" customHeight="1" x14ac:dyDescent="0.2">
      <c r="B370" s="22" t="s">
        <v>295</v>
      </c>
      <c r="C370" s="362" t="str">
        <f>IF(cluster_wld_domain_chosen="VI Workload Domain",CONCATENATE(this_instance,"-w0",wld_domain_number_chosen,"-dc"),sample_mgmt_datacenter)</f>
        <v>sfo-w01-dc</v>
      </c>
      <c r="D370" s="264"/>
      <c r="E370" s="22"/>
    </row>
    <row r="371" spans="2:5" ht="20" customHeight="1" x14ac:dyDescent="0.2">
      <c r="B371" s="22" t="s">
        <v>38</v>
      </c>
      <c r="C371" s="362" t="str">
        <f>IF(cluster_wld_domain_chosen="VI Workload Domain",CONCATENATE(sample_cluster_witness_hostname,".",sample_child_dns_zone),CONCATENATE(sample_cluster_witness_hostname,".",sample_child_dns_zone))</f>
        <v>sfo-w01-cl02-vsw01.sfo.rainpole.io</v>
      </c>
      <c r="D371" s="264"/>
      <c r="E371" s="22"/>
    </row>
    <row r="372" spans="2:5" ht="20" customHeight="1" x14ac:dyDescent="0.2">
      <c r="B372" s="22" t="s">
        <v>296</v>
      </c>
      <c r="C372" s="362" t="str">
        <f>sample_cluster_esx_root_password</f>
        <v>VMw@re1!</v>
      </c>
      <c r="D372" s="268" t="str">
        <f>cluster_esx_root_password</f>
        <v>Value Missing</v>
      </c>
      <c r="E372" s="22"/>
    </row>
    <row r="373" spans="2:5" ht="20" customHeight="1" x14ac:dyDescent="0.2">
      <c r="B373" s="563" t="s">
        <v>297</v>
      </c>
      <c r="C373" s="564"/>
      <c r="D373" s="564"/>
      <c r="E373" s="565"/>
    </row>
    <row r="374" spans="2:5" ht="20" customHeight="1" x14ac:dyDescent="0.2">
      <c r="B374" s="346" t="s">
        <v>17</v>
      </c>
      <c r="C374" s="346" t="s">
        <v>18</v>
      </c>
      <c r="D374" s="346" t="s">
        <v>19</v>
      </c>
      <c r="E374" s="346" t="s">
        <v>20</v>
      </c>
    </row>
    <row r="375" spans="2:5" ht="20" customHeight="1" x14ac:dyDescent="0.2">
      <c r="B375" s="22" t="s">
        <v>273</v>
      </c>
      <c r="C375" s="362" t="str">
        <f>sample_cluster_vc_fqdn</f>
        <v>sfo-w01-vc01sfo.rainpole.io</v>
      </c>
      <c r="D375" s="268" t="str">
        <f>cluster_vc_fqdn</f>
        <v>Value Missing</v>
      </c>
      <c r="E375" s="22"/>
    </row>
    <row r="376" spans="2:5" ht="20" customHeight="1" x14ac:dyDescent="0.2">
      <c r="B376" s="22" t="s">
        <v>298</v>
      </c>
      <c r="C376" s="159" t="str">
        <f>sample_cluster_witness_hostname</f>
        <v>sfo-w01-cl02-vsw01</v>
      </c>
      <c r="D376" s="268" t="str">
        <f t="array" ref="D376">cluster_witness_hostname</f>
        <v>Value Missing</v>
      </c>
      <c r="E376" s="22"/>
    </row>
    <row r="377" spans="2:5" ht="20" customHeight="1" x14ac:dyDescent="0.2">
      <c r="B377" s="22" t="s">
        <v>299</v>
      </c>
      <c r="C377" s="159" t="str">
        <f>CONCATENATE(sample_cluster_witness_ntp1_server," ",sample_cluster_witness_ntp2_server)</f>
        <v>ntp0.lax.rainpole.io ntp1.lax.rainpole.io</v>
      </c>
      <c r="D377" s="268" t="str">
        <f t="array" ref="D377">CONCATENATE(cluster_witness_ntp1_server," ",cluster_witness_ntp2_server)</f>
        <v>Value Missing Value Missing</v>
      </c>
      <c r="E377" s="193"/>
    </row>
    <row r="378" spans="2:5" ht="20" customHeight="1" x14ac:dyDescent="0.2">
      <c r="B378" s="563" t="s">
        <v>300</v>
      </c>
      <c r="C378" s="564"/>
      <c r="D378" s="564"/>
      <c r="E378" s="565"/>
    </row>
    <row r="379" spans="2:5" ht="20" customHeight="1" x14ac:dyDescent="0.2">
      <c r="B379" s="346" t="s">
        <v>17</v>
      </c>
      <c r="C379" s="346" t="s">
        <v>18</v>
      </c>
      <c r="D379" s="346" t="s">
        <v>19</v>
      </c>
      <c r="E379" s="346" t="s">
        <v>20</v>
      </c>
    </row>
    <row r="380" spans="2:5" ht="20" customHeight="1" x14ac:dyDescent="0.2">
      <c r="B380" s="22" t="s">
        <v>273</v>
      </c>
      <c r="C380" s="362" t="str">
        <f>sample_cluster_vc_fqdn</f>
        <v>sfo-w01-vc01sfo.rainpole.io</v>
      </c>
      <c r="D380" s="268" t="str">
        <f>cluster_vc_fqdn</f>
        <v>Value Missing</v>
      </c>
      <c r="E380" s="22"/>
    </row>
    <row r="381" spans="2:5" ht="20" customHeight="1" x14ac:dyDescent="0.2">
      <c r="B381" s="22" t="s">
        <v>301</v>
      </c>
      <c r="C381" s="159" t="str">
        <f>IF(cluster_wld_domain_chosen="VI Workload Domain",CONCATENATE(this_instance,"-w0",wld_domain_number_chosen,"-dc"),sample_mgmt_datacenter)</f>
        <v>sfo-w01-dc</v>
      </c>
      <c r="D381" s="268" t="str">
        <f t="array" ref="D381">cluster_datacenter</f>
        <v>Value Missing</v>
      </c>
      <c r="E381" s="22"/>
    </row>
    <row r="382" spans="2:5" ht="20" customHeight="1" x14ac:dyDescent="0.2">
      <c r="B382" s="22" t="s">
        <v>302</v>
      </c>
      <c r="C382" s="159" t="str">
        <f>sample_cluster_witness_hostname</f>
        <v>sfo-w01-cl02-vsw01</v>
      </c>
      <c r="D382" s="268" t="str">
        <f>cluster_witness_hostname</f>
        <v>Value Missing</v>
      </c>
      <c r="E382" s="22"/>
    </row>
    <row r="383" spans="2:5" ht="20" customHeight="1" x14ac:dyDescent="0.2">
      <c r="B383" s="572"/>
      <c r="C383" s="572"/>
      <c r="D383" s="572"/>
      <c r="E383" s="572"/>
    </row>
    <row r="384" spans="2:5" ht="34" customHeight="1" x14ac:dyDescent="0.2">
      <c r="B384" s="569" t="s">
        <v>303</v>
      </c>
      <c r="C384" s="570"/>
      <c r="D384" s="570"/>
      <c r="E384" s="571"/>
    </row>
    <row r="385" spans="2:5" ht="20" customHeight="1" x14ac:dyDescent="0.2">
      <c r="B385" s="375"/>
      <c r="C385" s="376"/>
      <c r="D385" s="376"/>
      <c r="E385" s="376"/>
    </row>
    <row r="386" spans="2:5" ht="20" customHeight="1" x14ac:dyDescent="0.2">
      <c r="B386" s="346" t="s">
        <v>17</v>
      </c>
      <c r="C386" s="346" t="s">
        <v>18</v>
      </c>
      <c r="D386" s="346" t="s">
        <v>19</v>
      </c>
      <c r="E386" s="346" t="s">
        <v>20</v>
      </c>
    </row>
    <row r="387" spans="2:5" ht="20" customHeight="1" x14ac:dyDescent="0.2">
      <c r="B387" s="22" t="str">
        <f t="array" ref="B387:B402">cluster_az2_host_fqdns</f>
        <v>Value Missing</v>
      </c>
      <c r="C387" s="159" t="s">
        <v>305</v>
      </c>
      <c r="D387" s="264"/>
      <c r="E387" s="320" t="s">
        <v>306</v>
      </c>
    </row>
    <row r="388" spans="2:5" ht="20" customHeight="1" x14ac:dyDescent="0.2">
      <c r="B388" s="22" t="str">
        <v>Value Missing</v>
      </c>
      <c r="C388" s="159" t="s">
        <v>307</v>
      </c>
      <c r="D388" s="264"/>
      <c r="E388" s="320" t="s">
        <v>308</v>
      </c>
    </row>
    <row r="389" spans="2:5" ht="20" customHeight="1" x14ac:dyDescent="0.2">
      <c r="B389" s="22" t="str">
        <v>Value Missing</v>
      </c>
      <c r="C389" s="159" t="s">
        <v>309</v>
      </c>
      <c r="D389" s="264"/>
      <c r="E389" s="320" t="s">
        <v>310</v>
      </c>
    </row>
    <row r="390" spans="2:5" ht="20" customHeight="1" x14ac:dyDescent="0.2">
      <c r="B390" s="22" t="str">
        <v>Value Missing</v>
      </c>
      <c r="C390" s="159" t="s">
        <v>311</v>
      </c>
      <c r="D390" s="264"/>
      <c r="E390" s="320" t="s">
        <v>312</v>
      </c>
    </row>
    <row r="391" spans="2:5" ht="20" customHeight="1" x14ac:dyDescent="0.2">
      <c r="B391" s="22" t="str">
        <v>Value Missing</v>
      </c>
      <c r="C391" s="159" t="s">
        <v>313</v>
      </c>
      <c r="D391" s="264"/>
      <c r="E391" s="320" t="s">
        <v>314</v>
      </c>
    </row>
    <row r="392" spans="2:5" ht="20" customHeight="1" x14ac:dyDescent="0.2">
      <c r="B392" s="22" t="str">
        <v>Value Missing</v>
      </c>
      <c r="C392" s="159" t="s">
        <v>315</v>
      </c>
      <c r="D392" s="264"/>
      <c r="E392" s="320" t="s">
        <v>316</v>
      </c>
    </row>
    <row r="393" spans="2:5" ht="20" customHeight="1" x14ac:dyDescent="0.2">
      <c r="B393" s="22" t="str">
        <v>Value Missing</v>
      </c>
      <c r="C393" s="159" t="s">
        <v>317</v>
      </c>
      <c r="D393" s="264"/>
      <c r="E393" s="320" t="s">
        <v>318</v>
      </c>
    </row>
    <row r="394" spans="2:5" ht="20" customHeight="1" x14ac:dyDescent="0.2">
      <c r="B394" s="22" t="str">
        <v>Value Missing</v>
      </c>
      <c r="C394" s="159" t="s">
        <v>319</v>
      </c>
      <c r="D394" s="264"/>
      <c r="E394" s="320" t="s">
        <v>320</v>
      </c>
    </row>
    <row r="395" spans="2:5" ht="20" customHeight="1" x14ac:dyDescent="0.2">
      <c r="B395" s="22" t="str">
        <v>Value Missing</v>
      </c>
      <c r="C395" s="159" t="s">
        <v>321</v>
      </c>
      <c r="D395" s="264"/>
      <c r="E395" s="320" t="s">
        <v>322</v>
      </c>
    </row>
    <row r="396" spans="2:5" ht="20" customHeight="1" x14ac:dyDescent="0.2">
      <c r="B396" s="22" t="str">
        <v>Value Missing</v>
      </c>
      <c r="C396" s="159" t="s">
        <v>323</v>
      </c>
      <c r="D396" s="264"/>
      <c r="E396" s="320" t="s">
        <v>324</v>
      </c>
    </row>
    <row r="397" spans="2:5" ht="20" customHeight="1" x14ac:dyDescent="0.2">
      <c r="B397" s="22" t="str">
        <v>Value Missing</v>
      </c>
      <c r="C397" s="159" t="s">
        <v>325</v>
      </c>
      <c r="D397" s="264"/>
      <c r="E397" s="320" t="s">
        <v>326</v>
      </c>
    </row>
    <row r="398" spans="2:5" ht="20" customHeight="1" x14ac:dyDescent="0.2">
      <c r="B398" s="22" t="str">
        <v>Value Missing</v>
      </c>
      <c r="C398" s="159" t="s">
        <v>327</v>
      </c>
      <c r="D398" s="264"/>
      <c r="E398" s="320" t="s">
        <v>328</v>
      </c>
    </row>
    <row r="399" spans="2:5" ht="20" customHeight="1" x14ac:dyDescent="0.2">
      <c r="B399" s="22" t="str">
        <v>Value Missing</v>
      </c>
      <c r="C399" s="159" t="s">
        <v>329</v>
      </c>
      <c r="D399" s="264"/>
      <c r="E399" s="320" t="s">
        <v>330</v>
      </c>
    </row>
    <row r="400" spans="2:5" ht="20" customHeight="1" x14ac:dyDescent="0.2">
      <c r="B400" s="22" t="str">
        <v>Value Missing</v>
      </c>
      <c r="C400" s="159" t="s">
        <v>331</v>
      </c>
      <c r="D400" s="264"/>
      <c r="E400" s="320" t="s">
        <v>332</v>
      </c>
    </row>
    <row r="401" spans="2:5" ht="20" customHeight="1" x14ac:dyDescent="0.2">
      <c r="B401" s="22" t="str">
        <v>Value Missing</v>
      </c>
      <c r="C401" s="159" t="s">
        <v>333</v>
      </c>
      <c r="D401" s="264"/>
      <c r="E401" s="320" t="s">
        <v>334</v>
      </c>
    </row>
    <row r="402" spans="2:5" ht="20" customHeight="1" x14ac:dyDescent="0.2">
      <c r="B402" s="22" t="str">
        <v>Value Missing</v>
      </c>
      <c r="C402" s="159" t="s">
        <v>335</v>
      </c>
      <c r="D402" s="264"/>
      <c r="E402" s="320" t="s">
        <v>336</v>
      </c>
    </row>
    <row r="403" spans="2:5" ht="20" customHeight="1" x14ac:dyDescent="0.2">
      <c r="B403" s="22" t="s">
        <v>1182</v>
      </c>
      <c r="C403" s="159" t="s">
        <v>1183</v>
      </c>
      <c r="D403" s="265" t="s">
        <v>1183</v>
      </c>
      <c r="E403" s="321"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404" spans="2:5" ht="20" customHeight="1" x14ac:dyDescent="0.2">
      <c r="B404" s="22" t="s">
        <v>1184</v>
      </c>
      <c r="C404" s="159" t="s">
        <v>1185</v>
      </c>
      <c r="D404" s="265" t="s">
        <v>1185</v>
      </c>
      <c r="E404" s="321"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405" spans="2:5" ht="20" customHeight="1" x14ac:dyDescent="0.2">
      <c r="B405" s="22" t="s">
        <v>337</v>
      </c>
      <c r="C405" s="159" t="str">
        <f>IF(cluster_wld_domain_chosen="VI Workload Domain",CONCATENATE(this_instance,"02-",sample_cluster_name,"-r01-network-profile"),CONCATENATE(this_instance,"02-",sample_cluster_name,"-r01-network-profile"))</f>
        <v>sfo02-sfo-w01-cl02-r01-network-profile</v>
      </c>
      <c r="D405" s="265"/>
      <c r="E405" s="161"/>
    </row>
    <row r="406" spans="2:5" ht="20" customHeight="1" x14ac:dyDescent="0.2">
      <c r="B406" s="4" t="s">
        <v>338</v>
      </c>
      <c r="C406" s="362" t="s">
        <v>339</v>
      </c>
      <c r="D406" s="265" t="s">
        <v>339</v>
      </c>
      <c r="E406" s="337"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407" spans="2:5" ht="20" customHeight="1" x14ac:dyDescent="0.2">
      <c r="B407" s="22" t="s">
        <v>340</v>
      </c>
      <c r="C407" s="159" t="str">
        <f>IF(cluster_wld_domain_chosen="VI Workload Domain",CONCATENATE(this_instance,"02-w0",wld_domain_number_chosen,"-r01-ip-pool01-host"),CONCATENATE(this_instance,"02-m01","-r01-ip-pool01-host"))</f>
        <v>sfo02-w01-r01-ip-pool01-host</v>
      </c>
      <c r="D407" s="265"/>
      <c r="E407" s="161"/>
    </row>
    <row r="408" spans="2:5" ht="20" customHeight="1" x14ac:dyDescent="0.2">
      <c r="B408" s="22" t="s">
        <v>341</v>
      </c>
      <c r="C408" s="159" t="str">
        <f>IF(cluster_wld_domain_chosen="VI Workload Domain",CONCATENATE(this_instance,"02-w0",wld_domain_number_chosen,"-r01-uplink-profile-01"),CONCATENATE(this_instance,"02-m01","-r01-uplink-profile-01"))</f>
        <v>sfo02-w01-r01-uplink-profile-01</v>
      </c>
      <c r="D408" s="265"/>
      <c r="E408" s="161"/>
    </row>
    <row r="409" spans="2:5" ht="20" customHeight="1" x14ac:dyDescent="0.2">
      <c r="B409" s="17" t="s">
        <v>342</v>
      </c>
      <c r="C409" s="262" t="str">
        <f>IF(cluster_wld_domain_chosen="VI Workload Domain",CONCATENATE(prefix_wld_az2_vlan,"14"),CONCATENATE(prefix_mgmt_az2_vlan,"14"))</f>
        <v>1414</v>
      </c>
      <c r="D409" s="265"/>
      <c r="E409" s="161"/>
    </row>
    <row r="410" spans="2:5" ht="20" customHeight="1" x14ac:dyDescent="0.2">
      <c r="B410" s="4" t="s">
        <v>343</v>
      </c>
      <c r="C410" s="262" t="str">
        <f>IF(cluster_wld_domain_chosen="VI Workload Domain",CONCATENATE(prefix_wld_az2_cidr,"14.0/24"),CONCATENATE(prefix_mgmt_az2_cidr,"14.0/24"))</f>
        <v>10.14.14.0/24</v>
      </c>
      <c r="D410" s="266"/>
      <c r="E410" s="161"/>
    </row>
    <row r="411" spans="2:5" ht="20" customHeight="1" x14ac:dyDescent="0.2">
      <c r="B411" s="4" t="s">
        <v>344</v>
      </c>
      <c r="C411" s="262" t="str">
        <f>IF(cluster_wld_domain_chosen="VI Workload Domain",CONCATENATE(prefix_wld_az2_cidr,"14.1"),CONCATENATE(prefix_mgmt_az2_cidr,"14.1"))</f>
        <v>10.14.14.1</v>
      </c>
      <c r="D411" s="267"/>
      <c r="E411" s="161"/>
    </row>
    <row r="412" spans="2:5" ht="20" customHeight="1" x14ac:dyDescent="0.2">
      <c r="B412" s="4" t="s">
        <v>345</v>
      </c>
      <c r="C412" s="262">
        <v>9000</v>
      </c>
      <c r="D412" s="267"/>
      <c r="E412" s="161"/>
    </row>
    <row r="413" spans="2:5" ht="20" customHeight="1" x14ac:dyDescent="0.2">
      <c r="B413" s="22" t="s">
        <v>255</v>
      </c>
      <c r="C413" s="262" t="str">
        <f>IF(cluster_wld_domain_chosen="VI Workload Domain",CONCATENATE(prefix_wld_az2_cidr,"14.101"),CONCATENATE(prefix_mgmt_az2_cidr,"14.101"))</f>
        <v>10.14.14.101</v>
      </c>
      <c r="D413" s="267"/>
      <c r="E413" s="161"/>
    </row>
    <row r="414" spans="2:5" ht="20" customHeight="1" x14ac:dyDescent="0.2">
      <c r="B414" s="22" t="s">
        <v>256</v>
      </c>
      <c r="C414" s="262" t="str">
        <f>IF(cluster_wld_domain_chosen="VI Workload Domain",CONCATENATE(prefix_wld_az2_cidr,"14.132"),CONCATENATE(prefix_mgmt_az2_cidr,"14.132"))</f>
        <v>10.14.14.132</v>
      </c>
      <c r="D414" s="267"/>
      <c r="E414" s="161"/>
    </row>
    <row r="415" spans="2:5" ht="20" customHeight="1" x14ac:dyDescent="0.2">
      <c r="B415" s="22" t="s">
        <v>1082</v>
      </c>
      <c r="C415" s="362" t="str">
        <f>sample_cluster_witness_fqdn</f>
        <v>sfo-w01-cl02-vsw01.sfo.rainpole.io</v>
      </c>
      <c r="D415" s="268" t="str">
        <f>cluster_witness_fqdn</f>
        <v>Value Missing</v>
      </c>
      <c r="E415" s="193"/>
    </row>
    <row r="416" spans="2:5" ht="20" customHeight="1" x14ac:dyDescent="0.2">
      <c r="B416" s="22" t="s">
        <v>350</v>
      </c>
      <c r="C416" s="362" t="str">
        <f>sample_cluster_witnessaz_mgmt_cidr</f>
        <v>10.21.10.0/24</v>
      </c>
      <c r="D416" s="268" t="str">
        <f>cluster_witnessaz_mgmt_cidr</f>
        <v>Value Missing</v>
      </c>
      <c r="E416" s="193"/>
    </row>
    <row r="417" spans="2:5" ht="20" customHeight="1" x14ac:dyDescent="0.2">
      <c r="B417" s="22" t="s">
        <v>348</v>
      </c>
      <c r="C417" s="362" t="str">
        <f>sample_cluster_witness_ip</f>
        <v>10.21.10.223</v>
      </c>
      <c r="D417" s="269" t="str">
        <f>cluster_witness_ip</f>
        <v>Value Missing</v>
      </c>
      <c r="E417" s="161"/>
    </row>
    <row r="418" spans="2:5" ht="20" customHeight="1" x14ac:dyDescent="0.2">
      <c r="B418" s="22" t="s">
        <v>351</v>
      </c>
      <c r="C418" s="159" t="s">
        <v>352</v>
      </c>
      <c r="D418" s="265"/>
      <c r="E418" s="161" t="s">
        <v>353</v>
      </c>
    </row>
    <row r="419" spans="2:5" ht="20" customHeight="1" x14ac:dyDescent="0.2">
      <c r="B419" s="572"/>
      <c r="C419" s="572"/>
      <c r="D419" s="572"/>
      <c r="E419" s="572"/>
    </row>
    <row r="420" spans="2:5" ht="34" customHeight="1" x14ac:dyDescent="0.2">
      <c r="B420" s="569" t="s">
        <v>354</v>
      </c>
      <c r="C420" s="570"/>
      <c r="D420" s="570"/>
      <c r="E420" s="571"/>
    </row>
    <row r="421" spans="2:5" ht="20" customHeight="1" x14ac:dyDescent="0.2">
      <c r="B421" s="563" t="s">
        <v>355</v>
      </c>
      <c r="C421" s="564"/>
      <c r="D421" s="564"/>
      <c r="E421" s="565"/>
    </row>
    <row r="422" spans="2:5" ht="20" customHeight="1" x14ac:dyDescent="0.2">
      <c r="B422" s="346" t="s">
        <v>17</v>
      </c>
      <c r="C422" s="346" t="s">
        <v>18</v>
      </c>
      <c r="D422" s="346" t="s">
        <v>19</v>
      </c>
      <c r="E422" s="346" t="s">
        <v>20</v>
      </c>
    </row>
    <row r="423" spans="2:5" ht="20" customHeight="1" x14ac:dyDescent="0.2">
      <c r="B423" s="22" t="s">
        <v>356</v>
      </c>
      <c r="C423" s="159" t="str">
        <f>IF(cluster_wld_domain_chosen="VI Workload Domain",CONCATENATE(this_instance,"-w0",wld_domain_number_chosen,"-nsx01",".",sample_child_dns_zone),CONCATENATE(this_instance,"-m01-nsx01",".",sample_child_dns_zone))</f>
        <v>sfo-w01-nsx01.sfo.rainpole.io</v>
      </c>
      <c r="D423" s="265"/>
      <c r="E423" s="263"/>
    </row>
    <row r="424" spans="2:5" ht="20" customHeight="1" x14ac:dyDescent="0.2">
      <c r="B424" s="563" t="s">
        <v>357</v>
      </c>
      <c r="C424" s="564"/>
      <c r="D424" s="564"/>
      <c r="E424" s="565"/>
    </row>
    <row r="425" spans="2:5" ht="20" customHeight="1" x14ac:dyDescent="0.2">
      <c r="B425" s="346" t="s">
        <v>17</v>
      </c>
      <c r="C425" s="346" t="s">
        <v>18</v>
      </c>
      <c r="D425" s="346" t="s">
        <v>19</v>
      </c>
      <c r="E425" s="346" t="s">
        <v>20</v>
      </c>
    </row>
    <row r="426" spans="2:5" ht="20" customHeight="1" x14ac:dyDescent="0.2">
      <c r="B426" s="22" t="s">
        <v>356</v>
      </c>
      <c r="C426" s="159" t="str">
        <f>sample_cluster_nsxt_vip_fqdn</f>
        <v>sfo-w01-nsx01.sfo.rainpole.io</v>
      </c>
      <c r="D426" s="268" t="str">
        <f t="array" ref="D426">cluster_nsxt_vip_fqdn</f>
        <v>Value Missing</v>
      </c>
      <c r="E426" s="22"/>
    </row>
    <row r="427" spans="2:5" ht="20" customHeight="1" x14ac:dyDescent="0.2">
      <c r="B427" s="22" t="s">
        <v>358</v>
      </c>
      <c r="C427" s="159" t="str">
        <f>IF(cluster_wld_domain_chosen="VI Workload Domain",IF(mgmt_nsxt_federation_result="Included","65202","65102"),IF(mgmt_nsxt_federation_result="Excluded","65101","65201"))</f>
        <v>65102</v>
      </c>
      <c r="D427" s="264"/>
      <c r="E427" s="22"/>
    </row>
    <row r="428" spans="2:5" ht="20" customHeight="1" x14ac:dyDescent="0.2">
      <c r="B428" s="563" t="s">
        <v>359</v>
      </c>
      <c r="C428" s="564"/>
      <c r="D428" s="564"/>
      <c r="E428" s="565"/>
    </row>
    <row r="429" spans="2:5" ht="20" customHeight="1" x14ac:dyDescent="0.2">
      <c r="B429" s="346" t="s">
        <v>17</v>
      </c>
      <c r="C429" s="346" t="s">
        <v>18</v>
      </c>
      <c r="D429" s="346" t="s">
        <v>19</v>
      </c>
      <c r="E429" s="346" t="s">
        <v>20</v>
      </c>
    </row>
    <row r="430" spans="2:5" ht="20" customHeight="1" x14ac:dyDescent="0.2">
      <c r="B430" s="22" t="s">
        <v>356</v>
      </c>
      <c r="C430" s="255" t="str">
        <f>sample_cluster_nsxt_vip_fqdn</f>
        <v>sfo-w01-nsx01.sfo.rainpole.io</v>
      </c>
      <c r="D430" s="268" t="str">
        <f t="array" ref="D430">cluster_nsxt_vip_fqdn</f>
        <v>Value Missing</v>
      </c>
      <c r="E430" s="193"/>
    </row>
    <row r="431" spans="2:5" ht="20" customHeight="1" x14ac:dyDescent="0.2">
      <c r="B431" s="22" t="s">
        <v>360</v>
      </c>
      <c r="C431" s="159" t="str">
        <f>IF(cluster_wld_domain_chosen="VI Workload Domain",CONCATENATE(prefix_mgmt_az1_cidr,"17.11"),CONCATENATE(prefix_wld_az1_cidr,"17.11"))</f>
        <v>10.11.17.11</v>
      </c>
      <c r="D431" s="265"/>
      <c r="E431" s="161" t="s">
        <v>168</v>
      </c>
    </row>
    <row r="432" spans="2:5" ht="20" customHeight="1" x14ac:dyDescent="0.2">
      <c r="B432" s="22" t="s">
        <v>361</v>
      </c>
      <c r="C432" s="159" t="str">
        <f>IF(cluster_wld_domain_chosen="VI Workload Domain",CONCATENATE(asn_start,asn_instance,asn_mgmt_az2,1),CONCATENATE(asn_start,asn_instance,asn_wld_az2,1))</f>
        <v>65121</v>
      </c>
      <c r="D432" s="265"/>
      <c r="E432" s="161" t="s">
        <v>169</v>
      </c>
    </row>
    <row r="433" spans="2:5" ht="20" customHeight="1" x14ac:dyDescent="0.2">
      <c r="B433" s="22" t="s">
        <v>362</v>
      </c>
      <c r="C433" s="159" t="str">
        <f>IF(cluster_wld_domain_chosen="VI Workload Domain",CONCATENATE(prefix_mgmt_az1_cidr,"17.4/24"),CONCATENATE(prefix_wld_az1_cidr,"17.4/24"))</f>
        <v>10.11.17.4/24</v>
      </c>
      <c r="D433" s="264"/>
      <c r="E433" s="193"/>
    </row>
    <row r="434" spans="2:5" ht="20" customHeight="1" x14ac:dyDescent="0.2">
      <c r="B434" s="22" t="s">
        <v>363</v>
      </c>
      <c r="C434" s="159" t="str">
        <f>IF(cluster_wld_domain_chosen="VI Workload Domain",CONCATENATE(prefix_mgmt_az1_cidr,"17.5/24"),CONCATENATE(prefix_wld_az1_cidr,"17.5/24"))</f>
        <v>10.11.17.5/24</v>
      </c>
      <c r="D434" s="264"/>
      <c r="E434" s="193"/>
    </row>
    <row r="435" spans="2:5" ht="20" customHeight="1" x14ac:dyDescent="0.2">
      <c r="B435" s="22" t="s">
        <v>364</v>
      </c>
      <c r="C435" s="159" t="s">
        <v>30</v>
      </c>
      <c r="D435" s="265"/>
      <c r="E435" s="161" t="s">
        <v>170</v>
      </c>
    </row>
    <row r="436" spans="2:5" ht="20" customHeight="1" x14ac:dyDescent="0.2">
      <c r="B436" s="22" t="s">
        <v>365</v>
      </c>
      <c r="C436" s="159" t="str">
        <f>IF(cluster_wld_domain_chosen="VI Workload Domain",CONCATENATE(prefix_mgmt_az1_cidr,"18.11"),CONCATENATE(prefix_wld_az1_cidr,"18.11"))</f>
        <v>10.11.18.11</v>
      </c>
      <c r="D436" s="265"/>
      <c r="E436" s="161" t="s">
        <v>171</v>
      </c>
    </row>
    <row r="437" spans="2:5" ht="20" customHeight="1" x14ac:dyDescent="0.2">
      <c r="B437" s="22" t="s">
        <v>362</v>
      </c>
      <c r="C437" s="159" t="str">
        <f>IF(cluster_wld_domain_chosen="VI Workload Domain",CONCATENATE(prefix_mgmt_az1_cidr,"18.4/24"),CONCATENATE(prefix_wld_az1_cidr,"18.4/24"))</f>
        <v>10.11.18.4/24</v>
      </c>
      <c r="D437" s="264"/>
      <c r="E437" s="193"/>
    </row>
    <row r="438" spans="2:5" ht="20" customHeight="1" x14ac:dyDescent="0.2">
      <c r="B438" s="22" t="s">
        <v>363</v>
      </c>
      <c r="C438" s="159" t="str">
        <f>IF(cluster_wld_domain_chosen="VI Workload Domain",CONCATENATE(prefix_mgmt_az1_cidr,"18.5/24"),CONCATENATE(prefix_wld_az1_cidr,"18.5/24"))</f>
        <v>10.11.18.5/24</v>
      </c>
      <c r="D438" s="264"/>
      <c r="E438" s="193"/>
    </row>
    <row r="439" spans="2:5" ht="20" customHeight="1" x14ac:dyDescent="0.2">
      <c r="B439" s="22" t="s">
        <v>366</v>
      </c>
      <c r="C439" s="159" t="str">
        <f>IF(cluster_wld_domain_chosen="VI Workload Domain",CONCATENATE(asn_start,asn_instance,asn_mgmt_az2,1),CONCATENATE(asn_start,asn_instance,asn_wld_az2,1))</f>
        <v>65121</v>
      </c>
      <c r="D439" s="265"/>
      <c r="E439" s="161" t="s">
        <v>172</v>
      </c>
    </row>
    <row r="440" spans="2:5" ht="20" customHeight="1" x14ac:dyDescent="0.2">
      <c r="B440" s="22" t="s">
        <v>364</v>
      </c>
      <c r="C440" s="159" t="s">
        <v>30</v>
      </c>
      <c r="D440" s="265"/>
      <c r="E440" s="161" t="s">
        <v>173</v>
      </c>
    </row>
    <row r="441" spans="2:5" x14ac:dyDescent="0.2">
      <c r="B441" s="120"/>
      <c r="C441" s="35"/>
      <c r="D441" s="35"/>
      <c r="E441" s="35"/>
    </row>
  </sheetData>
  <sheetProtection algorithmName="SHA-512" hashValue="fBNdnyk6kU6HYbfQxHaHmnA+PU2FSKSttvxBVXT6st3OwgfWFfuKz8Tw+ABVsc3k2YgRIyuV2Bda9QQYCY2Utw==" saltValue="fOZ0H+7vTec8DfH7gKYDnw==" spinCount="100000" sheet="1" selectLockedCells="1"/>
  <mergeCells count="53">
    <mergeCell ref="B224:E224"/>
    <mergeCell ref="B384:E384"/>
    <mergeCell ref="B421:E421"/>
    <mergeCell ref="B424:E424"/>
    <mergeCell ref="B378:E378"/>
    <mergeCell ref="B383:E383"/>
    <mergeCell ref="B419:E419"/>
    <mergeCell ref="B420:E420"/>
    <mergeCell ref="B373:E373"/>
    <mergeCell ref="B367:E367"/>
    <mergeCell ref="B119:E119"/>
    <mergeCell ref="B120:E120"/>
    <mergeCell ref="B158:E158"/>
    <mergeCell ref="B159:E159"/>
    <mergeCell ref="B428:E428"/>
    <mergeCell ref="B251:E251"/>
    <mergeCell ref="B253:E253"/>
    <mergeCell ref="B255:E255"/>
    <mergeCell ref="B260:E260"/>
    <mergeCell ref="B278:E278"/>
    <mergeCell ref="B282:E282"/>
    <mergeCell ref="B290:E290"/>
    <mergeCell ref="B298:E298"/>
    <mergeCell ref="B315:E315"/>
    <mergeCell ref="B340:E340"/>
    <mergeCell ref="B347:E347"/>
    <mergeCell ref="B46:E46"/>
    <mergeCell ref="B49:E49"/>
    <mergeCell ref="B57:E57"/>
    <mergeCell ref="B65:E65"/>
    <mergeCell ref="B16:E16"/>
    <mergeCell ref="B18:E18"/>
    <mergeCell ref="B2:E2"/>
    <mergeCell ref="B3:E3"/>
    <mergeCell ref="B21:E21"/>
    <mergeCell ref="B23:E23"/>
    <mergeCell ref="B28:E28"/>
    <mergeCell ref="B73:E73"/>
    <mergeCell ref="B306:E306"/>
    <mergeCell ref="B229:E229"/>
    <mergeCell ref="B177:E177"/>
    <mergeCell ref="B139:E139"/>
    <mergeCell ref="B138:E138"/>
    <mergeCell ref="B82:E82"/>
    <mergeCell ref="B241:E241"/>
    <mergeCell ref="B107:E107"/>
    <mergeCell ref="B109:E109"/>
    <mergeCell ref="B110:E110"/>
    <mergeCell ref="B124:E124"/>
    <mergeCell ref="B125:E125"/>
    <mergeCell ref="B188:E188"/>
    <mergeCell ref="B114:E114"/>
    <mergeCell ref="B115:E115"/>
  </mergeCells>
  <conditionalFormatting sqref="B8 D8:E8 B11 D11:E11">
    <cfRule type="expression" dxfId="1497" priority="29">
      <formula>$E$8="Cause: Multi Rack Configuration is only supported with vSAN as Principal Storage or vSAN Compute Clusters"</formula>
    </cfRule>
  </conditionalFormatting>
  <conditionalFormatting sqref="B8:B14 D8:D14">
    <cfRule type="expression" dxfId="1496" priority="30">
      <formula>vcf_granular_option_chosen&lt;&gt;"Create Cluster"</formula>
    </cfRule>
  </conditionalFormatting>
  <conditionalFormatting sqref="B9 D9">
    <cfRule type="expression" dxfId="1495" priority="150">
      <formula>(cluster_compute_hosts_per_rack_chosen="Exclude")</formula>
    </cfRule>
    <cfRule type="expression" dxfId="1494" priority="151">
      <formula>(vcf_version_result="Excluded")</formula>
    </cfRule>
    <cfRule type="expression" dxfId="1493" priority="153">
      <formula>(vcf_version_chosen&lt;&gt;"Exclude")</formula>
    </cfRule>
  </conditionalFormatting>
  <conditionalFormatting sqref="B9">
    <cfRule type="expression" dxfId="1492" priority="87" stopIfTrue="1">
      <formula>AND((vcf_granular_option_chosen="Create Cluster"),(cluster_compute_hosts_per_rack_chosen="Exclude"))</formula>
    </cfRule>
  </conditionalFormatting>
  <conditionalFormatting sqref="B10 D10">
    <cfRule type="expression" dxfId="1491" priority="146">
      <formula>(vcf_version_chosen&lt;&gt;"Exclude")</formula>
    </cfRule>
    <cfRule type="expression" dxfId="1490" priority="131" stopIfTrue="1">
      <formula>(vcf_version_result="Excluded")</formula>
    </cfRule>
    <cfRule type="expression" dxfId="1489" priority="92">
      <formula>cluster_multi_rack_count_chosen="Exclude"</formula>
    </cfRule>
  </conditionalFormatting>
  <conditionalFormatting sqref="B10 D10:E10">
    <cfRule type="expression" dxfId="1488" priority="85">
      <formula>AND((cluster_chosen="Deploy a Single-Rack / Multi-Rack Layer 2 Cluster"),(cluster_multi_rack_count_chosen&lt;&gt;"Exclude"))</formula>
    </cfRule>
  </conditionalFormatting>
  <conditionalFormatting sqref="B10">
    <cfRule type="expression" dxfId="1487" priority="82">
      <formula>AND((cluster_chosen="Deploy a Multi-Rack Layer 3 Cluster"),(cluster_multi_rack_count_chosen="Exclude"))</formula>
    </cfRule>
  </conditionalFormatting>
  <conditionalFormatting sqref="B11 D11">
    <cfRule type="expression" dxfId="1486" priority="84">
      <formula>cluster_principal_storage_result="Excluded"</formula>
    </cfRule>
  </conditionalFormatting>
  <conditionalFormatting sqref="B11 D11:E11">
    <cfRule type="expression" dxfId="1485" priority="159">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1484" priority="215" stopIfTrue="1">
      <formula>cluster_secondary_storage_chosen="Exclude"</formula>
    </cfRule>
  </conditionalFormatting>
  <conditionalFormatting sqref="B12:B14">
    <cfRule type="expression" dxfId="1483" priority="214">
      <formula>cluster_secondary_storage_chosen&lt;&gt;"Exclude"</formula>
    </cfRule>
  </conditionalFormatting>
  <conditionalFormatting sqref="B13 D13">
    <cfRule type="expression" dxfId="1482" priority="73">
      <formula>cluster_az1_reuse_vcf_networkpool_result="Excluded"</formula>
    </cfRule>
  </conditionalFormatting>
  <conditionalFormatting sqref="B14 D14">
    <cfRule type="expression" dxfId="1481" priority="74" stopIfTrue="1">
      <formula>cluster_stretched_cluster_result="Excluded"</formula>
    </cfRule>
  </conditionalFormatting>
  <conditionalFormatting sqref="B14 D14:E14">
    <cfRule type="expression" dxfId="1480" priority="83">
      <formula>$E$14="Cause: Stretched Cluster is not supported with Multi Rack Layer 3 Cluster"</formula>
    </cfRule>
  </conditionalFormatting>
  <conditionalFormatting sqref="B12:E12">
    <cfRule type="expression" dxfId="1479" priority="171">
      <formula>AND((cluster_secondary_storage_chosen&lt;&gt;"Exclude"),(cluster_secondary_storage_result="Excluded"))</formula>
    </cfRule>
  </conditionalFormatting>
  <conditionalFormatting sqref="D8 B8">
    <cfRule type="expression" dxfId="1478" priority="165">
      <formula>cluster_chosen="Exclude"</formula>
    </cfRule>
  </conditionalFormatting>
  <conditionalFormatting sqref="D12 B12">
    <cfRule type="expression" dxfId="1477" priority="164">
      <formula>cluster_secondary_storage_chosen="Exclude"</formula>
    </cfRule>
  </conditionalFormatting>
  <conditionalFormatting sqref="D12">
    <cfRule type="expression" dxfId="1476" priority="157" stopIfTrue="1">
      <formula>cluster_secondary_storage_chosen="Exclude"</formula>
    </cfRule>
    <cfRule type="expression" dxfId="1475" priority="212">
      <formula>cluster_secondary_storage_chosen&lt;&gt;"Exclude"</formula>
    </cfRule>
    <cfRule type="expression" dxfId="1474" priority="219">
      <formula>AND((cluster_secondary_storage_result&lt;&gt;"Exclude"),(cluster_secondary_storage_result="Included"))</formula>
    </cfRule>
  </conditionalFormatting>
  <conditionalFormatting sqref="D12:D14">
    <cfRule type="expression" dxfId="1473" priority="197">
      <formula>(vcf_version_result="Excluded")</formula>
    </cfRule>
  </conditionalFormatting>
  <conditionalFormatting sqref="D13 B13">
    <cfRule type="expression" dxfId="1472" priority="213">
      <formula>cluster_az1_reuse_vcf_networkpool_chosen="Include"</formula>
    </cfRule>
  </conditionalFormatting>
  <conditionalFormatting 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
    <cfRule type="notContainsBlanks" dxfId="1470" priority="412">
      <formula>LEN(TRIM(D19))&gt;0</formula>
    </cfRule>
  </conditionalFormatting>
  <conditionalFormatting sqref="D19">
    <cfRule type="expression" dxfId="1469" priority="144">
      <formula>cluster_result="Excluded"</formula>
    </cfRule>
  </conditionalFormatting>
  <conditionalFormatting sqref="D30:D31">
    <cfRule type="expression" dxfId="1468" priority="75">
      <formula>AND((cluster_chosen="Deploy a Multi-Rack Layer 3 Cluster"),(cluster_compute_hosts_per_rack_chosen&lt;2))</formula>
    </cfRule>
  </conditionalFormatting>
  <conditionalFormatting sqref="D31">
    <cfRule type="expression" dxfId="1467" priority="9">
      <formula>cluster_compute_hosts_per_rack_chosen&lt;3</formula>
    </cfRule>
  </conditionalFormatting>
  <conditionalFormatting sqref="D32">
    <cfRule type="expression" dxfId="1466" priority="127">
      <formula>cluster_compute_hosts_per_rack_chosen&lt;4</formula>
    </cfRule>
  </conditionalFormatting>
  <conditionalFormatting sqref="D33">
    <cfRule type="expression" dxfId="1465" priority="128">
      <formula>cluster_compute_hosts_per_rack_chosen&lt;5</formula>
    </cfRule>
  </conditionalFormatting>
  <conditionalFormatting sqref="D34">
    <cfRule type="expression" dxfId="1464" priority="133">
      <formula>cluster_compute_hosts_per_rack_chosen&lt;6</formula>
    </cfRule>
  </conditionalFormatting>
  <conditionalFormatting sqref="D35">
    <cfRule type="expression" dxfId="1463" priority="134">
      <formula>cluster_compute_hosts_per_rack_chosen&lt;7</formula>
    </cfRule>
  </conditionalFormatting>
  <conditionalFormatting sqref="D36">
    <cfRule type="expression" dxfId="1462" priority="135">
      <formula>cluster_compute_hosts_per_rack_chosen&lt;8</formula>
    </cfRule>
  </conditionalFormatting>
  <conditionalFormatting sqref="D37">
    <cfRule type="expression" dxfId="1461" priority="136">
      <formula>cluster_compute_hosts_per_rack_chosen&lt;9</formula>
    </cfRule>
  </conditionalFormatting>
  <conditionalFormatting sqref="D38">
    <cfRule type="expression" dxfId="1460" priority="137">
      <formula>cluster_compute_hosts_per_rack_chosen&lt;10</formula>
    </cfRule>
  </conditionalFormatting>
  <conditionalFormatting sqref="D39">
    <cfRule type="expression" dxfId="1459" priority="138">
      <formula>cluster_compute_hosts_per_rack_chosen&lt;11</formula>
    </cfRule>
  </conditionalFormatting>
  <conditionalFormatting sqref="D40">
    <cfRule type="expression" dxfId="1458" priority="139">
      <formula>cluster_compute_hosts_per_rack_chosen&lt;12</formula>
    </cfRule>
  </conditionalFormatting>
  <conditionalFormatting sqref="D41">
    <cfRule type="expression" dxfId="1457" priority="140">
      <formula>cluster_compute_hosts_per_rack_chosen&lt;13</formula>
    </cfRule>
  </conditionalFormatting>
  <conditionalFormatting sqref="D42">
    <cfRule type="expression" dxfId="1456" priority="141">
      <formula>cluster_compute_hosts_per_rack_chosen&lt;14</formula>
    </cfRule>
  </conditionalFormatting>
  <conditionalFormatting sqref="D43">
    <cfRule type="expression" dxfId="1455" priority="142">
      <formula>cluster_compute_hosts_per_rack_chosen&lt;15</formula>
    </cfRule>
  </conditionalFormatting>
  <conditionalFormatting sqref="D44">
    <cfRule type="expression" dxfId="1454" priority="143">
      <formula>cluster_compute_hosts_per_rack_chosen&lt;16</formula>
    </cfRule>
  </conditionalFormatting>
  <conditionalFormatting sqref="D50:D56 D58:D64 D66:D72 D167:D198 D200:D203 D205:D208 D210:D213 D215:D218 D242:D249 D220:D223 D24:D27 D29:D44 D48 D84:D105 D112 D117 D122 D127:D136 D141:D156 D161:D162 D225:D228 D230:D240">
    <cfRule type="expression" dxfId="1453" priority="47">
      <formula>cluster_result="Excluded"</formula>
    </cfRule>
  </conditionalFormatting>
  <conditionalFormatting sqref="D57">
    <cfRule type="expression" dxfId="1452" priority="384">
      <formula>input_mgmt_principal_storage_chosen="VMFS on Fibre Channel (FC)"</formula>
    </cfRule>
    <cfRule type="expression" dxfId="1451" priority="385">
      <formula>mgmt_domain_existing_vcenter_chosen="Selected"</formula>
    </cfRule>
    <cfRule type="containsBlanks" dxfId="1449" priority="387">
      <formula>LEN(TRIM(D57))=0</formula>
    </cfRule>
    <cfRule type="notContainsBlanks" dxfId="1448" priority="388">
      <formula>LEN(TRIM(D57))&gt;0</formula>
    </cfRule>
  </conditionalFormatting>
  <conditionalFormatting sqref="D58:D64">
    <cfRule type="expression" dxfId="1447" priority="45">
      <formula>AND((cluster_principal_storage_chosen&lt;&gt;"vSAN-ESA"),(cluster_principal_storage_chosen&lt;&gt;"vSAN-OSA"),(cluster_principal_storage_chosen&lt;&gt;"vSAN Compute Cluster"))</formula>
    </cfRule>
  </conditionalFormatting>
  <conditionalFormatting sqref="D66:D72">
    <cfRule type="expression" dxfId="1446" priority="198">
      <formula>cluster_secondary_storage_result="Excluded"</formula>
    </cfRule>
  </conditionalFormatting>
  <conditionalFormatting sqref="D74:D80 D50:D56 D58:D64 D66:D72">
    <cfRule type="expression" dxfId="1445" priority="40">
      <formula>cluster_az1_reuse_vcf_networkpool_chosen="Re-use an existing VCF Network Pool"</formula>
    </cfRule>
  </conditionalFormatting>
  <conditionalFormatting sqref="D74:D80">
    <cfRule type="expression" dxfId="1444" priority="39">
      <formula>cluster_principal_storage_chosen&lt;&gt;"vSAN Storage Cluster"</formula>
    </cfRule>
  </conditionalFormatting>
  <conditionalFormatting sqref="D86">
    <cfRule type="expression" dxfId="1443" priority="8">
      <formula>cluster_compute_hosts_per_rack_chosen&lt;3</formula>
    </cfRule>
  </conditionalFormatting>
  <conditionalFormatting sqref="D87">
    <cfRule type="expression" dxfId="1442" priority="107">
      <formula>cluster_compute_hosts_per_rack_chosen&lt;4</formula>
    </cfRule>
  </conditionalFormatting>
  <conditionalFormatting sqref="D88">
    <cfRule type="expression" dxfId="1441" priority="108">
      <formula>cluster_compute_hosts_per_rack_chosen&lt;5</formula>
    </cfRule>
  </conditionalFormatting>
  <conditionalFormatting sqref="D89">
    <cfRule type="expression" dxfId="1440" priority="115">
      <formula>cluster_compute_hosts_per_rack_chosen&lt;6</formula>
    </cfRule>
  </conditionalFormatting>
  <conditionalFormatting sqref="D90">
    <cfRule type="expression" dxfId="1439" priority="116">
      <formula>cluster_compute_hosts_per_rack_chosen&lt;7</formula>
    </cfRule>
  </conditionalFormatting>
  <conditionalFormatting sqref="D91">
    <cfRule type="expression" dxfId="1438" priority="117">
      <formula>cluster_compute_hosts_per_rack_chosen&lt;8</formula>
    </cfRule>
  </conditionalFormatting>
  <conditionalFormatting sqref="D92">
    <cfRule type="expression" dxfId="1437" priority="118">
      <formula>cluster_compute_hosts_per_rack_chosen&lt;9</formula>
    </cfRule>
  </conditionalFormatting>
  <conditionalFormatting sqref="D93">
    <cfRule type="expression" dxfId="1436" priority="119">
      <formula>cluster_compute_hosts_per_rack_chosen&lt;10</formula>
    </cfRule>
  </conditionalFormatting>
  <conditionalFormatting sqref="D94">
    <cfRule type="expression" dxfId="1435" priority="120">
      <formula>cluster_compute_hosts_per_rack_chosen&lt;11</formula>
    </cfRule>
  </conditionalFormatting>
  <conditionalFormatting sqref="D95">
    <cfRule type="expression" dxfId="1434" priority="121">
      <formula>cluster_compute_hosts_per_rack_chosen&lt;12</formula>
    </cfRule>
  </conditionalFormatting>
  <conditionalFormatting sqref="D96">
    <cfRule type="expression" dxfId="1433" priority="122">
      <formula>cluster_compute_hosts_per_rack_chosen&lt;13</formula>
    </cfRule>
  </conditionalFormatting>
  <conditionalFormatting sqref="D97">
    <cfRule type="expression" dxfId="1432" priority="123">
      <formula>cluster_compute_hosts_per_rack_chosen&lt;14</formula>
    </cfRule>
  </conditionalFormatting>
  <conditionalFormatting sqref="D98">
    <cfRule type="expression" dxfId="1431" priority="124">
      <formula>cluster_compute_hosts_per_rack_chosen&lt;15</formula>
    </cfRule>
  </conditionalFormatting>
  <conditionalFormatting sqref="D99">
    <cfRule type="expression" dxfId="1430" priority="125">
      <formula>cluster_compute_hosts_per_rack_chosen&lt;16</formula>
    </cfRule>
  </conditionalFormatting>
  <conditionalFormatting sqref="D101">
    <cfRule type="expression" dxfId="1429" priority="26">
      <formula>cluster_principal_storage_chosen="vSAN Storage Cluster"</formula>
    </cfRule>
  </conditionalFormatting>
  <conditionalFormatting sqref="D101:D102 D127 D129:D132">
    <cfRule type="expression" dxfId="1428" priority="192">
      <formula>AND((cluster_principal_storage_chosen&lt;&gt;"vSAN-OSA"),(cluster_principal_storage_chosen&lt;&gt;"vSAN-ESA"),(cluster_principal_storage_chosen&lt;&gt;"vSAN Storage Cluster"),(cluster_principal_storage_chosen&lt;&gt;"Compute Cluster"))</formula>
    </cfRule>
  </conditionalFormatting>
  <conditionalFormatting sqref="D105">
    <cfRule type="expression" dxfId="1427" priority="179">
      <formula>mgmt_domain_deployment_type_chosen="VMware vSphere Foundation"</formula>
    </cfRule>
  </conditionalFormatting>
  <conditionalFormatting sqref="D128">
    <cfRule type="expression" dxfId="1426" priority="27">
      <formula>cluster_principal_storage_chosen&lt;&gt;"vSAN Compute Cluster"</formula>
    </cfRule>
  </conditionalFormatting>
  <conditionalFormatting sqref="D130">
    <cfRule type="expression" dxfId="1425" priority="172">
      <formula>cluster_secondary_storage_chosen&lt;&gt;"vSAN Storage Client Network"</formula>
    </cfRule>
    <cfRule type="expression" dxfId="1424" priority="174">
      <formula>cluster_principal_storage_chosen="vSAN-OSA"</formula>
    </cfRule>
  </conditionalFormatting>
  <conditionalFormatting sqref="D131:D132">
    <cfRule type="expression" dxfId="1423" priority="175">
      <formula>cluster_principal_storage_chosen="vSAN-ESA"</formula>
    </cfRule>
  </conditionalFormatting>
  <conditionalFormatting sqref="D133">
    <cfRule type="expression" dxfId="1422" priority="166">
      <formula>cluster_principal_storage_chosen&lt;&gt;"VMFS on Fibre Channel (FC)"</formula>
    </cfRule>
  </conditionalFormatting>
  <conditionalFormatting sqref="D134:D136">
    <cfRule type="expression" dxfId="1421" priority="145">
      <formula>cluster_principal_storage_chosen&lt;&gt;"NFSv3"</formula>
    </cfRule>
  </conditionalFormatting>
  <conditionalFormatting sqref="D143">
    <cfRule type="expression" dxfId="1420" priority="7">
      <formula>cluster_compute_hosts_per_rack_chosen&lt;3</formula>
    </cfRule>
  </conditionalFormatting>
  <conditionalFormatting sqref="D144">
    <cfRule type="expression" dxfId="1419" priority="76">
      <formula>cluster_compute_hosts_per_rack_chosen&lt;4</formula>
    </cfRule>
  </conditionalFormatting>
  <conditionalFormatting sqref="D145">
    <cfRule type="expression" dxfId="1418" priority="93">
      <formula>cluster_compute_hosts_per_rack_chosen&lt;5</formula>
    </cfRule>
  </conditionalFormatting>
  <conditionalFormatting sqref="D146">
    <cfRule type="expression" dxfId="1417" priority="96">
      <formula>cluster_compute_hosts_per_rack_chosen&lt;6</formula>
    </cfRule>
  </conditionalFormatting>
  <conditionalFormatting sqref="D147">
    <cfRule type="expression" dxfId="1416" priority="97">
      <formula>cluster_compute_hosts_per_rack_chosen&lt;7</formula>
    </cfRule>
  </conditionalFormatting>
  <conditionalFormatting sqref="D148">
    <cfRule type="expression" dxfId="1415" priority="98">
      <formula>cluster_compute_hosts_per_rack_chosen&lt;8</formula>
    </cfRule>
  </conditionalFormatting>
  <conditionalFormatting sqref="D149">
    <cfRule type="expression" dxfId="1414" priority="99">
      <formula>cluster_compute_hosts_per_rack_chosen&lt;9</formula>
    </cfRule>
  </conditionalFormatting>
  <conditionalFormatting sqref="D150">
    <cfRule type="expression" dxfId="1413" priority="100">
      <formula>cluster_compute_hosts_per_rack_chosen&lt;10</formula>
    </cfRule>
  </conditionalFormatting>
  <conditionalFormatting sqref="D151">
    <cfRule type="expression" dxfId="1412" priority="101">
      <formula>cluster_compute_hosts_per_rack_chosen&lt;11</formula>
    </cfRule>
  </conditionalFormatting>
  <conditionalFormatting sqref="D152">
    <cfRule type="expression" dxfId="1411" priority="102">
      <formula>cluster_compute_hosts_per_rack_chosen&lt;12</formula>
    </cfRule>
  </conditionalFormatting>
  <conditionalFormatting sqref="D153">
    <cfRule type="expression" dxfId="1410" priority="103">
      <formula>cluster_compute_hosts_per_rack_chosen&lt;13</formula>
    </cfRule>
  </conditionalFormatting>
  <conditionalFormatting sqref="D154">
    <cfRule type="expression" dxfId="1409" priority="104">
      <formula>cluster_compute_hosts_per_rack_chosen&lt;14</formula>
    </cfRule>
  </conditionalFormatting>
  <conditionalFormatting sqref="D155">
    <cfRule type="expression" dxfId="1408" priority="105">
      <formula>cluster_compute_hosts_per_rack_chosen&lt;15</formula>
    </cfRule>
  </conditionalFormatting>
  <conditionalFormatting sqref="D156">
    <cfRule type="expression" dxfId="1407" priority="106">
      <formula>cluster_compute_hosts_per_rack_chosen&lt;16</formula>
    </cfRule>
  </conditionalFormatting>
  <conditionalFormatting sqref="D167:D198 D225:D228 D230:D240 D242:D249 D200:D203 D215:D218 D66:D72 D84:D105 D127:D136 D220:D223 D19 D29:D44 D141:D156 D24:D27 D48 D50:D56 D58:D64 D112 D117 D122 D161:D162 D205:D208 D210:D213 D291:D297 D74:D80 D283:D289 D299:D305 D307:D313 D256:D259 D261:D276 D280:D281 D317:D338 D342:D345 D350:D366 D369:D372 D375:D377 D380:D382 D387:D418 D423 D426:D427 D430:D440">
    <cfRule type="containsBlanks" dxfId="1406" priority="315">
      <formula>LEN(TRIM(D19))=0</formula>
    </cfRule>
  </conditionalFormatting>
  <conditionalFormatting sqref="D168:D175 D201:D203 D206:D208 D211:D213 D216:D218 D242:D249 D221:D223 D225:D228 D230 D232:D240">
    <cfRule type="expression" dxfId="1405" priority="34">
      <formula>cluster_cl01_vds_copy_profile_chosen="Unselected"</formula>
    </cfRule>
  </conditionalFormatting>
  <conditionalFormatting sqref="D170:D173">
    <cfRule type="expression" dxfId="1404" priority="21">
      <formula>cluster_vds01_link_type_chosen="VDS Uplinks"</formula>
    </cfRule>
  </conditionalFormatting>
  <conditionalFormatting sqref="D175:D198 D167:D173">
    <cfRule type="expression" dxfId="1403" priority="314">
      <formula>wld_cl01_vds_profile_chosen="custom"</formula>
    </cfRule>
  </conditionalFormatting>
  <conditionalFormatting sqref="D177">
    <cfRule type="notContainsBlanks" dxfId="1402" priority="281" stopIfTrue="1">
      <formula>LEN(TRIM(D177))&gt;0</formula>
    </cfRule>
    <cfRule type="expression" dxfId="1401" priority="280">
      <formula>mgmt_host_overlay_addressing_chosen&lt;&gt;"IP Pool"</formula>
    </cfRule>
    <cfRule type="containsBlanks" dxfId="1400" priority="282">
      <formula>LEN(TRIM(D177))=0</formula>
    </cfRule>
  </conditionalFormatting>
  <conditionalFormatting sqref="D178:D187">
    <cfRule type="expression" dxfId="1399" priority="312" stopIfTrue="1">
      <formula>cluster_vds_profile_chosen="Custom"</formula>
    </cfRule>
    <cfRule type="expression" dxfId="1398" priority="313">
      <formula>cluster_vds_profile_chosen="Default"</formula>
    </cfRule>
  </conditionalFormatting>
  <conditionalFormatting sqref="D181:D184">
    <cfRule type="expression" dxfId="1397" priority="20">
      <formula>cluster_vds02_link_type_chosen="VDS Uplinks"</formula>
    </cfRule>
  </conditionalFormatting>
  <conditionalFormatting sqref="D189:D198">
    <cfRule type="expression" dxfId="1396" priority="51">
      <formula>cluster_vds_profile_chosen ="vSAN Max Storage Traffic Separation"</formula>
    </cfRule>
    <cfRule type="expression" dxfId="1395" priority="307">
      <formula>cluster_vds_profile_chosen="Storage Traffic Separation"</formula>
    </cfRule>
    <cfRule type="expression" dxfId="1394" priority="126">
      <formula>cluster_vds_profile_chosen="Custom"</formula>
    </cfRule>
    <cfRule type="expression" dxfId="1393" priority="308">
      <formula>cluster_vds_profile_chosen="Default"</formula>
    </cfRule>
    <cfRule type="expression" dxfId="1392" priority="176">
      <formula>cluster_vds_profile_chosen="NSX Traffic Separation"</formula>
    </cfRule>
  </conditionalFormatting>
  <conditionalFormatting sqref="D192:D195">
    <cfRule type="expression" dxfId="1391" priority="19">
      <formula>cluster_vds03_link_type_chosen="VDS Uplinks"</formula>
    </cfRule>
  </conditionalFormatting>
  <conditionalFormatting sqref="D200">
    <cfRule type="expression" dxfId="1390" priority="283">
      <formula>wld_cl01_vds_profile_chosen="custom"</formula>
    </cfRule>
  </conditionalFormatting>
  <conditionalFormatting sqref="D201:D203 D206:D208 D211:D213">
    <cfRule type="expression" dxfId="1389" priority="18">
      <formula>cluster_vds01_link_type_chosen="VDS Lag"</formula>
    </cfRule>
  </conditionalFormatting>
  <conditionalFormatting sqref="D215">
    <cfRule type="expression" dxfId="1388" priority="209">
      <formula>wld_cl01_vds_profile_chosen="custom"</formula>
    </cfRule>
  </conditionalFormatting>
  <conditionalFormatting sqref="D216:D218">
    <cfRule type="expression" dxfId="1387" priority="4">
      <formula>AND((cluster_vds_profile_chosen="vvSAN Max Storage Traffic Separation"),(cluster_vds02_link_type_chosen="VDS Lag"))</formula>
    </cfRule>
    <cfRule type="expression" dxfId="1386" priority="17">
      <formula>AND((cluster_vds_profile_chosen="Storage Traffic Separation"),(cluster_vds02_link_type_chosen="VDS Lag"))</formula>
    </cfRule>
    <cfRule type="expression" dxfId="1385" priority="16">
      <formula>AND((cluster_vds_profile_chosen="Storage Traffic and NSX Traffic Separation"),(cluster_vds02_link_type_chosen="VDS Lag"))</formula>
    </cfRule>
    <cfRule type="expression" dxfId="1384" priority="15">
      <formula>AND((cluster_vds_profile_chosen="NSX Traffic Separation"),(cluster_vds01_link_type_chosen="VDS Lag"))</formula>
    </cfRule>
    <cfRule type="expression" dxfId="1383" priority="14">
      <formula>AND((cluster_vds_profile_chosen="Default"),(cluster_vds01_link_type_chosen="VDS Lag"))</formula>
    </cfRule>
    <cfRule type="expression" dxfId="1382" priority="5">
      <formula>AND((cluster_vds_profile_chosen="vSAN Max Storage Traffic and NSX Traffic Separation"),(cluster_vds02_link_type_chosen="VDS Lag"))</formula>
    </cfRule>
  </conditionalFormatting>
  <conditionalFormatting sqref="D220">
    <cfRule type="expression" dxfId="1381" priority="190">
      <formula>wld_cl01_vds_profile_chosen="custom"</formula>
    </cfRule>
  </conditionalFormatting>
  <conditionalFormatting sqref="D220:D223">
    <cfRule type="expression" dxfId="1380" priority="6">
      <formula>cluster_secondary_storage_chosen="Exclude"</formula>
    </cfRule>
  </conditionalFormatting>
  <conditionalFormatting sqref="D221:D223">
    <cfRule type="expression" dxfId="1379" priority="3">
      <formula>cluster_vds01_link_type_chosen="VDS Lag"</formula>
    </cfRule>
  </conditionalFormatting>
  <conditionalFormatting sqref="D226">
    <cfRule type="expression" dxfId="1378" priority="298">
      <formula>cluster_nsx_default_operation_mode_chosen="Selected"</formula>
    </cfRule>
  </conditionalFormatting>
  <conditionalFormatting sqref="D230">
    <cfRule type="expression" dxfId="1377" priority="205">
      <formula>$D$162="Unselected"</formula>
    </cfRule>
  </conditionalFormatting>
  <conditionalFormatting sqref="D230:D239">
    <cfRule type="expression" dxfId="1376" priority="35">
      <formula>cluster_nsx_overlay_transport_zone_chosen="Unselected"</formula>
    </cfRule>
  </conditionalFormatting>
  <conditionalFormatting sqref="D233:D240 D242:D245">
    <cfRule type="expression" dxfId="1375" priority="177">
      <formula>cluster_host_overlay_addressing_chosen="DHCP"</formula>
    </cfRule>
  </conditionalFormatting>
  <conditionalFormatting sqref="D234 D246">
    <cfRule type="expression" dxfId="1374" priority="288">
      <formula>wld_host_overlay_addressing_chosen="DHCP"</formula>
    </cfRule>
  </conditionalFormatting>
  <conditionalFormatting sqref="D235:D240 D242:D245">
    <cfRule type="expression" dxfId="1373" priority="178">
      <formula>input_cluster_az1_host_overlay_new_pool_chosen="Re-use an existing Pool"</formula>
    </cfRule>
  </conditionalFormatting>
  <conditionalFormatting sqref="D240">
    <cfRule type="expression" dxfId="1372" priority="36">
      <formula>cluster_nsx_vlan_transport_zone_chosen="Unselected"</formula>
    </cfRule>
  </conditionalFormatting>
  <conditionalFormatting sqref="D247:D249">
    <cfRule type="expression" dxfId="1371" priority="1">
      <formula>AND((cluster_vds_profile_chosen="vSAN MAx Storage Traffic and NSX Traffic Separation"),(cluster_vds03_link_type_chosen="VDS Lag"))</formula>
    </cfRule>
    <cfRule type="expression" dxfId="1370" priority="10">
      <formula>AND((cluster_vds_profile_chosen="Default"),(cluster_vds01_link_type_chosen="VDS Lag"))</formula>
    </cfRule>
    <cfRule type="expression" dxfId="1369" priority="11">
      <formula>AND((cluster_vds_profile_chosen="NSX Traffic Separation"),(cluster_vds02_link_type_chosen="VDS Lag"))</formula>
    </cfRule>
    <cfRule type="expression" dxfId="1368" priority="12">
      <formula>AND((cluster_vds_profile_chosen="Storage Traffic and NSX Traffic Separation"),(cluster_vds03_link_type_chosen="VDS Lag"))</formula>
    </cfRule>
    <cfRule type="expression" dxfId="1367" priority="13">
      <formula>AND((cluster_vds_profile_chosen="Storage Traffic Separation"),(cluster_vds01_link_type_chosen="VDS Lag"))</formula>
    </cfRule>
    <cfRule type="expression" dxfId="1366" priority="2">
      <formula>AND((cluster_vds_profile_chosen="vSAN Max Storage Traffic Separation"),(cluster_vds01_link_type_chosen="VDS Lag"))</formula>
    </cfRule>
  </conditionalFormatting>
  <conditionalFormatting sqref="D256:D259 D261:D276 D280:D281 D283:D289 D291:D297 D299:D305 D307:D313 D317:D338 D342:D345 D350:D366 D369:D372 D375:D377 D380:D382 D387:D418 D423 D426:D427 D430:D440">
    <cfRule type="expression" dxfId="1365" priority="32">
      <formula>cluster_stretched_cluster_result="Excluded"</formula>
    </cfRule>
  </conditionalFormatting>
  <conditionalFormatting sqref="D283:D289 D291:D297 D299:D305 D307:D313">
    <cfRule type="expression" dxfId="1364" priority="38">
      <formula>cluster_az2_reuse_vcf_networkpool_chosen="Re-use an existing VCF Network Pool"</formula>
    </cfRule>
  </conditionalFormatting>
  <conditionalFormatting sqref="D291:D297">
    <cfRule type="expression" dxfId="1363" priority="44">
      <formula>AND((cluster_principal_storage_chosen&lt;&gt;"vSAN-ESA"),(cluster_principal_storage_chosen&lt;&gt;"vSAN-OSA"))</formula>
    </cfRule>
  </conditionalFormatting>
  <conditionalFormatting sqref="D307:D313">
    <cfRule type="expression" dxfId="1362" priority="37">
      <formula>cluster_principal_storage_chosen&lt;&gt;"vSAN Storage Cluster"</formula>
    </cfRule>
  </conditionalFormatting>
  <conditionalFormatting sqref="D403:D404">
    <cfRule type="expression" dxfId="1361" priority="23">
      <formula>OR((cluster_principal_storage_chosen&lt;&gt;"vSAN Compute Cluster"),(cluster_stretched_cluster_result&lt;&gt;"Included"))</formula>
    </cfRule>
  </conditionalFormatting>
  <conditionalFormatting sqref="D8:E8 B8">
    <cfRule type="expression" dxfId="1360" priority="160">
      <formula>$E$8="Cluster Deployment not selected on VCF &amp; VVF Planning Tab"</formula>
    </cfRule>
  </conditionalFormatting>
  <conditionalFormatting sqref="D8:E8">
    <cfRule type="expression" dxfId="1358" priority="31">
      <formula>$E$9="Required: Minimum Number of hosts must be selected"</formula>
    </cfRule>
  </conditionalFormatting>
  <conditionalFormatting sqref="D8:E9">
    <cfRule type="expression" dxfId="1357" priority="89">
      <formula>AND((cluster_compute_hosts_per_rack_chosen&lt;&gt;"Exclude"),(cluster_compute_hosts_per_rack_result="Excluded"))</formula>
    </cfRule>
  </conditionalFormatting>
  <conditionalFormatting sqref="D9:E10 B9:B10">
    <cfRule type="expression" dxfId="1356" priority="90">
      <formula>$E$9="Cause: Max number of Hosts per Cluster is 64."</formula>
    </cfRule>
  </conditionalFormatting>
  <conditionalFormatting sqref="E9">
    <cfRule type="expression" dxfId="1355" priority="152">
      <formula>vcf_version_result="Excluded"</formula>
    </cfRule>
  </conditionalFormatting>
  <conditionalFormatting sqref="E84:E99">
    <cfRule type="expression" dxfId="1354" priority="375">
      <formula>OR((wld_vlcm_model_result="Excluded"),(wld_vlcm_model_chosen="Baselines"))</formula>
    </cfRule>
  </conditionalFormatting>
  <dataValidations count="23">
    <dataValidation type="list" allowBlank="1" showInputMessage="1" showErrorMessage="1" sqref="D162 D132 D225 D227:D228" xr:uid="{3811AEB6-F2F0-EE48-9D3A-9674E5CA5224}">
      <formula1>"Selected,Unselected"</formula1>
    </dataValidation>
    <dataValidation type="list" allowBlank="1" showInputMessage="1" showErrorMessage="1" sqref="D131" xr:uid="{BF297065-A292-B94A-8A8D-34226032FCA6}">
      <formula1>storage_ftt</formula1>
    </dataValidation>
    <dataValidation type="list" allowBlank="1" showInputMessage="1" showErrorMessage="1" sqref="D202:D203 D207:D208 D212:D213 D217:D218 D222:D223" xr:uid="{DF9E634B-54CF-D84F-8B60-2A55CCED2116}">
      <formula1>"Active,Standby,Unused"</formula1>
    </dataValidation>
    <dataValidation type="list" allowBlank="1" showInputMessage="1" showErrorMessage="1" sqref="D201 D206 D211 D216 D221"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47" xr:uid="{97DD5E61-671B-A049-BABD-72E1AD2758C2}">
      <formula1>"Load Balance Source,Failover Order,Load Balance Source MAC Address"</formula1>
    </dataValidation>
    <dataValidation type="list" allowBlank="1" showInputMessage="1" showErrorMessage="1" sqref="D226" xr:uid="{AF996C1F-71DF-274E-B2EF-8F204BB2F48C}">
      <formula1>"Standard,Enhanced Datapath Standard,Enhanced Datapath Dedicated"</formula1>
    </dataValidation>
    <dataValidation type="list" allowBlank="1" showInputMessage="1" showErrorMessage="1" sqref="D161"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32"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33 D406"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80" xr:uid="{DB84F846-6867-3446-BB4D-65E6B02D5030}">
      <formula1>"Re-use an existing VCF Network Pool,Create a new VCF Network Pool"</formula1>
    </dataValidation>
    <dataValidation type="list" allowBlank="1" showInputMessage="1" showErrorMessage="1" sqref="D53 D61 D69 D286 D302 D294 D359 D77 D310" xr:uid="{27C3E5C4-FDD5-4748-A7D4-1787DC967E79}">
      <formula1>table_masks</formula1>
    </dataValidation>
    <dataValidation type="list" allowBlank="1" showInputMessage="1" showErrorMessage="1" sqref="D403" xr:uid="{75586F99-D106-CA46-B6D3-76D630620FEC}">
      <formula1>"Symmetric,Asymmetric"</formula1>
    </dataValidation>
    <dataValidation type="list" allowBlank="1" showInputMessage="1" showErrorMessage="1" sqref="D404" xr:uid="{623059D5-F95F-9640-BE3C-BB2D1B9E0644}">
      <formula1>"Primary,Secondary"</formula1>
    </dataValidation>
    <dataValidation type="list" allowBlank="1" showInputMessage="1" showErrorMessage="1" sqref="D169 D180 D191" xr:uid="{4E3965A0-3BF1-4E48-9CD1-E18FCB6D7359}">
      <formula1>"VDS Uplinks, VDS LAG"</formula1>
    </dataValidation>
    <dataValidation type="list" allowBlank="1" showInputMessage="1" showErrorMessage="1" sqref="D171 D182 D193" xr:uid="{6BE82285-977C-E949-A1FB-1C741920DEB2}">
      <formula1>"Active,Passive"</formula1>
    </dataValidation>
    <dataValidation type="list" allowBlank="1" showInputMessage="1" showErrorMessage="1" sqref="D172 D183 D194" xr:uid="{74FC30BA-D432-E841-AB37-5A965F16383C}">
      <formula1>lag_load_balancing</formula1>
    </dataValidation>
    <dataValidation type="list" allowBlank="1" showInputMessage="1" showErrorMessage="1" sqref="D173 D184 D195" xr:uid="{E9D0A69D-091F-E94F-857E-0748FAB5E088}">
      <formula1>"Slow,Fast"</formula1>
    </dataValidation>
  </dataValidations>
  <pageMargins left="0.7" right="0.7" top="0.75" bottom="0.75" header="0.3" footer="0.3"/>
  <pageSetup paperSize="9" orientation="portrait" horizontalDpi="0" verticalDpi="0"/>
  <ignoredErrors>
    <ignoredError sqref="D131" numberStoredAsText="1"/>
  </ignoredErrors>
  <drawing r:id="rId1"/>
  <extLst>
    <ext xmlns:x14="http://schemas.microsoft.com/office/spreadsheetml/2009/9/main" uri="{78C0D931-6437-407d-A8EE-F0AAD7539E65}">
      <x14:conditionalFormattings>
        <x14:conditionalFormatting xmlns:xm="http://schemas.microsoft.com/office/excel/2006/main">
          <x14:cfRule type="containsText" priority="318" operator="containsText" id="{9A0BD65F-A1E4-AF45-9A88-63E1EA94DF01}">
            <xm:f>NOT(ISERROR(SEARCH("Value Missing",D19)))</xm:f>
            <xm:f>"Value Missing"</xm:f>
            <x14:dxf>
              <font>
                <color theme="1"/>
              </font>
              <fill>
                <patternFill>
                  <bgColor rgb="FFFFBE29"/>
                </patternFill>
              </fill>
            </x14:dxf>
          </x14:cfRule>
          <xm: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xm:sqref>
        </x14:conditionalFormatting>
        <x14:conditionalFormatting xmlns:xm="http://schemas.microsoft.com/office/excel/2006/main">
          <x14:cfRule type="containsText" priority="386" stopIfTrue="1" operator="containsText" id="{0A385B47-D6E5-CB44-AB9F-5502ADAEE367}">
            <xm:f>NOT(ISERROR(SEARCH("Value Missing",D57)))</xm:f>
            <xm:f>"Value Missing"</xm:f>
            <x14:dxf>
              <font>
                <color rgb="FF0E223A"/>
              </font>
              <fill>
                <patternFill>
                  <bgColor rgb="FFFFBE29"/>
                </patternFill>
              </fill>
            </x14:dxf>
          </x14:cfRule>
          <xm:sqref>D57</xm:sqref>
        </x14:conditionalFormatting>
        <x14:conditionalFormatting xmlns:xm="http://schemas.microsoft.com/office/excel/2006/main">
          <x14:cfRule type="containsText" priority="161"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9971-0C8D-2D4A-8DB1-228218BCE545}">
  <dimension ref="B1:C37"/>
  <sheetViews>
    <sheetView workbookViewId="0">
      <selection activeCell="G26" sqref="G26"/>
    </sheetView>
  </sheetViews>
  <sheetFormatPr baseColWidth="10" defaultColWidth="11" defaultRowHeight="16" x14ac:dyDescent="0.2"/>
  <cols>
    <col min="2" max="2" width="45.83203125" bestFit="1" customWidth="1"/>
    <col min="3" max="3" width="43.6640625" bestFit="1" customWidth="1"/>
  </cols>
  <sheetData>
    <row r="1" spans="2:3" x14ac:dyDescent="0.2">
      <c r="B1" t="s">
        <v>1186</v>
      </c>
      <c r="C1" t="s">
        <v>1187</v>
      </c>
    </row>
    <row r="2" spans="2:3" x14ac:dyDescent="0.2">
      <c r="B2" s="8" t="s">
        <v>1188</v>
      </c>
      <c r="C2" s="8" t="s">
        <v>1189</v>
      </c>
    </row>
    <row r="3" spans="2:3" x14ac:dyDescent="0.2">
      <c r="B3" s="8" t="s">
        <v>1190</v>
      </c>
      <c r="C3" s="8" t="s">
        <v>1191</v>
      </c>
    </row>
    <row r="4" spans="2:3" x14ac:dyDescent="0.2">
      <c r="B4" s="8" t="s">
        <v>1192</v>
      </c>
      <c r="C4" s="8" t="s">
        <v>1193</v>
      </c>
    </row>
    <row r="5" spans="2:3" x14ac:dyDescent="0.2">
      <c r="B5" s="8" t="s">
        <v>1194</v>
      </c>
      <c r="C5" s="8" t="s">
        <v>1195</v>
      </c>
    </row>
    <row r="6" spans="2:3" x14ac:dyDescent="0.2">
      <c r="B6" s="8" t="s">
        <v>1196</v>
      </c>
      <c r="C6" s="8" t="s">
        <v>1197</v>
      </c>
    </row>
    <row r="7" spans="2:3" x14ac:dyDescent="0.2">
      <c r="B7" s="8" t="s">
        <v>1198</v>
      </c>
      <c r="C7" s="8" t="s">
        <v>1199</v>
      </c>
    </row>
    <row r="8" spans="2:3" x14ac:dyDescent="0.2">
      <c r="B8" s="8" t="s">
        <v>1200</v>
      </c>
      <c r="C8" s="8" t="s">
        <v>1201</v>
      </c>
    </row>
    <row r="9" spans="2:3" x14ac:dyDescent="0.2">
      <c r="B9" s="8" t="s">
        <v>1202</v>
      </c>
      <c r="C9" s="8" t="s">
        <v>1203</v>
      </c>
    </row>
    <row r="10" spans="2:3" x14ac:dyDescent="0.2">
      <c r="B10" s="8" t="s">
        <v>1204</v>
      </c>
      <c r="C10" s="8" t="s">
        <v>1205</v>
      </c>
    </row>
    <row r="11" spans="2:3" x14ac:dyDescent="0.2">
      <c r="B11" s="8" t="s">
        <v>1206</v>
      </c>
      <c r="C11" s="8" t="s">
        <v>1207</v>
      </c>
    </row>
    <row r="12" spans="2:3" x14ac:dyDescent="0.2">
      <c r="B12" s="8" t="s">
        <v>1206</v>
      </c>
      <c r="C12" s="8" t="s">
        <v>1208</v>
      </c>
    </row>
    <row r="13" spans="2:3" x14ac:dyDescent="0.2">
      <c r="B13" s="8" t="s">
        <v>1209</v>
      </c>
      <c r="C13" s="8" t="s">
        <v>1210</v>
      </c>
    </row>
    <row r="14" spans="2:3" x14ac:dyDescent="0.2">
      <c r="B14" s="8" t="s">
        <v>1211</v>
      </c>
      <c r="C14" s="8" t="s">
        <v>1212</v>
      </c>
    </row>
    <row r="15" spans="2:3" x14ac:dyDescent="0.2">
      <c r="B15" s="8" t="s">
        <v>1213</v>
      </c>
      <c r="C15" s="8" t="s">
        <v>1190</v>
      </c>
    </row>
    <row r="16" spans="2:3" x14ac:dyDescent="0.2">
      <c r="B16" s="8" t="s">
        <v>1214</v>
      </c>
      <c r="C16" s="8" t="s">
        <v>1196</v>
      </c>
    </row>
    <row r="17" spans="2:3" x14ac:dyDescent="0.2">
      <c r="B17" s="8" t="s">
        <v>1215</v>
      </c>
      <c r="C17" s="8" t="s">
        <v>1216</v>
      </c>
    </row>
    <row r="18" spans="2:3" x14ac:dyDescent="0.2">
      <c r="B18" s="8" t="s">
        <v>1217</v>
      </c>
      <c r="C18" s="8" t="s">
        <v>1218</v>
      </c>
    </row>
    <row r="19" spans="2:3" x14ac:dyDescent="0.2">
      <c r="B19" s="8" t="s">
        <v>1219</v>
      </c>
      <c r="C19" s="8" t="s">
        <v>1220</v>
      </c>
    </row>
    <row r="20" spans="2:3" x14ac:dyDescent="0.2">
      <c r="B20" s="8" t="s">
        <v>1221</v>
      </c>
      <c r="C20" s="8" t="s">
        <v>1222</v>
      </c>
    </row>
    <row r="21" spans="2:3" x14ac:dyDescent="0.2">
      <c r="B21" s="8" t="s">
        <v>1223</v>
      </c>
      <c r="C21" s="8" t="s">
        <v>1224</v>
      </c>
    </row>
    <row r="22" spans="2:3" x14ac:dyDescent="0.2">
      <c r="B22" s="8" t="s">
        <v>1225</v>
      </c>
      <c r="C22" s="8" t="s">
        <v>1226</v>
      </c>
    </row>
    <row r="23" spans="2:3" x14ac:dyDescent="0.2">
      <c r="B23" s="8" t="s">
        <v>1227</v>
      </c>
      <c r="C23" s="8" t="s">
        <v>1228</v>
      </c>
    </row>
    <row r="24" spans="2:3" x14ac:dyDescent="0.2">
      <c r="B24" s="8" t="s">
        <v>1229</v>
      </c>
      <c r="C24" s="8" t="s">
        <v>1230</v>
      </c>
    </row>
    <row r="25" spans="2:3" x14ac:dyDescent="0.2">
      <c r="B25" s="8" t="s">
        <v>1231</v>
      </c>
      <c r="C25" s="8" t="s">
        <v>1232</v>
      </c>
    </row>
    <row r="26" spans="2:3" x14ac:dyDescent="0.2">
      <c r="B26" s="8" t="s">
        <v>1233</v>
      </c>
      <c r="C26" s="8" t="s">
        <v>1234</v>
      </c>
    </row>
    <row r="27" spans="2:3" x14ac:dyDescent="0.2">
      <c r="B27" s="8" t="s">
        <v>1235</v>
      </c>
      <c r="C27" s="8" t="s">
        <v>1236</v>
      </c>
    </row>
    <row r="28" spans="2:3" x14ac:dyDescent="0.2">
      <c r="B28" s="8" t="s">
        <v>1237</v>
      </c>
      <c r="C28" s="8" t="s">
        <v>1238</v>
      </c>
    </row>
    <row r="29" spans="2:3" x14ac:dyDescent="0.2">
      <c r="B29" s="8" t="s">
        <v>1239</v>
      </c>
      <c r="C29" s="8" t="s">
        <v>1240</v>
      </c>
    </row>
    <row r="30" spans="2:3" x14ac:dyDescent="0.2">
      <c r="B30" s="8" t="s">
        <v>1241</v>
      </c>
      <c r="C30" s="8" t="s">
        <v>1242</v>
      </c>
    </row>
    <row r="31" spans="2:3" x14ac:dyDescent="0.2">
      <c r="B31" s="8" t="s">
        <v>1243</v>
      </c>
      <c r="C31" s="8" t="s">
        <v>1244</v>
      </c>
    </row>
    <row r="32" spans="2:3" x14ac:dyDescent="0.2">
      <c r="B32" s="8" t="s">
        <v>1245</v>
      </c>
      <c r="C32" s="8" t="s">
        <v>1246</v>
      </c>
    </row>
    <row r="33" spans="2:3" x14ac:dyDescent="0.2">
      <c r="B33" s="8" t="s">
        <v>1247</v>
      </c>
      <c r="C33" s="8" t="s">
        <v>1248</v>
      </c>
    </row>
    <row r="34" spans="2:3" x14ac:dyDescent="0.2">
      <c r="B34" s="8" t="s">
        <v>1249</v>
      </c>
      <c r="C34" s="8" t="s">
        <v>1250</v>
      </c>
    </row>
    <row r="35" spans="2:3" x14ac:dyDescent="0.2">
      <c r="B35" s="8" t="s">
        <v>1251</v>
      </c>
      <c r="C35" s="8" t="s">
        <v>1252</v>
      </c>
    </row>
    <row r="36" spans="2:3" x14ac:dyDescent="0.2">
      <c r="B36" s="8" t="s">
        <v>1253</v>
      </c>
      <c r="C36" s="8" t="s">
        <v>1254</v>
      </c>
    </row>
    <row r="37" spans="2:3" x14ac:dyDescent="0.2">
      <c r="C37" s="8"/>
    </row>
  </sheetData>
  <sheetProtection algorithmName="SHA-512" hashValue="+POi1nIYNSQJgW8yqheLzKMPbnhSh3Jmldv8UstyL7NB0SNE2vPZA2iFLpEruRGA+c8ifLqHsds9/YYaPcIKwQ==" saltValue="KmNR9KUeqOMtQZ/zYsmVgQ==" spinCount="100000" sheet="1" objects="1" scenarios="1"/>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493"/>
  <sheetViews>
    <sheetView showGridLines="0" zoomScaleNormal="100" workbookViewId="0">
      <pane ySplit="4" topLeftCell="A5" activePane="bottomLeft" state="frozen"/>
      <selection pane="bottomLeft" activeCell="K368" sqref="K368"/>
    </sheetView>
  </sheetViews>
  <sheetFormatPr baseColWidth="10" defaultColWidth="11" defaultRowHeight="20" customHeight="1" x14ac:dyDescent="0.2"/>
  <cols>
    <col min="1" max="1" width="2.83203125" style="8" customWidth="1"/>
    <col min="2" max="2" width="72.1640625" style="8" bestFit="1" customWidth="1"/>
    <col min="3" max="3" width="33.83203125" style="8" bestFit="1" customWidth="1"/>
    <col min="4" max="4" width="2.83203125" style="8" customWidth="1"/>
    <col min="5" max="5" width="55.6640625" style="8" bestFit="1" customWidth="1"/>
    <col min="6" max="6" width="40" style="8" bestFit="1" customWidth="1"/>
    <col min="7" max="7" width="2.83203125" style="8" customWidth="1"/>
    <col min="8" max="8" width="55.6640625" style="8" bestFit="1" customWidth="1"/>
    <col min="9" max="9" width="40.83203125" style="8" bestFit="1" customWidth="1"/>
    <col min="10" max="10" width="2.83203125" style="8" customWidth="1"/>
    <col min="11" max="11" width="54.6640625" style="8" bestFit="1" customWidth="1"/>
    <col min="12" max="12" width="49.6640625" style="8" bestFit="1" customWidth="1"/>
    <col min="13" max="13" width="2.83203125" style="8" customWidth="1"/>
    <col min="14" max="14" width="54.6640625" style="8" bestFit="1" customWidth="1"/>
    <col min="15" max="15" width="49.6640625" style="8" bestFit="1" customWidth="1"/>
    <col min="16" max="16" width="4.33203125" style="8" customWidth="1"/>
    <col min="17" max="17" width="54.6640625" style="8" bestFit="1" customWidth="1"/>
    <col min="18" max="18" width="49.6640625" style="8" bestFit="1" customWidth="1"/>
    <col min="19" max="19" width="4" style="8" customWidth="1"/>
    <col min="20" max="20" width="54.6640625" style="8" bestFit="1" customWidth="1"/>
    <col min="21" max="21" width="49.6640625" style="8" bestFit="1" customWidth="1"/>
    <col min="22" max="22" width="3.5" style="8" customWidth="1"/>
    <col min="23" max="23" width="54.6640625" style="8" bestFit="1" customWidth="1"/>
    <col min="24" max="24" width="49.6640625" style="8" bestFit="1" customWidth="1"/>
    <col min="25" max="25" width="2.6640625" style="8" customWidth="1"/>
    <col min="26" max="26" width="54.6640625" style="8" bestFit="1" customWidth="1"/>
    <col min="27" max="27" width="49.6640625" style="8" bestFit="1" customWidth="1"/>
    <col min="28" max="28" width="2.83203125" style="8" customWidth="1"/>
    <col min="29" max="29" width="54.6640625" style="8" bestFit="1" customWidth="1"/>
    <col min="30" max="30" width="49.6640625" style="8" bestFit="1" customWidth="1"/>
    <col min="31" max="31" width="2.83203125" style="8" customWidth="1"/>
    <col min="32" max="32" width="2.33203125" style="8" customWidth="1"/>
    <col min="33" max="33" width="51.6640625" style="8" bestFit="1" customWidth="1"/>
    <col min="34" max="34" width="50.83203125" style="8" customWidth="1"/>
    <col min="35" max="35" width="40.83203125" style="8" customWidth="1"/>
    <col min="36" max="37" width="2.83203125" style="8" customWidth="1"/>
    <col min="38" max="45" width="11" style="8" customWidth="1"/>
    <col min="46" max="16384" width="11" style="8"/>
  </cols>
  <sheetData>
    <row r="1" spans="1:34" s="2" customFormat="1" ht="16" customHeight="1" x14ac:dyDescent="0.2">
      <c r="A1" s="1"/>
      <c r="B1" s="1"/>
      <c r="C1" s="1"/>
      <c r="D1" s="1"/>
      <c r="E1" s="1"/>
      <c r="F1" s="1"/>
      <c r="G1" s="1"/>
      <c r="H1" s="1"/>
      <c r="I1" s="1"/>
      <c r="J1" s="1"/>
    </row>
    <row r="2" spans="1:34" s="2" customFormat="1" ht="54" customHeight="1" x14ac:dyDescent="0.2">
      <c r="E2" s="578" t="s">
        <v>1255</v>
      </c>
      <c r="F2" s="578"/>
      <c r="G2" s="578"/>
      <c r="H2" s="578"/>
      <c r="I2" s="578"/>
      <c r="J2" s="578"/>
      <c r="K2" s="578"/>
      <c r="L2" s="578"/>
      <c r="M2" s="578"/>
    </row>
    <row r="3" spans="1:34" s="2" customFormat="1" ht="20" customHeight="1" x14ac:dyDescent="0.2">
      <c r="E3" s="420" t="s">
        <v>1256</v>
      </c>
      <c r="F3" s="420"/>
      <c r="G3" s="420"/>
      <c r="H3" s="420"/>
      <c r="I3" s="420"/>
      <c r="J3" s="420"/>
      <c r="K3" s="420"/>
      <c r="L3" s="420"/>
      <c r="M3" s="420"/>
    </row>
    <row r="4" spans="1:34" s="2" customFormat="1" ht="16" x14ac:dyDescent="0.2">
      <c r="M4" s="10"/>
    </row>
    <row r="5" spans="1:34" s="2" customFormat="1" ht="16" x14ac:dyDescent="0.2">
      <c r="M5" s="10"/>
    </row>
    <row r="6" spans="1:34" s="2" customFormat="1" ht="20" customHeight="1" x14ac:dyDescent="0.2">
      <c r="B6" s="576" t="s">
        <v>1257</v>
      </c>
      <c r="C6" s="577"/>
      <c r="E6" s="576" t="s">
        <v>1258</v>
      </c>
      <c r="F6" s="577"/>
      <c r="H6" s="382" t="s">
        <v>1259</v>
      </c>
      <c r="I6" s="383"/>
      <c r="K6" s="382" t="s">
        <v>1260</v>
      </c>
      <c r="L6" s="383"/>
      <c r="N6" s="382" t="s">
        <v>1261</v>
      </c>
      <c r="O6" s="383"/>
      <c r="Q6" s="379" t="s">
        <v>1262</v>
      </c>
      <c r="R6" s="381"/>
      <c r="T6" s="379" t="s">
        <v>1263</v>
      </c>
      <c r="U6" s="381"/>
      <c r="W6" s="379" t="s">
        <v>1264</v>
      </c>
      <c r="X6" s="381"/>
      <c r="Z6" s="379" t="s">
        <v>1265</v>
      </c>
      <c r="AA6" s="381"/>
      <c r="AB6" s="7"/>
      <c r="AC6" s="379" t="s">
        <v>1266</v>
      </c>
      <c r="AD6" s="381"/>
      <c r="AG6" s="573" t="s">
        <v>1267</v>
      </c>
      <c r="AH6" s="574"/>
    </row>
    <row r="7" spans="1:34" s="2" customFormat="1" ht="20" customHeight="1" x14ac:dyDescent="0.2">
      <c r="B7" s="11" t="s">
        <v>261</v>
      </c>
      <c r="C7" s="12" t="s">
        <v>1268</v>
      </c>
      <c r="E7" s="11" t="s">
        <v>261</v>
      </c>
      <c r="F7" s="12" t="s">
        <v>1269</v>
      </c>
      <c r="H7" s="11" t="s">
        <v>261</v>
      </c>
      <c r="I7" s="12" t="s">
        <v>1269</v>
      </c>
      <c r="K7" s="11" t="s">
        <v>261</v>
      </c>
      <c r="L7" s="12" t="s">
        <v>1269</v>
      </c>
      <c r="N7" s="11" t="s">
        <v>261</v>
      </c>
      <c r="O7" s="12" t="s">
        <v>1269</v>
      </c>
      <c r="Q7" s="13" t="s">
        <v>261</v>
      </c>
      <c r="R7" s="14" t="s">
        <v>1269</v>
      </c>
      <c r="S7" s="15"/>
      <c r="T7" s="13" t="s">
        <v>261</v>
      </c>
      <c r="U7" s="14" t="s">
        <v>1269</v>
      </c>
      <c r="V7" s="15"/>
      <c r="W7" s="13" t="s">
        <v>261</v>
      </c>
      <c r="X7" s="14" t="s">
        <v>1269</v>
      </c>
      <c r="Y7" s="15"/>
      <c r="Z7" s="13" t="s">
        <v>261</v>
      </c>
      <c r="AA7" s="14" t="s">
        <v>1269</v>
      </c>
      <c r="AB7" s="15"/>
      <c r="AC7" s="13" t="s">
        <v>261</v>
      </c>
      <c r="AD7" s="14" t="s">
        <v>1269</v>
      </c>
      <c r="AG7" s="16" t="s">
        <v>1270</v>
      </c>
      <c r="AH7" s="337">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8" spans="1:34" s="2" customFormat="1" ht="20" customHeight="1" x14ac:dyDescent="0.2">
      <c r="B8" s="4" t="s">
        <v>1271</v>
      </c>
      <c r="C8" s="337" t="str">
        <f>mgmt_offline_depot_chosen</f>
        <v>Online</v>
      </c>
      <c r="E8" s="4" t="s">
        <v>1272</v>
      </c>
      <c r="F8" s="337" t="str">
        <f>IF(ISBLANK('Deploy Management Domain'!L154),"Value Missing",'Deploy Management Domain'!L154)</f>
        <v>Value Missing</v>
      </c>
      <c r="H8" s="4" t="s">
        <v>1272</v>
      </c>
      <c r="I8" s="337" t="str">
        <f>IF(ISBLANK(input_wld_az1_mgmt_vm_vlan),"Value Missing",input_wld_az1_mgmt_vm_vlan)</f>
        <v>Value Missing</v>
      </c>
      <c r="K8" s="4" t="s">
        <v>1272</v>
      </c>
      <c r="L8" s="337" t="str">
        <f>IF(ISBLANK(input_wld_az1_rack2_mgmt_vm_vlan),"Value Missing",input_wld_az1_rack2_mgmt_vm_vlan)</f>
        <v>Value Missing</v>
      </c>
      <c r="N8" s="4" t="s">
        <v>1272</v>
      </c>
      <c r="O8" s="337" t="str">
        <f>IF(ISBLANK(input_wld_az1_rack3_mgmt_vm_vlan),"Value Missing",input_wld_az1_rack3_mgmt_vm_vlan)</f>
        <v>Value Missing</v>
      </c>
      <c r="Q8" s="4" t="s">
        <v>1272</v>
      </c>
      <c r="R8" s="337" t="str">
        <f>IF(ISBLANK(input_wld_az1_rack4_mgmt_vm_vlan),"Value Missing",input_wld_az1_rack4_mgmt_vm_vlan)</f>
        <v>Value Missing</v>
      </c>
      <c r="T8" s="4" t="s">
        <v>1272</v>
      </c>
      <c r="U8" s="337" t="str">
        <f>IF(ISBLANK(input_wld_az1_rack5_mgmt_vm_vlan),"Value Missing",input_wld_az1_rack5_mgmt_vm_vlan)</f>
        <v>Value Missing</v>
      </c>
      <c r="W8" s="4" t="s">
        <v>1272</v>
      </c>
      <c r="X8" s="337" t="str">
        <f>IF(ISBLANK(input_wld_az1_rack6_mgmt_vm_vlan),"Value Missing",input_wld_az1_rack6_mgmt_vm_vlan)</f>
        <v>Value Missing</v>
      </c>
      <c r="Z8" s="4" t="s">
        <v>1272</v>
      </c>
      <c r="AA8" s="337" t="str">
        <f>IF(ISBLANK(input_wld_az1_rack7_mgmt_vm_vlan),"Value Missing",input_wld_az1_rack7_mgmt_vm_vlan)</f>
        <v>Value Missing</v>
      </c>
      <c r="AC8" s="4" t="s">
        <v>1272</v>
      </c>
      <c r="AD8" s="337" t="str">
        <f>IF(ISBLANK(input_wld_az1_rack8_mgmt_vm_vlan),"Value Missing",input_wld_az1_rack8_mgmt_vm_vlan)</f>
        <v>Value Missing</v>
      </c>
      <c r="AG8" s="16" t="s">
        <v>1273</v>
      </c>
      <c r="AH8" s="337">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9" spans="1:34" s="2" customFormat="1" ht="20" customHeight="1" x14ac:dyDescent="0.2">
      <c r="B9" s="4" t="s">
        <v>302</v>
      </c>
      <c r="C9" s="337" t="str">
        <f>mgmt_offline_depot_fqdn</f>
        <v>Value Missing</v>
      </c>
      <c r="E9" s="4" t="s">
        <v>1274</v>
      </c>
      <c r="F9" s="337" t="str">
        <f>IF(ISBLANK(input_mgmt_az1_mgmt_vlan),"Value Missing",input_mgmt_az1_mgmt_vlan)</f>
        <v>Value Missing</v>
      </c>
      <c r="H9" s="4" t="s">
        <v>1274</v>
      </c>
      <c r="I9" s="337" t="str">
        <f>IF(ISBLANK(input_wld_az1_mgmt_vlan),"Value Missing",input_wld_az1_mgmt_vlan)</f>
        <v>Value Missing</v>
      </c>
      <c r="K9" s="4" t="s">
        <v>1274</v>
      </c>
      <c r="L9" s="337" t="str">
        <f>IF(ISBLANK(input_wld_az1_rack2_mgmt_vlan),"Value Missing",input_wld_az1_rack2_mgmt_vlan)</f>
        <v>Value Missing</v>
      </c>
      <c r="N9" s="4" t="s">
        <v>1274</v>
      </c>
      <c r="O9" s="337" t="str">
        <f>IF(ISBLANK(input_wld_az1_rack3_mgmt_vlan),"Value Missing",input_wld_az1_rack3_mgmt_vlan)</f>
        <v>Value Missing</v>
      </c>
      <c r="Q9" s="4" t="s">
        <v>1274</v>
      </c>
      <c r="R9" s="337" t="str">
        <f>IF(ISBLANK(input_wld_az1_rack4_mgmt_vlan),"Value Missing",input_wld_az1_rack4_mgmt_vlan)</f>
        <v>Value Missing</v>
      </c>
      <c r="T9" s="4" t="s">
        <v>1274</v>
      </c>
      <c r="U9" s="337" t="str">
        <f>IF(ISBLANK(input_wld_az1_rack5_mgmt_vlan),"Value Missing",input_wld_az1_rack5_mgmt_vlan)</f>
        <v>Value Missing</v>
      </c>
      <c r="W9" s="4" t="s">
        <v>1274</v>
      </c>
      <c r="X9" s="337" t="str">
        <f>IF(ISBLANK(input_wld_az1_rack6_mgmt_vlan),"Value Missing",input_wld_az1_rack6_mgmt_vlan)</f>
        <v>Value Missing</v>
      </c>
      <c r="Z9" s="4" t="s">
        <v>1274</v>
      </c>
      <c r="AA9" s="337" t="str">
        <f>IF(ISBLANK(input_wld_az1_rack7_mgmt_vlan),"Value Missing",input_wld_az1_rack7_mgmt_vlan)</f>
        <v>Value Missing</v>
      </c>
      <c r="AC9" s="4" t="s">
        <v>1274</v>
      </c>
      <c r="AD9" s="337" t="str">
        <f>IF(ISBLANK(input_wld_az1_rack8_mgmt_vlan),"Value Missing",input_wld_az1_rack8_mgmt_vlan)</f>
        <v>Value Missing</v>
      </c>
      <c r="AG9" s="16" t="s">
        <v>1275</v>
      </c>
      <c r="AH9" s="337" t="str">
        <f>CONCATENATE("10.",prefix_wld_az1_rack_vlan,".")</f>
        <v>10.13.</v>
      </c>
    </row>
    <row r="10" spans="1:34" s="2" customFormat="1" ht="20" customHeight="1" x14ac:dyDescent="0.2">
      <c r="B10" s="4" t="s">
        <v>24</v>
      </c>
      <c r="C10" s="337" t="str">
        <f>mgmt_offline_depot_port</f>
        <v>Value Missing</v>
      </c>
      <c r="E10" s="4" t="s">
        <v>251</v>
      </c>
      <c r="F10" s="337" t="str">
        <f>IF(ISBLANK(input_mgmt_az1_vmotion_vlan),"Value Missing",input_mgmt_az1_vmotion_vlan)</f>
        <v>Value Missing</v>
      </c>
      <c r="H10" s="4" t="s">
        <v>251</v>
      </c>
      <c r="I10" s="337" t="str">
        <f>IF(ISBLANK(input_wld_az1_vmotion_vlan),"Value Missing",input_wld_az1_vmotion_vlan)</f>
        <v>Value Missing</v>
      </c>
      <c r="K10" s="4" t="s">
        <v>251</v>
      </c>
      <c r="L10" s="337" t="str">
        <f>IF(ISBLANK(input_wld_az1_rack2_vmotion_vlan),"Value Missing",input_wld_az1_rack2_vmotion_vlan)</f>
        <v>Value Missing</v>
      </c>
      <c r="N10" s="4" t="s">
        <v>251</v>
      </c>
      <c r="O10" s="337" t="str">
        <f>IF(ISBLANK(input_wld_az1_rack3_vmotion_vlan),"Value Missing",input_wld_az1_rack3_vmotion_vlan)</f>
        <v>Value Missing</v>
      </c>
      <c r="Q10" s="4" t="s">
        <v>251</v>
      </c>
      <c r="R10" s="337" t="str">
        <f>IF(ISBLANK(input_wld_az1_rack4_vmotion_vlan),"Value Missing",input_wld_az1_rack4_vmotion_vlan)</f>
        <v>Value Missing</v>
      </c>
      <c r="T10" s="4" t="s">
        <v>251</v>
      </c>
      <c r="U10" s="337" t="str">
        <f>IF(ISBLANK(input_wld_az1_rack5_vmotion_vlan),"Value Missing",input_wld_az1_rack5_vmotion_vlan)</f>
        <v>Value Missing</v>
      </c>
      <c r="W10" s="4" t="s">
        <v>251</v>
      </c>
      <c r="X10" s="337" t="str">
        <f>IF(ISBLANK(input_wld_az1_rack6_vmotion_vlan),"Value Missing",input_wld_az1_rack6_vmotion_vlan)</f>
        <v>Value Missing</v>
      </c>
      <c r="Z10" s="4" t="s">
        <v>251</v>
      </c>
      <c r="AA10" s="337" t="str">
        <f>IF(ISBLANK(input_wld_az1_rack7_vmotion_vlan),"Value Missing",input_wld_az1_rack7_vmotion_vlan)</f>
        <v>Value Missing</v>
      </c>
      <c r="AC10" s="4" t="s">
        <v>251</v>
      </c>
      <c r="AD10" s="337" t="str">
        <f>IF(ISBLANK(input_wld_az1_rack8_vmotion_vlan),"Value Missing",input_wld_az1_rack8_vmotion_vlan)</f>
        <v>Value Missing</v>
      </c>
      <c r="AG10" s="16" t="s">
        <v>1276</v>
      </c>
      <c r="AH10" s="337" t="str">
        <f>CONCATENATE("10.",prefix_wld_az2_rack_vlan)</f>
        <v>10.14</v>
      </c>
    </row>
    <row r="11" spans="1:34" s="2" customFormat="1" ht="20" customHeight="1" x14ac:dyDescent="0.2">
      <c r="B11" s="4" t="s">
        <v>29</v>
      </c>
      <c r="C11" s="337" t="str">
        <f>svc_my_vmware_password</f>
        <v>Value Missing</v>
      </c>
      <c r="E11" s="17" t="str">
        <f>CONCATENATE("Principal Storage Network ",wld_principal_storage_chosen)</f>
        <v>Principal Storage Network vSAN-ESA</v>
      </c>
      <c r="F11" s="337" t="str">
        <f>IF(ISBLANK(input_mgmt_az1_vsan_vlan),"Value Missing",input_mgmt_az1_vsan_vlan)</f>
        <v>Value Missing</v>
      </c>
      <c r="H11" s="17" t="s">
        <v>257</v>
      </c>
      <c r="I11" s="337" t="str">
        <f>IF(ISBLANK(input_wld_az1_principal_storage_vlan),"Value Missing",input_wld_az1_principal_storage_vlan)</f>
        <v>Value Missing</v>
      </c>
      <c r="K11" s="17" t="str">
        <f>CONCATENATE("Principal Storage Network ",wld_principal_storage_chosen)</f>
        <v>Principal Storage Network vSAN-ESA</v>
      </c>
      <c r="L11" s="337" t="str">
        <f>IF(ISBLANK(input_wld_az1_rack2_principal_storage_vlan),"Value Missing",input_wld_az1_rack2_principal_storage_vlan)</f>
        <v>Value Missing</v>
      </c>
      <c r="N11" s="17" t="str">
        <f>CONCATENATE("Principal Storage Network ",wld_principal_storage_chosen)</f>
        <v>Principal Storage Network vSAN-ESA</v>
      </c>
      <c r="O11" s="337" t="str">
        <f>IF(ISBLANK(input_wld_az1_rack3_principal_storage_vlan),"Value Missing",input_wld_az1_rack3_principal_storage_vlan)</f>
        <v>Value Missing</v>
      </c>
      <c r="Q11" s="17" t="str">
        <f>CONCATENATE("Principal Storage Network ",wld_principal_storage_chosen)</f>
        <v>Principal Storage Network vSAN-ESA</v>
      </c>
      <c r="R11" s="337" t="str">
        <f>IF(ISBLANK(input_wld_az1_rack4_principal_storage_vlan),"Value Missing",input_wld_az1_rack4_principal_storage_vlan)</f>
        <v>Value Missing</v>
      </c>
      <c r="T11" s="17" t="str">
        <f>CONCATENATE("Principal Storage Network ",wld_principal_storage_chosen)</f>
        <v>Principal Storage Network vSAN-ESA</v>
      </c>
      <c r="U11" s="337" t="str">
        <f>IF(ISBLANK(input_wld_az1_rack5_principal_storage_vlan),"Value Missing",input_wld_az1_rack5_principal_storage_vlan)</f>
        <v>Value Missing</v>
      </c>
      <c r="W11" s="17" t="str">
        <f>CONCATENATE("Principal Storage Network ",wld_principal_storage_chosen)</f>
        <v>Principal Storage Network vSAN-ESA</v>
      </c>
      <c r="X11" s="337" t="str">
        <f>IF(ISBLANK(input_wld_az1_rack6_principal_storage_vlan),"Value Missing",input_wld_az1_rack6_principal_storage_vlan)</f>
        <v>Value Missing</v>
      </c>
      <c r="Z11" s="17" t="str">
        <f>CONCATENATE("Principal Storage Network ",wld_principal_storage_chosen)</f>
        <v>Principal Storage Network vSAN-ESA</v>
      </c>
      <c r="AA11" s="337" t="str">
        <f>IF(ISBLANK(input_wld_az1_rack7_principal_storage_vlan),"Value Missing",input_wld_az1_rack7_principal_storage_vlan)</f>
        <v>Value Missing</v>
      </c>
      <c r="AC11" s="17" t="str">
        <f>CONCATENATE("Principal Storage Network ",wld_principal_storage_chosen)</f>
        <v>Principal Storage Network vSAN-ESA</v>
      </c>
      <c r="AD11" s="337" t="str">
        <f>IF(ISBLANK(input_wld_az1_rack8_principal_storage_vlan),"Value Missing",input_wld_az1_rack8_principal_storage_vlan)</f>
        <v>Value Missing</v>
      </c>
      <c r="AG11" s="8"/>
    </row>
    <row r="12" spans="1:34" s="2" customFormat="1" ht="20" customHeight="1" x14ac:dyDescent="0.2">
      <c r="B12" s="4" t="s">
        <v>1277</v>
      </c>
      <c r="C12" s="337" t="str">
        <f>mgmt_offline_depot_chosen</f>
        <v>Online</v>
      </c>
      <c r="E12" s="4" t="s">
        <v>1278</v>
      </c>
      <c r="F12" s="337" t="str">
        <f>IF(ISBLANK(input_mgmt_az1_host_overlay_vlan),"Value Missing",input_mgmt_az1_host_overlay_vlan)</f>
        <v>Value Missing</v>
      </c>
      <c r="H12" s="4" t="s">
        <v>1278</v>
      </c>
      <c r="I12" s="337" t="str">
        <f>IF(ISBLANK(input_wld_az1_host_overlay_vlan),"Value Missing",input_wld_az1_host_overlay_vlan)</f>
        <v>Value Missing</v>
      </c>
      <c r="K12" s="4" t="s">
        <v>1278</v>
      </c>
      <c r="L12" s="337" t="str">
        <f>IF(ISBLANK(input_wld_az1_rack2_host_overlay_vlan),"Value Missing",input_wld_az1_rack2_host_overlay_vlan)</f>
        <v>Value Missing</v>
      </c>
      <c r="N12" s="4" t="s">
        <v>1278</v>
      </c>
      <c r="O12" s="337" t="str">
        <f>IF(ISBLANK(input_wld_az1_rack3_host_overlay_vlan),"Value Missing",input_wld_az1_rack3_host_overlay_vlan)</f>
        <v>Value Missing</v>
      </c>
      <c r="Q12" s="4" t="s">
        <v>1278</v>
      </c>
      <c r="R12" s="337" t="str">
        <f>IF(ISBLANK(input_wld_az1_rack4_host_overlay_vlan),"Value Missing",input_wld_az1_rack4_host_overlay_vlan)</f>
        <v>Value Missing</v>
      </c>
      <c r="T12" s="4" t="s">
        <v>1278</v>
      </c>
      <c r="U12" s="337" t="str">
        <f>IF(ISBLANK(input_wld_az1_rack5_host_overlay_vlan),"Value Missing",input_wld_az1_rack5_host_overlay_vlan)</f>
        <v>Value Missing</v>
      </c>
      <c r="W12" s="4" t="s">
        <v>1278</v>
      </c>
      <c r="X12" s="337" t="str">
        <f>IF(ISBLANK(input_wld_az1_rack6_host_overlay_vlan),"Value Missing",input_wld_az1_rack6_host_overlay_vlan)</f>
        <v>Value Missing</v>
      </c>
      <c r="Z12" s="4" t="s">
        <v>1278</v>
      </c>
      <c r="AA12" s="337" t="str">
        <f>IF(ISBLANK(input_wld_az1_rack7_host_overlay_vlan),"Value Missing",input_wld_az1_rack7_host_overlay_vlan)</f>
        <v>Value Missing</v>
      </c>
      <c r="AC12" s="4" t="s">
        <v>1278</v>
      </c>
      <c r="AD12" s="337" t="str">
        <f>IF(ISBLANK(input_wld_az1_rack8_host_overlay_vlan),"Value Missing",input_wld_az1_rack8_host_overlay_vlan)</f>
        <v>Value Missing</v>
      </c>
    </row>
    <row r="13" spans="1:34" s="2" customFormat="1" ht="20" customHeight="1" x14ac:dyDescent="0.2">
      <c r="B13" s="4" t="s">
        <v>1279</v>
      </c>
      <c r="C13" s="337" t="str">
        <f>mgmt_internet_proxy_type_chosen</f>
        <v>HTTPS</v>
      </c>
      <c r="E13" s="18" t="s">
        <v>1280</v>
      </c>
      <c r="F13" s="337" t="str">
        <f>IF(ISBLANK(input_mgmt_az1_secondary_storage_vlan),"Value Missing",input_mgmt_az1_secondary_storage_vlan)</f>
        <v>Value Missing</v>
      </c>
      <c r="H13" s="4" t="s">
        <v>1280</v>
      </c>
      <c r="I13" s="337" t="str">
        <f>IF(ISBLANK(input_wld_az1_secondary_storage_vlan),"Value Missing",input_wld_az1_secondary_storage_vlan)</f>
        <v>Value Missing</v>
      </c>
      <c r="K13" s="4" t="s">
        <v>1280</v>
      </c>
      <c r="L13" s="337" t="str">
        <f>IF(ISBLANK(input_wld_az1_rack2_secondary_storage_vlan),"Value Missing",input_wld_az1_rack2_secondary_storage_vlan)</f>
        <v>Value Missing</v>
      </c>
      <c r="N13" s="4" t="s">
        <v>1280</v>
      </c>
      <c r="O13" s="337" t="str">
        <f>IF(ISBLANK(input_wld_az1_rack3_secondary_storage_vlan),"Value Missing",input_wld_az1_rack3_secondary_storage_vlan)</f>
        <v>Value Missing</v>
      </c>
      <c r="Q13" s="4" t="s">
        <v>1280</v>
      </c>
      <c r="R13" s="337" t="str">
        <f>IF(ISBLANK(input_wld_az1_rack4_secondary_storage_vlan),"Value Missing",input_wld_az1_rack4_secondary_storage_vlan)</f>
        <v>Value Missing</v>
      </c>
      <c r="T13" s="4" t="s">
        <v>1280</v>
      </c>
      <c r="U13" s="337" t="str">
        <f>IF(ISBLANK(input_wld_az1_rack5_secondary_storage_vlan),"Value Missing",input_wld_az1_rack5_secondary_storage_vlan)</f>
        <v>Value Missing</v>
      </c>
      <c r="W13" s="4" t="s">
        <v>1280</v>
      </c>
      <c r="X13" s="337" t="str">
        <f>IF(ISBLANK(input_wld_az1_rack6_secondary_storage_vlan),"Value Missing",input_wld_az1_rack6_secondary_storage_vlan)</f>
        <v>Value Missing</v>
      </c>
      <c r="Z13" s="4" t="s">
        <v>1280</v>
      </c>
      <c r="AA13" s="337" t="str">
        <f>IF(ISBLANK(input_wld_az1_rack7_secondary_storage_vlan),"Value Missing",input_wld_az1_rack7_secondary_storage_vlan)</f>
        <v>Value Missing</v>
      </c>
      <c r="AC13" s="4" t="s">
        <v>1280</v>
      </c>
      <c r="AD13" s="337" t="str">
        <f>IF(ISBLANK(input_wld_az1_rack8_secondary_storage_vlan),"Value Missing",input_wld_az1_rack8_secondary_storage_vlan)</f>
        <v>Value Missing</v>
      </c>
    </row>
    <row r="14" spans="1:34" s="2" customFormat="1" ht="20" customHeight="1" x14ac:dyDescent="0.2">
      <c r="B14" s="4" t="s">
        <v>1281</v>
      </c>
      <c r="C14" s="2" t="str">
        <f>mgmt_internet_proxy_chosen</f>
        <v>Unselected</v>
      </c>
      <c r="E14" s="18"/>
      <c r="F14" s="337"/>
      <c r="H14" s="4" t="s">
        <v>805</v>
      </c>
      <c r="I14" s="337" t="str">
        <f>IF(ISBLANK(input_wld_az1_storage_cluster_vlan),"Value Missing",input_wld_az1_storage_cluster_vlan)</f>
        <v>Value Missing</v>
      </c>
      <c r="K14" s="22" t="s">
        <v>805</v>
      </c>
      <c r="L14" s="337"/>
      <c r="N14" s="22" t="s">
        <v>805</v>
      </c>
      <c r="O14" s="337"/>
      <c r="Q14" s="22" t="s">
        <v>805</v>
      </c>
      <c r="R14" s="337"/>
      <c r="T14" s="22" t="s">
        <v>805</v>
      </c>
      <c r="U14" s="337"/>
      <c r="W14" s="22" t="s">
        <v>805</v>
      </c>
      <c r="X14" s="337"/>
      <c r="Z14" s="22" t="s">
        <v>805</v>
      </c>
      <c r="AA14" s="337"/>
      <c r="AC14" s="22" t="s">
        <v>805</v>
      </c>
      <c r="AD14" s="337"/>
    </row>
    <row r="15" spans="1:34" s="2" customFormat="1" ht="20" customHeight="1" x14ac:dyDescent="0.2">
      <c r="B15" s="4" t="s">
        <v>1282</v>
      </c>
      <c r="C15" s="337" t="str">
        <f>IF(ISBLANK(input_mgmt_internet_proxy_address),"Value Missing",input_mgmt_internet_proxy_address)</f>
        <v>Value Missing</v>
      </c>
      <c r="E15" s="4" t="s">
        <v>1283</v>
      </c>
      <c r="F15" s="337" t="str">
        <f>IF(ISBLANK(input_mgmt_az1_uplink01_vlan),"Value Missing",input_mgmt_az1_uplink01_vlan)</f>
        <v>Value Missing</v>
      </c>
      <c r="H15" s="4" t="s">
        <v>1283</v>
      </c>
      <c r="I15" s="337" t="str">
        <f>IF(ISBLANK(input_wld_az1_uplink01_vlan),"Value Missing",input_wld_az1_uplink01_vlan)</f>
        <v>Value Missing</v>
      </c>
      <c r="K15" s="4" t="s">
        <v>1283</v>
      </c>
      <c r="L15" s="337" t="str">
        <f>IF(ISBLANK(input_wld_az1_rack2_uplink01_vlan),"Value Missing",input_wld_az1_rack2_uplink01_vlan)</f>
        <v>Value Missing</v>
      </c>
      <c r="N15" s="4" t="s">
        <v>1283</v>
      </c>
      <c r="O15" s="337" t="str">
        <f>IF(ISBLANK(input_wld_az1_rack3_uplink01_vlan),"Value Missing",input_wld_az1_rack3_uplink01_vlan)</f>
        <v>Value Missing</v>
      </c>
      <c r="Q15" s="4" t="s">
        <v>1283</v>
      </c>
      <c r="R15" s="337" t="str">
        <f>IF(ISBLANK(input_wld_az1_rack4_uplink01_vlan),"Value Missing",input_wld_az1_rack4_uplink01_vlan)</f>
        <v>Value Missing</v>
      </c>
      <c r="T15" s="4" t="s">
        <v>1283</v>
      </c>
      <c r="U15" s="337" t="str">
        <f>IF(ISBLANK(input_wld_az1_rack5_uplink01_vlan),"Value Missing",input_wld_az1_rack5_uplink01_vlan)</f>
        <v>Value Missing</v>
      </c>
      <c r="W15" s="4" t="s">
        <v>1283</v>
      </c>
      <c r="X15" s="337" t="str">
        <f>IF(ISBLANK(input_wld_az1_rack6_uplink01_vlan),"Value Missing",input_wld_az1_rack6_uplink01_vlan)</f>
        <v>Value Missing</v>
      </c>
      <c r="Z15" s="4" t="s">
        <v>1283</v>
      </c>
      <c r="AA15" s="326" t="str">
        <f>IF(ISBLANK(input_wld_az1_rack7_uplink01_vlan),"Value Missing",input_wld_az1_rack7_uplink01_vlan)</f>
        <v>Value Missing</v>
      </c>
      <c r="AC15" s="4" t="s">
        <v>1283</v>
      </c>
      <c r="AD15" s="337" t="str">
        <f>IF(ISBLANK(input_wld_az1_rack8_uplink01_vlan),"Value Missing",input_wld_az1_rack8_uplink01_vlan)</f>
        <v>Value Missing</v>
      </c>
    </row>
    <row r="16" spans="1:34" s="2" customFormat="1" ht="20" customHeight="1" x14ac:dyDescent="0.2">
      <c r="B16" s="4" t="s">
        <v>1284</v>
      </c>
      <c r="C16" s="337" t="str">
        <f>mgmt_internet_proxy_port</f>
        <v>Value Missing</v>
      </c>
      <c r="E16" s="4" t="s">
        <v>1285</v>
      </c>
      <c r="F16" s="337" t="str">
        <f>IF(ISBLANK(input_mgmt_az1_uplink02_vlan),"Value Missing",input_mgmt_az1_uplink02_vlan)</f>
        <v>Value Missing</v>
      </c>
      <c r="H16" s="4" t="s">
        <v>1285</v>
      </c>
      <c r="I16" s="337" t="str">
        <f>IF(ISBLANK(input_wld_az1_uplink02_vlan),"Value Missing",input_wld_az1_uplink02_vlan)</f>
        <v>Value Missing</v>
      </c>
      <c r="K16" s="4" t="s">
        <v>1285</v>
      </c>
      <c r="L16" s="337" t="str">
        <f>IF(ISBLANK(input_wld_az1_rack2_uplink02_vlan),"Value Missing",input_wld_az1_rack2_uplink02_vlan)</f>
        <v>Value Missing</v>
      </c>
      <c r="N16" s="4" t="s">
        <v>1285</v>
      </c>
      <c r="O16" s="337" t="str">
        <f>IF(ISBLANK(input_wld_az1_rack3_uplink02_vlan),"Value Missing",input_wld_az1_rack3_uplink02_vlan)</f>
        <v>Value Missing</v>
      </c>
      <c r="Q16" s="4" t="s">
        <v>1285</v>
      </c>
      <c r="R16" s="337" t="str">
        <f>IF(ISBLANK(input_wld_az1_rack4_uplink02_vlan),"Value Missing",input_wld_az1_rack4_uplink02_vlan)</f>
        <v>Value Missing</v>
      </c>
      <c r="T16" s="4" t="s">
        <v>1285</v>
      </c>
      <c r="U16" s="337" t="str">
        <f>IF(ISBLANK(input_wld_az1_rack5_uplink02_vlan),"Value Missing",input_wld_az1_rack5_uplink02_vlan)</f>
        <v>Value Missing</v>
      </c>
      <c r="W16" s="4" t="s">
        <v>1285</v>
      </c>
      <c r="X16" s="337" t="str">
        <f>IF(ISBLANK(input_wld_az1_rack6_uplink02_vlan),"Value Missing",input_wld_az1_rack6_uplink02_vlan)</f>
        <v>Value Missing</v>
      </c>
      <c r="Z16" s="4" t="s">
        <v>1285</v>
      </c>
      <c r="AA16" s="337" t="str">
        <f>IF(ISBLANK(input_wld_az1_rack7_uplink02_vlan),"Value Missing",input_wld_az1_rack7_uplink02_vlan)</f>
        <v>Value Missing</v>
      </c>
      <c r="AC16" s="4" t="s">
        <v>1285</v>
      </c>
      <c r="AD16" s="337" t="str">
        <f>IF(ISBLANK(input_wld_az1_rack8_uplink02_vlan),"Value Missing",input_wld_az1_rack8_uplink02_vlan)</f>
        <v>Value Missing</v>
      </c>
    </row>
    <row r="17" spans="2:34" s="2" customFormat="1" ht="20" customHeight="1" x14ac:dyDescent="0.2">
      <c r="B17" s="4" t="s">
        <v>1286</v>
      </c>
      <c r="C17" s="2" t="str">
        <f>mgmt_internet_proxy_auth_chosen</f>
        <v>Unselected</v>
      </c>
      <c r="E17" s="4" t="s">
        <v>1287</v>
      </c>
      <c r="F17" s="337" t="str">
        <f>IF(ISBLANK(input_mgmt_az1_edge_overlay_vlan),"Value Missing",input_mgmt_az1_edge_overlay_vlan)</f>
        <v>Value Missing</v>
      </c>
      <c r="H17" s="4" t="s">
        <v>1287</v>
      </c>
      <c r="I17" s="337" t="str">
        <f>IF(ISBLANK(input_wld_az1_edge_overlay_vlan),"Value Missing",input_wld_az1_edge_overlay_vlan)</f>
        <v>Value Missing</v>
      </c>
      <c r="K17" s="4" t="s">
        <v>1287</v>
      </c>
      <c r="L17" s="337" t="str">
        <f>IF(ISBLANK(input_wld_az1_rack2_edge_overlay_vlan),"Value Missing",input_wld_az1_rack2_edge_overlay_vlan)</f>
        <v>Value Missing</v>
      </c>
      <c r="N17" s="4" t="s">
        <v>1287</v>
      </c>
      <c r="O17" s="337" t="str">
        <f>IF(ISBLANK(input_wld_az1_rack3_edge_overlay_vlan),"Value Missing",input_wld_az1_rack3_edge_overlay_vlan)</f>
        <v>Value Missing</v>
      </c>
      <c r="Q17" s="4" t="s">
        <v>1287</v>
      </c>
      <c r="R17" s="337" t="str">
        <f>IF(ISBLANK(input_wld_az1_rack4_edge_overlay_vlan),"Value Missing",input_wld_az1_rack4_edge_overlay_vlan)</f>
        <v>Value Missing</v>
      </c>
      <c r="T17" s="4" t="s">
        <v>1287</v>
      </c>
      <c r="U17" s="337" t="str">
        <f>IF(ISBLANK(input_wld_az1_rack5_edge_overlay_vlan),"Value Missing",input_wld_az1_rack5_edge_overlay_vlan)</f>
        <v>Value Missing</v>
      </c>
      <c r="W17" s="4" t="s">
        <v>1287</v>
      </c>
      <c r="X17" s="337" t="str">
        <f>IF(ISBLANK(input_wld_az1_rack6_edge_overlay_vlan),"Value Missing",input_wld_az1_rack6_edge_overlay_vlan)</f>
        <v>Value Missing</v>
      </c>
      <c r="Z17" s="4" t="s">
        <v>1287</v>
      </c>
      <c r="AA17" s="337" t="str">
        <f>IF(ISBLANK(input_wld_az1_rack7_edge_overlay_vlan),"Value Missing",input_wld_az1_rack7_edge_overlay_vlan)</f>
        <v>Value Missing</v>
      </c>
      <c r="AC17" s="4" t="s">
        <v>1287</v>
      </c>
      <c r="AD17" s="337" t="str">
        <f>IF(ISBLANK(input_wld_az1_rack8_edge_overlay_vlan),"Value Missing",input_wld_az1_rack8_edge_overlay_vlan)</f>
        <v>Value Missing</v>
      </c>
      <c r="AG17" s="573" t="s">
        <v>1288</v>
      </c>
      <c r="AH17" s="575">
        <v>65</v>
      </c>
    </row>
    <row r="18" spans="2:34" s="2" customFormat="1" ht="20" customHeight="1" x14ac:dyDescent="0.2">
      <c r="B18" s="4" t="s">
        <v>27</v>
      </c>
      <c r="C18" s="337" t="str">
        <f>IF(ISBLANK(input_mgmt_internet_proxy_email),"Value Missing",input_mgmt_internet_proxy_email)</f>
        <v>Value Missing</v>
      </c>
      <c r="E18" s="4" t="s">
        <v>1289</v>
      </c>
      <c r="F18" s="337" t="str">
        <f>IF(ISBLANK(input_mgmt_az1_rtep_overlay_vlan),"Value Missing",input_mgmt_az1_rtep_overlay_vlan)</f>
        <v>Value Missing</v>
      </c>
      <c r="H18" s="4" t="s">
        <v>1289</v>
      </c>
      <c r="I18" s="337" t="str">
        <f>IF(ISBLANK(input_wld_az1_rtep_overlay_vlan),"Value Missing",input_wld_az1_rtep_overlay_vlan)</f>
        <v>Value Missing</v>
      </c>
      <c r="K18" s="4" t="s">
        <v>1289</v>
      </c>
      <c r="L18" s="337"/>
      <c r="N18" s="4" t="s">
        <v>1289</v>
      </c>
      <c r="O18" s="337"/>
      <c r="Q18" s="4" t="s">
        <v>1289</v>
      </c>
      <c r="R18" s="337"/>
      <c r="T18" s="4" t="s">
        <v>1289</v>
      </c>
      <c r="U18" s="337"/>
      <c r="W18" s="4" t="s">
        <v>1289</v>
      </c>
      <c r="X18" s="337"/>
      <c r="Z18" s="4" t="s">
        <v>1289</v>
      </c>
      <c r="AA18" s="337"/>
      <c r="AC18" s="4" t="s">
        <v>1289</v>
      </c>
      <c r="AD18" s="337"/>
      <c r="AG18" s="337" t="s">
        <v>1290</v>
      </c>
      <c r="AH18" s="337">
        <f>IF(this_instance="sfo",1,2)</f>
        <v>1</v>
      </c>
    </row>
    <row r="19" spans="2:34" s="2" customFormat="1" ht="20" customHeight="1" x14ac:dyDescent="0.2">
      <c r="B19" s="4" t="s">
        <v>29</v>
      </c>
      <c r="C19" s="337" t="str">
        <f>IF(ISBLANK(input_mgmt_internet_proxy_password),"Value Missing",input_mgmt_internet_proxy_password)</f>
        <v>Value Missing</v>
      </c>
      <c r="E19" s="4" t="s">
        <v>1291</v>
      </c>
      <c r="F19" s="337" t="str">
        <f>IF(ISBLANK(input_mgmt_az1_vrms_vlan),"Value Missing",input_mgmt_az1_vrms_vlan)</f>
        <v>Value Missing</v>
      </c>
      <c r="H19" s="4" t="s">
        <v>1291</v>
      </c>
      <c r="I19" s="337" t="str">
        <f>IF(ISBLANK(input_wld_az1_vrms_vlan),"Value Missing",input_wld_az1_vrms_vlan)</f>
        <v>Value Missing</v>
      </c>
      <c r="K19" s="4" t="s">
        <v>1291</v>
      </c>
      <c r="L19" s="337"/>
      <c r="N19" s="4" t="s">
        <v>1291</v>
      </c>
      <c r="O19" s="337"/>
      <c r="Q19" s="4" t="s">
        <v>1291</v>
      </c>
      <c r="R19" s="337"/>
      <c r="T19" s="4" t="s">
        <v>1291</v>
      </c>
      <c r="U19" s="337"/>
      <c r="W19" s="4" t="s">
        <v>1291</v>
      </c>
      <c r="X19" s="337"/>
      <c r="Z19" s="4" t="s">
        <v>1291</v>
      </c>
      <c r="AA19" s="337"/>
      <c r="AC19" s="4" t="s">
        <v>1291</v>
      </c>
      <c r="AD19" s="337"/>
      <c r="AG19" s="337" t="s">
        <v>1292</v>
      </c>
      <c r="AH19" s="337">
        <v>1</v>
      </c>
    </row>
    <row r="20" spans="2:34" s="2" customFormat="1" ht="20" customHeight="1" x14ac:dyDescent="0.2">
      <c r="B20" s="6"/>
      <c r="AG20" s="337" t="s">
        <v>1293</v>
      </c>
      <c r="AH20" s="337">
        <v>2</v>
      </c>
    </row>
    <row r="21" spans="2:34" s="2" customFormat="1" ht="20" customHeight="1" x14ac:dyDescent="0.2">
      <c r="B21" s="576" t="s">
        <v>1294</v>
      </c>
      <c r="C21" s="577"/>
      <c r="E21" s="382" t="s">
        <v>1295</v>
      </c>
      <c r="F21" s="383"/>
      <c r="H21" s="382" t="s">
        <v>1296</v>
      </c>
      <c r="I21" s="383"/>
      <c r="K21" s="382" t="s">
        <v>1297</v>
      </c>
      <c r="L21" s="383"/>
      <c r="N21" s="382" t="s">
        <v>1298</v>
      </c>
      <c r="O21" s="383"/>
      <c r="Q21" s="379" t="s">
        <v>1299</v>
      </c>
      <c r="R21" s="381"/>
      <c r="T21" s="379" t="s">
        <v>1300</v>
      </c>
      <c r="U21" s="381"/>
      <c r="W21" s="379" t="s">
        <v>1301</v>
      </c>
      <c r="X21" s="381"/>
      <c r="Z21" s="379" t="s">
        <v>1302</v>
      </c>
      <c r="AA21" s="381"/>
      <c r="AC21" s="379" t="s">
        <v>1303</v>
      </c>
      <c r="AD21" s="381"/>
      <c r="AG21" s="337" t="s">
        <v>1304</v>
      </c>
      <c r="AH21" s="337">
        <f>IF(wld_domain_number_chosen=1,3,IF(wld_domain_number_chosen=2,5,7))</f>
        <v>3</v>
      </c>
    </row>
    <row r="22" spans="2:34" s="2" customFormat="1" ht="20" customHeight="1" x14ac:dyDescent="0.2">
      <c r="B22" s="11" t="s">
        <v>261</v>
      </c>
      <c r="C22" s="12" t="s">
        <v>1268</v>
      </c>
      <c r="E22" s="11" t="s">
        <v>261</v>
      </c>
      <c r="F22" s="12" t="s">
        <v>1269</v>
      </c>
      <c r="H22" s="11" t="s">
        <v>261</v>
      </c>
      <c r="I22" s="12" t="s">
        <v>1269</v>
      </c>
      <c r="K22" s="11" t="s">
        <v>261</v>
      </c>
      <c r="L22" s="12" t="s">
        <v>1269</v>
      </c>
      <c r="N22" s="11" t="s">
        <v>261</v>
      </c>
      <c r="O22" s="12" t="s">
        <v>1269</v>
      </c>
      <c r="Q22" s="13" t="s">
        <v>261</v>
      </c>
      <c r="R22" s="14" t="s">
        <v>1269</v>
      </c>
      <c r="S22" s="15"/>
      <c r="T22" s="13" t="s">
        <v>261</v>
      </c>
      <c r="U22" s="14" t="s">
        <v>1269</v>
      </c>
      <c r="V22" s="15"/>
      <c r="W22" s="13" t="s">
        <v>261</v>
      </c>
      <c r="X22" s="14" t="s">
        <v>1269</v>
      </c>
      <c r="Y22" s="15"/>
      <c r="Z22" s="13" t="s">
        <v>261</v>
      </c>
      <c r="AA22" s="14" t="s">
        <v>1269</v>
      </c>
      <c r="AB22" s="15"/>
      <c r="AC22" s="13" t="s">
        <v>261</v>
      </c>
      <c r="AD22" s="14" t="s">
        <v>1269</v>
      </c>
      <c r="AG22" s="337" t="s">
        <v>1305</v>
      </c>
      <c r="AH22" s="337">
        <f>IF(wld_domain_number_chosen=1,4,IF(wld_domain_number_chosen=2,6,8))</f>
        <v>4</v>
      </c>
    </row>
    <row r="23" spans="2:34" s="2" customFormat="1" ht="20" customHeight="1" x14ac:dyDescent="0.2">
      <c r="B23" s="4" t="s">
        <v>1306</v>
      </c>
      <c r="C23" s="337" t="str">
        <f>mgmt_domain_deployment_type_chosen</f>
        <v>VMware Cloud Foundation</v>
      </c>
      <c r="E23" s="4" t="s">
        <v>1272</v>
      </c>
      <c r="F23" s="337" t="str">
        <f>IF(ISBLANK(input_mgmt_az1_mgmt_vm_cidr),"Value Missing",input_mgmt_az1_mgmt_vm_cidr)</f>
        <v>Value Missing</v>
      </c>
      <c r="H23" s="4" t="s">
        <v>1272</v>
      </c>
      <c r="I23" s="337" t="str">
        <f>IF(ISBLANK(input_wld_az1_mgmt_vm_cidr),"Value Missing",input_wld_az1_mgmt_vm_cidr)</f>
        <v>Value Missing</v>
      </c>
      <c r="K23" s="4" t="s">
        <v>1272</v>
      </c>
      <c r="L23" s="337" t="str">
        <f>IF(ISBLANK(input_wld_az1_rack2_mgmt_vm_cidr),"Value Missing",input_wld_az1_rack2_mgmt_vm_cidr)</f>
        <v>Value Missing</v>
      </c>
      <c r="N23" s="4" t="s">
        <v>1272</v>
      </c>
      <c r="O23" s="337" t="str">
        <f>IF(ISBLANK(input_wld_az1_rack3_mgmt_vm_cidr),"Value Missing",input_wld_az1_rack3_mgmt_vm_cidr)</f>
        <v>Value Missing</v>
      </c>
      <c r="Q23" s="4" t="s">
        <v>1272</v>
      </c>
      <c r="R23" s="337" t="str">
        <f>IF(ISBLANK(input_wld_az1_rack4_mgmt_vm_cidr),"Value Missing",input_wld_az1_rack4_mgmt_vm_cidr)</f>
        <v>Value Missing</v>
      </c>
      <c r="T23" s="4" t="s">
        <v>1272</v>
      </c>
      <c r="U23" s="337" t="str">
        <f>IF(ISBLANK(input_wld_az1_rack5_mgmt_vm_cidr),"Value Missing",input_wld_az1_rack5_mgmt_vm_cidr)</f>
        <v>Value Missing</v>
      </c>
      <c r="W23" s="4" t="s">
        <v>1272</v>
      </c>
      <c r="X23" s="337" t="str">
        <f>IF(ISBLANK(input_wld_az1_rack6_mgmt_vm_cidr),"Value Missing",input_wld_az1_rack6_mgmt_vm_cidr)</f>
        <v>Value Missing</v>
      </c>
      <c r="Z23" s="4" t="s">
        <v>1272</v>
      </c>
      <c r="AA23" s="337" t="str">
        <f>IF(ISBLANK(input_wld_az1_rack7_mgmt_vm_cidr),"Value Missing",input_wld_az1_rack7_mgmt_vm_cidr)</f>
        <v>Value Missing</v>
      </c>
      <c r="AC23" s="4" t="s">
        <v>1272</v>
      </c>
      <c r="AD23" s="337" t="str">
        <f>IF(ISBLANK(input_wld_az1_rack8_mgmt_vm_cidr),"Value Missing",input_wld_az1_rack8_mgmt_vm_cidr)</f>
        <v>Value Missing</v>
      </c>
      <c r="AG23" s="8"/>
    </row>
    <row r="24" spans="2:34" s="2" customFormat="1" ht="20" customHeight="1" x14ac:dyDescent="0.2">
      <c r="B24" s="4" t="s">
        <v>1307</v>
      </c>
      <c r="C24" s="337" t="str">
        <f>IF(ISBLANK(input_mgmt_sddc_domain),"Value Missing",input_mgmt_sddc_domain)</f>
        <v>Value Missing</v>
      </c>
      <c r="E24" s="4" t="s">
        <v>1274</v>
      </c>
      <c r="F24" s="337" t="str">
        <f>IF(ISBLANK(input_mgmt_az1_mgmt_cidr),"Value Missing",input_mgmt_az1_mgmt_cidr)</f>
        <v>Value Missing</v>
      </c>
      <c r="H24" s="4" t="s">
        <v>1274</v>
      </c>
      <c r="I24" s="337" t="str">
        <f>IF(ISBLANK(input_wld_az1_mgmt_cidr),"Value Missing",input_wld_az1_mgmt_cidr)</f>
        <v>Value Missing</v>
      </c>
      <c r="K24" s="4" t="s">
        <v>1274</v>
      </c>
      <c r="L24" s="337" t="str">
        <f>IF(ISBLANK(input_wld_az1_rack2_mgmt_cidr),"Value Missing",input_wld_az1_rack2_mgmt_cidr)</f>
        <v>Value Missing</v>
      </c>
      <c r="N24" s="4" t="s">
        <v>1274</v>
      </c>
      <c r="O24" s="337" t="str">
        <f>IF(ISBLANK(input_wld_az1_rack3_mgmt_cidr),"Value Missing",input_wld_az1_rack3_mgmt_cidr)</f>
        <v>Value Missing</v>
      </c>
      <c r="Q24" s="4" t="s">
        <v>1274</v>
      </c>
      <c r="R24" s="337" t="str">
        <f>IF(ISBLANK(input_wld_az1_rack4_mgmt_cidr),"Value Missing",input_wld_az1_rack4_mgmt_cidr)</f>
        <v>Value Missing</v>
      </c>
      <c r="T24" s="4" t="s">
        <v>1274</v>
      </c>
      <c r="U24" s="337" t="str">
        <f>IF(ISBLANK(input_wld_az1_rack5_mgmt_cidr),"Value Missing",input_wld_az1_rack5_mgmt_cidr)</f>
        <v>Value Missing</v>
      </c>
      <c r="W24" s="4" t="s">
        <v>1274</v>
      </c>
      <c r="X24" s="337" t="str">
        <f>IF(ISBLANK(input_wld_az1_rack6_mgmt_cidr),"Value Missing",input_wld_az1_rack6_mgmt_cidr)</f>
        <v>Value Missing</v>
      </c>
      <c r="Z24" s="4" t="s">
        <v>1274</v>
      </c>
      <c r="AA24" s="337" t="str">
        <f>IF(ISBLANK(input_wld_az1_rack7_mgmt_cidr),"Value Missing",input_wld_az1_rack7_mgmt_cidr)</f>
        <v>Value Missing</v>
      </c>
      <c r="AC24" s="4" t="s">
        <v>1274</v>
      </c>
      <c r="AD24" s="337" t="str">
        <f>IF(ISBLANK(input_wld_az1_rack8_mgmt_cidr),"Value Missing",input_wld_az1_rack8_mgmt_cidr)</f>
        <v>Value Missing</v>
      </c>
      <c r="AG24" s="8"/>
    </row>
    <row r="25" spans="2:34" s="2" customFormat="1" ht="20" customHeight="1" x14ac:dyDescent="0.2">
      <c r="B25" s="4" t="s">
        <v>195</v>
      </c>
      <c r="C25" s="337" t="str">
        <f>vcf_version</f>
        <v>9.0.2.0</v>
      </c>
      <c r="E25" s="4" t="s">
        <v>251</v>
      </c>
      <c r="F25" s="337" t="str">
        <f>IF(ISBLANK(input_mgmt_az1_vmotion_cidr),"Value Missing",input_mgmt_az1_vmotion_cidr)</f>
        <v>Value Missing</v>
      </c>
      <c r="H25" s="4" t="s">
        <v>251</v>
      </c>
      <c r="I25" s="337" t="str">
        <f>IF(OR(wld_az1_vmotion_network="Value Missing",wld_az1_vmotion_mask="Value Missing"),"Value Missing",(CONCATENATE(wld_az1_vmotion_network,"/",VLOOKUP(wld_az1_vmotion_mask,table_mask_to_cidr,2,FALSE))))</f>
        <v>Value Missing</v>
      </c>
      <c r="K25" s="4" t="s">
        <v>251</v>
      </c>
      <c r="L25" s="337" t="str">
        <f>IF(OR(wld_az1_rack2_vmotion_network="Value Missing",wld_az1_rack2_vmotion_mask="Value Missing"),"Value Missing",(CONCATENATE(wld_az1_rack2_vmotion_network,"/",VLOOKUP(wld_az1_rack2_vmotion_mask,table_mask_to_cidr,2,FALSE))))</f>
        <v>Value Missing</v>
      </c>
      <c r="N25" s="4" t="s">
        <v>251</v>
      </c>
      <c r="O25" s="337" t="str">
        <f>IF(OR(wld_az1_rack3_vmotion_network="Value Missing",wld_az1_rack3_vmotion_mask="Value Missing"),"Value Missing",(CONCATENATE(wld_az1_rack3_vmotion_network,"/",VLOOKUP(wld_az1_rack3_vmotion_mask,table_mask_to_cidr,2,FALSE))))</f>
        <v>Value Missing</v>
      </c>
      <c r="Q25" s="4" t="s">
        <v>251</v>
      </c>
      <c r="R25" s="337" t="str">
        <f>IF(OR(wld_az1_rack4_vmotion_network="Value Missing",wld_az1_rack4_vmotion_mask="Value Missing"),"Value Missing",(CONCATENATE(wld_az1_rack4_vmotion_network,"/",VLOOKUP(wld_az1_rack4_vmotion_mask,table_mask_to_cidr,2,FALSE))))</f>
        <v>Value Missing</v>
      </c>
      <c r="T25" s="4" t="s">
        <v>251</v>
      </c>
      <c r="U25" s="337" t="str">
        <f>IF(OR(wld_az1_rack5_vmotion_network="Value Missing",wld_az1_rack5_vmotion_mask="Value Missing"),"Value Missing",(CONCATENATE(wld_az1_rack5_vmotion_network,"/",VLOOKUP(wld_az1_rack5_vmotion_mask,table_mask_to_cidr,2,FALSE))))</f>
        <v>Value Missing</v>
      </c>
      <c r="W25" s="4" t="s">
        <v>251</v>
      </c>
      <c r="X25" s="337" t="str">
        <f>IF(OR(wld_az1_rack6_vmotion_network="Value Missing",wld_az1_rack6_vmotion_mask="Value Missing"),"Value Missing",(CONCATENATE(wld_az1_rack6_vmotion_network,"/",VLOOKUP(wld_az1_rack6_vmotion_mask,table_mask_to_cidr,2,FALSE))))</f>
        <v>Value Missing</v>
      </c>
      <c r="Z25" s="4" t="s">
        <v>251</v>
      </c>
      <c r="AA25" s="337" t="str">
        <f>IF(OR(wld_az1_rack7_vmotion_network="Value Missing",wld_az1_rack7_vmotion_mask="Value Missing"),"Value Missing",(CONCATENATE(wld_az1_rack7_vmotion_network,"/",VLOOKUP(wld_az1_rack7_vmotion_mask,table_mask_to_cidr,2,FALSE))))</f>
        <v>Value Missing</v>
      </c>
      <c r="AC25" s="4" t="s">
        <v>251</v>
      </c>
      <c r="AD25" s="337" t="str">
        <f>IF(OR(wld_az1_rack8_vmotion_network="Value Missing",wld_az1_rack8_vmotion_mask="Value Missing"),"Value Missing",(CONCATENATE(wld_az1_rack8_vmotion_network,"/",VLOOKUP(wld_az1_rack8_vmotion_mask,table_mask_to_cidr,2,FALSE))))</f>
        <v>Value Missing</v>
      </c>
    </row>
    <row r="26" spans="2:34" s="2" customFormat="1" ht="20" customHeight="1" x14ac:dyDescent="0.2">
      <c r="B26" s="4" t="s">
        <v>1308</v>
      </c>
      <c r="C26" s="337" t="str">
        <f>mgmt_domain_vcf_operations_ha_mode_chosen</f>
        <v>High Availability (Three-node)</v>
      </c>
      <c r="E26" s="17" t="str">
        <f>CONCATENATE("Principal Storage Network ",wld_principal_storage_chosen)</f>
        <v>Principal Storage Network vSAN-ESA</v>
      </c>
      <c r="F26" s="337" t="str">
        <f>IF(ISBLANK(input_mgmt_az1_vsan_cidr),"Value Missing",input_mgmt_az1_vsan_cidr)</f>
        <v>Value Missing</v>
      </c>
      <c r="H26" s="17" t="s">
        <v>257</v>
      </c>
      <c r="I26" s="337" t="str">
        <f>IF(OR(wld_az1_principal_storage_network="Value Missing",wld_az1_principal_storage_mask="Value Missing"),"Value Missing",(CONCATENATE(wld_az1_principal_storage_network,"/",VLOOKUP(wld_az1_principal_storage_mask,table_mask_to_cidr,2,FALSE))))</f>
        <v>Value Missing</v>
      </c>
      <c r="K26" s="17" t="str">
        <f>CONCATENATE("Principal Storage Network ",wld_principal_storage_chosen)</f>
        <v>Principal Storage Network vSAN-ESA</v>
      </c>
      <c r="L26" s="337" t="str">
        <f>IF(OR(wld_az1_rack2_principal_storage_network="Value Missing",wld_az1_rack2_principal_storage_mask="Value Missing"),"Value Missing",(CONCATENATE(wld_az1_rack2_principal_storage_network,"/",VLOOKUP(wld_az1_rack2_principal_storage_mask,table_mask_to_cidr,2,FALSE))))</f>
        <v>Value Missing</v>
      </c>
      <c r="N26" s="17" t="str">
        <f>CONCATENATE("Principal Storage Network ",wld_principal_storage_chosen)</f>
        <v>Principal Storage Network vSAN-ESA</v>
      </c>
      <c r="O26" s="337" t="str">
        <f>IF(OR(wld_az1_rack3_principal_storage_network="Value Missing",wld_az1_rack3_principal_storage_mask="Value Missing"),"Value Missing",(CONCATENATE(wld_az1_rack3_principal_storage_network,"/",VLOOKUP(wld_az1_rack3_principal_storage_mask,table_mask_to_cidr,2,FALSE))))</f>
        <v>Value Missing</v>
      </c>
      <c r="Q26" s="17" t="str">
        <f>CONCATENATE("Principal Storage Network ",wld_principal_storage_chosen)</f>
        <v>Principal Storage Network vSAN-ESA</v>
      </c>
      <c r="R26" s="337" t="str">
        <f>IF(OR(wld_az1_rack4_principal_storage_network="Value Missing",wld_az1_rack4_principal_storage_mask="Value Missing"),"Value Missing",(CONCATENATE(wld_az1_rack4_principal_storage_network,"/",VLOOKUP(wld_az1_rack4_principal_storage_mask,table_mask_to_cidr,2,FALSE))))</f>
        <v>Value Missing</v>
      </c>
      <c r="T26" s="17" t="str">
        <f>CONCATENATE("Principal Storage Network ",wld_principal_storage_chosen)</f>
        <v>Principal Storage Network vSAN-ESA</v>
      </c>
      <c r="U26" s="337" t="str">
        <f>IF(OR(wld_az1_rack5_principal_storage_network="Value Missing",wld_az1_rack5_principal_storage_mask="Value Missing"),"Value Missing",(CONCATENATE(wld_az1_rack5_principal_storage_network,"/",VLOOKUP(wld_az1_rack5_principal_storage_mask,table_mask_to_cidr,2,FALSE))))</f>
        <v>Value Missing</v>
      </c>
      <c r="W26" s="17" t="str">
        <f>CONCATENATE("Principal Storage Network ",wld_principal_storage_chosen)</f>
        <v>Principal Storage Network vSAN-ESA</v>
      </c>
      <c r="X26" s="337" t="str">
        <f>IF(OR(wld_az1_rack6_principal_storage_network="Value Missing",wld_az1_rack6_principal_storage_mask="Value Missing"),"Value Missing",(CONCATENATE(wld_az1_rack6_principal_storage_network,"/",VLOOKUP(wld_az1_rack6_principal_storage_mask,table_mask_to_cidr,2,FALSE))))</f>
        <v>Value Missing</v>
      </c>
      <c r="Z26" s="17" t="str">
        <f>CONCATENATE("Principal Storage Network ",wld_principal_storage_chosen)</f>
        <v>Principal Storage Network vSAN-ESA</v>
      </c>
      <c r="AA26" s="337" t="str">
        <f>IF(OR(wld_az1_rack7_principal_storage_network="Value Missing",wld_az1_rack7_principal_storage_mask="Value Missing"),"Value Missing",(CONCATENATE(wld_az1_rack7_principal_storage_network,"/",VLOOKUP(wld_az1_rack7_principal_storage_mask,table_mask_to_cidr,2,FALSE))))</f>
        <v>Value Missing</v>
      </c>
      <c r="AC26" s="17" t="str">
        <f>CONCATENATE("Principal Storage Network ",wld_principal_storage_chosen)</f>
        <v>Principal Storage Network vSAN-ESA</v>
      </c>
      <c r="AD26" s="337" t="str">
        <f>IF(OR(wld_az1_rack8_principal_storage_network="Value Missing",wld_az1_rack8_principal_storage_mask="Value Missing"),"Value Missing",(CONCATENATE(wld_az1_rack8_principal_storage_network,"/",VLOOKUP(wld_az1_rack8_principal_storage_mask,table_mask_to_cidr,2,FALSE))))</f>
        <v>Value Missing</v>
      </c>
      <c r="AG26" s="8"/>
    </row>
    <row r="27" spans="2:34" s="2" customFormat="1" ht="20" customHeight="1" x14ac:dyDescent="0.2">
      <c r="B27" s="4" t="s">
        <v>1309</v>
      </c>
      <c r="C27" s="337" t="str">
        <f>IF(mgmt_domain_password_creation_chosen="Included","Selected","Unselected")</f>
        <v>Unselected</v>
      </c>
      <c r="E27" s="4" t="s">
        <v>1278</v>
      </c>
      <c r="F27" s="337" t="str">
        <f>IF(ISBLANK(input_mgmt_az1_host_overlay_cidr),"Value Missing",input_mgmt_az1_host_overlay_cidr)</f>
        <v>Value Missing</v>
      </c>
      <c r="H27" s="4" t="s">
        <v>1278</v>
      </c>
      <c r="I27" s="337" t="str">
        <f>IF(ISBLANK(input_wld_az1_host_overlay_cidr),"Value Missing",input_wld_az1_host_overlay_cidr)</f>
        <v>Value Missing</v>
      </c>
      <c r="K27" s="4" t="s">
        <v>1278</v>
      </c>
      <c r="L27" s="337" t="str">
        <f>IF(OR(wld_az1_rack2_host_overlay_network="Value Missing",wld_az1_rack2_host_overlay_mask="Value Missing"),"Value Missing",(CONCATENATE(wld_az1_rack2_host_overlay_network,"/",VLOOKUP(wld_az1_rack2_host_overlay_mask,table_mask_to_cidr,2,FALSE))))</f>
        <v>Value Missing</v>
      </c>
      <c r="N27" s="4" t="s">
        <v>1278</v>
      </c>
      <c r="O27" s="337" t="str">
        <f>IF(OR(wld_az1_rack3_host_overlay_network="Value Missing",wld_az1_rack3_host_overlay_mask="Value Missing"),"Value Missing",(CONCATENATE(wld_az1_rack3_host_overlay_network,"/",VLOOKUP(wld_az1_rack3_host_overlay_mask,table_mask_to_cidr,2,FALSE))))</f>
        <v>Value Missing</v>
      </c>
      <c r="Q27" s="4" t="s">
        <v>1278</v>
      </c>
      <c r="R27" s="337" t="str">
        <f>IF(OR(wld_az1_rack4_host_overlay_network="Value Missing",wld_az1_rack4_host_overlay_mask="Value Missing"),"Value Missing",(CONCATENATE(wld_az1_rack4_host_overlay_network,"/",VLOOKUP(wld_az1_rack4_host_overlay_mask,table_mask_to_cidr,2,FALSE))))</f>
        <v>Value Missing</v>
      </c>
      <c r="T27" s="4" t="s">
        <v>1278</v>
      </c>
      <c r="U27" s="337" t="str">
        <f>IF(OR(wld_az1_rack5_host_overlay_network="Value Missing",wld_az1_rack5_host_overlay_mask="Value Missing"),"Value Missing",(CONCATENATE(wld_az1_rack5_host_overlay_network,"/",VLOOKUP(wld_az1_rack5_host_overlay_mask,table_mask_to_cidr,2,FALSE))))</f>
        <v>Value Missing</v>
      </c>
      <c r="W27" s="4" t="s">
        <v>1278</v>
      </c>
      <c r="X27" s="337" t="str">
        <f>IF(OR(wld_az1_rack6_host_overlay_network="Value Missing",wld_az1_rack6_host_overlay_mask="Value Missing"),"Value Missing",(CONCATENATE(wld_az1_rack6_host_overlay_network,"/",VLOOKUP(wld_az1_rack6_host_overlay_mask,table_mask_to_cidr,2,FALSE))))</f>
        <v>Value Missing</v>
      </c>
      <c r="Z27" s="4" t="s">
        <v>1278</v>
      </c>
      <c r="AA27" s="337" t="str">
        <f>IF(OR(wld_az1_rack7_host_overlay_network="Value Missing",wld_az1_rack7_host_overlay_mask="Value Missing"),"Value Missing",(CONCATENATE(wld_az1_rack7_host_overlay_network,"/",VLOOKUP(wld_az1_rack7_host_overlay_mask,table_mask_to_cidr,2,FALSE))))</f>
        <v>Value Missing</v>
      </c>
      <c r="AC27" s="4" t="s">
        <v>1278</v>
      </c>
      <c r="AD27" s="337" t="str">
        <f>IF(OR(wld_az1_rack8_host_overlay_network="Value Missing",wld_az1_rack8_host_overlay_mask="Value Missing"),"Value Missing",(CONCATENATE(wld_az1_rack8_host_overlay_network,"/",VLOOKUP(wld_az1_rack8_host_overlay_mask,table_mask_to_cidr,2,FALSE))))</f>
        <v>Value Missing</v>
      </c>
      <c r="AG27" s="8"/>
    </row>
    <row r="28" spans="2:34" s="2" customFormat="1" ht="20" customHeight="1" x14ac:dyDescent="0.2">
      <c r="B28" s="4" t="s">
        <v>1310</v>
      </c>
      <c r="C28" s="337" t="str">
        <f>mgmt_flt_fm_reuse_password_chosen</f>
        <v>Unselected</v>
      </c>
      <c r="E28" s="18" t="s">
        <v>1280</v>
      </c>
      <c r="F28" s="337" t="str">
        <f>IF(ISBLANK(input_mgmt_az1_secondary_storage_cidr),"Value Missing",input_mgmt_az1_secondary_storage_cidr)</f>
        <v>Value Missing</v>
      </c>
      <c r="H28" s="4" t="s">
        <v>1280</v>
      </c>
      <c r="I28" s="337" t="str">
        <f>IF(OR(wld_az1_secondary_storage_network="Value Missing",wld_az1_secondary_storage_mask="Value Missing"),"Value Missing",(CONCATENATE(wld_az1_secondary_storage_network,"/",VLOOKUP(wld_az1_secondary_storage_mask,table_mask_to_cidr,2,FALSE))))</f>
        <v>Value Missing</v>
      </c>
      <c r="K28" s="4" t="s">
        <v>1280</v>
      </c>
      <c r="L28" s="337" t="str">
        <f>IF(OR(wld_az1_rack2_secondary_storage_network="Value Missing",wld_az1_rack2_secondary_storage_mask="Value Missing"),"Value Missing",(CONCATENATE(wld_az1_rack2_secondary_storage_network,"/",VLOOKUP(wld_az1_rack2_secondary_storage_mask,table_mask_to_cidr,2,FALSE))))</f>
        <v>Value Missing</v>
      </c>
      <c r="N28" s="4" t="s">
        <v>1280</v>
      </c>
      <c r="O28" s="337" t="str">
        <f>IF(OR(wld_az1_rack3_secondary_storage_network="Value Missing",wld_az1_rack3_secondary_storage_mask="Value Missing"),"Value Missing",(CONCATENATE(wld_az1_rack3_secondary_storage_network,"/",VLOOKUP(wld_az1_rack3_secondary_storage_mask,table_mask_to_cidr,2,FALSE))))</f>
        <v>Value Missing</v>
      </c>
      <c r="Q28" s="4" t="s">
        <v>1280</v>
      </c>
      <c r="R28" s="337" t="str">
        <f>IF(OR(wld_az1_rack4_secondary_storage_network="Value Missing",wld_az1_rack4_secondary_storage_mask="Value Missing"),"Value Missing",(CONCATENATE(wld_az1_rack4_secondary_storage_network,"/",VLOOKUP(wld_az1_rack4_secondary_storage_mask,table_mask_to_cidr,2,FALSE))))</f>
        <v>Value Missing</v>
      </c>
      <c r="T28" s="4" t="s">
        <v>1280</v>
      </c>
      <c r="U28" s="337" t="str">
        <f>IF(OR(wld_az1_rack5_secondary_storage_network="Value Missing",wld_az1_rack5_secondary_storage_mask="Value Missing"),"Value Missing",(CONCATENATE(wld_az1_rack5_secondary_storage_network,"/",VLOOKUP(wld_az1_rack5_secondary_storage_mask,table_mask_to_cidr,2,FALSE))))</f>
        <v>Value Missing</v>
      </c>
      <c r="W28" s="4" t="s">
        <v>1280</v>
      </c>
      <c r="X28" s="337" t="str">
        <f>IF(OR(wld_az1_rack6_secondary_storage_network="Value Missing",wld_az1_rack6_secondary_storage_mask="Value Missing"),"Value Missing",(CONCATENATE(wld_az1_rack6_secondary_storage_network,"/",VLOOKUP(wld_az1_rack6_secondary_storage_mask,table_mask_to_cidr,2,FALSE))))</f>
        <v>Value Missing</v>
      </c>
      <c r="Z28" s="4" t="s">
        <v>1280</v>
      </c>
      <c r="AA28" s="337" t="str">
        <f>IF(OR(wld_az1_rack7_secondary_storage_network="Value Missing",wld_az1_rack7_secondary_storage_mask="Value Missing"),"Value Missing",(CONCATENATE(wld_az1_rack7_secondary_storage_network,"/",VLOOKUP(wld_az1_rack7_secondary_storage_mask,table_mask_to_cidr,2,FALSE))))</f>
        <v>Value Missing</v>
      </c>
      <c r="AC28" s="4" t="s">
        <v>1280</v>
      </c>
      <c r="AD28" s="337" t="str">
        <f>IF(OR(wld_az1_rack7_secondary_storage_network="Value Missing",wld_az1_rack8_secondary_storage_mask="Value Missing"),"Value Missing",(CONCATENATE(wld_az1_rack8_secondary_storage_network,"/",VLOOKUP(wld_az1_rack8_secondary_storage_mask,table_mask_to_cidr,2,FALSE))))</f>
        <v>Value Missing</v>
      </c>
      <c r="AG28" s="8"/>
    </row>
    <row r="29" spans="2:34" s="2" customFormat="1" ht="20" customHeight="1" x14ac:dyDescent="0.2">
      <c r="B29" s="4" t="s">
        <v>1311</v>
      </c>
      <c r="C29" s="337" t="str">
        <f>mgmt_ops_collector_reuse_password_chosen</f>
        <v>Unselected</v>
      </c>
      <c r="E29" s="18"/>
      <c r="F29" s="337"/>
      <c r="H29" s="4" t="s">
        <v>805</v>
      </c>
      <c r="I29" s="337" t="str">
        <f>IF(OR(wld_az1_storage_cluster_network="Value Missing",wld_az1_storage_cluster_mask="Value Missing"),"Value Missing",(CONCATENATE(wld_az1_storage_cluster_network,"/",VLOOKUP(wld_az1_storage_cluster_mask,table_mask_to_cidr,2,FALSE))))</f>
        <v>Value Missing</v>
      </c>
      <c r="K29" s="22" t="s">
        <v>805</v>
      </c>
      <c r="L29" s="337"/>
      <c r="N29" s="22" t="s">
        <v>805</v>
      </c>
      <c r="O29" s="337"/>
      <c r="Q29" s="22" t="s">
        <v>805</v>
      </c>
      <c r="R29" s="337"/>
      <c r="T29" s="22" t="s">
        <v>805</v>
      </c>
      <c r="U29" s="337"/>
      <c r="W29" s="22" t="s">
        <v>805</v>
      </c>
      <c r="X29" s="337"/>
      <c r="Z29" s="22" t="s">
        <v>805</v>
      </c>
      <c r="AA29" s="337"/>
      <c r="AC29" s="22" t="s">
        <v>805</v>
      </c>
      <c r="AD29" s="337"/>
      <c r="AG29" s="8"/>
    </row>
    <row r="30" spans="2:34" s="2" customFormat="1" ht="20" customHeight="1" x14ac:dyDescent="0.2">
      <c r="E30" s="4" t="s">
        <v>1283</v>
      </c>
      <c r="F30" s="337" t="str">
        <f>IF(ISBLANK(input_mgmt_az1_uplink01_cidr),"Value Missing",input_mgmt_az1_uplink01_cidr)</f>
        <v>Value Missing</v>
      </c>
      <c r="H30" s="4" t="s">
        <v>1283</v>
      </c>
      <c r="I30" s="337" t="str">
        <f>IF(ISBLANK(input_wld_az1_uplink01_cidr),"Value Missing",input_wld_az1_uplink01_cidr)</f>
        <v>Value Missing</v>
      </c>
      <c r="K30" s="4" t="s">
        <v>1283</v>
      </c>
      <c r="L30" s="337" t="str">
        <f>IF(OR(wld_az1_rack2_uplink01_network="Value Missing",wld_az1_rack2_uplink01_mask="Value Missing"),"Value Missing",(CONCATENATE(wld_az1_rack2_uplink01_network,"/",VLOOKUP(wld_az1_rack2_uplink01_mask,table_mask_to_cidr,2,FALSE))))</f>
        <v>Value Missing</v>
      </c>
      <c r="N30" s="4" t="s">
        <v>1283</v>
      </c>
      <c r="O30" s="337" t="str">
        <f>IF(OR(wld_az1_rack3_uplink01_network="Value Missing",wld_az1_rack3_uplink01_mask="Value Missing"),"Value Missing",(CONCATENATE(wld_az1_rack3_uplink01_network,"/",VLOOKUP(wld_az1_rack3_uplink01_mask,table_mask_to_cidr,2,FALSE))))</f>
        <v>Value Missing</v>
      </c>
      <c r="Q30" s="4" t="s">
        <v>1283</v>
      </c>
      <c r="R30" s="337" t="str">
        <f>IF(OR(wld_az1_rack4_uplink01_network="Value Missing",wld_az1_rack4_uplink01_mask="Value Missing"),"Value Missing",(CONCATENATE(wld_az1_rack4_uplink01_network,"/",VLOOKUP(wld_az1_rack4_uplink01_mask,table_mask_to_cidr,2,FALSE))))</f>
        <v>Value Missing</v>
      </c>
      <c r="T30" s="4" t="s">
        <v>1283</v>
      </c>
      <c r="U30" s="337" t="str">
        <f>IF(OR(wld_az1_rack5_uplink01_network="Value Missing",wld_az1_rack5_uplink01_mask="Value Missing"),"Value Missing",(CONCATENATE(wld_az1_rack5_uplink01_network,"/",VLOOKUP(wld_az1_rack5_uplink01_mask,table_mask_to_cidr,2,FALSE))))</f>
        <v>Value Missing</v>
      </c>
      <c r="W30" s="4" t="s">
        <v>1283</v>
      </c>
      <c r="X30" s="337" t="str">
        <f>IF(OR(wld_az1_rack6_uplink01_network="Value Missing",wld_az1_rack6_uplink01_mask="Value Missing"),"Value Missing",(CONCATENATE(wld_az1_rack6_uplink01_network,"/",VLOOKUP(wld_az1_rack6_uplink01_mask,table_mask_to_cidr,2,FALSE))))</f>
        <v>Value Missing</v>
      </c>
      <c r="Z30" s="4" t="s">
        <v>1283</v>
      </c>
      <c r="AA30" s="337" t="str">
        <f>IF(OR(wld_az1_rack7_uplink01_network="Value Missing",wld_az1_rack7_uplink01_mask="Value Missing"),"Value Missing",(CONCATENATE(wld_az1_rack7_uplink01_network,"/",VLOOKUP(wld_az1_rack7_uplink01_mask,table_mask_to_cidr,2,FALSE))))</f>
        <v>Value Missing</v>
      </c>
      <c r="AC30" s="4" t="s">
        <v>1283</v>
      </c>
      <c r="AD30" s="337" t="str">
        <f>IF(OR(wld_az1_rack8_uplink01_network="Value Missing",wld_az1_rack8_uplink01_mask="Value Missing"),"Value Missing",(CONCATENATE(wld_az1_rack8_uplink01_network,"/",VLOOKUP(wld_az1_rack8_uplink01_mask,table_mask_to_cidr,2,FALSE))))</f>
        <v>Value Missing</v>
      </c>
      <c r="AG30" s="8"/>
    </row>
    <row r="31" spans="2:34" s="2" customFormat="1" ht="20" customHeight="1" x14ac:dyDescent="0.2">
      <c r="B31" s="576" t="s">
        <v>1312</v>
      </c>
      <c r="C31" s="577"/>
      <c r="E31" s="4" t="s">
        <v>1285</v>
      </c>
      <c r="F31" s="337" t="str">
        <f>IF(ISBLANK(input_mgmt_az1_uplink02_cidr),"Value Missing",input_mgmt_az1_uplink02_cidr)</f>
        <v>Value Missing</v>
      </c>
      <c r="H31" s="4" t="s">
        <v>1285</v>
      </c>
      <c r="I31" s="337" t="str">
        <f>IF(ISBLANK(input_wld_az1_uplink02_cidr),"Value Missing",input_wld_az1_uplink02_cidr)</f>
        <v>Value Missing</v>
      </c>
      <c r="K31" s="4" t="s">
        <v>1285</v>
      </c>
      <c r="L31" s="337" t="str">
        <f>IF(OR(wld_az1_rack2_uplink02_network="Value Missing",wld_az1_rack2_uplink02_mask="Value Missing"),"Value Missing",(CONCATENATE(wld_az1_rack2_uplink02_network,"/",VLOOKUP(wld_az1_rack2_uplink02_mask,table_mask_to_cidr,2,FALSE))))</f>
        <v>Value Missing</v>
      </c>
      <c r="N31" s="4" t="s">
        <v>1285</v>
      </c>
      <c r="O31" s="337" t="str">
        <f>IF(OR(wld_az1_rack3_uplink02_network="Value Missing",wld_az1_rack3_uplink02_mask="Value Missing"),"Value Missing",(CONCATENATE(wld_az1_rack3_uplink02_network,"/",VLOOKUP(wld_az1_rack3_uplink02_mask,table_mask_to_cidr,2,FALSE))))</f>
        <v>Value Missing</v>
      </c>
      <c r="Q31" s="4" t="s">
        <v>1285</v>
      </c>
      <c r="R31" s="337" t="str">
        <f>IF(OR(wld_az1_rack4_uplink02_network="Value Missing",wld_az1_rack4_uplink02_mask="Value Missing"),"Value Missing",(CONCATENATE(wld_az1_rack4_uplink02_network,"/",VLOOKUP(wld_az1_rack4_uplink02_mask,table_mask_to_cidr,2,FALSE))))</f>
        <v>Value Missing</v>
      </c>
      <c r="T31" s="4" t="s">
        <v>1285</v>
      </c>
      <c r="U31" s="337" t="str">
        <f>IF(OR(wld_az1_rack5_uplink02_network="Value Missing",wld_az1_rack5_uplink02_mask="Value Missing"),"Value Missing",(CONCATENATE(wld_az1_rack5_uplink02_network,"/",VLOOKUP(wld_az1_rack5_uplink02_mask,table_mask_to_cidr,2,FALSE))))</f>
        <v>Value Missing</v>
      </c>
      <c r="W31" s="4" t="s">
        <v>1285</v>
      </c>
      <c r="X31" s="337" t="str">
        <f>IF(OR(wld_az1_rack6_uplink02_network="Value Missing",wld_az1_rack6_uplink02_mask="Value Missing"),"Value Missing",(CONCATENATE(wld_az1_rack6_uplink02_network,"/",VLOOKUP(wld_az1_rack6_uplink02_mask,table_mask_to_cidr,2,FALSE))))</f>
        <v>Value Missing</v>
      </c>
      <c r="Z31" s="4" t="s">
        <v>1285</v>
      </c>
      <c r="AA31" s="337" t="str">
        <f>IF(OR(wld_az1_rack7_uplink02_network="Value Missing",wld_az1_rack7_uplink02_mask="Value Missing"),"Value Missing",(CONCATENATE(wld_az1_rack7_uplink02_network,"/",VLOOKUP(wld_az1_rack7_uplink02_mask,table_mask_to_cidr,2,FALSE))))</f>
        <v>Value Missing</v>
      </c>
      <c r="AC31" s="4" t="s">
        <v>1285</v>
      </c>
      <c r="AD31" s="337" t="str">
        <f>IF(OR(wld_az1_rack8_uplink02_network="Value Missing",wld_az1_rack8_uplink02_mask="Value Missing"),"Value Missing",(CONCATENATE(wld_az1_rack8_uplink02_network,"/",VLOOKUP(wld_az1_rack8_uplink02_mask,table_mask_to_cidr,2,FALSE))))</f>
        <v>Value Missing</v>
      </c>
      <c r="AG31" s="8"/>
    </row>
    <row r="32" spans="2:34" s="2" customFormat="1" ht="20" customHeight="1" x14ac:dyDescent="0.2">
      <c r="B32" s="11" t="s">
        <v>261</v>
      </c>
      <c r="C32" s="12" t="s">
        <v>1268</v>
      </c>
      <c r="E32" s="4" t="s">
        <v>1287</v>
      </c>
      <c r="F32" s="337" t="str">
        <f>IF(ISBLANK(input_mgmt_az1_edge_overlay_cidr),"Value Missing",input_mgmt_az1_edge_overlay_cidr)</f>
        <v>Value Missing</v>
      </c>
      <c r="H32" s="4" t="s">
        <v>1287</v>
      </c>
      <c r="I32" s="337" t="str">
        <f>IF(ISBLANK(input_wld_az1_edge_overlay_cidr),"Value Missing",input_wld_az1_edge_overlay_cidr)</f>
        <v>Value Missing</v>
      </c>
      <c r="K32" s="4" t="s">
        <v>1287</v>
      </c>
      <c r="L32" s="337" t="str">
        <f>IF(OR(wld_az1_rack2_edge_overlay_network="Value Missing",wld_az1_rack2_edge_overlay_mask="Value Missing"),"Value Missing",(CONCATENATE(wld_az1_rack2_edge_overlay_network,"/",VLOOKUP(wld_az1_rack2_edge_overlay_mask,table_mask_to_cidr,2,FALSE))))</f>
        <v>Value Missing</v>
      </c>
      <c r="N32" s="4" t="s">
        <v>1287</v>
      </c>
      <c r="O32" s="337" t="str">
        <f>IF(OR(wld_az1_rack3_edge_overlay_network="Value Missing",wld_az1_rack3_edge_overlay_mask="Value Missing"),"Value Missing",(CONCATENATE(wld_az1_rack3_edge_overlay_network,"/",VLOOKUP(wld_az1_rack3_edge_overlay_mask,table_mask_to_cidr,2,FALSE))))</f>
        <v>Value Missing</v>
      </c>
      <c r="Q32" s="4" t="s">
        <v>1287</v>
      </c>
      <c r="R32" s="337" t="str">
        <f>IF(OR(wld_az1_rack4_edge_overlay_network="Value Missing",wld_az1_rack4_edge_overlay_mask="Value Missing"),"Value Missing",(CONCATENATE(wld_az1_rack4_edge_overlay_network,"/",VLOOKUP(wld_az1_rack4_edge_overlay_mask,table_mask_to_cidr,2,FALSE))))</f>
        <v>Value Missing</v>
      </c>
      <c r="T32" s="4" t="s">
        <v>1287</v>
      </c>
      <c r="U32" s="337" t="str">
        <f>IF(OR(wld_az1_rack5_edge_overlay_network="Value Missing",wld_az1_rack5_edge_overlay_mask="Value Missing"),"Value Missing",(CONCATENATE(wld_az1_rack5_edge_overlay_network,"/",VLOOKUP(wld_az1_rack5_edge_overlay_mask,table_mask_to_cidr,2,FALSE))))</f>
        <v>Value Missing</v>
      </c>
      <c r="W32" s="4" t="s">
        <v>1287</v>
      </c>
      <c r="X32" s="337" t="str">
        <f>IF(OR(wld_az1_rack6_edge_overlay_network="Value Missing",wld_az1_rack6_edge_overlay_mask="Value Missing"),"Value Missing",(CONCATENATE(wld_az1_rack6_edge_overlay_network,"/",VLOOKUP(wld_az1_rack6_edge_overlay_mask,table_mask_to_cidr,2,FALSE))))</f>
        <v>Value Missing</v>
      </c>
      <c r="Z32" s="4" t="s">
        <v>1287</v>
      </c>
      <c r="AA32" s="337" t="str">
        <f>IF(OR(wld_az1_rack7_edge_overlay_network="Value Missing",wld_az1_rack7_edge_overlay_mask="Value Missing"),"Value Missing",(CONCATENATE(wld_az1_rack7_edge_overlay_network,"/",VLOOKUP(wld_az1_rack7_edge_overlay_mask,table_mask_to_cidr,2,FALSE))))</f>
        <v>Value Missing</v>
      </c>
      <c r="AC32" s="4" t="s">
        <v>1287</v>
      </c>
      <c r="AD32" s="337" t="str">
        <f>IF(OR(wld_az1_rack8_edge_overlay_network="Value Missing",wld_az1_rack8_edge_overlay_mask="Value Missing"),"Value Missing",(CONCATENATE(wld_az1_rack8_edge_overlay_network,"/",VLOOKUP(wld_az1_rack8_edge_overlay_mask,table_mask_to_cidr,2,FALSE))))</f>
        <v>Value Missing</v>
      </c>
      <c r="AG32" s="8"/>
    </row>
    <row r="33" spans="2:34" s="2" customFormat="1" ht="20" customHeight="1" x14ac:dyDescent="0.2">
      <c r="B33" s="11" t="s">
        <v>1313</v>
      </c>
      <c r="C33" s="12"/>
      <c r="E33" s="4" t="s">
        <v>1289</v>
      </c>
      <c r="F33" s="337" t="str">
        <f>IF(ISBLANK(input_mgmt_az1_rtep_overlay_cidr),"Value Missing",input_mgmt_az1_rtep_overlay_cidr)</f>
        <v>Value Missing</v>
      </c>
      <c r="H33" s="4" t="s">
        <v>1289</v>
      </c>
      <c r="I33" s="337" t="str">
        <f>IF(ISBLANK(input_wld_az1_rtep_overlay_cidr),"Value Missing",input_wld_az1_rtep_overlay_cidr)</f>
        <v>Value Missing</v>
      </c>
      <c r="K33" s="4" t="s">
        <v>1289</v>
      </c>
      <c r="L33" s="337"/>
      <c r="N33" s="4" t="s">
        <v>1289</v>
      </c>
      <c r="O33" s="337"/>
      <c r="Q33" s="4" t="s">
        <v>1289</v>
      </c>
      <c r="R33" s="337"/>
      <c r="T33" s="4" t="s">
        <v>1289</v>
      </c>
      <c r="U33" s="337"/>
      <c r="W33" s="4" t="s">
        <v>1289</v>
      </c>
      <c r="X33" s="337"/>
      <c r="Z33" s="4" t="s">
        <v>1289</v>
      </c>
      <c r="AA33" s="337"/>
      <c r="AC33" s="4" t="s">
        <v>1289</v>
      </c>
      <c r="AD33" s="337"/>
      <c r="AG33" s="8"/>
    </row>
    <row r="34" spans="2:34" s="2" customFormat="1" ht="20" customHeight="1" x14ac:dyDescent="0.2">
      <c r="B34" s="4" t="s">
        <v>1314</v>
      </c>
      <c r="C34" s="337" t="str">
        <f>parent_dns_zone</f>
        <v>Value Missing</v>
      </c>
      <c r="E34" s="4" t="s">
        <v>1291</v>
      </c>
      <c r="F34" s="337"/>
      <c r="H34" s="4" t="s">
        <v>1291</v>
      </c>
      <c r="I34" s="337" t="str">
        <f>IF(ISBLANK(input_wld_az1_vrms_cidr),"Value Missing",input_wld_az1_vrms_cidr)</f>
        <v>Value Missing</v>
      </c>
      <c r="K34" s="4" t="s">
        <v>1291</v>
      </c>
      <c r="L34" s="337"/>
      <c r="N34" s="4" t="s">
        <v>1291</v>
      </c>
      <c r="O34" s="337"/>
      <c r="Q34" s="4" t="s">
        <v>1291</v>
      </c>
      <c r="R34" s="337"/>
      <c r="T34" s="4" t="s">
        <v>1291</v>
      </c>
      <c r="U34" s="337"/>
      <c r="W34" s="4" t="s">
        <v>1291</v>
      </c>
      <c r="X34" s="337"/>
      <c r="Z34" s="4" t="s">
        <v>1291</v>
      </c>
      <c r="AA34" s="337"/>
      <c r="AC34" s="4" t="s">
        <v>1291</v>
      </c>
      <c r="AD34" s="337"/>
      <c r="AG34" s="8"/>
      <c r="AH34" s="8"/>
    </row>
    <row r="35" spans="2:34" s="2" customFormat="1" ht="20" customHeight="1" x14ac:dyDescent="0.2">
      <c r="B35" s="4" t="s">
        <v>1315</v>
      </c>
      <c r="C35" s="337" t="str">
        <f>region_dns1_ip</f>
        <v>Value Missing</v>
      </c>
      <c r="AG35" s="8"/>
      <c r="AH35" s="8"/>
    </row>
    <row r="36" spans="2:34" s="2" customFormat="1" ht="20" customHeight="1" x14ac:dyDescent="0.2">
      <c r="B36" s="4" t="s">
        <v>1316</v>
      </c>
      <c r="C36" s="337" t="str">
        <f>region_dns2_ip</f>
        <v>Value Missing</v>
      </c>
      <c r="E36" s="382" t="s">
        <v>1317</v>
      </c>
      <c r="F36" s="383"/>
      <c r="H36" s="382" t="s">
        <v>1318</v>
      </c>
      <c r="I36" s="383"/>
      <c r="K36" s="382" t="s">
        <v>1319</v>
      </c>
      <c r="L36" s="383"/>
      <c r="N36" s="382" t="s">
        <v>1320</v>
      </c>
      <c r="O36" s="383"/>
      <c r="Q36" s="379" t="s">
        <v>1321</v>
      </c>
      <c r="R36" s="381"/>
      <c r="T36" s="379" t="s">
        <v>1322</v>
      </c>
      <c r="U36" s="381"/>
      <c r="W36" s="379" t="s">
        <v>1323</v>
      </c>
      <c r="X36" s="381"/>
      <c r="Z36" s="379" t="s">
        <v>1324</v>
      </c>
      <c r="AA36" s="381"/>
      <c r="AC36" s="379" t="s">
        <v>1325</v>
      </c>
      <c r="AD36" s="381"/>
      <c r="AG36" s="8"/>
      <c r="AH36" s="8"/>
    </row>
    <row r="37" spans="2:34" s="2" customFormat="1" ht="20" customHeight="1" x14ac:dyDescent="0.2">
      <c r="B37" s="11" t="s">
        <v>1326</v>
      </c>
      <c r="C37" s="12"/>
      <c r="E37" s="11" t="s">
        <v>261</v>
      </c>
      <c r="F37" s="12" t="s">
        <v>1269</v>
      </c>
      <c r="H37" s="11" t="s">
        <v>261</v>
      </c>
      <c r="I37" s="12" t="s">
        <v>1269</v>
      </c>
      <c r="K37" s="11" t="s">
        <v>261</v>
      </c>
      <c r="L37" s="12" t="s">
        <v>1269</v>
      </c>
      <c r="N37" s="11" t="s">
        <v>261</v>
      </c>
      <c r="O37" s="12" t="s">
        <v>1269</v>
      </c>
      <c r="Q37" s="13" t="s">
        <v>261</v>
      </c>
      <c r="R37" s="14" t="s">
        <v>1269</v>
      </c>
      <c r="S37" s="15"/>
      <c r="T37" s="13" t="s">
        <v>261</v>
      </c>
      <c r="U37" s="14" t="s">
        <v>1269</v>
      </c>
      <c r="V37" s="15"/>
      <c r="W37" s="13" t="s">
        <v>261</v>
      </c>
      <c r="X37" s="14" t="s">
        <v>1269</v>
      </c>
      <c r="Y37" s="15"/>
      <c r="Z37" s="13" t="s">
        <v>261</v>
      </c>
      <c r="AA37" s="14" t="s">
        <v>1269</v>
      </c>
      <c r="AB37" s="15"/>
      <c r="AC37" s="13" t="s">
        <v>261</v>
      </c>
      <c r="AD37" s="14" t="s">
        <v>1269</v>
      </c>
      <c r="AG37" s="8"/>
      <c r="AH37" s="8"/>
    </row>
    <row r="38" spans="2:34" s="2" customFormat="1" ht="20" customHeight="1" x14ac:dyDescent="0.2">
      <c r="B38" s="4" t="s">
        <v>1315</v>
      </c>
      <c r="C38" s="337" t="str">
        <f>region_ntp1_server</f>
        <v>Value Missing</v>
      </c>
      <c r="E38" s="4" t="s">
        <v>1272</v>
      </c>
      <c r="F38" s="337" t="str">
        <f>IF(mgmt_az1_mgmt_vm_cidr="Value Missing",mgmt_az1_mgmt_vm_cidr,(LEFT(mgmt_az1_mgmt_vm_cidr,(FIND("/",mgmt_az1_mgmt_vm_cidr)-1))))</f>
        <v>Value Missing</v>
      </c>
      <c r="H38" s="4" t="s">
        <v>1272</v>
      </c>
      <c r="I38" s="337" t="str">
        <f>IF(wld_az1_mgmt_vm_cidr="Value Missing","Value Missing",IF(ISBLANK(wld_az1_mgmt_vm_cidr),"Value Missing",LEFT(wld_az1_mgmt_vm_cidr,(FIND("/",wld_az1_mgmt_vm_cidr)-1))))</f>
        <v>Value Missing</v>
      </c>
      <c r="K38" s="4" t="s">
        <v>1272</v>
      </c>
      <c r="N38" s="4" t="s">
        <v>1272</v>
      </c>
      <c r="Q38" s="4" t="s">
        <v>1272</v>
      </c>
      <c r="T38" s="4" t="s">
        <v>1272</v>
      </c>
      <c r="W38" s="4" t="s">
        <v>1272</v>
      </c>
      <c r="Z38" s="4" t="s">
        <v>1272</v>
      </c>
      <c r="AC38" s="4" t="s">
        <v>1272</v>
      </c>
      <c r="AG38" s="8"/>
      <c r="AH38" s="8"/>
    </row>
    <row r="39" spans="2:34" s="2" customFormat="1" ht="20" customHeight="1" x14ac:dyDescent="0.2">
      <c r="B39" s="4" t="s">
        <v>1316</v>
      </c>
      <c r="C39" s="337" t="str">
        <f>region_ntp2_server</f>
        <v>Value Missing</v>
      </c>
      <c r="E39" s="4" t="s">
        <v>1274</v>
      </c>
      <c r="F39" s="337" t="str">
        <f>IF(mgmt_az1_mgmt_cidr="Value Missing",mgmt_az1_mgmt_cidr,LEFT(mgmt_az1_mgmt_cidr,(FIND("/",mgmt_az1_mgmt_cidr)-1)))</f>
        <v>Value Missing</v>
      </c>
      <c r="H39" s="4" t="s">
        <v>1274</v>
      </c>
      <c r="I39" s="337" t="str">
        <f>IF(wld_az1_mgmt_cidr="Value Missing","Value Missing",IF(ISBLANK(wld_az1_mgmt_cidr),"Value Missing",LEFT(wld_az1_mgmt_cidr,(FIND("/",wld_az1_mgmt_cidr)-1))))</f>
        <v>Value Missing</v>
      </c>
      <c r="K39" s="4" t="s">
        <v>1274</v>
      </c>
      <c r="L39" s="337" t="str">
        <f>IF(wld_az1_rack2_mgmt_cidr="Value Missing","Value Missing",IF(ISBLANK(wld_az1_rack2_mgmt_cidr),"Value Missing",LEFT(wld_az1_rack2_mgmt_cidr,(FIND("/",wld_az1_rack2_mgmt_cidr)-1))))</f>
        <v>Value Missing</v>
      </c>
      <c r="N39" s="4" t="s">
        <v>1274</v>
      </c>
      <c r="O39" s="337" t="str">
        <f>IF(wld_az1_rack3_mgmt_cidr="Value Missing","Value Missing",IF(ISBLANK(wld_az1_rack3_mgmt_cidr),"Value Missing",LEFT(wld_az1_rack3_mgmt_cidr,(FIND("/",wld_az1_rack3_mgmt_cidr)-1))))</f>
        <v>Value Missing</v>
      </c>
      <c r="Q39" s="4" t="s">
        <v>1274</v>
      </c>
      <c r="R39" s="337" t="str">
        <f>IF(wld_az1_rack4_mgmt_cidr="Value Missing","Value Missing",IF(ISBLANK(wld_az1_rack4_mgmt_cidr),"Value Missing",LEFT(wld_az1_rack4_mgmt_cidr,(FIND("/",wld_az1_rack4_mgmt_cidr)-1))))</f>
        <v>Value Missing</v>
      </c>
      <c r="T39" s="4" t="s">
        <v>1274</v>
      </c>
      <c r="U39" s="337" t="str">
        <f>IF(wld_az1_rack5_mgmt_cidr="Value Missing","Value Missing",IF(ISBLANK(wld_az1_rack5_mgmt_cidr),"Value Missing",LEFT(wld_az1_rack5_mgmt_cidr,(FIND("/",wld_az1_rack5_mgmt_cidr)-1))))</f>
        <v>Value Missing</v>
      </c>
      <c r="W39" s="4" t="s">
        <v>1274</v>
      </c>
      <c r="X39" s="337" t="str">
        <f>IF(wld_az1_rack6_mgmt_cidr="Value Missing","Value Missing",IF(ISBLANK(wld_az1_rack6_mgmt_cidr),"Value Missing",LEFT(wld_az1_rack6_mgmt_cidr,(FIND("/",wld_az1_rack6_mgmt_cidr)-1))))</f>
        <v>Value Missing</v>
      </c>
      <c r="Z39" s="4" t="s">
        <v>1274</v>
      </c>
      <c r="AA39" s="337" t="str">
        <f>IF(wld_az1_rack7_mgmt_cidr="Value Missing","Value Missing",IF(ISBLANK(wld_az1_rack7_mgmt_cidr),"Value Missing",LEFT(wld_az1_rack7_mgmt_cidr,(FIND("/",wld_az1_rack7_mgmt_cidr)-1))))</f>
        <v>Value Missing</v>
      </c>
      <c r="AC39" s="4" t="s">
        <v>1274</v>
      </c>
      <c r="AD39" s="337" t="str">
        <f>IF(wld_az1_rack8_mgmt_cidr="Value Missing","Value Missing",IF(ISBLANK(wld_az1_rack8_mgmt_cidr),"Value Missing",LEFT(wld_az1_rack8_mgmt_cidr,(FIND("/",wld_az1_rack8_mgmt_cidr)-1))))</f>
        <v>Value Missing</v>
      </c>
      <c r="AG39" s="8"/>
      <c r="AH39" s="8"/>
    </row>
    <row r="40" spans="2:34" s="2" customFormat="1" ht="20" customHeight="1" x14ac:dyDescent="0.2">
      <c r="B40" s="74" t="s">
        <v>1327</v>
      </c>
      <c r="C40" s="337"/>
      <c r="E40" s="4" t="s">
        <v>251</v>
      </c>
      <c r="F40" s="337" t="str">
        <f>IF(mgmt_az1_vmotion_cidr="Value Missing",mgmt_az1_vmotion_cidr,LEFT(mgmt_az1_vmotion_cidr,(FIND("/",mgmt_az1_vmotion_cidr)-1)))</f>
        <v>Value Missing</v>
      </c>
      <c r="H40" s="4" t="s">
        <v>251</v>
      </c>
      <c r="I40" s="337" t="str">
        <f>IF(ISBLANK(input_wld_az1_vmotion_network),"Value Missing",input_wld_az1_vmotion_network)</f>
        <v>Value Missing</v>
      </c>
      <c r="K40" s="4" t="s">
        <v>251</v>
      </c>
      <c r="L40" s="337" t="str">
        <f>IF(ISBLANK(input_wld_az1_rack2_vmotion_network),"Value Missing",input_wld_az1_rack2_vmotion_network)</f>
        <v>Value Missing</v>
      </c>
      <c r="N40" s="4" t="s">
        <v>251</v>
      </c>
      <c r="O40" s="337" t="str">
        <f>IF(ISBLANK(input_wld_az1_rack3_vmotion_network),"Value Missing",input_wld_az1_rack3_vmotion_network)</f>
        <v>Value Missing</v>
      </c>
      <c r="Q40" s="4" t="s">
        <v>251</v>
      </c>
      <c r="R40" s="337" t="str">
        <f>IF(ISBLANK(input_wld_az1_rack4_vmotion_network),"Value Missing",input_wld_az1_rack4_vmotion_network)</f>
        <v>Value Missing</v>
      </c>
      <c r="T40" s="4" t="s">
        <v>251</v>
      </c>
      <c r="U40" s="337" t="str">
        <f>IF(ISBLANK(input_wld_az1_rack5_vmotion_network),"Value Missing",input_wld_az1_rack5_vmotion_network)</f>
        <v>Value Missing</v>
      </c>
      <c r="W40" s="4" t="s">
        <v>251</v>
      </c>
      <c r="X40" s="337" t="str">
        <f>IF(ISBLANK(input_wld_az1_rack6_vmotion_network),"Value Missing",input_wld_az1_rack6_vmotion_network)</f>
        <v>Value Missing</v>
      </c>
      <c r="Z40" s="4" t="s">
        <v>251</v>
      </c>
      <c r="AA40" s="337" t="str">
        <f>IF(ISBLANK(input_wld_az1_rack7_vmotion_network),"Value Missing",input_wld_az1_rack7_vmotion_network)</f>
        <v>Value Missing</v>
      </c>
      <c r="AC40" s="4" t="s">
        <v>251</v>
      </c>
      <c r="AD40" s="337" t="str">
        <f>IF(ISBLANK(input_wld_az1_rack8_vmotion_network),"Value Missing",input_wld_az1_rack8_vmotion_network)</f>
        <v>Value Missing</v>
      </c>
      <c r="AG40" s="8"/>
      <c r="AH40" s="8"/>
    </row>
    <row r="41" spans="2:34" s="2" customFormat="1" ht="20" customHeight="1" x14ac:dyDescent="0.2">
      <c r="B41" s="4" t="s">
        <v>1328</v>
      </c>
      <c r="C41" s="337" t="str">
        <f>IF(ISBLANK(mgmt_ceip_status_chosen),"Value Missing",mgmt_ceip_status_chosen)</f>
        <v>Selected</v>
      </c>
      <c r="E41" s="17" t="str">
        <f>CONCATENATE("Principal Storage Network ",wld_principal_storage_chosen)</f>
        <v>Principal Storage Network vSAN-ESA</v>
      </c>
      <c r="F41" s="337" t="str">
        <f>IF(mgmt_az1_vsan_cidr="Value Missing",mgmt_az1_vsan_cidr,LEFT(mgmt_az1_vsan_cidr,(FIND("/",mgmt_az1_vsan_cidr)-1)))</f>
        <v>Value Missing</v>
      </c>
      <c r="H41" s="17" t="s">
        <v>257</v>
      </c>
      <c r="I41" s="337" t="str">
        <f>IF(ISBLANK(input_wld_az1_principal_storage_network),"Value Missing",input_wld_az1_principal_storage_network)</f>
        <v>Value Missing</v>
      </c>
      <c r="K41" s="17" t="str">
        <f>CONCATENATE("Principal Storage Network ",wld_principal_storage_chosen)</f>
        <v>Principal Storage Network vSAN-ESA</v>
      </c>
      <c r="L41" s="337" t="str">
        <f>IF(ISBLANK(input_wld_az1_rack2_principal_storage_network),"Value Missing",input_wld_az1_rack2_principal_storage_network)</f>
        <v>Value Missing</v>
      </c>
      <c r="N41" s="17" t="str">
        <f>CONCATENATE("Principal Storage Network ",wld_principal_storage_chosen)</f>
        <v>Principal Storage Network vSAN-ESA</v>
      </c>
      <c r="O41" s="337" t="str">
        <f>IF(ISBLANK(input_wld_az1_rack3_principal_storage_network),"Value Missing",input_wld_az1_rack3_principal_storage_network)</f>
        <v>Value Missing</v>
      </c>
      <c r="Q41" s="17" t="str">
        <f>CONCATENATE("Principal Storage Network ",wld_principal_storage_chosen)</f>
        <v>Principal Storage Network vSAN-ESA</v>
      </c>
      <c r="R41" s="337" t="str">
        <f>IF(ISBLANK(input_wld_az1_rack4_principal_storage_network),"Value Missing",input_wld_az1_rack4_principal_storage_network)</f>
        <v>Value Missing</v>
      </c>
      <c r="T41" s="17" t="str">
        <f>CONCATENATE("Principal Storage Network ",wld_principal_storage_chosen)</f>
        <v>Principal Storage Network vSAN-ESA</v>
      </c>
      <c r="U41" s="337" t="str">
        <f>IF(ISBLANK(input_wld_az1_rack5_principal_storage_network),"Value Missing",input_wld_az1_rack5_principal_storage_network)</f>
        <v>Value Missing</v>
      </c>
      <c r="W41" s="17" t="str">
        <f>CONCATENATE("Principal Storage Network ",wld_principal_storage_chosen)</f>
        <v>Principal Storage Network vSAN-ESA</v>
      </c>
      <c r="X41" s="337" t="str">
        <f>IF(ISBLANK(input_wld_az1_rack6_principal_storage_network),"Value Missing",input_wld_az1_rack6_principal_storage_network)</f>
        <v>Value Missing</v>
      </c>
      <c r="Z41" s="17" t="str">
        <f>CONCATENATE("Principal Storage Network ",wld_principal_storage_chosen)</f>
        <v>Principal Storage Network vSAN-ESA</v>
      </c>
      <c r="AA41" s="337" t="str">
        <f>IF(ISBLANK(input_wld_az1_rack7_principal_storage_network),"Value Missing",input_wld_az1_rack7_principal_storage_network)</f>
        <v>Value Missing</v>
      </c>
      <c r="AC41" s="17" t="str">
        <f>CONCATENATE("Principal Storage Network ",wld_principal_storage_chosen)</f>
        <v>Principal Storage Network vSAN-ESA</v>
      </c>
      <c r="AD41" s="337" t="str">
        <f>IF(ISBLANK(input_wld_az1_rack8_principal_storage_network),"Value Missing",input_wld_az1_rack8_principal_storage_network)</f>
        <v>Value Missing</v>
      </c>
      <c r="AG41" s="8"/>
      <c r="AH41" s="8"/>
    </row>
    <row r="42" spans="2:34" s="2" customFormat="1" ht="20" customHeight="1" x14ac:dyDescent="0.2">
      <c r="E42" s="4" t="s">
        <v>1278</v>
      </c>
      <c r="F42" s="337" t="str">
        <f>IF(mgmt_az1_host_overlay_cidr="Value Missing",mgmt_az1_host_overlay_cidr,LEFT(mgmt_az1_host_overlay_cidr,(FIND("/",mgmt_az1_host_overlay_cidr)-1)))</f>
        <v>Value Missing</v>
      </c>
      <c r="H42" s="4" t="s">
        <v>1278</v>
      </c>
      <c r="I42" s="337" t="str">
        <f>IF(wld_az1_host_overlay_cidr="Value Missing","Value Missing",IF(ISBLANK(wld_az1_host_overlay_cidr),"Value Missing",LEFT(wld_az1_host_overlay_cidr,(FIND("/",wld_az1_host_overlay_cidr)-1))))</f>
        <v>Value Missing</v>
      </c>
      <c r="K42" s="4" t="s">
        <v>1278</v>
      </c>
      <c r="L42" s="337" t="str">
        <f>IF(ISBLANK(input_wld_az1_rack2_host_overlay_network),"Value Missing",input_wld_az1_rack2_host_overlay_network)</f>
        <v>Value Missing</v>
      </c>
      <c r="N42" s="4" t="s">
        <v>1278</v>
      </c>
      <c r="O42" s="337" t="str">
        <f>IF(ISBLANK(input_wld_az1_rack2_host_overlay_network),"Value Missing",input_wld_az1_rack3_host_overlay_network)</f>
        <v>Value Missing</v>
      </c>
      <c r="Q42" s="4" t="s">
        <v>1278</v>
      </c>
      <c r="R42" s="337" t="str">
        <f>IF(ISBLANK(input_wld_az1_rack4_host_overlay_network),"Value Missing",input_wld_az1_rack4_host_overlay_network)</f>
        <v>Value Missing</v>
      </c>
      <c r="T42" s="4" t="s">
        <v>1278</v>
      </c>
      <c r="U42" s="337" t="str">
        <f>IF(ISBLANK(input_wld_az1_rack5_host_overlay_network),"Value Missing",input_wld_az1_rack5_host_overlay_network)</f>
        <v>Value Missing</v>
      </c>
      <c r="W42" s="4" t="s">
        <v>1278</v>
      </c>
      <c r="X42" s="337" t="str">
        <f>IF(ISBLANK(input_wld_az1_rack6_host_overlay_network),"Value Missing",input_wld_az1_rack6_host_overlay_network)</f>
        <v>Value Missing</v>
      </c>
      <c r="Z42" s="4" t="s">
        <v>1278</v>
      </c>
      <c r="AA42" s="337" t="str">
        <f>IF(ISBLANK(input_wld_az1_rack7_host_overlay_network),"Value Missing",input_wld_az1_rack7_host_overlay_network)</f>
        <v>Value Missing</v>
      </c>
      <c r="AC42" s="4" t="s">
        <v>1278</v>
      </c>
      <c r="AD42" s="337" t="str">
        <f>IF(ISBLANK(input_wld_az1_rack8_host_overlay_network),"Value Missing",input_wld_az1_rack8_host_overlay_network)</f>
        <v>Value Missing</v>
      </c>
      <c r="AG42" s="8"/>
      <c r="AH42" s="8"/>
    </row>
    <row r="43" spans="2:34" s="2" customFormat="1" ht="20" customHeight="1" x14ac:dyDescent="0.2">
      <c r="B43" s="576" t="s">
        <v>814</v>
      </c>
      <c r="C43" s="577"/>
      <c r="E43" s="18" t="s">
        <v>1280</v>
      </c>
      <c r="F43" s="337" t="str">
        <f>IF(mgmt_az1_secondary_storage_cidr="Value Missing",mgmt_az1_secondary_storage_cidr,LEFT(mgmt_az1_secondary_storage_cidr,(FIND("/",mgmt_az1_secondary_storage_cidr)-1)))</f>
        <v>Value Missing</v>
      </c>
      <c r="H43" s="4" t="s">
        <v>1280</v>
      </c>
      <c r="I43" s="337" t="str">
        <f>IF(ISBLANK(input_wld_az1_secondary_storage_network),"Value Missing",input_wld_az1_secondary_storage_network)</f>
        <v>Value Missing</v>
      </c>
      <c r="K43" s="22" t="s">
        <v>805</v>
      </c>
      <c r="L43" s="337"/>
      <c r="N43" s="22" t="s">
        <v>805</v>
      </c>
      <c r="O43" s="337"/>
      <c r="Q43" s="22" t="s">
        <v>805</v>
      </c>
      <c r="R43" s="337"/>
      <c r="T43" s="22" t="s">
        <v>805</v>
      </c>
      <c r="U43" s="337"/>
      <c r="W43" s="22" t="s">
        <v>805</v>
      </c>
      <c r="X43" s="337"/>
      <c r="Z43" s="22" t="s">
        <v>805</v>
      </c>
      <c r="AA43" s="337"/>
      <c r="AC43" s="22" t="s">
        <v>805</v>
      </c>
      <c r="AD43" s="337"/>
      <c r="AG43" s="8"/>
      <c r="AH43" s="8"/>
    </row>
    <row r="44" spans="2:34" s="2" customFormat="1" ht="20" customHeight="1" x14ac:dyDescent="0.2">
      <c r="B44" s="11" t="s">
        <v>261</v>
      </c>
      <c r="C44" s="12" t="s">
        <v>1268</v>
      </c>
      <c r="E44" s="18"/>
      <c r="F44" s="337"/>
      <c r="H44" s="4" t="s">
        <v>805</v>
      </c>
      <c r="I44" s="337" t="str">
        <f>IF(ISBLANK(input_wld_az1_storage_cluster_network),"Value Missing",input_wld_az1_storage_cluster_network)</f>
        <v>Value Missing</v>
      </c>
      <c r="K44" s="18" t="s">
        <v>1280</v>
      </c>
      <c r="L44" s="337" t="str">
        <f>IF(ISBLANK(input_wld_az1_rack2_secondary_storage_network),"Value Missing",input_wld_az1_rack2_secondary_storage_network)</f>
        <v>Value Missing</v>
      </c>
      <c r="N44" s="18" t="s">
        <v>1280</v>
      </c>
      <c r="O44" s="337" t="str">
        <f>IF(ISBLANK(input_wld_az1_rack3_secondary_storage_network),"Value Missing",input_wld_az1_rack3_secondary_storage_network)</f>
        <v>Value Missing</v>
      </c>
      <c r="Q44" s="18" t="s">
        <v>1280</v>
      </c>
      <c r="R44" s="337" t="str">
        <f>IF(ISBLANK(input_wld_az1_rack4_secondary_storage_network),"Value Missing",input_wld_az1_rack4_secondary_storage_network)</f>
        <v>Value Missing</v>
      </c>
      <c r="T44" s="18" t="s">
        <v>1280</v>
      </c>
      <c r="U44" s="337" t="str">
        <f>IF(ISBLANK(input_wld_az1_rack5_secondary_storage_network),"Value Missing",input_wld_az1_rack5_secondary_storage_network)</f>
        <v>Value Missing</v>
      </c>
      <c r="W44" s="18" t="s">
        <v>1280</v>
      </c>
      <c r="X44" s="337" t="str">
        <f>IF(ISBLANK(input_wld_az1_rack6_secondary_storage_network),"Value Missing",input_wld_az1_rack6_secondary_storage_network)</f>
        <v>Value Missing</v>
      </c>
      <c r="Z44" s="18" t="s">
        <v>1280</v>
      </c>
      <c r="AA44" s="337" t="str">
        <f>IF(ISBLANK(input_wld_az1_rack7_secondary_storage_network),"Value Missing",input_wld_az1_rack7_secondary_storage_network)</f>
        <v>Value Missing</v>
      </c>
      <c r="AC44" s="18" t="s">
        <v>1280</v>
      </c>
      <c r="AD44" s="337" t="str">
        <f>IF(ISBLANK(input_wld_az1_rack8_secondary_storage_network),"Value Missing",input_wld_az1_rack8_secondary_storage_network)</f>
        <v>Value Missing</v>
      </c>
      <c r="AG44" s="8"/>
      <c r="AH44" s="8"/>
    </row>
    <row r="45" spans="2:34" s="2" customFormat="1" ht="20" customHeight="1" x14ac:dyDescent="0.2">
      <c r="B45" s="4" t="s">
        <v>38</v>
      </c>
      <c r="C45" s="337" t="str">
        <f>IF(ISBLANK(mgmt_vc_fqdn),"Value Missing",mgmt_vc_fqdn)</f>
        <v>Value Missing</v>
      </c>
      <c r="E45" s="4" t="s">
        <v>1283</v>
      </c>
      <c r="F45" s="337" t="str">
        <f>IF(mgmt_az1_uplink01_cidr="Value Missing",mgmt_az1_uplink01_cidr,LEFT(mgmt_az1_uplink01_cidr,(FIND("/",mgmt_az1_uplink01_cidr)-1)))</f>
        <v>Value Missing</v>
      </c>
      <c r="H45" s="4" t="s">
        <v>1283</v>
      </c>
      <c r="I45" s="337" t="str">
        <f>IF(wld_az1_uplink01_cidr="Value Missing",wld_az1_uplink01_cidr,IF(ISBLANK(wld_az1_uplink01_cidr),"Value Missing",LEFT(wld_az1_uplink01_cidr,(FIND("/",wld_az1_uplink01_cidr)-1))))</f>
        <v>Value Missing</v>
      </c>
      <c r="K45" s="4" t="s">
        <v>1283</v>
      </c>
      <c r="L45" s="337" t="str">
        <f>IF(ISBLANK(input_wld_az1_rack2_uplink01_network),"Value Missing",input_wld_az1_rack2_uplink01_network)</f>
        <v>Value Missing</v>
      </c>
      <c r="N45" s="4" t="s">
        <v>1283</v>
      </c>
      <c r="O45" s="337" t="str">
        <f>IF(ISBLANK(input_wld_az1_rack3_uplink01_network),"Value Missing",input_wld_az1_rack3_uplink01_network)</f>
        <v>Value Missing</v>
      </c>
      <c r="Q45" s="4" t="s">
        <v>1283</v>
      </c>
      <c r="R45" s="337" t="str">
        <f>IF(ISBLANK(input_wld_az1_rack4_uplink01_network),"Value Missing",input_wld_az1_rack4_uplink01_network)</f>
        <v>Value Missing</v>
      </c>
      <c r="T45" s="4" t="s">
        <v>1283</v>
      </c>
      <c r="U45" s="337" t="str">
        <f>IF(ISBLANK(input_wld_az1_rack5_uplink01_network),"Value Missing",input_wld_az1_rack5_uplink01_network)</f>
        <v>Value Missing</v>
      </c>
      <c r="W45" s="4" t="s">
        <v>1283</v>
      </c>
      <c r="X45" s="337" t="str">
        <f>IF(ISBLANK(input_wld_az1_rack6_uplink01_network),"Value Missing",input_wld_az1_rack6_uplink01_network)</f>
        <v>Value Missing</v>
      </c>
      <c r="Z45" s="4" t="s">
        <v>1283</v>
      </c>
      <c r="AA45" s="337" t="str">
        <f>IF(ISBLANK(input_wld_az1_rack7_uplink01_network),"Value Missing",input_wld_az1_rack7_uplink01_network)</f>
        <v>Value Missing</v>
      </c>
      <c r="AC45" s="4" t="s">
        <v>1283</v>
      </c>
      <c r="AD45" s="337" t="str">
        <f>IF(ISBLANK(input_wld_az1_rack8_uplink01_network),"Value Missing",input_wld_az1_rack8_uplink01_network)</f>
        <v>Value Missing</v>
      </c>
      <c r="AG45" s="8"/>
      <c r="AH45" s="8"/>
    </row>
    <row r="46" spans="2:34" s="2" customFormat="1" ht="20" customHeight="1" x14ac:dyDescent="0.2">
      <c r="B46" s="4" t="s">
        <v>784</v>
      </c>
      <c r="C46" s="337" t="str">
        <f>mgmt_vcenter_appliance_size_chosen</f>
        <v>Small</v>
      </c>
      <c r="E46" s="4" t="s">
        <v>1285</v>
      </c>
      <c r="F46" s="337" t="str">
        <f>IF(mgmt_az1_uplink02_cidr="Value Missing",mgmt_az1_uplink02_cidr,LEFT(mgmt_az1_uplink02_cidr,(FIND("/",mgmt_az1_uplink02_cidr)-1)))</f>
        <v>Value Missing</v>
      </c>
      <c r="H46" s="4" t="s">
        <v>1285</v>
      </c>
      <c r="I46" s="337" t="str">
        <f>IF(wld_az1_uplink02_cidr="Value Missing",wld_az1_uplink02_cidr,IF(ISBLANK(wld_az1_uplink02_cidr),"Value Missing",LEFT(wld_az1_uplink02_cidr,(FIND("/",wld_az1_uplink02_cidr)-1))))</f>
        <v>Value Missing</v>
      </c>
      <c r="K46" s="4" t="s">
        <v>1285</v>
      </c>
      <c r="L46" s="337" t="str">
        <f>IF(ISBLANK(input_wld_az1_rack2_uplink02_network),"Value Missing",input_wld_az1_rack2_uplink02_network)</f>
        <v>Value Missing</v>
      </c>
      <c r="N46" s="4" t="s">
        <v>1285</v>
      </c>
      <c r="O46" s="337" t="str">
        <f>IF(ISBLANK(input_wld_az1_rack3_uplink02_network),"Value Missing",input_wld_az1_rack3_uplink02_network)</f>
        <v>Value Missing</v>
      </c>
      <c r="Q46" s="4" t="s">
        <v>1285</v>
      </c>
      <c r="R46" s="337" t="str">
        <f>IF(ISBLANK(input_wld_az1_rack4_uplink02_network),"Value Missing",input_wld_az1_rack4_uplink02_network)</f>
        <v>Value Missing</v>
      </c>
      <c r="T46" s="4" t="s">
        <v>1285</v>
      </c>
      <c r="U46" s="337" t="str">
        <f>IF(ISBLANK(input_wld_az1_rack5_uplink02_network),"Value Missing",input_wld_az1_rack5_uplink02_network)</f>
        <v>Value Missing</v>
      </c>
      <c r="W46" s="4" t="s">
        <v>1285</v>
      </c>
      <c r="X46" s="337" t="str">
        <f>IF(ISBLANK(input_wld_az1_rack6_uplink02_network),"Value Missing",input_wld_az1_rack6_uplink02_network)</f>
        <v>Value Missing</v>
      </c>
      <c r="Z46" s="4" t="s">
        <v>1285</v>
      </c>
      <c r="AA46" s="337" t="str">
        <f>IF(ISBLANK(input_wld_az1_rack7_uplink02_network),"Value Missing",input_wld_az1_rack7_uplink02_network)</f>
        <v>Value Missing</v>
      </c>
      <c r="AC46" s="4" t="s">
        <v>1285</v>
      </c>
      <c r="AD46" s="337" t="str">
        <f>IF(ISBLANK(input_wld_az1_rack8_uplink02_network),"Value Missing",input_wld_az1_rack8_uplink02_network)</f>
        <v>Value Missing</v>
      </c>
      <c r="AG46" s="8"/>
    </row>
    <row r="47" spans="2:34" s="2" customFormat="1" ht="20" customHeight="1" x14ac:dyDescent="0.2">
      <c r="B47" s="4" t="s">
        <v>1329</v>
      </c>
      <c r="C47" s="337" t="str">
        <f>sizing_m01_vcenter_storage_size_chosen</f>
        <v>Default</v>
      </c>
      <c r="E47" s="4" t="s">
        <v>1287</v>
      </c>
      <c r="F47" s="337" t="str">
        <f>IF(mgmt_az1_edge_overlay_cidr="Value Missing",mgmt_az1_edge_overlay_cidr,(LEFT(mgmt_az1_edge_overlay_cidr,(FIND("/",mgmt_az1_edge_overlay_cidr)-1))))</f>
        <v>Value Missing</v>
      </c>
      <c r="H47" s="4" t="s">
        <v>1287</v>
      </c>
      <c r="I47" s="337" t="str">
        <f>IF(wld_az1_edge_overlay_cidr="Value Missing",wld_az1_edge_overlay_cidr,IF(ISBLANK(wld_az1_edge_overlay_cidr),"Value Missing",LEFT(wld_az1_edge_overlay_cidr,(FIND("/",wld_az1_edge_overlay_cidr)-1))))</f>
        <v>Value Missing</v>
      </c>
      <c r="K47" s="4" t="s">
        <v>1287</v>
      </c>
      <c r="L47" s="337" t="str">
        <f>IF(ISBLANK(input_wld_az1_rack2_edge_overlay_network),"Value Missing",input_wld_az1_rack2_edge_overlay_network)</f>
        <v>Value Missing</v>
      </c>
      <c r="N47" s="4" t="s">
        <v>1287</v>
      </c>
      <c r="O47" s="337" t="str">
        <f>IF(ISBLANK(input_wld_az1_rack3_edge_overlay_network),"Value Missing",input_wld_az1_rack3_edge_overlay_network)</f>
        <v>Value Missing</v>
      </c>
      <c r="Q47" s="4" t="s">
        <v>1287</v>
      </c>
      <c r="R47" s="337" t="str">
        <f>IF(ISBLANK(input_wld_az1_rack4_edge_overlay_network),"Value Missing",input_wld_az1_rack4_edge_overlay_network)</f>
        <v>Value Missing</v>
      </c>
      <c r="T47" s="4" t="s">
        <v>1287</v>
      </c>
      <c r="U47" s="337" t="str">
        <f>IF(ISBLANK(input_wld_az1_rack5_edge_overlay_network),"Value Missing",input_wld_az1_rack5_edge_overlay_network)</f>
        <v>Value Missing</v>
      </c>
      <c r="W47" s="4" t="s">
        <v>1287</v>
      </c>
      <c r="X47" s="337" t="str">
        <f>IF(ISBLANK(input_wld_az1_rack6_edge_overlay_network),"Value Missing",input_wld_az1_rack6_edge_overlay_network)</f>
        <v>Value Missing</v>
      </c>
      <c r="Z47" s="4" t="s">
        <v>1287</v>
      </c>
      <c r="AA47" s="337" t="str">
        <f>IF(ISBLANK(input_wld_az1_rack7_edge_overlay_network),"Value Missing",input_wld_az1_rack7_edge_overlay_network)</f>
        <v>Value Missing</v>
      </c>
      <c r="AC47" s="4" t="s">
        <v>1287</v>
      </c>
      <c r="AD47" s="337" t="str">
        <f>IF(ISBLANK(input_wld_az1_rack8_edge_overlay_network),"Value Missing",input_wld_az1_rack8_edge_overlay_network)</f>
        <v>Value Missing</v>
      </c>
      <c r="AG47" s="8"/>
    </row>
    <row r="48" spans="2:34" s="2" customFormat="1" ht="20" customHeight="1" x14ac:dyDescent="0.2">
      <c r="B48" s="4" t="s">
        <v>1330</v>
      </c>
      <c r="C48" s="337" t="str">
        <f>IF(ISBLANK(input_mgmt_datacenter),"Value Missing",input_mgmt_datacenter)</f>
        <v>Value Missing</v>
      </c>
      <c r="E48" s="4" t="s">
        <v>1289</v>
      </c>
      <c r="F48" s="337" t="str">
        <f>IF(mgmt_az1_rtep_overlay_cidr="Value Missing",mgmt_az1_rtep_overlay_cidr,(LEFT(mgmt_az1_rtep_overlay_cidr,(FIND("/",mgmt_az1_rtep_overlay_cidr)-1))))</f>
        <v>Value Missing</v>
      </c>
      <c r="H48" s="4" t="s">
        <v>1289</v>
      </c>
      <c r="I48" s="337" t="str">
        <f>IF(wld_az1_rtep_overlay_cidr="Value Missing",wld_az1_rtep_overlay_cidr,(LEFT(wld_az1_rtep_overlay_cidr,(FIND("/",wld_az1_rtep_overlay_cidr)-1))))</f>
        <v>Value Missing</v>
      </c>
      <c r="K48" s="4" t="s">
        <v>1289</v>
      </c>
      <c r="N48" s="4" t="s">
        <v>1289</v>
      </c>
      <c r="Q48" s="4" t="s">
        <v>1289</v>
      </c>
      <c r="T48" s="4" t="s">
        <v>1289</v>
      </c>
      <c r="W48" s="4" t="s">
        <v>1289</v>
      </c>
      <c r="Z48" s="4" t="s">
        <v>1289</v>
      </c>
      <c r="AC48" s="4" t="s">
        <v>1289</v>
      </c>
      <c r="AG48" s="8"/>
    </row>
    <row r="49" spans="2:34" s="2" customFormat="1" ht="20" customHeight="1" x14ac:dyDescent="0.2">
      <c r="B49" s="4" t="s">
        <v>1331</v>
      </c>
      <c r="C49" s="337" t="str">
        <f>IF(ISBLANK(input_mgmt_cl01_cluster),"Value Missing",input_mgmt_cl01_cluster)</f>
        <v>Value Missing</v>
      </c>
      <c r="E49" s="4" t="s">
        <v>1291</v>
      </c>
      <c r="F49" s="337"/>
      <c r="H49" s="4" t="s">
        <v>1291</v>
      </c>
      <c r="I49" s="337" t="str">
        <f>IF(wld_az1_vrms_cidr="Value Missing",wld_az1_vrms_cidr,(LEFT(wld_az1_vrms_cidr,(FIND("/",wld_az1_vrms_cidr)-1))))</f>
        <v>Value Missing</v>
      </c>
      <c r="K49" s="4" t="s">
        <v>1291</v>
      </c>
      <c r="N49" s="4" t="s">
        <v>1291</v>
      </c>
      <c r="Q49" s="4" t="s">
        <v>1291</v>
      </c>
      <c r="T49" s="4" t="s">
        <v>1291</v>
      </c>
      <c r="W49" s="4" t="s">
        <v>1291</v>
      </c>
      <c r="Z49" s="4" t="s">
        <v>1291</v>
      </c>
      <c r="AC49" s="4" t="s">
        <v>1291</v>
      </c>
      <c r="AG49" s="8"/>
    </row>
    <row r="50" spans="2:34" s="2" customFormat="1" ht="20" customHeight="1" x14ac:dyDescent="0.2">
      <c r="Q50" s="7"/>
      <c r="R50" s="7"/>
      <c r="AG50" s="8"/>
    </row>
    <row r="51" spans="2:34" s="2" customFormat="1" ht="20" customHeight="1" x14ac:dyDescent="0.2">
      <c r="B51" s="576" t="s">
        <v>252</v>
      </c>
      <c r="C51" s="577"/>
      <c r="E51" s="377" t="s">
        <v>1332</v>
      </c>
      <c r="F51" s="378"/>
      <c r="H51" s="377" t="s">
        <v>1333</v>
      </c>
      <c r="I51" s="378"/>
      <c r="K51" s="377" t="s">
        <v>1334</v>
      </c>
      <c r="L51" s="378"/>
      <c r="N51" s="377" t="s">
        <v>1335</v>
      </c>
      <c r="O51" s="378"/>
      <c r="Q51" s="377" t="s">
        <v>1336</v>
      </c>
      <c r="R51" s="378"/>
      <c r="T51" s="377" t="s">
        <v>1337</v>
      </c>
      <c r="U51" s="378"/>
      <c r="W51" s="377" t="s">
        <v>1338</v>
      </c>
      <c r="X51" s="378"/>
      <c r="Z51" s="377" t="s">
        <v>1339</v>
      </c>
      <c r="AA51" s="378"/>
      <c r="AC51" s="377" t="s">
        <v>1340</v>
      </c>
      <c r="AD51" s="378"/>
      <c r="AG51" s="8"/>
    </row>
    <row r="52" spans="2:34" s="2" customFormat="1" ht="20" customHeight="1" x14ac:dyDescent="0.2">
      <c r="B52" s="11" t="s">
        <v>261</v>
      </c>
      <c r="C52" s="12" t="s">
        <v>1268</v>
      </c>
      <c r="E52" s="36" t="s">
        <v>261</v>
      </c>
      <c r="F52" s="37" t="s">
        <v>1269</v>
      </c>
      <c r="H52" s="36" t="s">
        <v>261</v>
      </c>
      <c r="I52" s="37" t="s">
        <v>1269</v>
      </c>
      <c r="K52" s="36" t="s">
        <v>261</v>
      </c>
      <c r="L52" s="37" t="s">
        <v>1269</v>
      </c>
      <c r="N52" s="36" t="s">
        <v>261</v>
      </c>
      <c r="O52" s="37" t="s">
        <v>1269</v>
      </c>
      <c r="Q52" s="36" t="s">
        <v>261</v>
      </c>
      <c r="R52" s="37" t="s">
        <v>1269</v>
      </c>
      <c r="T52" s="36" t="s">
        <v>261</v>
      </c>
      <c r="U52" s="37" t="s">
        <v>1269</v>
      </c>
      <c r="W52" s="36" t="s">
        <v>261</v>
      </c>
      <c r="X52" s="37" t="s">
        <v>1269</v>
      </c>
      <c r="Z52" s="36" t="s">
        <v>261</v>
      </c>
      <c r="AA52" s="37" t="s">
        <v>1269</v>
      </c>
      <c r="AC52" s="36" t="s">
        <v>261</v>
      </c>
      <c r="AD52" s="37" t="s">
        <v>1269</v>
      </c>
      <c r="AG52" s="8"/>
    </row>
    <row r="53" spans="2:34" s="2" customFormat="1" ht="20" customHeight="1" x14ac:dyDescent="0.2">
      <c r="B53" s="337" t="s">
        <v>784</v>
      </c>
      <c r="C53" s="337" t="str">
        <f>sizing_m01_nsxt_appliance_size</f>
        <v>Medium</v>
      </c>
      <c r="E53" s="22" t="s">
        <v>1272</v>
      </c>
      <c r="F53" s="337" t="str">
        <f>IF(mgmt_az1_mgmt_vm_cidr="Value Missing",mgmt_az1_mgmt_vm_cidr,VLOOKUP(INT(RIGHT(mgmt_az1_mgmt_vm_cidr,LEN(mgmt_az1_mgmt_vm_cidr)-FIND("/",mgmt_az1_mgmt_vm_cidr))),table_cidr_to_mask,2,FALSE))</f>
        <v>Value Missing</v>
      </c>
      <c r="H53" s="22" t="s">
        <v>1272</v>
      </c>
      <c r="I53" s="356" t="str">
        <f>IF(ISBLANK(input_wld_az1_mgmt_vm_cidr),"Value Missing",VLOOKUP(INT(RIGHT(input_wld_az1_mgmt_vm_cidr,LEN(input_wld_az1_mgmt_vm_cidr)-FIND("/",input_wld_az1_mgmt_vm_cidr))),table_cidr_to_mask,2,FALSE))</f>
        <v>Value Missing</v>
      </c>
      <c r="K53" s="22" t="s">
        <v>1272</v>
      </c>
      <c r="L53" s="356"/>
      <c r="N53" s="22" t="s">
        <v>1272</v>
      </c>
      <c r="O53" s="356"/>
      <c r="Q53" s="22" t="s">
        <v>1272</v>
      </c>
      <c r="R53" s="356"/>
      <c r="T53" s="22" t="s">
        <v>1272</v>
      </c>
      <c r="U53" s="356"/>
      <c r="W53" s="22" t="s">
        <v>1272</v>
      </c>
      <c r="X53" s="356"/>
      <c r="Z53" s="22" t="s">
        <v>1272</v>
      </c>
      <c r="AA53" s="356"/>
      <c r="AC53" s="22" t="s">
        <v>1272</v>
      </c>
      <c r="AD53" s="356"/>
      <c r="AG53" s="8"/>
    </row>
    <row r="54" spans="2:34" s="2" customFormat="1" ht="20" customHeight="1" x14ac:dyDescent="0.2">
      <c r="B54" s="337" t="s">
        <v>785</v>
      </c>
      <c r="C54" s="337" t="str">
        <f>IF(ISBLANK(mgmt_nsxt_mgra_fqdn),"Value Missing",mgmt_nsxt_mgra_fqdn)</f>
        <v>Value Missing</v>
      </c>
      <c r="E54" s="22" t="s">
        <v>1274</v>
      </c>
      <c r="F54" s="337" t="str">
        <f>IF(mgmt_az1_mgmt_cidr="Value Missing",mgmt_az1_mgmt_cidr,VLOOKUP(INT(RIGHT(mgmt_az1_mgmt_cidr,LEN(mgmt_az1_mgmt_cidr)-FIND("/",mgmt_az1_mgmt_cidr))),table_cidr_to_mask,2,FALSE))</f>
        <v>Value Missing</v>
      </c>
      <c r="H54" s="22" t="s">
        <v>1274</v>
      </c>
      <c r="I54" s="337" t="str">
        <f>IF(wld_az1_mgmt_cidr="Value Missing","Value Missing",IF(ISBLANK(wld_az1_mgmt_cidr),"Value Missing",VLOOKUP(INT(RIGHT(wld_az1_mgmt_cidr,LEN(wld_az1_mgmt_cidr)-FIND("/",wld_az1_mgmt_cidr))),table_cidr_to_mask,2,FALSE)))</f>
        <v>Value Missing</v>
      </c>
      <c r="K54" s="22" t="s">
        <v>1274</v>
      </c>
      <c r="L54" s="337" t="str">
        <f>IF(wld_az1_rack2_mgmt_cidr="Value Missing","Value Missing",IF(ISBLANK(wld_az1_rack2_mgmt_cidr),"Value Missing",VLOOKUP(INT(RIGHT(wld_az1_rack2_mgmt_cidr,LEN(wld_az1_rack2_mgmt_cidr)-FIND("/",wld_az1_rack2_mgmt_cidr))),table_cidr_to_mask,2,FALSE)))</f>
        <v>Value Missing</v>
      </c>
      <c r="N54" s="22" t="s">
        <v>1274</v>
      </c>
      <c r="O54" s="337" t="str">
        <f>IF(wld_az1_rack3_mgmt_cidr="Value Missing","Value Missing",IF(ISBLANK(wld_az1_rack3_mgmt_cidr),"Value Missing",VLOOKUP(INT(RIGHT(wld_az1_rack3_mgmt_cidr,LEN(wld_az1_rack3_mgmt_cidr)-FIND("/",wld_az1_rack3_mgmt_cidr))),table_cidr_to_mask,2,FALSE)))</f>
        <v>Value Missing</v>
      </c>
      <c r="Q54" s="22" t="s">
        <v>1274</v>
      </c>
      <c r="R54" s="337" t="str">
        <f>IF(wld_az1_rack4_mgmt_cidr="Value Missing","Value Missing",IF(ISBLANK(wld_az1_rack4_mgmt_cidr),"Value Missing",VLOOKUP(INT(RIGHT(wld_az1_rack4_mgmt_cidr,LEN(wld_az1_rack4_mgmt_cidr)-FIND("/",wld_az1_rack4_mgmt_cidr))),table_cidr_to_mask,2,FALSE)))</f>
        <v>Value Missing</v>
      </c>
      <c r="T54" s="22" t="s">
        <v>1274</v>
      </c>
      <c r="U54" s="337" t="str">
        <f>IF(wld_az1_rack5_mgmt_cidr="Value Missing","Value Missing",IF(ISBLANK(wld_az1_rack5_mgmt_cidr),"Value Missing",VLOOKUP(INT(RIGHT(wld_az1_rack5_mgmt_cidr,LEN(wld_az1_rack5_mgmt_cidr)-FIND("/",wld_az1_rack5_mgmt_cidr))),table_cidr_to_mask,2,FALSE)))</f>
        <v>Value Missing</v>
      </c>
      <c r="W54" s="22" t="s">
        <v>1274</v>
      </c>
      <c r="X54" s="337" t="str">
        <f>IF(wld_az1_rack6_mgmt_cidr="Value Missing","Value Missing",IF(ISBLANK(wld_az1_rack6_mgmt_cidr),"Value Missing",VLOOKUP(INT(RIGHT(wld_az1_rack6_mgmt_cidr,LEN(wld_az1_rack6_mgmt_cidr)-FIND("/",wld_az1_rack6_mgmt_cidr))),table_cidr_to_mask,2,FALSE)))</f>
        <v>Value Missing</v>
      </c>
      <c r="Z54" s="22" t="s">
        <v>1274</v>
      </c>
      <c r="AA54" s="337" t="str">
        <f>IF(wld_az1_rack7_mgmt_cidr="Value Missing","Value Missing",IF(ISBLANK(wld_az1_rack7_mgmt_cidr),"Value Missing",VLOOKUP(INT(RIGHT(wld_az1_rack7_mgmt_cidr,LEN(wld_az1_rack7_mgmt_cidr)-FIND("/",wld_az1_rack7_mgmt_cidr))),table_cidr_to_mask,2,FALSE)))</f>
        <v>Value Missing</v>
      </c>
      <c r="AC54" s="22" t="s">
        <v>1274</v>
      </c>
      <c r="AD54" s="337" t="str">
        <f>IF(wld_az1_rack8_mgmt_cidr="Value Missing","Value Missing",IF(ISBLANK(wld_az1_rack8_mgmt_cidr),"Value Missing",VLOOKUP(INT(RIGHT(wld_az1_rack8_mgmt_cidr,LEN(wld_az1_rack8_mgmt_cidr)-FIND("/",wld_az1_rack8_mgmt_cidr))),table_cidr_to_mask,2,FALSE)))</f>
        <v>Value Missing</v>
      </c>
      <c r="AG54" s="8"/>
    </row>
    <row r="55" spans="2:34" s="2" customFormat="1" ht="20" customHeight="1" x14ac:dyDescent="0.2">
      <c r="B55" s="337" t="s">
        <v>1341</v>
      </c>
      <c r="C55" s="337" t="str">
        <f>IF(ISBLANK(mgmt_nsxt_mgrb_fqdn),"Value Missing",mgmt_nsxt_mgrb_fqdn)</f>
        <v>Value Missing</v>
      </c>
      <c r="E55" s="22" t="s">
        <v>251</v>
      </c>
      <c r="F55" s="337" t="str">
        <f>IF(mgmt_az1_vmotion_cidr="Value Missing",mgmt_az1_vmotion_cidr,VLOOKUP(INT(RIGHT(mgmt_az1_vmotion_cidr,LEN(mgmt_az1_vmotion_cidr)-FIND("/",mgmt_az1_vmotion_cidr))),table_cidr_to_mask,2,FALSE))</f>
        <v>Value Missing</v>
      </c>
      <c r="H55" s="22" t="s">
        <v>251</v>
      </c>
      <c r="I55" s="337" t="str">
        <f>IF(ISBLANK(input_wld_az1_vmotion_mask),"Value Missing",input_wld_az1_vmotion_mask)</f>
        <v>Value Missing</v>
      </c>
      <c r="K55" s="22" t="s">
        <v>251</v>
      </c>
      <c r="L55" s="337" t="str">
        <f>IF(ISBLANK(input_wld_az1_rack2_vmotion_mask),"Value Missing",input_wld_az1_rack2_vmotion_mask)</f>
        <v>Value Missing</v>
      </c>
      <c r="N55" s="22" t="s">
        <v>251</v>
      </c>
      <c r="O55" s="337" t="str">
        <f>IF(ISBLANK(input_wld_az1_rack3_vmotion_mask),"Value Missing",input_wld_az1_rack3_vmotion_mask)</f>
        <v>Value Missing</v>
      </c>
      <c r="Q55" s="22" t="s">
        <v>251</v>
      </c>
      <c r="R55" s="337" t="str">
        <f>IF(ISBLANK(input_wld_az1_rack4_vmotion_mask),"Value Missing",input_wld_az1_rack4_vmotion_mask)</f>
        <v>Value Missing</v>
      </c>
      <c r="T55" s="22" t="s">
        <v>251</v>
      </c>
      <c r="U55" s="337" t="str">
        <f>IF(ISBLANK(input_wld_az1_rack5_vmotion_mask),"Value Missing",input_wld_az1_rack5_vmotion_mask)</f>
        <v>Value Missing</v>
      </c>
      <c r="W55" s="22" t="s">
        <v>251</v>
      </c>
      <c r="X55" s="337" t="str">
        <f>IF(ISBLANK(input_wld_az1_rack6_vmotion_mask),"Value Missing",input_wld_az1_rack6_vmotion_mask)</f>
        <v>Value Missing</v>
      </c>
      <c r="Z55" s="22" t="s">
        <v>251</v>
      </c>
      <c r="AA55" s="337" t="str">
        <f>IF(ISBLANK(input_wld_az1_rack7_vmotion_mask),"Value Missing",input_wld_az1_rack7_vmotion_mask)</f>
        <v>Value Missing</v>
      </c>
      <c r="AC55" s="22" t="s">
        <v>251</v>
      </c>
      <c r="AD55" s="337" t="str">
        <f>IF(ISBLANK(input_wld_az1_rack8_vmotion_mask),"Value Missing",input_wld_az1_rack8_vmotion_mask)</f>
        <v>Value Missing</v>
      </c>
      <c r="AG55" s="8"/>
    </row>
    <row r="56" spans="2:34" s="2" customFormat="1" ht="20" customHeight="1" x14ac:dyDescent="0.2">
      <c r="B56" s="337" t="s">
        <v>1342</v>
      </c>
      <c r="C56" s="337" t="str">
        <f>IF(ISBLANK(mgmt_nsxt_mgrc_fqdn),"Value Missing",mgmt_nsxt_mgrc_fqdn)</f>
        <v>Value Missing</v>
      </c>
      <c r="E56" s="22" t="s">
        <v>1343</v>
      </c>
      <c r="F56" s="337" t="str">
        <f>IF(mgmt_az1_vsan_cidr="Value Missing",mgmt_az1_vsan_cidr,VLOOKUP(INT(RIGHT(mgmt_az1_vsan_cidr,LEN(mgmt_az1_vsan_cidr)-FIND("/",mgmt_az1_vsan_cidr))),table_cidr_to_mask,2,FALSE))</f>
        <v>Value Missing</v>
      </c>
      <c r="H56" s="22" t="s">
        <v>1343</v>
      </c>
      <c r="I56" s="337" t="str">
        <f>IF(ISBLANK(input_wld_az1_principal_storage_mask),"Value Missing",input_wld_az1_principal_storage_mask)</f>
        <v>Value Missing</v>
      </c>
      <c r="K56" s="22" t="s">
        <v>1343</v>
      </c>
      <c r="L56" s="337" t="str">
        <f>IF(ISBLANK(input_wld_az1_rack2_principal_storage_mask),"Value Missing",input_wld_az1_rack2_principal_storage_mask)</f>
        <v>Value Missing</v>
      </c>
      <c r="N56" s="22" t="s">
        <v>1343</v>
      </c>
      <c r="O56" s="337" t="str">
        <f>IF(ISBLANK(input_wld_az1_rack3_principal_storage_mask),"Value Missing",input_wld_az1_rack3_principal_storage_mask)</f>
        <v>Value Missing</v>
      </c>
      <c r="Q56" s="22" t="s">
        <v>1343</v>
      </c>
      <c r="R56" s="337" t="str">
        <f>IF(ISBLANK(input_wld_az1_rack4_principal_storage_mask),"Value Missing",input_wld_az1_rack4_principal_storage_mask)</f>
        <v>Value Missing</v>
      </c>
      <c r="T56" s="22" t="s">
        <v>1343</v>
      </c>
      <c r="U56" s="337" t="str">
        <f>IF(ISBLANK(input_wld_az1_rack5_principal_storage_mask),"Value Missing",input_wld_az1_rack5_principal_storage_mask)</f>
        <v>Value Missing</v>
      </c>
      <c r="W56" s="22" t="s">
        <v>1343</v>
      </c>
      <c r="X56" s="337" t="str">
        <f>IF(ISBLANK(input_wld_az1_rack6_principal_storage_mask),"Value Missing",input_wld_az1_rack6_principal_storage_mask)</f>
        <v>Value Missing</v>
      </c>
      <c r="Z56" s="22" t="s">
        <v>1343</v>
      </c>
      <c r="AA56" s="337" t="str">
        <f>IF(ISBLANK(input_wld_az1_rack7_principal_storage_mask),"Value Missing",input_wld_az1_rack7_principal_storage_mask)</f>
        <v>Value Missing</v>
      </c>
      <c r="AC56" s="22" t="s">
        <v>1343</v>
      </c>
      <c r="AD56" s="337" t="str">
        <f>IF(ISBLANK(input_wld_az1_rack8_principal_storage_mask),"Value Missing",input_wld_az1_rack8_principal_storage_mask)</f>
        <v>Value Missing</v>
      </c>
      <c r="AG56" s="8"/>
    </row>
    <row r="57" spans="2:34" s="2" customFormat="1" ht="20" customHeight="1" x14ac:dyDescent="0.2">
      <c r="B57" s="337" t="s">
        <v>791</v>
      </c>
      <c r="C57" s="337" t="str">
        <f>IF(ISBLANK(mgmt_nsxt_vip_fqdn),"Value Missing",mgmt_nsxt_vip_fqdn)</f>
        <v>Value Missing</v>
      </c>
      <c r="E57" s="22" t="s">
        <v>1278</v>
      </c>
      <c r="F57" s="337" t="str">
        <f>IF(mgmt_az1_host_overlay_cidr="Value Missing",mgmt_az1_host_overlay_cidr,VLOOKUP(INT(RIGHT(mgmt_az1_host_overlay_cidr,LEN(mgmt_az1_host_overlay_cidr)-FIND("/",mgmt_az1_host_overlay_cidr))),table_cidr_to_mask,2,FALSE))</f>
        <v>Value Missing</v>
      </c>
      <c r="H57" s="22" t="s">
        <v>1278</v>
      </c>
      <c r="I57" s="337" t="str">
        <f>IF(wld_az1_host_overlay_cidr="Value Missing","Value Missing",VLOOKUP(INT(RIGHT(wld_az1_host_overlay_cidr,LEN(wld_az1_host_overlay_cidr)-FIND("/",wld_az1_host_overlay_cidr))),table_cidr_to_mask,2,FALSE))</f>
        <v>Value Missing</v>
      </c>
      <c r="K57" s="22" t="s">
        <v>1278</v>
      </c>
      <c r="L57" s="337" t="str">
        <f>IF(ISBLANK(input_wld_az1_rack2_host_overlay_mask),"Value Missing",input_wld_az1_rack2_host_overlay_mask)</f>
        <v>Value Missing</v>
      </c>
      <c r="N57" s="22" t="s">
        <v>1278</v>
      </c>
      <c r="O57" s="337" t="str">
        <f>IF(ISBLANK(input_wld_az1_rack3_host_overlay_mask),"Value Missing",input_wld_az1_rack3_host_overlay_mask)</f>
        <v>Value Missing</v>
      </c>
      <c r="Q57" s="22" t="s">
        <v>1278</v>
      </c>
      <c r="R57" s="337" t="str">
        <f>IF(ISBLANK(input_wld_az1_rack4_host_overlay_mask),"Value Missing",input_wld_az1_rack4_host_overlay_mask)</f>
        <v>Value Missing</v>
      </c>
      <c r="T57" s="22" t="s">
        <v>1278</v>
      </c>
      <c r="U57" s="337" t="str">
        <f>IF(ISBLANK(input_wld_az1_rack5_host_overlay_mask),"Value Missing",input_wld_az1_rack5_host_overlay_mask)</f>
        <v>Value Missing</v>
      </c>
      <c r="W57" s="22" t="s">
        <v>1278</v>
      </c>
      <c r="X57" s="337" t="str">
        <f>IF(ISBLANK(input_wld_az1_rack6_host_overlay_mask),"Value Missing",input_wld_az1_rack6_host_overlay_mask)</f>
        <v>Value Missing</v>
      </c>
      <c r="Z57" s="22" t="s">
        <v>1278</v>
      </c>
      <c r="AA57" s="337" t="str">
        <f>IF(ISBLANK(input_wld_az1_rack7_host_overlay_mask),"Value Missing",input_wld_az1_rack7_host_overlay_mask)</f>
        <v>Value Missing</v>
      </c>
      <c r="AC57" s="22" t="s">
        <v>1278</v>
      </c>
      <c r="AD57" s="337" t="str">
        <f>IF(ISBLANK(input_wld_az1_rack8_host_overlay_mask),"Value Missing",input_wld_az1_rack8_host_overlay_mask)</f>
        <v>Value Missing</v>
      </c>
      <c r="AG57" s="8"/>
    </row>
    <row r="58" spans="2:34" s="2" customFormat="1" ht="20" customHeight="1" x14ac:dyDescent="0.2">
      <c r="E58" s="22"/>
      <c r="F58" s="337"/>
      <c r="H58" s="22" t="s">
        <v>1280</v>
      </c>
      <c r="I58" s="337" t="str">
        <f>IF(ISBLANK(input_wld_az1_secondary_storage_mask),"Value Missing",input_wld_az1_secondary_storage_mask)</f>
        <v>Value Missing</v>
      </c>
      <c r="K58" s="22" t="s">
        <v>1280</v>
      </c>
      <c r="L58" s="337" t="str">
        <f>IF(ISBLANK(input_wld_az1_rack2_secondary_storage_mask),"Value Missing",input_wld_az1_rack2_secondary_storage_mask)</f>
        <v>Value Missing</v>
      </c>
      <c r="N58" s="22" t="s">
        <v>1280</v>
      </c>
      <c r="O58" s="337" t="str">
        <f>IF(ISBLANK(input_wld_az1_rack3_secondary_storage_mask),"Value Missing",input_wld_az1_rack3_secondary_storage_mask)</f>
        <v>Value Missing</v>
      </c>
      <c r="Q58" s="22" t="s">
        <v>1280</v>
      </c>
      <c r="R58" s="337" t="str">
        <f>IF(ISBLANK(input_wld_az1_rack4_secondary_storage_mask),"Value Missing",input_wld_az1_rack4_secondary_storage_mask)</f>
        <v>Value Missing</v>
      </c>
      <c r="T58" s="22" t="s">
        <v>1280</v>
      </c>
      <c r="U58" s="337" t="str">
        <f>IF(ISBLANK(input_wld_az1_rack5_secondary_storage_mask),"Value Missing",input_wld_az1_rack5_secondary_storage_mask)</f>
        <v>Value Missing</v>
      </c>
      <c r="W58" s="22" t="s">
        <v>1280</v>
      </c>
      <c r="X58" s="337" t="str">
        <f>IF(ISBLANK(input_wld_az1_rack6_secondary_storage_mask),"Value Missing",input_wld_az1_rack6_secondary_storage_mask)</f>
        <v>Value Missing</v>
      </c>
      <c r="Z58" s="22" t="s">
        <v>1280</v>
      </c>
      <c r="AA58" s="337" t="str">
        <f>IF(ISBLANK(input_wld_az1_rack7_secondary_storage_mask),"Value Missing",input_wld_az1_rack7_secondary_storage_mask)</f>
        <v>Value Missing</v>
      </c>
      <c r="AC58" s="22" t="s">
        <v>1280</v>
      </c>
      <c r="AD58" s="337" t="str">
        <f>IF(ISBLANK(input_wld_az1_rack8_secondary_storage_mask),"Value Missing",input_wld_az1_rack8_secondary_storage_mask)</f>
        <v>Value Missing</v>
      </c>
      <c r="AG58" s="8"/>
    </row>
    <row r="59" spans="2:34" s="2" customFormat="1" ht="20" customHeight="1" x14ac:dyDescent="0.2">
      <c r="B59" s="576" t="s">
        <v>1344</v>
      </c>
      <c r="C59" s="577"/>
      <c r="E59" s="38" t="s">
        <v>1280</v>
      </c>
      <c r="F59" s="337" t="str">
        <f>IF(mgmt_az1_secondary_storage_cidr="Value Missing",mgmt_az1_secondary_storage_cidr,VLOOKUP(INT(RIGHT(mgmt_az1_secondary_storage_cidr,LEN(mgmt_az1_secondary_storage_cidr)-FIND("/",mgmt_az1_secondary_storage_cidr))),table_cidr_to_mask,2,FALSE))</f>
        <v>Value Missing</v>
      </c>
      <c r="H59" s="22" t="s">
        <v>805</v>
      </c>
      <c r="I59" s="337" t="str">
        <f>IF(ISBLANK(input_wld_az1_storage_cluster_mask),"Value Missing",input_wld_az1_storage_cluster_mask)</f>
        <v>Value Missing</v>
      </c>
      <c r="K59" s="22" t="s">
        <v>805</v>
      </c>
      <c r="L59" s="337"/>
      <c r="N59" s="22" t="s">
        <v>805</v>
      </c>
      <c r="O59" s="337"/>
      <c r="Q59" s="22" t="s">
        <v>805</v>
      </c>
      <c r="R59" s="337"/>
      <c r="T59" s="22" t="s">
        <v>805</v>
      </c>
      <c r="U59" s="337"/>
      <c r="W59" s="22" t="s">
        <v>805</v>
      </c>
      <c r="X59" s="337"/>
      <c r="Z59" s="22" t="s">
        <v>805</v>
      </c>
      <c r="AA59" s="337"/>
      <c r="AC59" s="22" t="s">
        <v>805</v>
      </c>
      <c r="AD59" s="337"/>
      <c r="AG59" s="8"/>
    </row>
    <row r="60" spans="2:34" s="2" customFormat="1" ht="20" customHeight="1" x14ac:dyDescent="0.2">
      <c r="B60" s="11" t="s">
        <v>261</v>
      </c>
      <c r="C60" s="12" t="s">
        <v>1268</v>
      </c>
      <c r="E60" s="22" t="s">
        <v>1283</v>
      </c>
      <c r="F60" s="337" t="str">
        <f>IF(mgmt_az1_uplink01_cidr="Value Missing",mgmt_az1_uplink01_cidr,VLOOKUP(INT(RIGHT(mgmt_az1_uplink01_cidr,LEN(mgmt_az1_uplink01_cidr)-FIND("/",mgmt_az1_uplink01_cidr))),table_cidr_to_mask,2,FALSE))</f>
        <v>Value Missing</v>
      </c>
      <c r="H60" s="22" t="s">
        <v>1283</v>
      </c>
      <c r="I60" s="337" t="str">
        <f>IF(wld_az1_uplink01_cidr="Value Missing",wld_az1_uplink01_cidr,VLOOKUP(INT(RIGHT(wld_az1_uplink01_cidr,LEN(wld_az1_uplink01_cidr)-FIND("/",wld_az1_uplink01_cidr))),table_cidr_to_mask,2,FALSE))</f>
        <v>Value Missing</v>
      </c>
      <c r="K60" s="22" t="s">
        <v>1283</v>
      </c>
      <c r="L60" s="337" t="str">
        <f>IF(ISBLANK(input_wld_az1_rack2_uplink01_mask),"Value Missing",input_wld_az1_rack2_uplink01_mask)</f>
        <v>Value Missing</v>
      </c>
      <c r="N60" s="22" t="s">
        <v>1283</v>
      </c>
      <c r="O60" s="337" t="str">
        <f>IF(ISBLANK(input_wld_az1_rack3_uplink01_mask),"Value Missing",input_wld_az1_rack3_uplink01_mask)</f>
        <v>Value Missing</v>
      </c>
      <c r="Q60" s="22" t="s">
        <v>1283</v>
      </c>
      <c r="R60" s="337" t="str">
        <f>IF(ISBLANK(input_wld_az1_rack4_uplink01_mask),"Value Missing",input_wld_az1_rack4_uplink01_mask)</f>
        <v>Value Missing</v>
      </c>
      <c r="T60" s="22" t="s">
        <v>1283</v>
      </c>
      <c r="U60" s="337" t="str">
        <f>IF(ISBLANK(input_wld_az1_rack5_uplink01_mask),"Value Missing",input_wld_az1_rack5_uplink01_mask)</f>
        <v>Value Missing</v>
      </c>
      <c r="W60" s="22" t="s">
        <v>1283</v>
      </c>
      <c r="X60" s="337" t="str">
        <f>IF(ISBLANK(input_wld_az1_rack6_uplink01_mask),"Value Missing",input_wld_az1_rack6_uplink01_mask)</f>
        <v>Value Missing</v>
      </c>
      <c r="Z60" s="22" t="s">
        <v>1283</v>
      </c>
      <c r="AA60" s="337" t="str">
        <f>IF(ISBLANK(input_wld_az1_rack7_uplink01_mask),"Value Missing",input_wld_az1_rack7_uplink01_mask)</f>
        <v>Value Missing</v>
      </c>
      <c r="AC60" s="22" t="s">
        <v>1283</v>
      </c>
      <c r="AD60" s="337" t="str">
        <f>IF(ISBLANK(input_wld_az1_rack8_uplink01_mask),"Value Missing",input_wld_az1_rack8_uplink01_mask)</f>
        <v>Value Missing</v>
      </c>
      <c r="AG60" s="8"/>
    </row>
    <row r="61" spans="2:34" s="2" customFormat="1" ht="20" customHeight="1" x14ac:dyDescent="0.2">
      <c r="B61" s="337" t="s">
        <v>1345</v>
      </c>
      <c r="C61" s="337" t="str">
        <f>'Value Reference Tables'!R89</f>
        <v>Value Missing</v>
      </c>
      <c r="E61" s="22" t="s">
        <v>1285</v>
      </c>
      <c r="F61" s="337" t="str">
        <f>IF(mgmt_az1_uplink02_cidr="Value Missing",mgmt_az1_uplink02_cidr,VLOOKUP(INT(RIGHT(mgmt_az1_uplink02_cidr,LEN(mgmt_az1_uplink02_cidr)-FIND("/",mgmt_az1_uplink02_cidr))),table_cidr_to_mask,2,FALSE))</f>
        <v>Value Missing</v>
      </c>
      <c r="H61" s="22" t="s">
        <v>1285</v>
      </c>
      <c r="I61" s="337" t="str">
        <f>IF(wld_az1_uplink02_cidr="Value Missing",wld_az1_uplink02_cidr,VLOOKUP(INT(RIGHT(wld_az1_uplink02_cidr,LEN(wld_az1_uplink02_cidr)-FIND("/",wld_az1_uplink02_cidr))),table_cidr_to_mask,2,FALSE))</f>
        <v>Value Missing</v>
      </c>
      <c r="K61" s="22" t="s">
        <v>1285</v>
      </c>
      <c r="L61" s="337" t="str">
        <f>IF(ISBLANK(input_wld_az1_rack2_uplink02_mask),"Value Missing",input_wld_az1_rack2_uplink02_mask)</f>
        <v>Value Missing</v>
      </c>
      <c r="N61" s="22" t="s">
        <v>1285</v>
      </c>
      <c r="O61" s="337" t="str">
        <f>IF(ISBLANK(input_wld_az1_rack3_uplink02_mask),"Value Missing",input_wld_az1_rack3_uplink02_mask)</f>
        <v>Value Missing</v>
      </c>
      <c r="Q61" s="22" t="s">
        <v>1285</v>
      </c>
      <c r="R61" s="337" t="str">
        <f>IF(ISBLANK(input_wld_az1_rack4_uplink02_mask),"Value Missing",input_wld_az1_rack4_uplink02_mask)</f>
        <v>Value Missing</v>
      </c>
      <c r="T61" s="22" t="s">
        <v>1285</v>
      </c>
      <c r="U61" s="337" t="str">
        <f>IF(ISBLANK(input_wld_az1_rack5_uplink02_mask),"Value Missing",input_wld_az1_rack5_uplink02_mask)</f>
        <v>Value Missing</v>
      </c>
      <c r="W61" s="22" t="s">
        <v>1285</v>
      </c>
      <c r="X61" s="337" t="str">
        <f>IF(ISBLANK(input_wld_az1_rack6_uplink02_mask),"Value Missing",input_wld_az1_rack6_uplink02_mask)</f>
        <v>Value Missing</v>
      </c>
      <c r="Z61" s="22" t="s">
        <v>1285</v>
      </c>
      <c r="AA61" s="337" t="str">
        <f>IF(ISBLANK(input_wld_az1_rack7_uplink02_mask),"Value Missing",input_wld_az1_rack7_uplink02_mask)</f>
        <v>Value Missing</v>
      </c>
      <c r="AC61" s="22" t="s">
        <v>1285</v>
      </c>
      <c r="AD61" s="337" t="str">
        <f>IF(ISBLANK(input_wld_az1_rack8_uplink02_mask),"Value Missing",input_wld_az1_rack8_uplink02_mask)</f>
        <v>Value Missing</v>
      </c>
      <c r="AG61" s="8"/>
    </row>
    <row r="62" spans="2:34" s="2" customFormat="1" ht="20" customHeight="1" x14ac:dyDescent="0.2">
      <c r="E62" s="22" t="s">
        <v>1287</v>
      </c>
      <c r="F62" s="337" t="str">
        <f>IF(ISBLANK(input_mgmt_az1_edge_overlay_mask),"Value Missing",input_mgmt_az1_edge_overlay_mask)</f>
        <v>Value Missing</v>
      </c>
      <c r="H62" s="22" t="s">
        <v>1287</v>
      </c>
      <c r="I62" s="337" t="str">
        <f>IF(ISBLANK(input_wld_az1_edge_overlay_mask),"Value Missing",input_wld_az1_edge_overlay_mask)</f>
        <v>Value Missing</v>
      </c>
      <c r="K62" s="22" t="s">
        <v>1287</v>
      </c>
      <c r="L62" s="337" t="str">
        <f>IF(ISBLANK(input_wld_az1_rack2_edge_overlay_mask),"Value Missing",input_wld_az1_rack2_edge_overlay_mask)</f>
        <v>Value Missing</v>
      </c>
      <c r="N62" s="22" t="s">
        <v>1287</v>
      </c>
      <c r="O62" s="337" t="str">
        <f>IF(ISBLANK(input_wld_az1_rack3_edge_overlay_mask),"Value Missing",input_wld_az1_rack3_edge_overlay_mask)</f>
        <v>Value Missing</v>
      </c>
      <c r="Q62" s="22" t="s">
        <v>1287</v>
      </c>
      <c r="R62" s="337" t="str">
        <f>IF(ISBLANK(input_wld_az1_rack4_edge_overlay_mask),"Value Missing",input_wld_az1_rack4_edge_overlay_mask)</f>
        <v>Value Missing</v>
      </c>
      <c r="T62" s="22" t="s">
        <v>1287</v>
      </c>
      <c r="U62" s="337" t="str">
        <f>IF(ISBLANK(input_wld_az1_rack5_edge_overlay_mask),"Value Missing",input_wld_az1_rack5_edge_overlay_mask)</f>
        <v>Value Missing</v>
      </c>
      <c r="W62" s="22" t="s">
        <v>1287</v>
      </c>
      <c r="X62" s="337" t="str">
        <f>IF(ISBLANK(input_wld_az1_rack6_edge_overlay_mask),"Value Missing",input_wld_az1_rack6_edge_overlay_mask)</f>
        <v>Value Missing</v>
      </c>
      <c r="Z62" s="22" t="s">
        <v>1287</v>
      </c>
      <c r="AA62" s="337" t="str">
        <f>IF(ISBLANK(input_wld_az1_rack7_edge_overlay_mask),"Value Missing",input_wld_az1_rack7_edge_overlay_mask)</f>
        <v>Value Missing</v>
      </c>
      <c r="AC62" s="22" t="s">
        <v>1287</v>
      </c>
      <c r="AD62" s="337" t="str">
        <f>IF(ISBLANK(input_wld_az1_rack8_edge_overlay_mask),"Value Missing",input_wld_az1_rack8_edge_overlay_mask)</f>
        <v>Value Missing</v>
      </c>
      <c r="AG62" s="8"/>
    </row>
    <row r="63" spans="2:34" s="2" customFormat="1" ht="20" customHeight="1" x14ac:dyDescent="0.2">
      <c r="E63" s="22" t="s">
        <v>1289</v>
      </c>
      <c r="F63" s="337" t="str">
        <f>IF(mgmt_az1_rtep_overlay_cidr="Value Missing",mgmt_az1_rtep_overlay_cidr,VLOOKUP(INT(RIGHT(mgmt_az1_rtep_overlay_cidr,LEN(mgmt_az1_rtep_overlay_cidr)-FIND("/",mgmt_az1_rtep_overlay_cidr))),table_cidr_to_mask,2,FALSE))</f>
        <v>Value Missing</v>
      </c>
      <c r="H63" s="22" t="s">
        <v>1289</v>
      </c>
      <c r="I63" s="337" t="str">
        <f>IF(wld_az1_rtep_overlay_cidr="Value Missing",wld_az1_rtep_overlay_cidr,VLOOKUP(INT(RIGHT(wld_az1_rtep_overlay_cidr,LEN(wld_az1_rtep_overlay_cidr)-FIND("/",wld_az1_rtep_overlay_cidr))),table_cidr_to_mask,2,FALSE))</f>
        <v>Value Missing</v>
      </c>
      <c r="K63" s="22" t="s">
        <v>1289</v>
      </c>
      <c r="L63" s="337"/>
      <c r="N63" s="22" t="s">
        <v>1289</v>
      </c>
      <c r="O63" s="337"/>
      <c r="Q63" s="22" t="s">
        <v>1289</v>
      </c>
      <c r="R63" s="337"/>
      <c r="T63" s="22" t="s">
        <v>1289</v>
      </c>
      <c r="U63" s="337"/>
      <c r="W63" s="22" t="s">
        <v>1289</v>
      </c>
      <c r="X63" s="337"/>
      <c r="Z63" s="22" t="s">
        <v>1289</v>
      </c>
      <c r="AA63" s="337"/>
      <c r="AC63" s="22" t="s">
        <v>1289</v>
      </c>
      <c r="AD63" s="337"/>
      <c r="AG63" s="8"/>
    </row>
    <row r="64" spans="2:34" s="2" customFormat="1" ht="20" customHeight="1" x14ac:dyDescent="0.2">
      <c r="E64" s="22" t="s">
        <v>1291</v>
      </c>
      <c r="F64" s="337"/>
      <c r="H64" s="22" t="s">
        <v>1291</v>
      </c>
      <c r="I64" s="337" t="str">
        <f>IF(wld_az1_vrms_cidr="Value Missing",wld_az1_vrms_cidr,VLOOKUP(INT(RIGHT(wld_az1_vrms_cidr,LEN(wld_az1_vrms_cidr)-FIND("/",wld_az1_vrms_cidr))),table_cidr_to_mask,2,FALSE))</f>
        <v>Value Missing</v>
      </c>
      <c r="K64" s="22" t="s">
        <v>1291</v>
      </c>
      <c r="L64" s="337"/>
      <c r="N64" s="22" t="s">
        <v>1291</v>
      </c>
      <c r="O64" s="337"/>
      <c r="Q64" s="22" t="s">
        <v>1291</v>
      </c>
      <c r="R64" s="337"/>
      <c r="T64" s="22" t="s">
        <v>1291</v>
      </c>
      <c r="U64" s="337"/>
      <c r="W64" s="22" t="s">
        <v>1291</v>
      </c>
      <c r="X64" s="337"/>
      <c r="Z64" s="22" t="s">
        <v>1291</v>
      </c>
      <c r="AA64" s="337"/>
      <c r="AC64" s="22" t="s">
        <v>1291</v>
      </c>
      <c r="AD64" s="337"/>
      <c r="AG64" s="19"/>
      <c r="AH64" s="7"/>
    </row>
    <row r="65" spans="5:34" s="2" customFormat="1" ht="20" customHeight="1" x14ac:dyDescent="0.2">
      <c r="H65" s="35"/>
      <c r="I65" s="35"/>
      <c r="AG65" s="8"/>
    </row>
    <row r="66" spans="5:34" s="2" customFormat="1" ht="20" customHeight="1" x14ac:dyDescent="0.2">
      <c r="AG66" s="8"/>
    </row>
    <row r="67" spans="5:34" s="2" customFormat="1" ht="20" customHeight="1" x14ac:dyDescent="0.2">
      <c r="E67" s="382" t="s">
        <v>1346</v>
      </c>
      <c r="F67" s="383"/>
      <c r="H67" s="382" t="s">
        <v>1347</v>
      </c>
      <c r="I67" s="383"/>
      <c r="K67" s="382" t="s">
        <v>1348</v>
      </c>
      <c r="L67" s="383"/>
      <c r="N67" s="382" t="s">
        <v>1349</v>
      </c>
      <c r="O67" s="383"/>
      <c r="Q67" s="379" t="s">
        <v>1350</v>
      </c>
      <c r="R67" s="381"/>
      <c r="T67" s="379" t="s">
        <v>1351</v>
      </c>
      <c r="U67" s="381"/>
      <c r="W67" s="379" t="s">
        <v>1352</v>
      </c>
      <c r="X67" s="381"/>
      <c r="Z67" s="379" t="s">
        <v>1353</v>
      </c>
      <c r="AA67" s="381"/>
      <c r="AC67" s="379" t="s">
        <v>1354</v>
      </c>
      <c r="AD67" s="381"/>
      <c r="AG67" s="8"/>
      <c r="AH67" s="8"/>
    </row>
    <row r="68" spans="5:34" s="2" customFormat="1" ht="20" customHeight="1" x14ac:dyDescent="0.2">
      <c r="E68" s="11" t="s">
        <v>261</v>
      </c>
      <c r="F68" s="12" t="s">
        <v>1269</v>
      </c>
      <c r="H68" s="11" t="s">
        <v>261</v>
      </c>
      <c r="I68" s="12" t="s">
        <v>1269</v>
      </c>
      <c r="K68" s="11" t="s">
        <v>261</v>
      </c>
      <c r="L68" s="12" t="s">
        <v>1269</v>
      </c>
      <c r="N68" s="11" t="s">
        <v>261</v>
      </c>
      <c r="O68" s="12" t="s">
        <v>1269</v>
      </c>
      <c r="Q68" s="13" t="s">
        <v>261</v>
      </c>
      <c r="R68" s="14" t="s">
        <v>1269</v>
      </c>
      <c r="S68" s="15"/>
      <c r="T68" s="13" t="s">
        <v>261</v>
      </c>
      <c r="U68" s="14" t="s">
        <v>1269</v>
      </c>
      <c r="V68" s="15"/>
      <c r="W68" s="13" t="s">
        <v>261</v>
      </c>
      <c r="X68" s="14" t="s">
        <v>1269</v>
      </c>
      <c r="Y68" s="15"/>
      <c r="Z68" s="13" t="s">
        <v>261</v>
      </c>
      <c r="AA68" s="14" t="s">
        <v>1269</v>
      </c>
      <c r="AB68" s="15"/>
      <c r="AC68" s="13" t="s">
        <v>261</v>
      </c>
      <c r="AD68" s="14" t="s">
        <v>1269</v>
      </c>
      <c r="AG68" s="8"/>
      <c r="AH68" s="8"/>
    </row>
    <row r="69" spans="5:34" s="2" customFormat="1" ht="20" customHeight="1" x14ac:dyDescent="0.2">
      <c r="E69" s="4" t="s">
        <v>1272</v>
      </c>
      <c r="F69" s="337" t="str">
        <f>IF(ISBLANK(input_mgmt_az1_mgmt_vm_mtu),"Value Missing",input_mgmt_az1_mgmt_vm_mtu)</f>
        <v>Value Missing</v>
      </c>
      <c r="H69" s="4" t="s">
        <v>1272</v>
      </c>
      <c r="I69" s="337" t="str">
        <f>IF(ISBLANK(input_wld_az1_mgmt_vm_mtu),"Value Missing",input_wld_az1_mgmt_vm_mtu)</f>
        <v>Value Missing</v>
      </c>
      <c r="K69" s="4" t="s">
        <v>1272</v>
      </c>
      <c r="L69" s="337" t="str">
        <f>IF(ISBLANK(input_wld_az1_rack2_mgmt_vm_mtu),"Value Missing",input_wld_az1_rack2_mgmt_vm_mtu)</f>
        <v>Value Missing</v>
      </c>
      <c r="N69" s="4" t="s">
        <v>1272</v>
      </c>
      <c r="O69" s="337" t="str">
        <f>IF(ISBLANK(input_wld_az1_rack3_mgmt_vm_mtu),"Value Missing",input_wld_az1_rack3_mgmt_vm_mtu)</f>
        <v>Value Missing</v>
      </c>
      <c r="Q69" s="4" t="s">
        <v>1272</v>
      </c>
      <c r="R69" s="337" t="str">
        <f>IF(ISBLANK(input_wld_az1_rack4_mgmt_vm_mtu),"Value Missing",input_wld_az1_rack4_mgmt_vm_mtu)</f>
        <v>Value Missing</v>
      </c>
      <c r="T69" s="4" t="s">
        <v>1272</v>
      </c>
      <c r="U69" s="337" t="str">
        <f>IF(ISBLANK(input_wld_az1_rack5_mgmt_vm_mtu),"Value Missing",input_wld_az1_rack5_mgmt_vm_mtu)</f>
        <v>Value Missing</v>
      </c>
      <c r="W69" s="4" t="s">
        <v>1272</v>
      </c>
      <c r="X69" s="337" t="str">
        <f>IF(ISBLANK(input_wld_az1_rack6_mgmt_vm_mtu),"Value Missing",input_wld_az1_rack6_mgmt_vm_mtu)</f>
        <v>Value Missing</v>
      </c>
      <c r="Z69" s="4" t="s">
        <v>1272</v>
      </c>
      <c r="AA69" s="337" t="str">
        <f>IF(ISBLANK(input_wld_az1_rack7_mgmt_vm_mtu),"Value Missing",input_wld_az1_rack7_mgmt_vm_mtu)</f>
        <v>Value Missing</v>
      </c>
      <c r="AC69" s="4" t="s">
        <v>1272</v>
      </c>
      <c r="AD69" s="337" t="str">
        <f>IF(ISBLANK(input_wld_az1_rack8_mgmt_vm_mtu),"Value Missing",input_wld_az1_rack8_mgmt_vm_mtu)</f>
        <v>Value Missing</v>
      </c>
      <c r="AG69" s="8"/>
      <c r="AH69" s="8"/>
    </row>
    <row r="70" spans="5:34" s="2" customFormat="1" ht="20" customHeight="1" x14ac:dyDescent="0.2">
      <c r="E70" s="4" t="s">
        <v>1274</v>
      </c>
      <c r="F70" s="337" t="str">
        <f>IF(ISBLANK(input_mgmt_az1_mgmt_mtu),"Value Missing",input_mgmt_az1_mgmt_mtu)</f>
        <v>Value Missing</v>
      </c>
      <c r="H70" s="4" t="s">
        <v>1274</v>
      </c>
      <c r="I70" s="337" t="str">
        <f>IF(ISBLANK(input_wld_az1_mgmt_mtu),"Value Missing",input_wld_az1_mgmt_mtu)</f>
        <v>Value Missing</v>
      </c>
      <c r="K70" s="4" t="s">
        <v>1274</v>
      </c>
      <c r="L70" s="337" t="str">
        <f>IF(ISBLANK(input_wld_az1_rack2_mgmt_mtu),"Value Missing",input_wld_az1_rack2_mgmt_mtu)</f>
        <v>Value Missing</v>
      </c>
      <c r="N70" s="4" t="s">
        <v>1274</v>
      </c>
      <c r="O70" s="337" t="str">
        <f>IF(ISBLANK(input_wld_az1_rack3_mgmt_mtu),"Value Missing",input_wld_az1_rack3_mgmt_mtu)</f>
        <v>Value Missing</v>
      </c>
      <c r="Q70" s="4" t="s">
        <v>1274</v>
      </c>
      <c r="R70" s="337" t="str">
        <f>IF(ISBLANK(input_wld_az1_rack4_mgmt_mtu),"Value Missing",input_wld_az1_rack4_mgmt_mtu)</f>
        <v>Value Missing</v>
      </c>
      <c r="T70" s="4" t="s">
        <v>1274</v>
      </c>
      <c r="U70" s="337" t="str">
        <f>IF(ISBLANK(input_wld_az1_rack5_mgmt_mtu),"Value Missing",input_wld_az1_rack5_mgmt_mtu)</f>
        <v>Value Missing</v>
      </c>
      <c r="W70" s="4" t="s">
        <v>1274</v>
      </c>
      <c r="X70" s="337" t="str">
        <f>IF(ISBLANK(input_wld_az1_rack6_mgmt_mtu),"Value Missing",input_wld_az1_rack6_mgmt_mtu)</f>
        <v>Value Missing</v>
      </c>
      <c r="Z70" s="4" t="s">
        <v>1274</v>
      </c>
      <c r="AA70" s="337" t="str">
        <f>IF(ISBLANK(input_wld_az1_rack7_mgmt_mtu),"Value Missing",input_wld_az1_rack7_mgmt_mtu)</f>
        <v>Value Missing</v>
      </c>
      <c r="AC70" s="4" t="s">
        <v>1274</v>
      </c>
      <c r="AD70" s="337" t="str">
        <f>IF(ISBLANK(input_wld_az1_rack8_mgmt_mtu),"Value Missing",input_wld_az1_rack8_mgmt_mtu)</f>
        <v>Value Missing</v>
      </c>
      <c r="AG70" s="8"/>
      <c r="AH70" s="8"/>
    </row>
    <row r="71" spans="5:34" s="2" customFormat="1" ht="20" customHeight="1" x14ac:dyDescent="0.2">
      <c r="E71" s="4" t="s">
        <v>251</v>
      </c>
      <c r="F71" s="337" t="str">
        <f>IF(ISBLANK(input_mgmt_az1_vmotion_mtu),"Value Missing",input_mgmt_az1_vmotion_mtu)</f>
        <v>Value Missing</v>
      </c>
      <c r="H71" s="4" t="s">
        <v>251</v>
      </c>
      <c r="I71" s="337" t="str">
        <f>IF(ISBLANK(input_wld_az1_vmotion_mtu),"Value Missing",input_wld_az1_vmotion_mtu)</f>
        <v>Value Missing</v>
      </c>
      <c r="K71" s="4" t="s">
        <v>251</v>
      </c>
      <c r="L71" s="337" t="str">
        <f>IF(ISBLANK(input_wld_az1_rack2_vmotion_mtu),"Value Missing",input_wld_az1_rack2_vmotion_mtu)</f>
        <v>Value Missing</v>
      </c>
      <c r="N71" s="4" t="s">
        <v>251</v>
      </c>
      <c r="O71" s="337" t="str">
        <f>IF(ISBLANK(input_wld_az1_rack3_vmotion_mtu),"Value Missing",input_wld_az1_rack3_vmotion_mtu)</f>
        <v>Value Missing</v>
      </c>
      <c r="Q71" s="4" t="s">
        <v>251</v>
      </c>
      <c r="R71" s="337" t="str">
        <f>IF(ISBLANK(input_wld_az1_rack4_vmotion_mtu),"Value Missing",input_wld_az1_rack4_vmotion_mtu)</f>
        <v>Value Missing</v>
      </c>
      <c r="T71" s="4" t="s">
        <v>251</v>
      </c>
      <c r="U71" s="337" t="str">
        <f>IF(ISBLANK(input_wld_az1_rack5_vmotion_mtu),"Value Missing",input_wld_az1_rack5_vmotion_mtu)</f>
        <v>Value Missing</v>
      </c>
      <c r="W71" s="4" t="s">
        <v>251</v>
      </c>
      <c r="X71" s="337" t="str">
        <f>IF(ISBLANK(input_wld_az1_rack6_vmotion_mtu),"Value Missing",input_wld_az1_rack6_vmotion_mtu)</f>
        <v>Value Missing</v>
      </c>
      <c r="Z71" s="4" t="s">
        <v>251</v>
      </c>
      <c r="AA71" s="337" t="str">
        <f>IF(ISBLANK(input_wld_az1_rack7_vmotion_mtu),"Value Missing",input_wld_az1_rack7_vmotion_mtu)</f>
        <v>Value Missing</v>
      </c>
      <c r="AC71" s="4" t="s">
        <v>251</v>
      </c>
      <c r="AD71" s="337" t="str">
        <f>IF(ISBLANK(input_wld_az1_rack8_vmotion_mtu),"Value Missing",input_wld_az1_rack8_vmotion_mtu)</f>
        <v>Value Missing</v>
      </c>
      <c r="AG71" s="8"/>
      <c r="AH71" s="8"/>
    </row>
    <row r="72" spans="5:34" s="2" customFormat="1" ht="20" customHeight="1" x14ac:dyDescent="0.2">
      <c r="E72" s="17" t="str">
        <f>CONCATENATE("Principal Storage Network ",wld_principal_storage_chosen)</f>
        <v>Principal Storage Network vSAN-ESA</v>
      </c>
      <c r="F72" s="337" t="str">
        <f>IF(ISBLANK(input_mgmt_az1_vsan_mtu),"Value Missing",input_mgmt_az1_vsan_mtu)</f>
        <v>Value Missing</v>
      </c>
      <c r="H72" s="17" t="s">
        <v>257</v>
      </c>
      <c r="I72" s="337" t="str">
        <f>IF(ISBLANK(input_wld_az1_principal_storage_mtu),"Value Missing",input_wld_az1_principal_storage_mtu)</f>
        <v>Value Missing</v>
      </c>
      <c r="K72" s="17" t="str">
        <f>CONCATENATE("Principal Storage Network ",wld_principal_storage_chosen)</f>
        <v>Principal Storage Network vSAN-ESA</v>
      </c>
      <c r="L72" s="337" t="str">
        <f>IF(ISBLANK(input_wld_az1_rack2_principal_storage_mtu),"Value Missing",input_wld_az1_rack2_principal_storage_mtu)</f>
        <v>Value Missing</v>
      </c>
      <c r="N72" s="17" t="str">
        <f>CONCATENATE("Principal Storage Network ",wld_principal_storage_chosen)</f>
        <v>Principal Storage Network vSAN-ESA</v>
      </c>
      <c r="O72" s="337" t="str">
        <f>IF(ISBLANK(input_wld_az1_rack3_principal_storage_mtu),"Value Missing",input_wld_az1_rack3_principal_storage_mtu)</f>
        <v>Value Missing</v>
      </c>
      <c r="Q72" s="17" t="str">
        <f>CONCATENATE("Principal Storage Network ",wld_principal_storage_chosen)</f>
        <v>Principal Storage Network vSAN-ESA</v>
      </c>
      <c r="R72" s="337" t="str">
        <f>IF(ISBLANK(input_wld_az1_rack4_principal_storage_mtu),"Value Missing",input_wld_az1_rack4_principal_storage_mtu)</f>
        <v>Value Missing</v>
      </c>
      <c r="T72" s="17" t="str">
        <f>CONCATENATE("Principal Storage Network ",wld_principal_storage_chosen)</f>
        <v>Principal Storage Network vSAN-ESA</v>
      </c>
      <c r="U72" s="337" t="str">
        <f>IF(ISBLANK(input_wld_az1_rack5_principal_storage_mtu),"Value Missing",input_wld_az1_rack5_principal_storage_mtu)</f>
        <v>Value Missing</v>
      </c>
      <c r="W72" s="17" t="str">
        <f>CONCATENATE("Principal Storage Network ",wld_principal_storage_chosen)</f>
        <v>Principal Storage Network vSAN-ESA</v>
      </c>
      <c r="X72" s="337" t="str">
        <f>IF(ISBLANK(input_wld_az1_rack6_principal_storage_mtu),"Value Missing",input_wld_az1_rack6_principal_storage_mtu)</f>
        <v>Value Missing</v>
      </c>
      <c r="Z72" s="17" t="str">
        <f>CONCATENATE("Principal Storage Network ",wld_principal_storage_chosen)</f>
        <v>Principal Storage Network vSAN-ESA</v>
      </c>
      <c r="AA72" s="337" t="str">
        <f>IF(ISBLANK(input_wld_az1_rack7_principal_storage_mtu),"Value Missing",input_wld_az1_rack7_principal_storage_mtu)</f>
        <v>Value Missing</v>
      </c>
      <c r="AC72" s="17" t="str">
        <f>CONCATENATE("Principal Storage Network ",wld_principal_storage_chosen)</f>
        <v>Principal Storage Network vSAN-ESA</v>
      </c>
      <c r="AD72" s="337" t="str">
        <f>IF(ISBLANK(input_wld_az1_rack8_principal_storage_mtu),"Value Missing",input_wld_az1_rack8_principal_storage_mtu)</f>
        <v>Value Missing</v>
      </c>
      <c r="AG72" s="8"/>
      <c r="AH72" s="8"/>
    </row>
    <row r="73" spans="5:34" s="2" customFormat="1" ht="20" customHeight="1" x14ac:dyDescent="0.2">
      <c r="E73" s="4" t="s">
        <v>1278</v>
      </c>
      <c r="F73" s="337" t="str">
        <f>IF(ISBLANK(input_mgmt_az1_host_overlay_mtu),"Value Missing",input_mgmt_az1_host_overlay_mtu)</f>
        <v>Value Missing</v>
      </c>
      <c r="H73" s="4" t="s">
        <v>1278</v>
      </c>
      <c r="I73" s="337" t="str">
        <f>IF(ISBLANK(input_wld_az1_host_overlay_mtu),"Value Missing",input_wld_az1_host_overlay_mtu)</f>
        <v>Value Missing</v>
      </c>
      <c r="K73" s="4" t="s">
        <v>1278</v>
      </c>
      <c r="L73" s="337" t="str">
        <f>IF(ISBLANK(input_wld_az1_rack2_host_overlay_mtu),"Value Missing",input_wld_az1_rack2_host_overlay_mtu)</f>
        <v>Value Missing</v>
      </c>
      <c r="N73" s="4" t="s">
        <v>1278</v>
      </c>
      <c r="O73" s="337" t="str">
        <f>IF(ISBLANK(input_wld_az1_rack3_host_overlay_mtu),"Value Missing",input_wld_az1_rack3_host_overlay_mtu)</f>
        <v>Value Missing</v>
      </c>
      <c r="Q73" s="4" t="s">
        <v>1278</v>
      </c>
      <c r="R73" s="337" t="str">
        <f>IF(ISBLANK(input_wld_az1_rack4_host_overlay_mtu),"Value Missing",input_wld_az1_rack4_host_overlay_mtu)</f>
        <v>Value Missing</v>
      </c>
      <c r="T73" s="4" t="s">
        <v>1278</v>
      </c>
      <c r="U73" s="337" t="str">
        <f>IF(ISBLANK(input_wld_az1_rack5_host_overlay_mtu),"Value Missing",input_wld_az1_rack5_host_overlay_mtu)</f>
        <v>Value Missing</v>
      </c>
      <c r="W73" s="4" t="s">
        <v>1278</v>
      </c>
      <c r="X73" s="337" t="str">
        <f>IF(ISBLANK(input_wld_az1_rack6_host_overlay_mtu),"Value Missing",input_wld_az1_rack6_host_overlay_mtu)</f>
        <v>Value Missing</v>
      </c>
      <c r="Z73" s="4" t="s">
        <v>1278</v>
      </c>
      <c r="AA73" s="337" t="str">
        <f>IF(ISBLANK(input_wld_az1_rack7_host_overlay_mtu),"Value Missing",input_wld_az1_rack7_host_overlay_mtu)</f>
        <v>Value Missing</v>
      </c>
      <c r="AC73" s="4" t="s">
        <v>1278</v>
      </c>
      <c r="AD73" s="337" t="str">
        <f>IF(ISBLANK(input_wld_az1_rack8_host_overlay_mtu),"Value Missing",input_wld_az1_rack8_host_overlay_mtu)</f>
        <v>Value Missing</v>
      </c>
      <c r="AG73" s="8"/>
      <c r="AH73" s="8"/>
    </row>
    <row r="74" spans="5:34" s="2" customFormat="1" ht="20" customHeight="1" x14ac:dyDescent="0.2">
      <c r="E74" s="18" t="s">
        <v>1280</v>
      </c>
      <c r="F74" s="337" t="str">
        <f>IF(ISBLANK(input_mgmt_az1_secondary_storage_mtu),"Value Missing",input_mgmt_az1_secondary_storage_mtu)</f>
        <v>Value Missing</v>
      </c>
      <c r="H74" s="4" t="s">
        <v>1280</v>
      </c>
      <c r="I74" s="337" t="str">
        <f>IF(ISBLANK(input_wld_az1_secondary_storage_mtu),"Value Missing",input_wld_az1_secondary_storage_mtu)</f>
        <v>Value Missing</v>
      </c>
      <c r="K74" s="4" t="s">
        <v>1280</v>
      </c>
      <c r="L74" s="337" t="str">
        <f>IF(ISBLANK(input_wld_az1_rack2_secondary_storage_mtu),"Value Missing",input_wld_az1_rack2_secondary_storage_mtu)</f>
        <v>Value Missing</v>
      </c>
      <c r="N74" s="4" t="s">
        <v>1280</v>
      </c>
      <c r="O74" s="337" t="str">
        <f>IF(ISBLANK(input_wld_az1_rack3_secondary_storage_mtu),"Value Missing",input_wld_az1_rack3_secondary_storage_mtu)</f>
        <v>Value Missing</v>
      </c>
      <c r="Q74" s="4" t="s">
        <v>1280</v>
      </c>
      <c r="R74" s="337" t="str">
        <f>IF(ISBLANK(input_wld_az1_rack4_secondary_storage_mtu),"Value Missing",input_wld_az1_rack4_secondary_storage_mtu)</f>
        <v>Value Missing</v>
      </c>
      <c r="T74" s="4" t="s">
        <v>1280</v>
      </c>
      <c r="U74" s="337" t="str">
        <f>IF(ISBLANK(input_wld_az1_rack5_secondary_storage_mtu),"Value Missing",input_wld_az1_rack5_secondary_storage_mtu)</f>
        <v>Value Missing</v>
      </c>
      <c r="W74" s="4" t="s">
        <v>1280</v>
      </c>
      <c r="X74" s="337" t="str">
        <f>IF(ISBLANK(input_wld_az1_rack6_secondary_storage_mtu),"Value Missing",input_wld_az1_rack6_secondary_storage_mtu)</f>
        <v>Value Missing</v>
      </c>
      <c r="Z74" s="4" t="s">
        <v>1280</v>
      </c>
      <c r="AA74" s="337" t="str">
        <f>IF(ISBLANK(input_wld_az1_rack7_secondary_storage_mtu),"Value Missing",input_wld_az1_rack7_secondary_storage_mtu)</f>
        <v>Value Missing</v>
      </c>
      <c r="AC74" s="4" t="s">
        <v>1280</v>
      </c>
      <c r="AD74" s="337" t="str">
        <f>IF(ISBLANK(input_wld_az1_rack8_secondary_storage_mtu),"Value Missing",input_wld_az1_rack8_secondary_storage_mtu)</f>
        <v>Value Missing</v>
      </c>
      <c r="AG74" s="8"/>
      <c r="AH74" s="8"/>
    </row>
    <row r="75" spans="5:34" s="2" customFormat="1" ht="20" customHeight="1" x14ac:dyDescent="0.2">
      <c r="E75" s="18"/>
      <c r="F75" s="337"/>
      <c r="H75" s="4" t="s">
        <v>805</v>
      </c>
      <c r="I75" s="337" t="str">
        <f>IF(ISBLANK(input_wld_az1_storage_cluster_mtu),"Value Missing",input_wld_az1_storage_cluster_mtu)</f>
        <v>Value Missing</v>
      </c>
      <c r="K75" s="4"/>
      <c r="L75" s="337"/>
      <c r="N75" s="4"/>
      <c r="O75" s="337"/>
      <c r="Q75" s="4"/>
      <c r="R75" s="337"/>
      <c r="T75" s="4"/>
      <c r="U75" s="337"/>
      <c r="W75" s="4"/>
      <c r="X75" s="337"/>
      <c r="Z75" s="4"/>
      <c r="AA75" s="337"/>
      <c r="AC75" s="4"/>
      <c r="AD75" s="337"/>
      <c r="AG75" s="8"/>
      <c r="AH75" s="8"/>
    </row>
    <row r="76" spans="5:34" s="2" customFormat="1" ht="20" customHeight="1" x14ac:dyDescent="0.2">
      <c r="E76" s="4" t="s">
        <v>1283</v>
      </c>
      <c r="F76" s="337" t="str">
        <f>IF(ISBLANK(input_mgmt_az1_uplink01_mtu),"Value Missing",input_mgmt_az1_uplink01_mtu)</f>
        <v>Value Missing</v>
      </c>
      <c r="H76" s="4" t="s">
        <v>1283</v>
      </c>
      <c r="I76" s="337" t="str">
        <f>IF(ISBLANK(input_wld_az1_uplink01_mtu),"Value Missing",input_wld_az1_uplink01_mtu)</f>
        <v>Value Missing</v>
      </c>
      <c r="K76" s="4" t="s">
        <v>1283</v>
      </c>
      <c r="L76" s="337" t="str">
        <f>IF(ISBLANK(input_wld_az1_rack2_uplink01_mtu),"Value Missing",input_wld_az1_rack2_uplink01_mtu)</f>
        <v>Value Missing</v>
      </c>
      <c r="N76" s="4" t="s">
        <v>1283</v>
      </c>
      <c r="O76" s="337" t="str">
        <f>IF(ISBLANK(input_wld_az1_rack3_uplink01_mtu),"Value Missing",input_wld_az1_rack3_uplink01_mtu)</f>
        <v>Value Missing</v>
      </c>
      <c r="Q76" s="4" t="s">
        <v>1283</v>
      </c>
      <c r="R76" s="337" t="str">
        <f>IF(ISBLANK(input_wld_az1_rack4_uplink01_mtu),"Value Missing",input_wld_az1_rack4_uplink01_mtu)</f>
        <v>Value Missing</v>
      </c>
      <c r="T76" s="4" t="s">
        <v>1283</v>
      </c>
      <c r="U76" s="337" t="str">
        <f>IF(ISBLANK(input_wld_az1_rack5_uplink01_mtu),"Value Missing",input_wld_az1_rack5_uplink01_mtu)</f>
        <v>Value Missing</v>
      </c>
      <c r="W76" s="4" t="s">
        <v>1283</v>
      </c>
      <c r="X76" s="337" t="str">
        <f>IF(ISBLANK(input_wld_az1_rack6_uplink01_mtu),"Value Missing",input_wld_az1_rack6_uplink01_mtu)</f>
        <v>Value Missing</v>
      </c>
      <c r="Z76" s="4" t="s">
        <v>1283</v>
      </c>
      <c r="AA76" s="337" t="str">
        <f>IF(ISBLANK(input_wld_az1_rack7_uplink01_mtu),"Value Missing",input_wld_az1_rack7_uplink01_mtu)</f>
        <v>Value Missing</v>
      </c>
      <c r="AC76" s="4" t="s">
        <v>1283</v>
      </c>
      <c r="AD76" s="337" t="str">
        <f>IF(ISBLANK(input_wld_az1_rack8_uplink01_mtu),"Value Missing",input_wld_az1_rack8_uplink01_mtu)</f>
        <v>Value Missing</v>
      </c>
      <c r="AG76" s="8"/>
      <c r="AH76" s="8"/>
    </row>
    <row r="77" spans="5:34" s="2" customFormat="1" ht="20" customHeight="1" x14ac:dyDescent="0.2">
      <c r="E77" s="4" t="s">
        <v>1285</v>
      </c>
      <c r="F77" s="337" t="str">
        <f>IF(ISBLANK(input_mgmt_az1_uplink02_mtu),"Value Missing",input_mgmt_az1_uplink02_mtu)</f>
        <v>Value Missing</v>
      </c>
      <c r="H77" s="4" t="s">
        <v>1285</v>
      </c>
      <c r="I77" s="337" t="str">
        <f>IF(ISBLANK(input_wld_az1_uplink02_mtu),"Value Missing",input_wld_az1_uplink02_mtu)</f>
        <v>Value Missing</v>
      </c>
      <c r="K77" s="4" t="s">
        <v>1285</v>
      </c>
      <c r="L77" s="337" t="str">
        <f>IF(ISBLANK(input_wld_az1_rack2_uplink02_mtu),"Value Missing",input_wld_az1_rack2_uplink02_mtu)</f>
        <v>Value Missing</v>
      </c>
      <c r="N77" s="4" t="s">
        <v>1285</v>
      </c>
      <c r="O77" s="337" t="str">
        <f>IF(ISBLANK(input_wld_az1_rack3_uplink02_mtu),"Value Missing",input_wld_az1_rack3_uplink02_mtu)</f>
        <v>Value Missing</v>
      </c>
      <c r="Q77" s="4" t="s">
        <v>1285</v>
      </c>
      <c r="R77" s="337" t="str">
        <f>IF(ISBLANK(input_wld_az1_rack4_uplink02_mtu),"Value Missing",input_wld_az1_rack4_uplink02_mtu)</f>
        <v>Value Missing</v>
      </c>
      <c r="T77" s="4" t="s">
        <v>1285</v>
      </c>
      <c r="U77" s="337" t="str">
        <f>IF(ISBLANK(input_wld_az1_rack5_uplink02_mtu),"Value Missing",input_wld_az1_rack5_uplink02_mtu)</f>
        <v>Value Missing</v>
      </c>
      <c r="W77" s="4" t="s">
        <v>1285</v>
      </c>
      <c r="X77" s="337" t="str">
        <f>IF(ISBLANK(input_wld_az1_rack6_uplink02_mtu),"Value Missing",input_wld_az1_rack6_uplink02_mtu)</f>
        <v>Value Missing</v>
      </c>
      <c r="Z77" s="4" t="s">
        <v>1285</v>
      </c>
      <c r="AA77" s="337" t="str">
        <f>IF(ISBLANK(input_wld_az1_rack7_uplink02_mtu),"Value Missing",input_wld_az1_rack7_uplink02_mtu)</f>
        <v>Value Missing</v>
      </c>
      <c r="AC77" s="4" t="s">
        <v>1285</v>
      </c>
      <c r="AD77" s="337" t="str">
        <f>IF(ISBLANK(input_wld_az1_rack8_uplink02_mtu),"Value Missing",input_wld_az1_rack8_uplink02_mtu)</f>
        <v>Value Missing</v>
      </c>
      <c r="AG77" s="8"/>
      <c r="AH77" s="8"/>
    </row>
    <row r="78" spans="5:34" s="2" customFormat="1" ht="20" customHeight="1" x14ac:dyDescent="0.2">
      <c r="E78" s="4" t="s">
        <v>1287</v>
      </c>
      <c r="F78" s="337" t="str">
        <f>IF(ISBLANK(input_mgmt_az1_edge_overlay_mtu),"Value Missing",input_mgmt_az1_edge_overlay_mtu)</f>
        <v>Value Missing</v>
      </c>
      <c r="H78" s="4" t="s">
        <v>1287</v>
      </c>
      <c r="I78" s="337" t="s">
        <v>632</v>
      </c>
      <c r="K78" s="4" t="s">
        <v>1287</v>
      </c>
      <c r="L78" s="337" t="str">
        <f>IF(ISBLANK(input_wld_az1_rack2_edge_overlay_mtu),"Value Missing",input_wld_az1_rack2_edge_overlay_mtu)</f>
        <v>Value Missing</v>
      </c>
      <c r="N78" s="4" t="s">
        <v>1287</v>
      </c>
      <c r="O78" s="337" t="str">
        <f>IF(ISBLANK(input_wld_az1_rack3_edge_overlay_mtu),"Value Missing",input_wld_az1_rack3_edge_overlay_mtu)</f>
        <v>Value Missing</v>
      </c>
      <c r="Q78" s="4" t="s">
        <v>1287</v>
      </c>
      <c r="R78" s="33" t="str">
        <f>IF(ISBLANK(input_wld_az1_rack4_edge_overlay_mtu),"Value Missing",input_wld_az1_rack4_edge_overlay_mtu)</f>
        <v>Value Missing</v>
      </c>
      <c r="T78" s="4" t="s">
        <v>1287</v>
      </c>
      <c r="U78" s="337" t="str">
        <f>IF(ISBLANK(input_wld_az1_rack5_edge_overlay_mtu),"Value Missing",input_wld_az1_rack5_edge_overlay_mtu)</f>
        <v>Value Missing</v>
      </c>
      <c r="W78" s="4" t="s">
        <v>1287</v>
      </c>
      <c r="X78" s="337" t="str">
        <f>IF(ISBLANK(input_wld_az1_rack6_edge_overlay_mtu),"Value Missing",input_wld_az1_rack6_edge_overlay_mtu)</f>
        <v>Value Missing</v>
      </c>
      <c r="Z78" s="4" t="s">
        <v>1287</v>
      </c>
      <c r="AA78" s="337" t="str">
        <f>IF(ISBLANK(input_wld_az1_rack7_edge_overlay_mtu),"Value Missing",input_wld_az1_rack7_edge_overlay_mtu)</f>
        <v>Value Missing</v>
      </c>
      <c r="AC78" s="4" t="s">
        <v>1287</v>
      </c>
      <c r="AD78" s="337" t="str">
        <f>IF(ISBLANK(input_wld_az1_rack8_edge_overlay_mtu),"Value Missing",input_wld_az1_rack8_edge_overlay_mtu)</f>
        <v>Value Missing</v>
      </c>
      <c r="AG78" s="8"/>
      <c r="AH78" s="8"/>
    </row>
    <row r="79" spans="5:34" s="2" customFormat="1" ht="20" customHeight="1" x14ac:dyDescent="0.2">
      <c r="E79" s="4" t="s">
        <v>1289</v>
      </c>
      <c r="F79" s="337"/>
      <c r="H79" s="4" t="s">
        <v>1289</v>
      </c>
      <c r="I79" s="337"/>
      <c r="K79" s="4" t="s">
        <v>1289</v>
      </c>
      <c r="L79" s="337"/>
      <c r="N79" s="4" t="s">
        <v>1289</v>
      </c>
      <c r="O79" s="337"/>
      <c r="Q79" s="4" t="s">
        <v>1289</v>
      </c>
      <c r="R79" s="337"/>
      <c r="T79" s="4" t="s">
        <v>1289</v>
      </c>
      <c r="U79" s="337"/>
      <c r="W79" s="4" t="s">
        <v>1289</v>
      </c>
      <c r="X79" s="337"/>
      <c r="Z79" s="4" t="s">
        <v>1289</v>
      </c>
      <c r="AA79" s="337"/>
      <c r="AC79" s="4" t="s">
        <v>1289</v>
      </c>
      <c r="AD79" s="337"/>
      <c r="AG79" s="8"/>
      <c r="AH79" s="8"/>
    </row>
    <row r="80" spans="5:34" s="2" customFormat="1" ht="20" customHeight="1" x14ac:dyDescent="0.2">
      <c r="E80" s="4" t="s">
        <v>1291</v>
      </c>
      <c r="F80" s="337" t="str">
        <f>IF(ISBLANK(input_mgmt_az1_vrms_mtu),"Value Missing",input_mgmt_az1_vrms_mtu)</f>
        <v>Value Missing</v>
      </c>
      <c r="H80" s="4" t="s">
        <v>1291</v>
      </c>
      <c r="I80" s="337" t="str">
        <f>IF(ISBLANK(input_wld_az1_vrms_mtu),"Value Missing",input_wld_az1_vrms_mtu)</f>
        <v>Value Missing</v>
      </c>
      <c r="K80" s="4" t="s">
        <v>1291</v>
      </c>
      <c r="L80" s="337"/>
      <c r="N80" s="4" t="s">
        <v>1291</v>
      </c>
      <c r="O80" s="337"/>
      <c r="Q80" s="4" t="s">
        <v>1291</v>
      </c>
      <c r="R80" s="337"/>
      <c r="T80" s="4" t="s">
        <v>1291</v>
      </c>
      <c r="U80" s="337"/>
      <c r="W80" s="4" t="s">
        <v>1291</v>
      </c>
      <c r="X80" s="337"/>
      <c r="Z80" s="4" t="s">
        <v>1291</v>
      </c>
      <c r="AA80" s="337"/>
      <c r="AC80" s="4" t="s">
        <v>1291</v>
      </c>
      <c r="AD80" s="337"/>
      <c r="AG80" s="8"/>
      <c r="AH80" s="8"/>
    </row>
    <row r="81" spans="2:36" s="2" customFormat="1" ht="20" customHeight="1" x14ac:dyDescent="0.2">
      <c r="AG81" s="8"/>
      <c r="AH81" s="8"/>
      <c r="AI81" s="8"/>
      <c r="AJ81" s="8"/>
    </row>
    <row r="82" spans="2:36" s="2" customFormat="1" ht="20" customHeight="1" x14ac:dyDescent="0.2">
      <c r="B82" s="8"/>
      <c r="C82" s="8"/>
      <c r="AG82" s="8"/>
      <c r="AH82" s="8"/>
      <c r="AI82" s="8"/>
      <c r="AJ82" s="8"/>
    </row>
    <row r="83" spans="2:36" s="2" customFormat="1" ht="20" customHeight="1" x14ac:dyDescent="0.2">
      <c r="B83" s="8"/>
      <c r="C83" s="8"/>
      <c r="E83" s="382" t="s">
        <v>1355</v>
      </c>
      <c r="F83" s="383"/>
      <c r="H83" s="382" t="s">
        <v>1356</v>
      </c>
      <c r="I83" s="383"/>
      <c r="K83" s="382" t="s">
        <v>1357</v>
      </c>
      <c r="L83" s="383"/>
      <c r="N83" s="382" t="s">
        <v>1358</v>
      </c>
      <c r="O83" s="383"/>
      <c r="Q83" s="379" t="s">
        <v>1359</v>
      </c>
      <c r="R83" s="381"/>
      <c r="T83" s="379" t="s">
        <v>1360</v>
      </c>
      <c r="U83" s="381"/>
      <c r="W83" s="379" t="s">
        <v>1361</v>
      </c>
      <c r="X83" s="381"/>
      <c r="Z83" s="379" t="s">
        <v>1362</v>
      </c>
      <c r="AA83" s="381"/>
      <c r="AC83" s="379" t="s">
        <v>1363</v>
      </c>
      <c r="AD83" s="381"/>
      <c r="AG83" s="8"/>
      <c r="AH83" s="8"/>
      <c r="AI83" s="8"/>
      <c r="AJ83" s="8"/>
    </row>
    <row r="84" spans="2:36" s="2" customFormat="1" ht="20" customHeight="1" x14ac:dyDescent="0.2">
      <c r="B84" s="6"/>
      <c r="E84" s="11" t="s">
        <v>261</v>
      </c>
      <c r="F84" s="12" t="s">
        <v>1269</v>
      </c>
      <c r="H84" s="11" t="s">
        <v>261</v>
      </c>
      <c r="I84" s="12" t="s">
        <v>1269</v>
      </c>
      <c r="K84" s="11" t="s">
        <v>261</v>
      </c>
      <c r="L84" s="12" t="s">
        <v>1269</v>
      </c>
      <c r="N84" s="11" t="s">
        <v>261</v>
      </c>
      <c r="O84" s="12" t="s">
        <v>1269</v>
      </c>
      <c r="Q84" s="11" t="s">
        <v>261</v>
      </c>
      <c r="R84" s="14" t="s">
        <v>1269</v>
      </c>
      <c r="S84" s="15"/>
      <c r="T84" s="11" t="s">
        <v>261</v>
      </c>
      <c r="U84" s="14" t="s">
        <v>1269</v>
      </c>
      <c r="V84" s="15"/>
      <c r="W84" s="11" t="s">
        <v>261</v>
      </c>
      <c r="X84" s="14" t="s">
        <v>1269</v>
      </c>
      <c r="Y84" s="15"/>
      <c r="Z84" s="11" t="s">
        <v>261</v>
      </c>
      <c r="AA84" s="14" t="s">
        <v>1269</v>
      </c>
      <c r="AB84" s="15"/>
      <c r="AC84" s="11" t="s">
        <v>261</v>
      </c>
      <c r="AD84" s="14" t="s">
        <v>1269</v>
      </c>
      <c r="AG84" s="8"/>
      <c r="AH84" s="8"/>
      <c r="AI84" s="8"/>
      <c r="AJ84" s="8"/>
    </row>
    <row r="85" spans="2:36" s="2" customFormat="1" ht="20" customHeight="1" x14ac:dyDescent="0.2">
      <c r="B85" s="6"/>
      <c r="C85" s="26"/>
      <c r="E85" s="4" t="s">
        <v>1272</v>
      </c>
      <c r="F85" s="337" t="str">
        <f>IF(ISBLANK(input_mgmt_az1_mgmt_vm_gateway_ip),"Value Missing",input_mgmt_az1_mgmt_vm_gateway_ip)</f>
        <v>Value Missing</v>
      </c>
      <c r="H85" s="4" t="s">
        <v>1272</v>
      </c>
      <c r="I85" s="337" t="str">
        <f>IF(ISBLANK(input_wld_az1_mgmt_vm_gateway_ip),"Value Missing",input_wld_az1_mgmt_vm_gateway_ip)</f>
        <v>Value Missing</v>
      </c>
      <c r="K85" s="4" t="s">
        <v>1272</v>
      </c>
      <c r="L85" s="337" t="str">
        <f>IF(ISBLANK(input_wld_az1_rack2_mgmt_vm_gateway_ip),"Value Missing",input_wld_az1_rack2_mgmt_vm_gateway_ip)</f>
        <v>Value Missing</v>
      </c>
      <c r="N85" s="4" t="s">
        <v>1272</v>
      </c>
      <c r="O85" s="337" t="str">
        <f>IF(ISBLANK(input_wld_az1_rack3_mgmt_vm_gateway_ip),"Value Missing",input_wld_az1_rack3_mgmt_vm_gateway_ip)</f>
        <v>Value Missing</v>
      </c>
      <c r="Q85" s="4" t="s">
        <v>1272</v>
      </c>
      <c r="R85" s="337" t="str">
        <f>IF(ISBLANK(input_wld_az1_rack4_mgmt_vm_gateway_ip),"Value Missing",input_wld_az1_rack4_mgmt_vm_gateway_ip)</f>
        <v>Value Missing</v>
      </c>
      <c r="T85" s="4" t="s">
        <v>1272</v>
      </c>
      <c r="U85" s="337" t="str">
        <f>IF(ISBLANK(input_wld_az1_rack5_mgmt_vm_gateway_ip),"Value Missing",input_wld_az1_rack5_mgmt_vm_gateway_ip)</f>
        <v>Value Missing</v>
      </c>
      <c r="W85" s="4" t="s">
        <v>1272</v>
      </c>
      <c r="X85" s="337" t="str">
        <f>IF(ISBLANK(input_wld_az1_rack6_mgmt_vm_gateway_ip),"Value Missing",input_wld_az1_rack6_mgmt_vm_gateway_ip)</f>
        <v>Value Missing</v>
      </c>
      <c r="Z85" s="4" t="s">
        <v>1272</v>
      </c>
      <c r="AA85" s="337" t="str">
        <f>IF(ISBLANK(input_wld_az1_rack7_mgmt_vm_gateway_ip),"Value Missing",input_wld_az1_rack7_mgmt_vm_gateway_ip)</f>
        <v>Value Missing</v>
      </c>
      <c r="AC85" s="4" t="s">
        <v>1272</v>
      </c>
      <c r="AD85" s="337" t="str">
        <f>IF(ISBLANK(input_wld_az1_rack8_mgmt_vm_gateway_ip),"Value Missing",input_wld_az1_rack8_mgmt_vm_gateway_ip)</f>
        <v>Value Missing</v>
      </c>
      <c r="AG85" s="8"/>
      <c r="AH85" s="8"/>
      <c r="AI85" s="8"/>
      <c r="AJ85" s="8"/>
    </row>
    <row r="86" spans="2:36" s="2" customFormat="1" ht="20" customHeight="1" x14ac:dyDescent="0.2">
      <c r="B86" s="6"/>
      <c r="E86" s="4" t="s">
        <v>1274</v>
      </c>
      <c r="F86" s="337" t="str">
        <f>IF(ISBLANK(input_mgmt_az1_mgmt_gateway_ip),"Value Missing",input_mgmt_az1_mgmt_gateway_ip)</f>
        <v>Value Missing</v>
      </c>
      <c r="H86" s="4" t="s">
        <v>1274</v>
      </c>
      <c r="I86" s="337" t="str">
        <f>IF(ISBLANK(input_wld_az1_mgmt_gateway_ip),"Value Missing",input_wld_az1_mgmt_gateway_ip)</f>
        <v>Value Missing</v>
      </c>
      <c r="K86" s="4" t="s">
        <v>1274</v>
      </c>
      <c r="L86" s="337" t="str">
        <f>IF(ISBLANK(input_wld_az1_rack2_mgmt_gateway_ip),"Value Missing",input_wld_az1_rack2_mgmt_gateway_ip)</f>
        <v>Value Missing</v>
      </c>
      <c r="N86" s="4" t="s">
        <v>1274</v>
      </c>
      <c r="O86" s="337" t="str">
        <f>IF(ISBLANK(input_wld_az1_rack3_mgmt_gateway_ip),"Value Missing",input_wld_az1_rack3_mgmt_gateway_ip)</f>
        <v>Value Missing</v>
      </c>
      <c r="Q86" s="4" t="s">
        <v>1274</v>
      </c>
      <c r="R86" s="337" t="str">
        <f>IF(ISBLANK(input_wld_az1_rack4_mgmt_gateway_ip),"Value Missing",input_wld_az1_rack4_mgmt_gateway_ip)</f>
        <v>Value Missing</v>
      </c>
      <c r="T86" s="4" t="s">
        <v>1274</v>
      </c>
      <c r="U86" s="337" t="str">
        <f>IF(ISBLANK(input_wld_az1_rack5_mgmt_gateway_ip),"Value Missing",input_wld_az1_rack5_mgmt_gateway_ip)</f>
        <v>Value Missing</v>
      </c>
      <c r="W86" s="4" t="s">
        <v>1274</v>
      </c>
      <c r="X86" s="337" t="str">
        <f>IF(ISBLANK(input_wld_az1_rack6_mgmt_gateway_ip),"Value Missing",input_wld_az1_rack6_mgmt_gateway_ip)</f>
        <v>Value Missing</v>
      </c>
      <c r="Z86" s="4" t="s">
        <v>1274</v>
      </c>
      <c r="AA86" s="337" t="str">
        <f>IF(ISBLANK(input_wld_az1_rack7_mgmt_gateway_ip),"Value Missing",input_wld_az1_rack7_mgmt_gateway_ip)</f>
        <v>Value Missing</v>
      </c>
      <c r="AC86" s="4" t="s">
        <v>1274</v>
      </c>
      <c r="AD86" s="337" t="str">
        <f>IF(ISBLANK(input_wld_az1_rack8_mgmt_gateway_ip),"Value Missing",input_wld_az1_rack8_mgmt_gateway_ip)</f>
        <v>Value Missing</v>
      </c>
      <c r="AG86" s="8"/>
      <c r="AH86" s="8"/>
      <c r="AI86" s="8"/>
      <c r="AJ86" s="8"/>
    </row>
    <row r="87" spans="2:36" s="2" customFormat="1" ht="20" customHeight="1" x14ac:dyDescent="0.2">
      <c r="B87" s="168"/>
      <c r="E87" s="4" t="s">
        <v>251</v>
      </c>
      <c r="F87" s="337" t="str">
        <f>IF(ISBLANK(input_mgmt_az1_vmotion_gateway_ip),"Value Missing",input_mgmt_az1_vmotion_gateway_ip)</f>
        <v>Value Missing</v>
      </c>
      <c r="H87" s="4" t="s">
        <v>251</v>
      </c>
      <c r="I87" s="337" t="str">
        <f>IF(ISBLANK(input_wld_az1_vmotion_gateway_ip),"Value Missing",input_wld_az1_vmotion_gateway_ip)</f>
        <v>Value Missing</v>
      </c>
      <c r="K87" s="4" t="s">
        <v>251</v>
      </c>
      <c r="L87" s="337" t="str">
        <f>IF(ISBLANK(input_wld_az1_rack2_vmotion_gateway_ip),"Value Missing",input_wld_az1_rack2_vmotion_gateway_ip)</f>
        <v>Value Missing</v>
      </c>
      <c r="N87" s="4" t="s">
        <v>251</v>
      </c>
      <c r="O87" s="337" t="str">
        <f>IF(ISBLANK(input_wld_az1_rack3_vmotion_gateway_ip),"Value Missing",input_wld_az1_rack3_vmotion_gateway_ip)</f>
        <v>Value Missing</v>
      </c>
      <c r="Q87" s="4" t="s">
        <v>251</v>
      </c>
      <c r="R87" s="337" t="str">
        <f>IF(ISBLANK(input_wld_az1_rack4_vmotion_gateway_ip),"Value Missing",input_wld_az1_rack4_vmotion_gateway_ip)</f>
        <v>Value Missing</v>
      </c>
      <c r="T87" s="4" t="s">
        <v>251</v>
      </c>
      <c r="U87" s="337" t="str">
        <f>IF(ISBLANK(input_wld_az1_rack5_vmotion_gateway_ip),"Value Missing",input_wld_az1_rack5_vmotion_gateway_ip)</f>
        <v>Value Missing</v>
      </c>
      <c r="W87" s="4" t="s">
        <v>251</v>
      </c>
      <c r="X87" s="337" t="str">
        <f>IF(ISBLANK(input_wld_az1_rack6_vmotion_gateway_ip),"Value Missing",input_wld_az1_rack6_vmotion_gateway_ip)</f>
        <v>Value Missing</v>
      </c>
      <c r="Z87" s="4" t="s">
        <v>251</v>
      </c>
      <c r="AA87" s="337" t="str">
        <f>IF(ISBLANK(input_wld_az1_rack7_vmotion_gateway_ip),"Value Missing",input_wld_az1_rack7_vmotion_gateway_ip)</f>
        <v>Value Missing</v>
      </c>
      <c r="AC87" s="4" t="s">
        <v>251</v>
      </c>
      <c r="AD87" s="337" t="str">
        <f>IF(ISBLANK(input_wld_az1_rack8_vmotion_gateway_ip),"Value Missing",input_wld_az1_rack8_vmotion_gateway_ip)</f>
        <v>Value Missing</v>
      </c>
      <c r="AG87" s="8"/>
      <c r="AH87" s="8"/>
      <c r="AI87" s="8"/>
      <c r="AJ87" s="8"/>
    </row>
    <row r="88" spans="2:36" s="2" customFormat="1" ht="20" customHeight="1" x14ac:dyDescent="0.2">
      <c r="B88" s="168"/>
      <c r="E88" s="17" t="str">
        <f>CONCATENATE("Principal Storage Network ",wld_principal_storage_chosen)</f>
        <v>Principal Storage Network vSAN-ESA</v>
      </c>
      <c r="F88" s="337" t="str">
        <f>IF(ISBLANK(input_mgmt_az1_vsan_gateway_ip),"Value Missing",input_mgmt_az1_vsan_gateway_ip)</f>
        <v>Value Missing</v>
      </c>
      <c r="H88" s="17" t="s">
        <v>257</v>
      </c>
      <c r="I88" s="337" t="str">
        <f>IF(ISBLANK(input_wld_az1_principal_storage_gateway_ip),"Value Missing",input_wld_az1_principal_storage_gateway_ip)</f>
        <v>Value Missing</v>
      </c>
      <c r="K88" s="17" t="str">
        <f>CONCATENATE("Principal Storage Network ",wld_principal_storage_chosen)</f>
        <v>Principal Storage Network vSAN-ESA</v>
      </c>
      <c r="L88" s="337" t="str">
        <f>IF(ISBLANK(input_wld_az1_rack2_principal_storage_gateway_ip),"Value Missing",input_wld_az1_rack2_principal_storage_gateway_ip)</f>
        <v>Value Missing</v>
      </c>
      <c r="N88" s="17" t="str">
        <f>CONCATENATE("Principal Storage Network ",wld_principal_storage_chosen)</f>
        <v>Principal Storage Network vSAN-ESA</v>
      </c>
      <c r="O88" s="337" t="str">
        <f>IF(ISBLANK(input_wld_az1_rack3_principal_storage_gateway_ip),"Value Missing",input_wld_az1_rack3_principal_storage_gateway_ip)</f>
        <v>Value Missing</v>
      </c>
      <c r="Q88" s="17" t="str">
        <f>CONCATENATE("Principal Storage Network ",wld_principal_storage_chosen)</f>
        <v>Principal Storage Network vSAN-ESA</v>
      </c>
      <c r="R88" s="337" t="str">
        <f>IF(ISBLANK(input_wld_az1_rack4_principal_storage_gateway_ip),"Value Missing",input_wld_az1_rack4_principal_storage_gateway_ip)</f>
        <v>Value Missing</v>
      </c>
      <c r="T88" s="17" t="str">
        <f>CONCATENATE("Principal Storage Network ",wld_principal_storage_chosen)</f>
        <v>Principal Storage Network vSAN-ESA</v>
      </c>
      <c r="U88" s="337" t="str">
        <f>IF(ISBLANK(input_wld_az1_rack5_principal_storage_gateway_ip),"Value Missing",input_wld_az1_rack5_principal_storage_gateway_ip)</f>
        <v>Value Missing</v>
      </c>
      <c r="W88" s="17" t="str">
        <f>CONCATENATE("Principal Storage Network ",wld_principal_storage_chosen)</f>
        <v>Principal Storage Network vSAN-ESA</v>
      </c>
      <c r="X88" s="337" t="str">
        <f>IF(ISBLANK(input_wld_az1_rack6_principal_storage_gateway_ip),"Value Missing",input_wld_az1_rack6_principal_storage_gateway_ip)</f>
        <v>Value Missing</v>
      </c>
      <c r="Z88" s="17" t="str">
        <f>CONCATENATE("Principal Storage Network ",wld_principal_storage_chosen)</f>
        <v>Principal Storage Network vSAN-ESA</v>
      </c>
      <c r="AA88" s="337" t="str">
        <f>IF(ISBLANK(input_wld_az1_rack7_principal_storage_gateway_ip),"Value Missing",input_wld_az1_rack7_principal_storage_gateway_ip)</f>
        <v>Value Missing</v>
      </c>
      <c r="AC88" s="17" t="str">
        <f>CONCATENATE("Principal Storage Network ",wld_principal_storage_chosen)</f>
        <v>Principal Storage Network vSAN-ESA</v>
      </c>
      <c r="AD88" s="337" t="str">
        <f>IF(ISBLANK(input_wld_az1_rack8_principal_storage_gateway_ip),"Value Missing",input_wld_az1_rack8_principal_storage_gateway_ip)</f>
        <v>Value Missing</v>
      </c>
      <c r="AG88" s="8"/>
      <c r="AH88" s="8"/>
      <c r="AI88" s="8"/>
      <c r="AJ88" s="8"/>
    </row>
    <row r="89" spans="2:36" s="2" customFormat="1" ht="20" customHeight="1" x14ac:dyDescent="0.2">
      <c r="B89" s="6"/>
      <c r="E89" s="4" t="s">
        <v>1278</v>
      </c>
      <c r="F89" s="337" t="str">
        <f>IF(ISBLANK(input_mgmt_az1_host_overlay_gateway_ip),"Value Missing",input_mgmt_az1_host_overlay_gateway_ip)</f>
        <v>Value Missing</v>
      </c>
      <c r="H89" s="4" t="s">
        <v>1278</v>
      </c>
      <c r="I89" s="337" t="str">
        <f>IF(ISBLANK(input_wld_az1_host_overlay_gateway_ip),"Value Missing",input_wld_az1_host_overlay_gateway_ip)</f>
        <v>Value Missing</v>
      </c>
      <c r="K89" s="4" t="s">
        <v>1278</v>
      </c>
      <c r="L89" s="337" t="str">
        <f>IF(ISBLANK(input_wld_az1_rack2_host_overlay_gateway_ip),"Value Missing",input_wld_az1_rack2_host_overlay_gateway_ip)</f>
        <v>Value Missing</v>
      </c>
      <c r="N89" s="4" t="s">
        <v>1278</v>
      </c>
      <c r="O89" s="337" t="str">
        <f>IF(ISBLANK(input_wld_az1_rack3_host_overlay_gateway_ip),"Value Missing",input_wld_az1_rack3_host_overlay_gateway_ip)</f>
        <v>Value Missing</v>
      </c>
      <c r="Q89" s="4" t="s">
        <v>1278</v>
      </c>
      <c r="R89" s="337" t="str">
        <f>IF(ISBLANK(input_wld_az1_rack4_host_overlay_gateway_ip),"Value Missing",input_wld_az1_rack4_host_overlay_gateway_ip)</f>
        <v>Value Missing</v>
      </c>
      <c r="T89" s="4" t="s">
        <v>1278</v>
      </c>
      <c r="U89" s="337" t="str">
        <f>IF(ISBLANK(input_wld_az1_rack5_host_overlay_gateway_ip),"Value Missing",input_wld_az1_rack5_host_overlay_gateway_ip)</f>
        <v>Value Missing</v>
      </c>
      <c r="W89" s="4" t="s">
        <v>1278</v>
      </c>
      <c r="X89" s="337" t="str">
        <f>IF(ISBLANK(input_wld_az1_rack6_host_overlay_gateway_ip),"Value Missing",input_wld_az1_rack6_host_overlay_gateway_ip)</f>
        <v>Value Missing</v>
      </c>
      <c r="Z89" s="4" t="s">
        <v>1278</v>
      </c>
      <c r="AA89" s="337" t="str">
        <f>IF(ISBLANK(input_wld_az1_rack7_host_overlay_gateway_ip),"Value Missing",input_wld_az1_rack7_host_overlay_gateway_ip)</f>
        <v>Value Missing</v>
      </c>
      <c r="AC89" s="4" t="s">
        <v>1278</v>
      </c>
      <c r="AD89" s="337" t="str">
        <f>IF(ISBLANK(input_wld_az1_rack8_host_overlay_gateway_ip),"Value Missing",input_wld_az1_rack8_host_overlay_gateway_ip)</f>
        <v>Value Missing</v>
      </c>
      <c r="AG89" s="8"/>
      <c r="AH89" s="8"/>
      <c r="AI89" s="8"/>
      <c r="AJ89" s="8"/>
    </row>
    <row r="90" spans="2:36" s="2" customFormat="1" ht="20" customHeight="1" x14ac:dyDescent="0.2">
      <c r="E90" s="4" t="s">
        <v>1280</v>
      </c>
      <c r="F90" s="337" t="str">
        <f>IF(ISBLANK(input_mgmt_az1_secondary_storage_gateway_ip),"Value Missing",input_mgmt_az1_secondary_storage_gateway_ip)</f>
        <v>Value Missing</v>
      </c>
      <c r="H90" s="4" t="s">
        <v>1280</v>
      </c>
      <c r="I90" s="337" t="str">
        <f>IF(ISBLANK(input_wld_az1_secondary_storage_gateway_ip),"Value Missing",input_wld_az1_secondary_storage_gateway_ip)</f>
        <v>Value Missing</v>
      </c>
      <c r="K90" s="4" t="s">
        <v>1280</v>
      </c>
      <c r="L90" s="337" t="str">
        <f>IF(ISBLANK(input_wld_az1_rack2_secondary_storage_gateway_ip),"Value Missing",input_wld_az1_rack2_secondary_storage_gateway_ip)</f>
        <v>Value Missing</v>
      </c>
      <c r="N90" s="4" t="s">
        <v>1280</v>
      </c>
      <c r="O90" s="337" t="str">
        <f>IF(ISBLANK(input_wld_az1_rack3_secondary_storage_gateway_ip),"Value Missing",input_wld_az1_rack3_secondary_storage_gateway_ip)</f>
        <v>Value Missing</v>
      </c>
      <c r="Q90" s="4" t="s">
        <v>1280</v>
      </c>
      <c r="R90" s="337" t="str">
        <f>IF(ISBLANK(input_wld_az1_rack4_secondary_storage_gateway_ip),"Value Missing",input_wld_az1_rack4_secondary_storage_gateway_ip)</f>
        <v>Value Missing</v>
      </c>
      <c r="T90" s="4" t="s">
        <v>1280</v>
      </c>
      <c r="U90" s="337" t="str">
        <f>IF(ISBLANK(input_wld_az1_rack5_secondary_storage_gateway_ip),"Value Missing",input_wld_az1_rack5_secondary_storage_gateway_ip)</f>
        <v>Value Missing</v>
      </c>
      <c r="W90" s="4" t="s">
        <v>1280</v>
      </c>
      <c r="X90" s="337" t="str">
        <f>IF(ISBLANK(input_wld_az1_rack6_secondary_storage_gateway_ip),"Value Missing",input_wld_az1_rack6_secondary_storage_gateway_ip)</f>
        <v>Value Missing</v>
      </c>
      <c r="Z90" s="4" t="s">
        <v>1280</v>
      </c>
      <c r="AA90" s="337" t="str">
        <f>IF(ISBLANK(input_wld_az1_rack7_secondary_storage_gateway_ip),"Value Missing",input_wld_az1_rack7_secondary_storage_gateway_ip)</f>
        <v>Value Missing</v>
      </c>
      <c r="AC90" s="4" t="s">
        <v>1280</v>
      </c>
      <c r="AD90" s="337" t="str">
        <f>IF(ISBLANK(input_wld_az1_rack8_secondary_storage_gateway_ip),"Value Missing",input_wld_az1_rack8_secondary_storage_gateway_ip)</f>
        <v>Value Missing</v>
      </c>
      <c r="AG90" s="8"/>
      <c r="AH90" s="8"/>
      <c r="AI90" s="8"/>
      <c r="AJ90" s="8"/>
    </row>
    <row r="91" spans="2:36" s="2" customFormat="1" ht="20" customHeight="1" x14ac:dyDescent="0.2">
      <c r="E91" s="4"/>
      <c r="F91" s="337"/>
      <c r="H91" s="4" t="s">
        <v>805</v>
      </c>
      <c r="I91" s="337" t="str">
        <f>IF(ISBLANK(input_wld_az1_storage_cluster_gateway_ip),"Value Missing",input_wld_az1_storage_cluster_gateway_ip)</f>
        <v>Value Missing</v>
      </c>
      <c r="K91" s="4"/>
      <c r="L91" s="337"/>
      <c r="N91" s="4"/>
      <c r="O91" s="337"/>
      <c r="Q91" s="4"/>
      <c r="R91" s="337"/>
      <c r="T91" s="4"/>
      <c r="U91" s="337"/>
      <c r="W91" s="4"/>
      <c r="X91" s="337"/>
      <c r="Z91" s="4"/>
      <c r="AA91" s="337"/>
      <c r="AC91" s="4"/>
      <c r="AD91" s="337"/>
      <c r="AG91" s="8"/>
      <c r="AH91" s="8"/>
      <c r="AI91" s="8"/>
      <c r="AJ91" s="8"/>
    </row>
    <row r="92" spans="2:36" s="2" customFormat="1" ht="20" customHeight="1" x14ac:dyDescent="0.2">
      <c r="E92" s="4" t="s">
        <v>1283</v>
      </c>
      <c r="F92" s="337" t="str">
        <f>IF(ISBLANK(input_mgmt_az1_uplink01_gateway_ip),"Value Missing",input_mgmt_az1_uplink01_gateway_ip)</f>
        <v>Value Missing</v>
      </c>
      <c r="H92" s="4" t="s">
        <v>1283</v>
      </c>
      <c r="I92" s="337" t="str">
        <f>IF(ISBLANK(input_wld_az1_uplink01_gateway_ip),"Value Missing",input_wld_az1_uplink01_gateway_ip)</f>
        <v>Value Missing</v>
      </c>
      <c r="K92" s="4" t="s">
        <v>1283</v>
      </c>
      <c r="L92" s="337" t="str">
        <f>IF(ISBLANK(input_wld_az1_rack2_uplink01_gateway_ip),"Value Missing",input_wld_az1_rack2_uplink01_gateway_ip)</f>
        <v>Value Missing</v>
      </c>
      <c r="N92" s="4" t="s">
        <v>1283</v>
      </c>
      <c r="O92" s="337" t="str">
        <f>IF(ISBLANK(input_wld_az1_rack3_uplink01_gateway_ip),"Value Missing",input_wld_az1_rack3_uplink01_gateway_ip)</f>
        <v>Value Missing</v>
      </c>
      <c r="Q92" s="4" t="s">
        <v>1283</v>
      </c>
      <c r="R92" s="337" t="str">
        <f>IF(ISBLANK(input_wld_az1_rack4_uplink01_gateway_ip),"Value Missing",input_wld_az1_rack4_uplink01_gateway_ip)</f>
        <v>Value Missing</v>
      </c>
      <c r="T92" s="4" t="s">
        <v>1283</v>
      </c>
      <c r="U92" s="337" t="str">
        <f>IF(ISBLANK(input_wld_az1_rack5_uplink01_gateway_ip),"Value Missing",input_wld_az1_rack5_uplink01_gateway_ip)</f>
        <v>Value Missing</v>
      </c>
      <c r="W92" s="4" t="s">
        <v>1283</v>
      </c>
      <c r="X92" s="337" t="str">
        <f>IF(ISBLANK(input_wld_az1_rack6_uplink01_gateway_ip),"Value Missing",input_wld_az1_rack6_uplink01_gateway_ip)</f>
        <v>Value Missing</v>
      </c>
      <c r="Z92" s="4" t="s">
        <v>1283</v>
      </c>
      <c r="AA92" s="337" t="str">
        <f>IF(ISBLANK(input_wld_az1_rack7_uplink01_gateway_ip),"Value Missing",input_wld_az1_rack7_uplink01_gateway_ip)</f>
        <v>Value Missing</v>
      </c>
      <c r="AC92" s="4" t="s">
        <v>1283</v>
      </c>
      <c r="AD92" s="337" t="str">
        <f>IF(ISBLANK(input_wld_az1_rack8_uplink01_gateway_ip),"Value Missing",input_wld_az1_rack8_uplink01_gateway_ip)</f>
        <v>Value Missing</v>
      </c>
      <c r="AG92" s="8"/>
      <c r="AH92" s="8"/>
      <c r="AI92" s="8"/>
      <c r="AJ92" s="8"/>
    </row>
    <row r="93" spans="2:36" s="2" customFormat="1" ht="20" customHeight="1" x14ac:dyDescent="0.2">
      <c r="E93" s="4" t="s">
        <v>1285</v>
      </c>
      <c r="F93" s="337" t="str">
        <f>IF(ISBLANK(input_mgmt_az1_uplink02_gateway_ip),"Value Missing",input_mgmt_az1_uplink02_gateway_ip)</f>
        <v>Value Missing</v>
      </c>
      <c r="G93" s="15"/>
      <c r="H93" s="4" t="s">
        <v>1285</v>
      </c>
      <c r="I93" s="337" t="str">
        <f>IF(ISBLANK(input_wld_az1_uplink02_gateway_ip),"Value Missing",input_wld_az1_uplink02_gateway_ip)</f>
        <v>Value Missing</v>
      </c>
      <c r="J93" s="15"/>
      <c r="K93" s="4" t="s">
        <v>1285</v>
      </c>
      <c r="L93" s="337" t="str">
        <f>IF(ISBLANK(input_wld_az1_rack2_uplink02_gateway_ip),"Value Missing",input_wld_az1_rack2_uplink02_gateway_ip)</f>
        <v>Value Missing</v>
      </c>
      <c r="N93" s="4" t="s">
        <v>1285</v>
      </c>
      <c r="O93" s="337" t="str">
        <f>IF(ISBLANK(input_wld_az1_rack3_uplink02_gateway_ip),"Value Missing",input_wld_az1_rack3_uplink02_gateway_ip)</f>
        <v>Value Missing</v>
      </c>
      <c r="Q93" s="4" t="s">
        <v>1285</v>
      </c>
      <c r="R93" s="337" t="str">
        <f>IF(ISBLANK(input_wld_az1_rack4_uplink02_gateway_ip),"Value Missing",input_wld_az1_rack4_uplink02_gateway_ip)</f>
        <v>Value Missing</v>
      </c>
      <c r="T93" s="4" t="s">
        <v>1285</v>
      </c>
      <c r="U93" s="337" t="str">
        <f>IF(ISBLANK(input_wld_az1_rack5_uplink02_gateway_ip),"Value Missing",input_wld_az1_rack5_uplink02_gateway_ip)</f>
        <v>Value Missing</v>
      </c>
      <c r="W93" s="4" t="s">
        <v>1285</v>
      </c>
      <c r="X93" s="337" t="str">
        <f>IF(ISBLANK(input_wld_az1_rack6_uplink02_gateway_ip),"Value Missing",input_wld_az1_rack6_uplink02_gateway_ip)</f>
        <v>Value Missing</v>
      </c>
      <c r="Z93" s="4" t="s">
        <v>1285</v>
      </c>
      <c r="AA93" s="337" t="str">
        <f>IF(ISBLANK(input_wld_az1_rack7_uplink02_gateway_ip),"Value Missing",input_wld_az1_rack7_uplink02_gateway_ip)</f>
        <v>Value Missing</v>
      </c>
      <c r="AC93" s="4" t="s">
        <v>1285</v>
      </c>
      <c r="AD93" s="337" t="str">
        <f>IF(ISBLANK(input_wld_az1_rack8_uplink02_gateway_ip),"Value Missing",input_wld_az1_rack8_uplink02_gateway_ip)</f>
        <v>Value Missing</v>
      </c>
      <c r="AG93" s="8"/>
      <c r="AH93" s="8"/>
      <c r="AI93" s="8"/>
      <c r="AJ93" s="8"/>
    </row>
    <row r="94" spans="2:36" s="2" customFormat="1" ht="20" customHeight="1" x14ac:dyDescent="0.2">
      <c r="E94" s="4" t="s">
        <v>1287</v>
      </c>
      <c r="F94" s="337" t="str">
        <f>IF(ISBLANK(input_mgmt_az1_edge_overlay_gateway_ip),"Value Missing",input_mgmt_az1_edge_overlay_gateway_ip)</f>
        <v>Value Missing</v>
      </c>
      <c r="H94" s="4" t="s">
        <v>1287</v>
      </c>
      <c r="I94" s="337" t="str">
        <f>IF(ISBLANK(input_wld_az1_edge_overlay_gateway_ip),"Value Missing",input_wld_az1_edge_overlay_gateway_ip)</f>
        <v>Value Missing</v>
      </c>
      <c r="K94" s="4" t="s">
        <v>1287</v>
      </c>
      <c r="L94" s="337" t="str">
        <f>IF(ISBLANK(input_wld_az1_rack2_edge_overlay_gateway_ip),"Value Missing",input_wld_az1_rack2_edge_overlay_gateway_ip)</f>
        <v>Value Missing</v>
      </c>
      <c r="M94" s="15"/>
      <c r="N94" s="4" t="s">
        <v>1287</v>
      </c>
      <c r="O94" s="337" t="str">
        <f>IF(ISBLANK(input_wld_az1_rack3_edge_overlay_gateway_ip),"Value Missing",input_wld_az1_rack3_edge_overlay_gateway_ip)</f>
        <v>Value Missing</v>
      </c>
      <c r="Q94" s="4" t="s">
        <v>1287</v>
      </c>
      <c r="R94" s="337" t="str">
        <f>IF(ISBLANK(input_wld_az1_rack4_edge_overlay_gateway_ip),"Value Missing",input_wld_az1_rack4_edge_overlay_gateway_ip)</f>
        <v>Value Missing</v>
      </c>
      <c r="T94" s="4" t="s">
        <v>1287</v>
      </c>
      <c r="U94" s="337" t="str">
        <f>IF(ISBLANK(input_wld_az1_rack5_edge_overlay_gateway_ip),"Value Missing",input_wld_az1_rack5_edge_overlay_gateway_ip)</f>
        <v>Value Missing</v>
      </c>
      <c r="W94" s="4" t="s">
        <v>1287</v>
      </c>
      <c r="X94" s="337" t="str">
        <f>IF(ISBLANK(input_wld_az1_rack6_edge_overlay_gateway_ip),"Value Missing",input_wld_az1_rack6_edge_overlay_gateway_ip)</f>
        <v>Value Missing</v>
      </c>
      <c r="Z94" s="4" t="s">
        <v>1287</v>
      </c>
      <c r="AA94" s="337" t="str">
        <f>IF(ISBLANK(input_wld_az1_rack7_edge_overlay_gateway_ip),"Value Missing",input_wld_az1_rack7_edge_overlay_gateway_ip)</f>
        <v>Value Missing</v>
      </c>
      <c r="AC94" s="4" t="s">
        <v>1287</v>
      </c>
      <c r="AD94" s="337" t="str">
        <f>IF(ISBLANK(input_wld_az1_rack8_edge_overlay_gateway_ip),"Value Missing",input_wld_az1_rack8_edge_overlay_gateway_ip)</f>
        <v>Value Missing</v>
      </c>
      <c r="AG94" s="8"/>
      <c r="AH94" s="8"/>
      <c r="AI94" s="8"/>
      <c r="AJ94" s="8"/>
    </row>
    <row r="95" spans="2:36" s="2" customFormat="1" ht="20" customHeight="1" x14ac:dyDescent="0.2">
      <c r="E95" s="4" t="s">
        <v>1289</v>
      </c>
      <c r="F95" s="337" t="str">
        <f>IF(ISBLANK(input_mgmt_az1_rtep_overlay_gateway_ip),"Value Missing",input_mgmt_az1_rtep_overlay_gateway_ip)</f>
        <v>Value Missing</v>
      </c>
      <c r="H95" s="4" t="s">
        <v>1289</v>
      </c>
      <c r="I95" s="337" t="str">
        <f>IF(ISBLANK(input_wld_az1_rtep_overlay_gateway_ip),"Value Missing",input_wld_az1_rtep_overlay_gateway_ip)</f>
        <v>Value Missing</v>
      </c>
      <c r="K95" s="4" t="s">
        <v>1289</v>
      </c>
      <c r="L95" s="337"/>
      <c r="N95" s="4" t="s">
        <v>1289</v>
      </c>
      <c r="O95" s="337"/>
      <c r="Q95" s="4" t="s">
        <v>1289</v>
      </c>
      <c r="R95" s="337"/>
      <c r="T95" s="4" t="s">
        <v>1289</v>
      </c>
      <c r="U95" s="337"/>
      <c r="W95" s="4" t="s">
        <v>1289</v>
      </c>
      <c r="X95" s="337"/>
      <c r="Z95" s="4" t="s">
        <v>1289</v>
      </c>
      <c r="AA95" s="337"/>
      <c r="AC95" s="4" t="s">
        <v>1289</v>
      </c>
      <c r="AD95" s="337"/>
      <c r="AG95" s="8"/>
      <c r="AH95" s="8"/>
      <c r="AI95" s="8"/>
      <c r="AJ95" s="8"/>
    </row>
    <row r="96" spans="2:36" s="2" customFormat="1" ht="20" customHeight="1" x14ac:dyDescent="0.2">
      <c r="E96" s="4" t="s">
        <v>1291</v>
      </c>
      <c r="F96" s="337"/>
      <c r="H96" s="4" t="s">
        <v>1291</v>
      </c>
      <c r="I96" s="337" t="str">
        <f>IF(ISBLANK(input_wld_az1_vrms_gateway_ip),"Value Missing",input_wld_az1_vrms_gateway_ip)</f>
        <v>Value Missing</v>
      </c>
      <c r="K96" s="4" t="s">
        <v>1291</v>
      </c>
      <c r="L96" s="337"/>
      <c r="N96" s="4" t="s">
        <v>1291</v>
      </c>
      <c r="O96" s="337"/>
      <c r="Q96" s="4" t="s">
        <v>1291</v>
      </c>
      <c r="R96" s="337"/>
      <c r="T96" s="4" t="s">
        <v>1291</v>
      </c>
      <c r="U96" s="337"/>
      <c r="W96" s="4" t="s">
        <v>1291</v>
      </c>
      <c r="X96" s="337"/>
      <c r="Z96" s="4" t="s">
        <v>1291</v>
      </c>
      <c r="AA96" s="337"/>
      <c r="AC96" s="4" t="s">
        <v>1291</v>
      </c>
      <c r="AD96" s="337"/>
      <c r="AG96" s="8"/>
      <c r="AH96" s="8"/>
      <c r="AI96" s="8"/>
      <c r="AJ96" s="8"/>
    </row>
    <row r="97" spans="2:36" ht="20" customHeight="1" x14ac:dyDescent="0.2">
      <c r="B97" s="2"/>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6" ht="20" customHeight="1" x14ac:dyDescent="0.2">
      <c r="B98" s="2"/>
      <c r="C98" s="2"/>
      <c r="E98" s="379" t="s">
        <v>1364</v>
      </c>
      <c r="F98" s="381"/>
      <c r="G98" s="2"/>
      <c r="H98" s="379" t="s">
        <v>1365</v>
      </c>
      <c r="I98" s="381"/>
      <c r="J98" s="2"/>
      <c r="K98" s="379" t="s">
        <v>1366</v>
      </c>
      <c r="L98" s="381"/>
      <c r="M98" s="2"/>
      <c r="N98" s="379" t="s">
        <v>1367</v>
      </c>
      <c r="O98" s="381"/>
      <c r="P98" s="7"/>
      <c r="Q98" s="379" t="s">
        <v>1368</v>
      </c>
      <c r="R98" s="381"/>
      <c r="S98" s="2"/>
      <c r="T98" s="379" t="s">
        <v>1369</v>
      </c>
      <c r="U98" s="381"/>
      <c r="V98" s="2"/>
      <c r="W98" s="379" t="s">
        <v>1370</v>
      </c>
      <c r="X98" s="381"/>
      <c r="Y98" s="2"/>
      <c r="Z98" s="379" t="s">
        <v>1371</v>
      </c>
      <c r="AA98" s="381"/>
      <c r="AB98" s="2"/>
      <c r="AC98" s="379" t="s">
        <v>1372</v>
      </c>
      <c r="AD98" s="381"/>
    </row>
    <row r="99" spans="2:36" s="2" customFormat="1" ht="20" customHeight="1" x14ac:dyDescent="0.2">
      <c r="E99" s="11" t="s">
        <v>261</v>
      </c>
      <c r="F99" s="14" t="s">
        <v>1269</v>
      </c>
      <c r="H99" s="11" t="s">
        <v>261</v>
      </c>
      <c r="I99" s="14" t="s">
        <v>1269</v>
      </c>
      <c r="K99" s="11" t="s">
        <v>261</v>
      </c>
      <c r="L99" s="14" t="s">
        <v>1269</v>
      </c>
      <c r="N99" s="11" t="s">
        <v>261</v>
      </c>
      <c r="O99" s="14" t="s">
        <v>1269</v>
      </c>
      <c r="P99" s="15"/>
      <c r="Q99" s="11" t="s">
        <v>261</v>
      </c>
      <c r="R99" s="14" t="s">
        <v>1269</v>
      </c>
      <c r="S99" s="15"/>
      <c r="T99" s="11" t="s">
        <v>261</v>
      </c>
      <c r="U99" s="14" t="s">
        <v>1269</v>
      </c>
      <c r="V99" s="15"/>
      <c r="W99" s="11" t="s">
        <v>261</v>
      </c>
      <c r="X99" s="14" t="s">
        <v>1269</v>
      </c>
      <c r="Y99" s="15"/>
      <c r="Z99" s="11" t="s">
        <v>261</v>
      </c>
      <c r="AA99" s="14" t="s">
        <v>1269</v>
      </c>
      <c r="AB99" s="15"/>
      <c r="AC99" s="11" t="s">
        <v>261</v>
      </c>
      <c r="AD99" s="14" t="s">
        <v>1269</v>
      </c>
      <c r="AG99" s="8"/>
      <c r="AH99" s="8"/>
      <c r="AI99" s="8"/>
      <c r="AJ99" s="8"/>
    </row>
    <row r="100" spans="2:36" s="26" customFormat="1" ht="20" customHeight="1" x14ac:dyDescent="0.2">
      <c r="B100" s="2"/>
      <c r="C100" s="2"/>
      <c r="E100" s="4" t="s">
        <v>1025</v>
      </c>
      <c r="F100" s="337" t="str">
        <f>IF(ISBLANK(input_mgmt_en_asn),"Value Missing",input_mgmt_en_asn)</f>
        <v>Value Missing</v>
      </c>
      <c r="G100" s="2"/>
      <c r="H100" s="4" t="s">
        <v>1025</v>
      </c>
      <c r="I100" s="337" t="str">
        <f>IF(ISBLANK(input_wld_en_asn),"Value Missing",input_wld_en_asn)</f>
        <v>Value Missing</v>
      </c>
      <c r="J100" s="2"/>
      <c r="K100" s="4" t="s">
        <v>1025</v>
      </c>
      <c r="L100" s="337" t="str">
        <f>IF(ISBLANK(input_wld_rack2_en_asn),"Value Missing",input_wld_rack2_en_asn)</f>
        <v>Value Missing</v>
      </c>
      <c r="M100" s="2"/>
      <c r="N100" s="4" t="s">
        <v>1025</v>
      </c>
      <c r="O100" s="337" t="str">
        <f>IF(ISBLANK(input_wld_rack3_en_asn),"Value Missing",input_wld_rack3_en_asn)</f>
        <v>Value Missing</v>
      </c>
      <c r="P100" s="2"/>
      <c r="Q100" s="4" t="s">
        <v>1025</v>
      </c>
      <c r="R100" s="337" t="str">
        <f>IF(ISBLANK(input_wld_rack4_en_asn),"Value Missing",input_wld_rack4_en_asn)</f>
        <v>Value Missing</v>
      </c>
      <c r="S100" s="2"/>
      <c r="T100" s="4" t="s">
        <v>1025</v>
      </c>
      <c r="U100" s="337" t="str">
        <f>IF(ISBLANK(input_wld_rack5_en_asn),"Value Missing",input_wld_rack5_en_asn)</f>
        <v>Value Missing</v>
      </c>
      <c r="V100" s="2"/>
      <c r="W100" s="4" t="s">
        <v>1025</v>
      </c>
      <c r="X100" s="337" t="str">
        <f>IF(ISBLANK(input_wld_rack6_en_asn),"Value Missing",input_wld_rack6_en_asn)</f>
        <v>Value Missing</v>
      </c>
      <c r="Y100" s="2"/>
      <c r="Z100" s="4" t="s">
        <v>1025</v>
      </c>
      <c r="AA100" s="337" t="str">
        <f>IF(ISBLANK(input_wld_rack7_en_asn),"Value Missing",input_wld_rack7_en_asn)</f>
        <v>Value Missing</v>
      </c>
      <c r="AB100" s="2"/>
      <c r="AC100" s="4" t="s">
        <v>1025</v>
      </c>
      <c r="AD100" s="337" t="str">
        <f>IF(ISBLANK(input_wld_rack8_en_asn),"Value Missing",input_wld_rack8_en_asn)</f>
        <v>Value Missing</v>
      </c>
      <c r="AG100" s="27"/>
      <c r="AH100" s="27"/>
      <c r="AI100" s="27"/>
      <c r="AJ100" s="27"/>
    </row>
    <row r="101" spans="2:36" s="2" customFormat="1" ht="20" customHeight="1" x14ac:dyDescent="0.2">
      <c r="E101" s="4" t="s">
        <v>168</v>
      </c>
      <c r="F101" s="337" t="str">
        <f>IF(ISBLANK(input_mgmt_az1_tor1_peer_ip),"Value Missing",input_mgmt_az1_tor1_peer_ip)</f>
        <v>Value Missing</v>
      </c>
      <c r="H101" s="4" t="s">
        <v>168</v>
      </c>
      <c r="I101" s="337" t="str">
        <f>IF(ISBLANK(input_wld_az1_tor1_peer_ip),"Value Missing",input_wld_az1_tor1_peer_ip)</f>
        <v>Value Missing</v>
      </c>
      <c r="K101" s="4" t="s">
        <v>168</v>
      </c>
      <c r="L101" s="337" t="str">
        <f>IF(ISBLANK(input_wld_az1_rack2_tor1_peer_ip),"Value Missing",input_wld_az1_rack2_tor1_peer_ip)</f>
        <v>Value Missing</v>
      </c>
      <c r="N101" s="4" t="s">
        <v>168</v>
      </c>
      <c r="O101" s="337" t="str">
        <f>IF(ISBLANK(input_wld_az1_rack3_tor1_peer_ip),"Value Missing",input_wld_az1_rack3_tor1_peer_ip)</f>
        <v>Value Missing</v>
      </c>
      <c r="Q101" s="4" t="s">
        <v>168</v>
      </c>
      <c r="R101" s="337" t="str">
        <f>IF(ISBLANK(input_wld_az1_rack4_tor1_peer_ip),"Value Missing",input_wld_az1_rack4_tor1_peer_ip)</f>
        <v>Value Missing</v>
      </c>
      <c r="T101" s="4" t="s">
        <v>168</v>
      </c>
      <c r="U101" s="337" t="str">
        <f>IF(ISBLANK(input_wld_az1_rack5_tor1_peer_ip),"Value Missing",input_wld_az1_rack5_tor1_peer_ip)</f>
        <v>Value Missing</v>
      </c>
      <c r="W101" s="4" t="s">
        <v>168</v>
      </c>
      <c r="X101" s="337" t="str">
        <f>IF(ISBLANK(input_wld_az1_rack6_tor1_peer_ip),"Value Missing",input_wld_az1_rack6_tor1_peer_ip)</f>
        <v>Value Missing</v>
      </c>
      <c r="Z101" s="4" t="s">
        <v>168</v>
      </c>
      <c r="AA101" s="337" t="str">
        <f>IF(ISBLANK(input_wld_az1_rack7_tor1_peer_ip),"Value Missing",input_wld_az1_rack7_tor1_peer_ip)</f>
        <v>Value Missing</v>
      </c>
      <c r="AC101" s="4" t="s">
        <v>168</v>
      </c>
      <c r="AD101" s="337" t="str">
        <f>IF(ISBLANK(input_wld_az1_rack8_tor1_peer_ip),"Value Missing",input_wld_az1_rack8_tor1_peer_ip)</f>
        <v>Value Missing</v>
      </c>
      <c r="AG101" s="8"/>
      <c r="AH101" s="8"/>
      <c r="AI101" s="8"/>
      <c r="AJ101" s="8"/>
    </row>
    <row r="102" spans="2:36" s="2" customFormat="1" ht="20" customHeight="1" x14ac:dyDescent="0.2">
      <c r="E102" s="4" t="s">
        <v>169</v>
      </c>
      <c r="F102" s="337" t="str">
        <f>IF(ISBLANK(input_mgmt_az1_tor1_peer_asn),"Value Missing",input_mgmt_az1_tor1_peer_asn)</f>
        <v>Value Missing</v>
      </c>
      <c r="H102" s="4" t="s">
        <v>169</v>
      </c>
      <c r="I102" s="337" t="str">
        <f>IF(ISBLANK(input_wld_az1_tor1_peer_asn),"Value Missing",input_wld_az1_tor1_peer_asn)</f>
        <v>Value Missing</v>
      </c>
      <c r="K102" s="4" t="s">
        <v>169</v>
      </c>
      <c r="L102" s="337" t="str">
        <f>IF(ISBLANK(input_wld_az1_rack2_tor1_peer_asn),"Value Missing",input_wld_az1_rack2_tor1_peer_asn)</f>
        <v>Value Missing</v>
      </c>
      <c r="N102" s="4" t="s">
        <v>169</v>
      </c>
      <c r="O102" s="337" t="str">
        <f>IF(ISBLANK(input_wld_az1_rack3_tor1_peer_asn),"Value Missing",input_wld_az1_rack3_tor1_peer_asn)</f>
        <v>Value Missing</v>
      </c>
      <c r="Q102" s="4" t="s">
        <v>169</v>
      </c>
      <c r="R102" s="337" t="str">
        <f>IF(ISBLANK(input_wld_az1_rack4_tor1_peer_asn),"Value Missing",input_wld_az1_rack4_tor1_peer_asn)</f>
        <v>Value Missing</v>
      </c>
      <c r="T102" s="4" t="s">
        <v>169</v>
      </c>
      <c r="U102" s="337" t="str">
        <f>IF(ISBLANK(input_wld_az1_rack5_tor1_peer_asn),"Value Missing",input_wld_az1_rack5_tor1_peer_asn)</f>
        <v>Value Missing</v>
      </c>
      <c r="W102" s="4" t="s">
        <v>169</v>
      </c>
      <c r="X102" s="337" t="str">
        <f>IF(ISBLANK(input_wld_az1_rack6_tor1_peer_asn),"Value Missing",input_wld_az1_rack6_tor1_peer_asn)</f>
        <v>Value Missing</v>
      </c>
      <c r="Z102" s="4" t="s">
        <v>169</v>
      </c>
      <c r="AA102" s="337" t="str">
        <f>IF(ISBLANK(input_wld_az1_rack7_tor1_peer_asn),"Value Missing",input_wld_az1_rack7_tor1_peer_asn)</f>
        <v>Value Missing</v>
      </c>
      <c r="AC102" s="4" t="s">
        <v>169</v>
      </c>
      <c r="AD102" s="337" t="str">
        <f>IF(ISBLANK(input_wld_az1_rack8_tor1_peer_asn),"Value Missing",input_wld_az1_rack8_tor1_peer_asn)</f>
        <v>Value Missing</v>
      </c>
      <c r="AG102" s="8"/>
      <c r="AH102" s="8"/>
      <c r="AI102" s="8"/>
      <c r="AJ102" s="8"/>
    </row>
    <row r="103" spans="2:36" s="2" customFormat="1" ht="20" customHeight="1" x14ac:dyDescent="0.2">
      <c r="E103" s="4" t="s">
        <v>170</v>
      </c>
      <c r="F103" s="337" t="str">
        <f>IF(ISBLANK(input_mgmt_az1_tor1_peer_bgp_password),"Value Missing",input_mgmt_az1_tor1_peer_bgp_password)</f>
        <v>Value Missing</v>
      </c>
      <c r="G103" s="15"/>
      <c r="H103" s="4" t="s">
        <v>170</v>
      </c>
      <c r="I103" s="337" t="str">
        <f>IF(ISBLANK(input_wld_az1_tor1_peer_bgp_password),"Value Missing",input_wld_az1_tor1_peer_bgp_password)</f>
        <v>Value Missing</v>
      </c>
      <c r="J103" s="15"/>
      <c r="K103" s="4" t="s">
        <v>170</v>
      </c>
      <c r="L103" s="337" t="str">
        <f>IF(ISBLANK(input_wld_az1_rack2_tor1_peer_bgp_password),"Value Missing",input_wld_az1_rack2_tor1_peer_bgp_password)</f>
        <v>Value Missing</v>
      </c>
      <c r="N103" s="4" t="s">
        <v>170</v>
      </c>
      <c r="O103" s="337" t="str">
        <f>IF(ISBLANK(input_wld_az1_rack3_tor1_peer_bgp_password),"Value Missing",input_wld_az1_rack3_tor1_peer_bgp_password)</f>
        <v>Value Missing</v>
      </c>
      <c r="Q103" s="4" t="s">
        <v>170</v>
      </c>
      <c r="R103" s="337" t="str">
        <f>IF(ISBLANK(input_wld_az1_rack4_tor1_peer_bgp_password),"Value Missing",input_wld_az1_rack4_tor1_peer_bgp_password)</f>
        <v>Value Missing</v>
      </c>
      <c r="T103" s="4" t="s">
        <v>170</v>
      </c>
      <c r="U103" s="337" t="str">
        <f>IF(ISBLANK(input_wld_az1_rack5_tor1_peer_bgp_password),"Value Missing",input_wld_az1_rack5_tor1_peer_bgp_password)</f>
        <v>Value Missing</v>
      </c>
      <c r="W103" s="4" t="s">
        <v>170</v>
      </c>
      <c r="X103" s="337" t="str">
        <f>IF(ISBLANK(input_wld_az1_rack6_tor1_peer_bgp_password),"Value Missing",input_wld_az1_rack6_tor1_peer_bgp_password)</f>
        <v>Value Missing</v>
      </c>
      <c r="Z103" s="4" t="s">
        <v>170</v>
      </c>
      <c r="AA103" s="337" t="str">
        <f>IF(ISBLANK(input_wld_az1_rack7_tor1_peer_bgp_password),"Value Missing",input_wld_az1_rack7_tor1_peer_bgp_password)</f>
        <v>Value Missing</v>
      </c>
      <c r="AC103" s="4" t="s">
        <v>170</v>
      </c>
      <c r="AD103" s="337" t="str">
        <f>IF(ISBLANK(input_wld_az1_rack8_tor1_peer_bgp_password),"Value Missing",input_wld_az1_rack8_tor1_peer_bgp_password)</f>
        <v>Value Missing</v>
      </c>
      <c r="AG103" s="8"/>
      <c r="AH103" s="8"/>
      <c r="AI103" s="8"/>
      <c r="AJ103" s="8"/>
    </row>
    <row r="104" spans="2:36" s="2" customFormat="1" ht="20" customHeight="1" x14ac:dyDescent="0.2">
      <c r="E104" s="4" t="s">
        <v>171</v>
      </c>
      <c r="F104" s="337" t="str">
        <f>IF(ISBLANK(input_mgmt_az1_tor2_peer_ip),"Value Missing",input_mgmt_az1_tor2_peer_ip)</f>
        <v>Value Missing</v>
      </c>
      <c r="H104" s="4" t="s">
        <v>171</v>
      </c>
      <c r="I104" s="337" t="str">
        <f>IF(ISBLANK(input_wld_az1_tor2_peer_ip),"Value Missing",input_wld_az1_tor2_peer_ip)</f>
        <v>Value Missing</v>
      </c>
      <c r="K104" s="4" t="s">
        <v>171</v>
      </c>
      <c r="L104" s="337" t="str">
        <f>IF(ISBLANK(input_wld_az1_rack2_tor2_peer_ip),"Value Missing",input_wld_az1_rack2_tor2_peer_ip)</f>
        <v>Value Missing</v>
      </c>
      <c r="M104" s="15"/>
      <c r="N104" s="4" t="s">
        <v>171</v>
      </c>
      <c r="O104" s="337" t="str">
        <f>IF(ISBLANK(input_wld_az1_rack3_tor2_peer_ip),"Value Missing",input_wld_az1_rack3_tor2_peer_ip)</f>
        <v>Value Missing</v>
      </c>
      <c r="Q104" s="4" t="s">
        <v>171</v>
      </c>
      <c r="R104" s="337" t="str">
        <f>IF(ISBLANK(input_wld_az1_rack4_tor2_peer_ip),"Value Missing",input_wld_az1_rack4_tor2_peer_ip)</f>
        <v>Value Missing</v>
      </c>
      <c r="T104" s="4" t="s">
        <v>171</v>
      </c>
      <c r="U104" s="337" t="str">
        <f>IF(ISBLANK(input_wld_az1_rack5_tor2_peer_ip),"Value Missing",input_wld_az1_rack5_tor2_peer_ip)</f>
        <v>Value Missing</v>
      </c>
      <c r="W104" s="4" t="s">
        <v>171</v>
      </c>
      <c r="X104" s="337" t="str">
        <f>IF(ISBLANK(input_wld_az1_rack6_tor2_peer_ip),"Value Missing",input_wld_az1_rack6_tor2_peer_ip)</f>
        <v>Value Missing</v>
      </c>
      <c r="Z104" s="4" t="s">
        <v>171</v>
      </c>
      <c r="AA104" s="337" t="str">
        <f>IF(ISBLANK(input_wld_az1_rack7_tor2_peer_ip),"Value Missing",input_wld_az1_rack7_tor2_peer_ip)</f>
        <v>Value Missing</v>
      </c>
      <c r="AC104" s="4" t="s">
        <v>171</v>
      </c>
      <c r="AD104" s="337" t="str">
        <f>IF(ISBLANK(input_wld_az1_rack8_tor2_peer_ip),"Value Missing",input_wld_az1_rack8_tor2_peer_ip)</f>
        <v>Value Missing</v>
      </c>
      <c r="AG104" s="8"/>
      <c r="AH104" s="8"/>
      <c r="AI104" s="8"/>
      <c r="AJ104" s="8"/>
    </row>
    <row r="105" spans="2:36" s="2" customFormat="1" ht="20" customHeight="1" x14ac:dyDescent="0.2">
      <c r="E105" s="4" t="s">
        <v>172</v>
      </c>
      <c r="F105" s="337" t="str">
        <f>IF(ISBLANK(input_mgmt_az1_tor2_peer_asn),"Value Missing",input_mgmt_az1_tor2_peer_asn)</f>
        <v>Value Missing</v>
      </c>
      <c r="H105" s="4" t="s">
        <v>172</v>
      </c>
      <c r="I105" s="337" t="str">
        <f>IF(ISBLANK(input_wld_az1_tor2_peer_asn),"Value Missing",input_wld_az1_tor2_peer_asn)</f>
        <v>Value Missing</v>
      </c>
      <c r="K105" s="4" t="s">
        <v>172</v>
      </c>
      <c r="L105" s="337" t="str">
        <f>IF(ISBLANK(input_wld_az1_rack2_tor2_peer_asn),"Value Missing",input_wld_az1_rack2_tor2_peer_asn)</f>
        <v>Value Missing</v>
      </c>
      <c r="N105" s="4" t="s">
        <v>172</v>
      </c>
      <c r="O105" s="337" t="str">
        <f>IF(ISBLANK(input_wld_az1_rack3_tor2_peer_asn),"Value Missing",input_wld_az1_rack3_tor2_peer_asn)</f>
        <v>Value Missing</v>
      </c>
      <c r="Q105" s="4" t="s">
        <v>172</v>
      </c>
      <c r="R105" s="337" t="str">
        <f>IF(ISBLANK(input_wld_az1_rack4_tor2_peer_asn),"Value Missing",input_wld_az1_rack4_tor2_peer_asn)</f>
        <v>Value Missing</v>
      </c>
      <c r="T105" s="4" t="s">
        <v>172</v>
      </c>
      <c r="U105" s="337" t="str">
        <f>IF(ISBLANK(input_wld_az1_rack5_tor2_peer_asn),"Value Missing",input_wld_az1_rack5_tor2_peer_asn)</f>
        <v>Value Missing</v>
      </c>
      <c r="W105" s="4" t="s">
        <v>172</v>
      </c>
      <c r="X105" s="337" t="str">
        <f>IF(ISBLANK(input_wld_az1_rack6_tor2_peer_asn),"Value Missing",input_wld_az1_rack6_tor2_peer_asn)</f>
        <v>Value Missing</v>
      </c>
      <c r="Z105" s="4" t="s">
        <v>172</v>
      </c>
      <c r="AA105" s="337" t="str">
        <f>IF(ISBLANK(input_wld_az1_rack7_tor2_peer_asn),"Value Missing",input_wld_az1_rack7_tor2_peer_asn)</f>
        <v>Value Missing</v>
      </c>
      <c r="AC105" s="4" t="s">
        <v>172</v>
      </c>
      <c r="AD105" s="337" t="str">
        <f>IF(ISBLANK(input_wld_az1_rack8_tor2_peer_asn),"Value Missing",input_wld_az1_rack8_tor2_peer_asn)</f>
        <v>Value Missing</v>
      </c>
      <c r="AG105" s="8"/>
      <c r="AH105" s="8"/>
      <c r="AI105" s="8"/>
      <c r="AJ105" s="8"/>
    </row>
    <row r="106" spans="2:36" s="7" customFormat="1" ht="20" customHeight="1" x14ac:dyDescent="0.2">
      <c r="B106" s="2"/>
      <c r="C106" s="2"/>
      <c r="E106" s="4" t="s">
        <v>173</v>
      </c>
      <c r="F106" s="337" t="str">
        <f>IF(ISBLANK(input_mgmt_az1_tor2_peer_bgp_password),"Value Missing",input_mgmt_az1_tor2_peer_bgp_password)</f>
        <v>Value Missing</v>
      </c>
      <c r="G106" s="2"/>
      <c r="H106" s="4" t="s">
        <v>173</v>
      </c>
      <c r="I106" s="337" t="str">
        <f>IF(ISBLANK(input_wld_az1_tor2_peer_bgp_password),"Value Missing",input_wld_az1_tor2_peer_bgp_password)</f>
        <v>Value Missing</v>
      </c>
      <c r="J106" s="2"/>
      <c r="K106" s="4" t="s">
        <v>173</v>
      </c>
      <c r="L106" s="337" t="str">
        <f>IF(ISBLANK(input_wld_az1_rack2_tor2_peer_bgp_password),"Value Missing",input_wld_az1_rack2_tor2_peer_bgp_password)</f>
        <v>Value Missing</v>
      </c>
      <c r="M106" s="2"/>
      <c r="N106" s="4" t="s">
        <v>173</v>
      </c>
      <c r="O106" s="337" t="str">
        <f>IF(ISBLANK(input_wld_az1_rack3_tor2_peer_bgp_password),"Value Missing",input_wld_az1_rack3_tor2_peer_bgp_password)</f>
        <v>Value Missing</v>
      </c>
      <c r="P106" s="2"/>
      <c r="Q106" s="4" t="s">
        <v>173</v>
      </c>
      <c r="R106" s="337" t="str">
        <f>IF(ISBLANK(input_wld_az1_rack4_tor2_peer_bgp_password),"Value Missing",input_wld_az1_rack4_tor2_peer_bgp_password)</f>
        <v>Value Missing</v>
      </c>
      <c r="S106" s="2"/>
      <c r="T106" s="4" t="s">
        <v>173</v>
      </c>
      <c r="U106" s="337" t="str">
        <f>IF(ISBLANK(input_wld_az1_rack5_tor2_peer_bgp_password),"Value Missing",input_wld_az1_rack5_tor2_peer_bgp_password)</f>
        <v>Value Missing</v>
      </c>
      <c r="V106" s="2"/>
      <c r="W106" s="4" t="s">
        <v>173</v>
      </c>
      <c r="X106" s="337" t="str">
        <f>IF(ISBLANK(input_wld_az1_rack6_tor2_peer_bgp_password),"Value Missing",input_wld_az1_rack6_tor2_peer_bgp_password)</f>
        <v>Value Missing</v>
      </c>
      <c r="Y106" s="2"/>
      <c r="Z106" s="4" t="s">
        <v>173</v>
      </c>
      <c r="AA106" s="337" t="str">
        <f>IF(ISBLANK(input_wld_az1_rack7_tor2_peer_bgp_password),"Value Missing",input_wld_az1_rack7_tor2_peer_bgp_password)</f>
        <v>Value Missing</v>
      </c>
      <c r="AB106" s="2"/>
      <c r="AC106" s="4" t="s">
        <v>173</v>
      </c>
      <c r="AD106" s="337" t="str">
        <f>IF(ISBLANK(input_wld_az1_rack8_tor2_peer_bgp_password),"Value Missing",input_wld_az1_rack8_tor2_peer_bgp_password)</f>
        <v>Value Missing</v>
      </c>
      <c r="AG106" s="8"/>
      <c r="AH106" s="8"/>
      <c r="AI106" s="19"/>
      <c r="AJ106" s="19"/>
    </row>
    <row r="107" spans="2:36" s="2" customFormat="1" ht="20" customHeight="1" x14ac:dyDescent="0.2">
      <c r="I107" s="3"/>
      <c r="L107" s="3"/>
      <c r="O107" s="3"/>
      <c r="R107" s="3"/>
      <c r="U107" s="3"/>
      <c r="X107" s="3"/>
      <c r="AA107" s="3"/>
      <c r="AD107" s="3"/>
      <c r="AG107" s="8"/>
      <c r="AH107" s="8"/>
    </row>
    <row r="108" spans="2:36" s="2" customFormat="1" ht="20" customHeight="1" x14ac:dyDescent="0.2">
      <c r="E108" s="379" t="s">
        <v>1373</v>
      </c>
      <c r="F108" s="381"/>
      <c r="H108" s="379" t="s">
        <v>1374</v>
      </c>
      <c r="I108" s="381"/>
      <c r="K108" s="379" t="s">
        <v>1375</v>
      </c>
      <c r="L108" s="381"/>
      <c r="N108" s="379" t="s">
        <v>1376</v>
      </c>
      <c r="O108" s="381"/>
      <c r="Q108" s="379" t="s">
        <v>1377</v>
      </c>
      <c r="R108" s="381"/>
      <c r="T108" s="379" t="s">
        <v>1378</v>
      </c>
      <c r="U108" s="381"/>
      <c r="W108" s="379" t="s">
        <v>1379</v>
      </c>
      <c r="X108" s="381"/>
      <c r="Z108" s="379" t="s">
        <v>1380</v>
      </c>
      <c r="AA108" s="381"/>
      <c r="AC108" s="379" t="s">
        <v>1381</v>
      </c>
      <c r="AD108" s="381"/>
      <c r="AG108" s="8"/>
      <c r="AH108" s="8"/>
    </row>
    <row r="109" spans="2:36" s="2" customFormat="1" ht="20" customHeight="1" x14ac:dyDescent="0.2">
      <c r="E109" s="11" t="s">
        <v>261</v>
      </c>
      <c r="F109" s="14" t="s">
        <v>1269</v>
      </c>
      <c r="H109" s="11" t="s">
        <v>261</v>
      </c>
      <c r="I109" s="14" t="s">
        <v>1269</v>
      </c>
      <c r="K109" s="11" t="s">
        <v>261</v>
      </c>
      <c r="L109" s="14" t="s">
        <v>1269</v>
      </c>
      <c r="N109" s="11" t="s">
        <v>261</v>
      </c>
      <c r="O109" s="14" t="s">
        <v>1269</v>
      </c>
      <c r="P109" s="15"/>
      <c r="Q109" s="11" t="s">
        <v>261</v>
      </c>
      <c r="R109" s="14" t="s">
        <v>1269</v>
      </c>
      <c r="S109" s="15"/>
      <c r="T109" s="11" t="s">
        <v>261</v>
      </c>
      <c r="U109" s="14" t="s">
        <v>1269</v>
      </c>
      <c r="V109" s="15"/>
      <c r="W109" s="11" t="s">
        <v>261</v>
      </c>
      <c r="X109" s="14" t="s">
        <v>1269</v>
      </c>
      <c r="Y109" s="15"/>
      <c r="Z109" s="11" t="s">
        <v>261</v>
      </c>
      <c r="AA109" s="14" t="s">
        <v>1269</v>
      </c>
      <c r="AB109" s="15"/>
      <c r="AC109" s="11" t="s">
        <v>261</v>
      </c>
      <c r="AD109" s="14" t="s">
        <v>1269</v>
      </c>
      <c r="AG109" s="8"/>
      <c r="AH109" s="8"/>
    </row>
    <row r="110" spans="2:36" s="2" customFormat="1" ht="20" customHeight="1" x14ac:dyDescent="0.2">
      <c r="E110" s="4" t="s">
        <v>1272</v>
      </c>
      <c r="F110" s="337" t="str">
        <f>IF(ISBLANK(input_mgmt_cl01_az1_mgmt_vm_pg),"Value Missing",input_mgmt_cl01_az1_mgmt_vm_pg)</f>
        <v>Value Missing</v>
      </c>
      <c r="H110" s="4" t="s">
        <v>1272</v>
      </c>
      <c r="I110" s="337" t="str">
        <f>IF(ISBLANK(input_wld_cl01_az1_mgmt_vm_pg),"Value Missing",input_wld_cl01_az1_mgmt_vm_pg)</f>
        <v>Value Missing</v>
      </c>
      <c r="K110" s="4" t="s">
        <v>1272</v>
      </c>
      <c r="L110" s="337" t="str">
        <f>CONCATENATE(input_wld_cl01_az1_mgmt_vm_pg,"_VLAN_",wld_az1_rack2_mgmt_vm_vlan)</f>
        <v>_VLAN_Value Missing</v>
      </c>
      <c r="N110" s="4" t="s">
        <v>1272</v>
      </c>
      <c r="O110" s="337" t="str">
        <f>CONCATENATE(input_wld_cl01_az1_mgmt_vm_pg,"_VLAN_",wld_az1_rack3_mgmt_vm_vlan)</f>
        <v>_VLAN_Value Missing</v>
      </c>
      <c r="Q110" s="4" t="s">
        <v>1272</v>
      </c>
      <c r="R110" s="337" t="str">
        <f>CONCATENATE(input_wld_cl01_az1_mgmt_vm_pg,"_VLAN_",wld_az1_rack4_mgmt_vm_vlan)</f>
        <v>_VLAN_Value Missing</v>
      </c>
      <c r="T110" s="4" t="s">
        <v>1272</v>
      </c>
      <c r="U110" s="337" t="str">
        <f>CONCATENATE(input_wld_cl01_az1_mgmt_vm_pg,"_VLAN_",wld_az1_rack5_mgmt_vm_vlan)</f>
        <v>_VLAN_Value Missing</v>
      </c>
      <c r="W110" s="4" t="s">
        <v>1272</v>
      </c>
      <c r="X110" s="337" t="str">
        <f>CONCATENATE(input_wld_cl01_az1_mgmt_vm_pg,"_VLAN_",wld_az1_rack6_mgmt_vm_vlan)</f>
        <v>_VLAN_Value Missing</v>
      </c>
      <c r="Z110" s="4" t="s">
        <v>1272</v>
      </c>
      <c r="AA110" s="337" t="str">
        <f>CONCATENATE(input_wld_cl01_az1_mgmt_vm_pg,"_VLAN_",wld_az1_rack7_mgmt_vm_vlan)</f>
        <v>_VLAN_Value Missing</v>
      </c>
      <c r="AC110" s="4" t="s">
        <v>1272</v>
      </c>
      <c r="AD110" s="337" t="str">
        <f>CONCATENATE(input_wld_cl01_az1_mgmt_vm_pg,"_VLAN_",wld_az1_rack8_mgmt_vm_vlan)</f>
        <v>_VLAN_Value Missing</v>
      </c>
      <c r="AG110" s="8"/>
      <c r="AH110" s="8"/>
    </row>
    <row r="111" spans="2:36" s="2" customFormat="1" ht="20" customHeight="1" x14ac:dyDescent="0.2">
      <c r="E111" s="4" t="s">
        <v>1274</v>
      </c>
      <c r="F111" s="337" t="str">
        <f>IF(ISBLANK(input_mgmt_cl01_az1_mgmt_pg),"Value Missing",input_mgmt_cl01_az1_mgmt_pg)</f>
        <v>Value Missing</v>
      </c>
      <c r="H111" s="4" t="s">
        <v>1274</v>
      </c>
      <c r="I111" s="337" t="str">
        <f>IF(ISBLANK(input_wld_cl01_az1_mgmt_pg),"Value Missing",input_wld_cl01_az1_mgmt_pg)</f>
        <v>Value Missing</v>
      </c>
      <c r="K111" s="4" t="s">
        <v>1274</v>
      </c>
      <c r="L111" s="331" t="str">
        <f>CONCATENATE(input_wld_cl01_az1_mgmt_pg,"_VLAN_",wld_az1_rack2_mgmt_vlan)</f>
        <v>_VLAN_Value Missing</v>
      </c>
      <c r="N111" s="4" t="s">
        <v>1274</v>
      </c>
      <c r="O111" s="337" t="str">
        <f>CONCATENATE(input_wld_cl01_az1_mgmt_pg,"_VLAN_",wld_az1_rack3_mgmt_vlan)</f>
        <v>_VLAN_Value Missing</v>
      </c>
      <c r="Q111" s="4" t="s">
        <v>1274</v>
      </c>
      <c r="R111" s="337" t="str">
        <f>CONCATENATE(input_wld_cl01_az1_mgmt_pg,"_VLAN_",wld_az1_rack4_mgmt_vlan)</f>
        <v>_VLAN_Value Missing</v>
      </c>
      <c r="T111" s="4" t="s">
        <v>1274</v>
      </c>
      <c r="U111" s="337" t="str">
        <f>CONCATENATE(input_wld_cl01_az1_mgmt_pg,"_VLAN_",wld_az1_rack5_mgmt_vlan)</f>
        <v>_VLAN_Value Missing</v>
      </c>
      <c r="W111" s="4" t="s">
        <v>1274</v>
      </c>
      <c r="X111" s="337" t="str">
        <f>CONCATENATE(input_wld_cl01_az1_mgmt_pg,"_VLAN_",wld_az1_rack6_mgmt_vlan)</f>
        <v>_VLAN_Value Missing</v>
      </c>
      <c r="Z111" s="4" t="s">
        <v>1274</v>
      </c>
      <c r="AA111" s="337" t="str">
        <f>CONCATENATE(input_wld_cl01_az1_mgmt_pg,"_VLAN_",wld_az1_rack7_mgmt_vlan)</f>
        <v>_VLAN_Value Missing</v>
      </c>
      <c r="AC111" s="4" t="s">
        <v>1274</v>
      </c>
      <c r="AD111" s="337" t="str">
        <f>CONCATENATE(input_wld_cl01_az1_mgmt_pg,"_VLAN_",wld_az1_rack8_mgmt_vlan)</f>
        <v>_VLAN_Value Missing</v>
      </c>
      <c r="AG111" s="8"/>
      <c r="AH111" s="8"/>
    </row>
    <row r="112" spans="2:36" s="2" customFormat="1" ht="20" customHeight="1" x14ac:dyDescent="0.2">
      <c r="E112" s="4" t="s">
        <v>251</v>
      </c>
      <c r="F112" s="337" t="str">
        <f>IF(ISBLANK(input_mgmt_cl01_az1_vmotion_pg),"Value Missing",input_mgmt_cl01_az1_vmotion_pg)</f>
        <v>Value Missing</v>
      </c>
      <c r="H112" s="4" t="s">
        <v>251</v>
      </c>
      <c r="I112" s="337" t="str">
        <f>IF(ISBLANK(input_wld_cl01_az1_vmotion_pg),"Value Missing",input_wld_cl01_az1_vmotion_pg)</f>
        <v>Value Missing</v>
      </c>
      <c r="K112" s="4" t="s">
        <v>251</v>
      </c>
      <c r="L112" s="337" t="str">
        <f>CONCATENATE(input_wld_cl01_az1_vmotion_pg,"_VLAN_",wld_az1_rack2_vmotion_vlan)</f>
        <v>_VLAN_Value Missing</v>
      </c>
      <c r="N112" s="4" t="s">
        <v>251</v>
      </c>
      <c r="O112" s="337" t="str">
        <f>CONCATENATE(input_wld_cl01_az1_vmotion_pg,"_VLAN_",wld_az1_rack3_vmotion_vlan)</f>
        <v>_VLAN_Value Missing</v>
      </c>
      <c r="Q112" s="4" t="s">
        <v>251</v>
      </c>
      <c r="R112" s="337" t="str">
        <f>CONCATENATE(input_wld_cl01_az1_vmotion_pg,"_VLAN_",wld_az1_rack4_vmotion_vlan)</f>
        <v>_VLAN_Value Missing</v>
      </c>
      <c r="T112" s="4" t="s">
        <v>251</v>
      </c>
      <c r="U112" s="337" t="str">
        <f>CONCATENATE(input_wld_cl01_az1_vmotion_pg,"_VLAN_",wld_az1_rack5_vmotion_vlan)</f>
        <v>_VLAN_Value Missing</v>
      </c>
      <c r="W112" s="4" t="s">
        <v>251</v>
      </c>
      <c r="X112" s="337" t="str">
        <f>CONCATENATE(input_wld_cl01_az1_vmotion_pg,"_VLAN_",wld_az1_rack6_vmotion_vlan)</f>
        <v>_VLAN_Value Missing</v>
      </c>
      <c r="Z112" s="4" t="s">
        <v>251</v>
      </c>
      <c r="AA112" s="337" t="str">
        <f>CONCATENATE(input_wld_cl01_az1_vmotion_pg,"_VLAN_",wld_az1_rack7_vmotion_vlan)</f>
        <v>_VLAN_Value Missing</v>
      </c>
      <c r="AC112" s="4" t="s">
        <v>251</v>
      </c>
      <c r="AD112" s="337" t="str">
        <f>CONCATENATE(input_wld_cl01_az1_vmotion_pg,"_VLAN_",wld_az1_rack8_vmotion_vlan)</f>
        <v>_VLAN_Value Missing</v>
      </c>
      <c r="AG112" s="8"/>
      <c r="AH112" s="8"/>
    </row>
    <row r="113" spans="2:34" s="2" customFormat="1" ht="20" customHeight="1" x14ac:dyDescent="0.2">
      <c r="E113" s="4" t="s">
        <v>257</v>
      </c>
      <c r="F113" s="337" t="str">
        <f>IF(ISBLANK(input_mgmt_cl01_az1_vsan_pg),"Value Missing",input_mgmt_cl01_az1_vsan_pg)</f>
        <v>Value Missing</v>
      </c>
      <c r="H113" s="4" t="s">
        <v>257</v>
      </c>
      <c r="I113" s="337" t="str">
        <f>IF(ISBLANK(input_wld_cl01_az1_principal_storage_pg),"Value Missing",input_wld_cl01_az1_principal_storage_pg)</f>
        <v>Value Missing</v>
      </c>
      <c r="K113" s="4" t="s">
        <v>257</v>
      </c>
      <c r="L113" s="337" t="str">
        <f>CONCATENATE(input_wld_cl01_az1_principal_storage_pg,"_VLAN_",wld_az1_rack2_principal_storage_vlan)</f>
        <v>_VLAN_Value Missing</v>
      </c>
      <c r="N113" s="4" t="s">
        <v>257</v>
      </c>
      <c r="O113" s="337" t="str">
        <f>CONCATENATE(input_wld_cl01_az1_principal_storage_pg,"_VLAN_",wld_az1_rack3_principal_storage_vlan)</f>
        <v>_VLAN_Value Missing</v>
      </c>
      <c r="Q113" s="4" t="s">
        <v>257</v>
      </c>
      <c r="R113" s="337" t="str">
        <f>CONCATENATE(input_wld_cl01_az1_principal_storage_pg,"_VLAN_",wld_az1_rack4_principal_storage_vlan)</f>
        <v>_VLAN_Value Missing</v>
      </c>
      <c r="T113" s="4" t="s">
        <v>257</v>
      </c>
      <c r="U113" s="337" t="str">
        <f>CONCATENATE(input_wld_cl01_az1_principal_storage_pg,"_VLAN_",wld_az1_rack5_principal_storage_vlan)</f>
        <v>_VLAN_Value Missing</v>
      </c>
      <c r="W113" s="4" t="s">
        <v>257</v>
      </c>
      <c r="X113" s="337" t="str">
        <f>CONCATENATE(input_wld_cl01_az1_principal_storage_pg,"_VLAN_",wld_az1_rack6_principal_storage_vlan)</f>
        <v>_VLAN_Value Missing</v>
      </c>
      <c r="Z113" s="4" t="s">
        <v>257</v>
      </c>
      <c r="AA113" s="337" t="str">
        <f>CONCATENATE(input_wld_cl01_az1_principal_storage_pg,"_VLAN_",wld_az1_rack7_principal_storage_vlan)</f>
        <v>_VLAN_Value Missing</v>
      </c>
      <c r="AC113" s="4" t="s">
        <v>257</v>
      </c>
      <c r="AD113" s="337" t="str">
        <f>CONCATENATE(input_wld_cl01_az1_principal_storage_pg,"_VLAN_",wld_az1_rack8_principal_storage_vlan)</f>
        <v>_VLAN_Value Missing</v>
      </c>
      <c r="AG113" s="8"/>
      <c r="AH113" s="8"/>
    </row>
    <row r="114" spans="2:34" s="2" customFormat="1" ht="20" customHeight="1" x14ac:dyDescent="0.2">
      <c r="E114" s="4" t="s">
        <v>1278</v>
      </c>
      <c r="F114" s="337" t="s">
        <v>632</v>
      </c>
      <c r="H114" s="4" t="s">
        <v>1278</v>
      </c>
      <c r="I114" s="337" t="s">
        <v>632</v>
      </c>
      <c r="K114" s="4" t="s">
        <v>1283</v>
      </c>
      <c r="L114" s="337" t="str">
        <f>CONCATENATE(input_wld_cl01_az1_uplink01_pg,"_VLAN_",wld_az1_rack2_uplink01_vlan)</f>
        <v>_VLAN_Value Missing</v>
      </c>
      <c r="N114" s="4" t="s">
        <v>1283</v>
      </c>
      <c r="O114" s="337" t="str">
        <f>CONCATENATE(input_wld_cl01_az1_uplink01_pg,"_VLAN_",wld_az1_rack3_uplink01_vlan)</f>
        <v>_VLAN_Value Missing</v>
      </c>
      <c r="Q114" s="4" t="s">
        <v>1283</v>
      </c>
      <c r="R114" s="337" t="str">
        <f>CONCATENATE(input_wld_cl01_az1_uplink01_pg,"_VLAN_",wld_az1_rack4_uplink01_vlan)</f>
        <v>_VLAN_Value Missing</v>
      </c>
      <c r="T114" s="4" t="s">
        <v>1283</v>
      </c>
      <c r="U114" s="337" t="str">
        <f>CONCATENATE(input_wld_cl01_az1_uplink01_pg,"_VLAN_",wld_az1_rack5_uplink01_vlan)</f>
        <v>_VLAN_Value Missing</v>
      </c>
      <c r="W114" s="4" t="s">
        <v>1283</v>
      </c>
      <c r="X114" s="337" t="str">
        <f>CONCATENATE(input_wld_cl01_az1_uplink01_pg,"_VLAN_",wld_az1_rack6_uplink01_vlan)</f>
        <v>_VLAN_Value Missing</v>
      </c>
      <c r="Z114" s="4" t="s">
        <v>1283</v>
      </c>
      <c r="AA114" s="337" t="str">
        <f>CONCATENATE(input_wld_cl01_az1_uplink01_pg,"_VLAN_",wld_az1_rack7_uplink01_vlan)</f>
        <v>_VLAN_Value Missing</v>
      </c>
      <c r="AC114" s="4" t="s">
        <v>1283</v>
      </c>
      <c r="AD114" s="337" t="str">
        <f>CONCATENATE(input_wld_cl01_az1_uplink01_pg,"_VLAN_",wld_az1_rack8_uplink01_vlan)</f>
        <v>_VLAN_Value Missing</v>
      </c>
      <c r="AG114" s="8"/>
      <c r="AH114" s="8"/>
    </row>
    <row r="115" spans="2:34" s="2" customFormat="1" ht="20" customHeight="1" x14ac:dyDescent="0.2">
      <c r="E115" s="4" t="s">
        <v>1291</v>
      </c>
      <c r="F115" s="337" t="str">
        <f>mgmt_vrms_pg</f>
        <v>Value Missing</v>
      </c>
      <c r="G115" s="6"/>
      <c r="H115" s="4" t="s">
        <v>1291</v>
      </c>
      <c r="I115" s="337" t="str">
        <f>wld_vrms_pg</f>
        <v>Value Missing</v>
      </c>
      <c r="K115" s="4" t="s">
        <v>1285</v>
      </c>
      <c r="L115" s="337" t="str">
        <f>CONCATENATE(input_wld_cl01_az1_uplink02_pg,"_VLAN_",wld_az1_rack2_uplink02_vlan)</f>
        <v>_VLAN_Value Missing</v>
      </c>
      <c r="N115" s="4" t="s">
        <v>1285</v>
      </c>
      <c r="O115" s="337" t="str">
        <f>CONCATENATE(input_wld_cl01_az1_uplink02_pg,"_VLAN_",wld_az1_rack3_uplink02_vlan)</f>
        <v>_VLAN_Value Missing</v>
      </c>
      <c r="Q115" s="4" t="s">
        <v>1285</v>
      </c>
      <c r="R115" s="337" t="str">
        <f>CONCATENATE(input_wld_cl01_az1_uplink02_pg,"_VLAN_",wld_az1_rack4_uplink02_vlan)</f>
        <v>_VLAN_Value Missing</v>
      </c>
      <c r="T115" s="4" t="s">
        <v>1285</v>
      </c>
      <c r="U115" s="337" t="str">
        <f>CONCATENATE(input_wld_cl01_az1_uplink02_pg,"_VLAN_",wld_az1_rack5_uplink02_vlan)</f>
        <v>_VLAN_Value Missing</v>
      </c>
      <c r="W115" s="4" t="s">
        <v>1285</v>
      </c>
      <c r="X115" s="337" t="str">
        <f>CONCATENATE(input_wld_cl01_az1_uplink02_pg,"_VLAN_",wld_az1_rack6_uplink02_vlan)</f>
        <v>_VLAN_Value Missing</v>
      </c>
      <c r="Z115" s="4" t="s">
        <v>1285</v>
      </c>
      <c r="AA115" s="337" t="str">
        <f>CONCATENATE(input_wld_cl01_az1_uplink02_pg,"_VLAN_",wld_az1_rack7_uplink02_vlan)</f>
        <v>_VLAN_Value Missing</v>
      </c>
      <c r="AC115" s="4" t="s">
        <v>1285</v>
      </c>
      <c r="AD115" s="337" t="str">
        <f>CONCATENATE(input_wld_cl01_az1_uplink02_pg,"_VLAN_",wld_az1_rack8_uplink02_vlan)</f>
        <v>_VLAN_Value Missing</v>
      </c>
      <c r="AG115" s="8"/>
      <c r="AH115" s="8"/>
    </row>
    <row r="116" spans="2:34" s="2" customFormat="1" ht="20" customHeight="1" x14ac:dyDescent="0.2">
      <c r="E116" s="4" t="s">
        <v>1283</v>
      </c>
      <c r="F116" s="337" t="str">
        <f>IF(ISBLANK(input_mgmt_cl01_az1_uplink01_pg),"Value Missing",input_mgmt_cl01_az1_uplink01_pg)</f>
        <v>Value Missing</v>
      </c>
      <c r="H116" s="4" t="s">
        <v>1283</v>
      </c>
      <c r="I116" s="337" t="str">
        <f>IF(ISBLANK(input_wld_cl01_az1_uplink01_pg),"Value Missing",input_wld_cl01_az1_uplink01_pg)</f>
        <v>Value Missing</v>
      </c>
      <c r="K116" s="6"/>
      <c r="L116" s="6"/>
      <c r="N116" s="6"/>
      <c r="O116" s="6"/>
      <c r="Q116" s="6"/>
      <c r="R116" s="6"/>
      <c r="T116" s="6"/>
      <c r="U116" s="6"/>
      <c r="W116" s="6"/>
      <c r="X116" s="6"/>
      <c r="Z116" s="6"/>
      <c r="AA116" s="6"/>
      <c r="AC116" s="6"/>
      <c r="AD116" s="6"/>
      <c r="AG116" s="8"/>
      <c r="AH116" s="8"/>
    </row>
    <row r="117" spans="2:34" s="2" customFormat="1" ht="20" customHeight="1" x14ac:dyDescent="0.2">
      <c r="E117" s="4" t="s">
        <v>1285</v>
      </c>
      <c r="F117" s="337" t="str">
        <f>IF(ISBLANK(input_mgmt_cl01_az1_uplink02_pg),"Value Missing",input_mgmt_cl01_az1_uplink02_pg)</f>
        <v>Value Missing</v>
      </c>
      <c r="H117" s="4" t="s">
        <v>1285</v>
      </c>
      <c r="I117" s="337" t="str">
        <f>IF(ISBLANK(input_wld_cl01_az1_uplink02_pg),"Value Missing",input_wld_cl01_az1_uplink02_pg)</f>
        <v>Value Missing</v>
      </c>
      <c r="K117" s="6"/>
      <c r="L117" s="6"/>
      <c r="N117" s="6"/>
      <c r="O117" s="6"/>
      <c r="Q117" s="6"/>
      <c r="R117" s="6"/>
      <c r="T117" s="6"/>
      <c r="U117" s="6"/>
      <c r="W117" s="6"/>
      <c r="X117" s="6"/>
      <c r="Z117" s="6"/>
      <c r="AA117" s="6"/>
      <c r="AC117" s="6"/>
      <c r="AD117" s="6"/>
      <c r="AG117" s="8"/>
      <c r="AH117" s="8"/>
    </row>
    <row r="118" spans="2:34" s="2" customFormat="1" ht="20" customHeight="1" x14ac:dyDescent="0.2">
      <c r="E118" s="17" t="s">
        <v>1287</v>
      </c>
      <c r="F118" s="337" t="s">
        <v>632</v>
      </c>
      <c r="H118" s="17" t="s">
        <v>1287</v>
      </c>
      <c r="I118" s="337" t="s">
        <v>632</v>
      </c>
      <c r="K118" s="6"/>
      <c r="L118" s="6"/>
      <c r="N118" s="6"/>
      <c r="O118" s="6"/>
      <c r="Q118" s="6"/>
      <c r="R118" s="6"/>
      <c r="T118" s="6"/>
      <c r="U118" s="6"/>
      <c r="W118" s="6"/>
      <c r="X118" s="6"/>
      <c r="Z118" s="6"/>
      <c r="AA118" s="6"/>
      <c r="AC118" s="6"/>
      <c r="AD118" s="6"/>
      <c r="AG118" s="8"/>
      <c r="AH118" s="8"/>
    </row>
    <row r="119" spans="2:34" s="2" customFormat="1" ht="20" customHeight="1" x14ac:dyDescent="0.2">
      <c r="B119" s="7"/>
      <c r="C119" s="7"/>
      <c r="E119" s="4" t="s">
        <v>1289</v>
      </c>
      <c r="F119" s="337" t="s">
        <v>632</v>
      </c>
      <c r="H119" s="4" t="s">
        <v>1382</v>
      </c>
      <c r="I119" s="337" t="s">
        <v>632</v>
      </c>
      <c r="K119" s="6"/>
      <c r="L119" s="6"/>
      <c r="N119" s="6"/>
      <c r="O119" s="6"/>
      <c r="Q119" s="6"/>
      <c r="R119" s="6"/>
      <c r="T119" s="6"/>
      <c r="U119" s="6"/>
      <c r="W119" s="6"/>
      <c r="X119" s="6"/>
      <c r="Z119" s="6"/>
      <c r="AA119" s="6"/>
      <c r="AC119" s="6"/>
      <c r="AD119" s="6"/>
      <c r="AG119" s="8"/>
      <c r="AH119" s="8"/>
    </row>
    <row r="120" spans="2:34" s="2" customFormat="1" ht="20" customHeight="1" x14ac:dyDescent="0.2">
      <c r="E120" s="4" t="s">
        <v>1383</v>
      </c>
      <c r="F120" s="337" t="str">
        <f>IF(ISBLANK(input_mgmt_cl01_az1_nfs_pg),"Value Missing",input_mgmt_cl01_az1_nfs_pg)</f>
        <v>Value Missing</v>
      </c>
      <c r="H120" s="4" t="s">
        <v>1384</v>
      </c>
      <c r="I120" s="337" t="str">
        <f>IF(ISBLANK(input_wld_cl01_az1_vsan_storage_client_pg),"Value Missing",input_wld_cl01_az1_vsan_storage_client_pg)</f>
        <v>Value Missing</v>
      </c>
      <c r="K120" s="6"/>
      <c r="L120" s="6"/>
      <c r="N120" s="6"/>
      <c r="O120" s="6"/>
      <c r="Q120" s="6"/>
      <c r="R120" s="6"/>
      <c r="T120" s="6"/>
      <c r="U120" s="6"/>
      <c r="W120" s="6"/>
      <c r="X120" s="6"/>
      <c r="Z120" s="6"/>
      <c r="AA120" s="6"/>
      <c r="AC120" s="6"/>
      <c r="AD120" s="6"/>
      <c r="AG120" s="8"/>
      <c r="AH120" s="8"/>
    </row>
    <row r="121" spans="2:34" s="2" customFormat="1" ht="20" customHeight="1" x14ac:dyDescent="0.2">
      <c r="E121" s="6"/>
      <c r="F121" s="6"/>
      <c r="H121" s="6"/>
      <c r="I121" s="6"/>
      <c r="K121" s="6"/>
      <c r="L121" s="6"/>
      <c r="N121" s="6"/>
      <c r="O121" s="6"/>
      <c r="Q121" s="6"/>
      <c r="R121" s="6"/>
      <c r="T121" s="6"/>
      <c r="U121" s="6"/>
      <c r="W121" s="6"/>
      <c r="X121" s="6"/>
      <c r="Z121" s="6"/>
      <c r="AA121" s="6"/>
      <c r="AC121" s="6"/>
      <c r="AD121" s="6"/>
      <c r="AG121" s="8"/>
      <c r="AH121" s="8"/>
    </row>
    <row r="122" spans="2:34" s="2" customFormat="1" ht="20" customHeight="1" x14ac:dyDescent="0.2">
      <c r="E122" s="379" t="s">
        <v>1373</v>
      </c>
      <c r="F122" s="381"/>
      <c r="H122" s="379" t="s">
        <v>1385</v>
      </c>
      <c r="I122" s="381"/>
      <c r="K122" s="6"/>
      <c r="L122" s="6"/>
      <c r="N122" s="6"/>
      <c r="O122" s="6"/>
      <c r="Q122" s="6"/>
      <c r="R122" s="6"/>
      <c r="T122" s="6"/>
      <c r="U122" s="6"/>
      <c r="W122" s="6"/>
      <c r="X122" s="6"/>
      <c r="Z122" s="6"/>
      <c r="AA122" s="6"/>
      <c r="AC122" s="6"/>
      <c r="AD122" s="6"/>
      <c r="AG122" s="8"/>
      <c r="AH122" s="8"/>
    </row>
    <row r="123" spans="2:34" s="2" customFormat="1" ht="20" customHeight="1" x14ac:dyDescent="0.2">
      <c r="E123" s="11" t="s">
        <v>261</v>
      </c>
      <c r="F123" s="14" t="s">
        <v>1269</v>
      </c>
      <c r="H123" s="11" t="s">
        <v>261</v>
      </c>
      <c r="I123" s="14" t="s">
        <v>1269</v>
      </c>
      <c r="K123" s="6"/>
      <c r="L123" s="6"/>
      <c r="N123" s="6"/>
      <c r="O123" s="6"/>
      <c r="Q123" s="6"/>
      <c r="R123" s="6"/>
      <c r="T123" s="6"/>
      <c r="U123" s="6"/>
      <c r="W123" s="6"/>
      <c r="X123" s="6"/>
      <c r="Z123" s="6"/>
      <c r="AA123" s="6"/>
      <c r="AC123" s="6"/>
      <c r="AD123" s="6"/>
      <c r="AG123" s="8"/>
      <c r="AH123" s="8"/>
    </row>
    <row r="124" spans="2:34" s="2" customFormat="1" ht="20" customHeight="1" x14ac:dyDescent="0.2">
      <c r="E124" s="4" t="s">
        <v>1386</v>
      </c>
      <c r="F124" s="337" t="str">
        <f>IF(ISBLANK(mgmt_cl01_az1_mgmt_vm_uplink1_chosen),"Value Missing",mgmt_cl01_az1_mgmt_vm_uplink1_chosen)</f>
        <v>Active</v>
      </c>
      <c r="H124" s="4" t="s">
        <v>1386</v>
      </c>
      <c r="I124" s="337" t="str">
        <f>IF(ISBLANK(wld_cl01_az1_mgmt_vm_uplink1_chosen),"Value Missing",wld_cl01_az1_mgmt_vm_uplink1_chosen)</f>
        <v>Active</v>
      </c>
      <c r="K124" s="6"/>
      <c r="L124" s="6"/>
      <c r="N124" s="6"/>
      <c r="O124" s="6"/>
      <c r="Q124" s="6"/>
      <c r="R124" s="6"/>
      <c r="T124" s="6"/>
      <c r="U124" s="6"/>
      <c r="W124" s="6"/>
      <c r="X124" s="6"/>
      <c r="Z124" s="6"/>
      <c r="AA124" s="6"/>
      <c r="AC124" s="6"/>
      <c r="AD124" s="6"/>
      <c r="AG124" s="8"/>
      <c r="AH124" s="8"/>
    </row>
    <row r="125" spans="2:34" s="2" customFormat="1" ht="20" customHeight="1" x14ac:dyDescent="0.2">
      <c r="E125" s="4" t="s">
        <v>1387</v>
      </c>
      <c r="F125" s="337" t="str">
        <f>IF(ISBLANK(mgmt_cl01_az1_mgmt_vm_uplink2_chosen),"Value Missing",mgmt_cl01_az1_mgmt_vm_uplink2_chosen)</f>
        <v>Active</v>
      </c>
      <c r="H125" s="4" t="s">
        <v>1387</v>
      </c>
      <c r="I125" s="337" t="str">
        <f>IF(ISBLANK(wld_cl01_az1_mgmt_vm_uplink2_chosen),"Value Missing",wld_cl01_az1_mgmt_vm_uplink2_chosen)</f>
        <v>Active</v>
      </c>
      <c r="K125" s="6"/>
      <c r="L125" s="6"/>
      <c r="N125" s="6"/>
      <c r="O125" s="6"/>
      <c r="Q125" s="6"/>
      <c r="R125" s="6"/>
      <c r="T125" s="6"/>
      <c r="U125" s="6"/>
      <c r="W125" s="6"/>
      <c r="X125" s="6"/>
      <c r="Z125" s="6"/>
      <c r="AA125" s="6"/>
      <c r="AC125" s="6"/>
      <c r="AD125" s="6"/>
      <c r="AG125" s="8"/>
      <c r="AH125" s="8"/>
    </row>
    <row r="126" spans="2:34" s="2" customFormat="1" ht="20" customHeight="1" x14ac:dyDescent="0.2">
      <c r="E126" s="4" t="s">
        <v>1388</v>
      </c>
      <c r="F126" s="337" t="str">
        <f>IF(ISBLANK(mgmt_cl01_az1_mgmt_uplink1_chosen),"Value Missing",mgmt_cl01_az1_mgmt_uplink1_chosen)</f>
        <v>Active</v>
      </c>
      <c r="H126" s="4" t="s">
        <v>1388</v>
      </c>
      <c r="I126" s="337" t="str">
        <f>IF(ISBLANK(wld_cl01_az1_mgmt_uplink1_chosen),"Value Missing",wld_cl01_az1_mgmt_uplink1_chosen)</f>
        <v>Active</v>
      </c>
      <c r="K126" s="6"/>
      <c r="L126" s="6"/>
      <c r="N126" s="6"/>
      <c r="O126" s="6"/>
      <c r="Q126" s="6"/>
      <c r="R126" s="6"/>
      <c r="T126" s="6"/>
      <c r="U126" s="6"/>
      <c r="W126" s="6"/>
      <c r="X126" s="6"/>
      <c r="Z126" s="6"/>
      <c r="AA126" s="6"/>
      <c r="AC126" s="6"/>
      <c r="AD126" s="6"/>
      <c r="AG126" s="8"/>
      <c r="AH126" s="8"/>
    </row>
    <row r="127" spans="2:34" s="2" customFormat="1" ht="20" customHeight="1" x14ac:dyDescent="0.2">
      <c r="E127" s="4" t="s">
        <v>1389</v>
      </c>
      <c r="F127" s="337" t="str">
        <f>IF(ISBLANK(mgmt_cl01_az1_mgmt_uplink2_chosen),"Value Missing",mgmt_cl01_az1_mgmt_uplink2_chosen)</f>
        <v>Active</v>
      </c>
      <c r="H127" s="4" t="s">
        <v>1389</v>
      </c>
      <c r="I127" s="337" t="str">
        <f>IF(ISBLANK(wld_cl01_az1_mgmt_uplink2_chosen),"Value Missing",wld_cl01_az1_mgmt_uplink2_chosen)</f>
        <v>Active</v>
      </c>
      <c r="K127" s="6"/>
      <c r="L127" s="6"/>
      <c r="N127" s="6"/>
      <c r="O127" s="6"/>
      <c r="Q127" s="6"/>
      <c r="R127" s="6"/>
      <c r="T127" s="6"/>
      <c r="U127" s="6"/>
      <c r="W127" s="6"/>
      <c r="X127" s="6"/>
      <c r="Z127" s="6"/>
      <c r="AA127" s="6"/>
      <c r="AC127" s="6"/>
      <c r="AD127" s="6"/>
      <c r="AG127" s="8"/>
      <c r="AH127" s="8"/>
    </row>
    <row r="128" spans="2:34" s="2" customFormat="1" ht="20" customHeight="1" x14ac:dyDescent="0.2">
      <c r="E128" s="4" t="s">
        <v>1390</v>
      </c>
      <c r="F128" s="337" t="str">
        <f>IF(ISBLANK(mgmt_cl01_az1_vmotion_uplink1_chosen),"Value Missing",mgmt_cl01_az1_vmotion_uplink1_chosen)</f>
        <v>Active</v>
      </c>
      <c r="H128" s="4" t="s">
        <v>1390</v>
      </c>
      <c r="I128" s="337" t="str">
        <f>IF(ISBLANK(wld_cl01_az1_vmotion_uplink1_chosen),"Value Missing",wld_cl01_az1_vmotion_uplink1_chosen)</f>
        <v>Active</v>
      </c>
      <c r="K128" s="6"/>
      <c r="L128" s="6"/>
      <c r="N128" s="6"/>
      <c r="O128" s="6"/>
      <c r="Q128" s="6"/>
      <c r="R128" s="6"/>
      <c r="T128" s="6"/>
      <c r="U128" s="6"/>
      <c r="W128" s="6"/>
      <c r="X128" s="6"/>
      <c r="Z128" s="6"/>
      <c r="AA128" s="6"/>
      <c r="AC128" s="6"/>
      <c r="AD128" s="6"/>
      <c r="AG128" s="8"/>
      <c r="AH128" s="8"/>
    </row>
    <row r="129" spans="5:34" s="2" customFormat="1" ht="20" customHeight="1" x14ac:dyDescent="0.2">
      <c r="E129" s="4" t="s">
        <v>1391</v>
      </c>
      <c r="F129" s="337" t="str">
        <f>IF(ISBLANK(mgmt_cl01_az1_vmotion_uplink2_chosen),"Value Missing",mgmt_cl01_az1_vmotion_uplink2_chosen)</f>
        <v>Active</v>
      </c>
      <c r="H129" s="4" t="s">
        <v>1391</v>
      </c>
      <c r="I129" s="337" t="str">
        <f>IF(ISBLANK(wld_cl01_az1_vmotion_uplink2_chosen),"Value Missing",wld_cl01_az1_vmotion_uplink2_chosen)</f>
        <v>Active</v>
      </c>
      <c r="K129" s="6"/>
      <c r="L129" s="6"/>
      <c r="N129" s="6"/>
      <c r="O129" s="6"/>
      <c r="Q129" s="6"/>
      <c r="R129" s="6"/>
      <c r="T129" s="6"/>
      <c r="U129" s="6"/>
      <c r="W129" s="6"/>
      <c r="X129" s="6"/>
      <c r="Z129" s="6"/>
      <c r="AA129" s="6"/>
      <c r="AC129" s="6"/>
      <c r="AD129" s="6"/>
      <c r="AG129" s="8"/>
      <c r="AH129" s="8"/>
    </row>
    <row r="130" spans="5:34" s="2" customFormat="1" ht="20" customHeight="1" x14ac:dyDescent="0.2">
      <c r="E130" s="4" t="s">
        <v>1392</v>
      </c>
      <c r="F130" s="337" t="str">
        <f>IF(ISBLANK(mgmt_cl01_az1_vsan_uplink1_chosen),"Value Missing",mgmt_cl01_az1_vsan_uplink1_chosen)</f>
        <v>Active</v>
      </c>
      <c r="H130" s="4" t="s">
        <v>1392</v>
      </c>
      <c r="I130" s="337" t="str">
        <f>IF(ISBLANK(wld_cl01_az1_vsan_uplink1_chosen),"Value Missing",wld_cl01_az1_vsan_uplink1_chosen)</f>
        <v>Active</v>
      </c>
      <c r="K130" s="6"/>
      <c r="L130" s="6"/>
      <c r="N130" s="6"/>
      <c r="O130" s="6"/>
      <c r="Q130" s="6"/>
      <c r="R130" s="6"/>
      <c r="T130" s="6"/>
      <c r="U130" s="6"/>
      <c r="W130" s="6"/>
      <c r="X130" s="6"/>
      <c r="Z130" s="6"/>
      <c r="AA130" s="6"/>
      <c r="AC130" s="6"/>
      <c r="AD130" s="6"/>
      <c r="AG130" s="8"/>
      <c r="AH130" s="8"/>
    </row>
    <row r="131" spans="5:34" s="2" customFormat="1" ht="20" customHeight="1" x14ac:dyDescent="0.2">
      <c r="E131" s="4" t="s">
        <v>1393</v>
      </c>
      <c r="F131" s="337" t="str">
        <f>IF(ISBLANK(mgmt_cl01_az1_vsan_uplink2_chosen),"Value Missing",mgmt_cl01_az1_vsan_uplink2_chosen)</f>
        <v>Active</v>
      </c>
      <c r="H131" s="4" t="s">
        <v>1393</v>
      </c>
      <c r="I131" s="337" t="str">
        <f>IF(ISBLANK(wld_cl01_az1_vsan_uplink2_chosen),"Value Missing",wld_cl01_az1_vsan_uplink2_chosen)</f>
        <v>Active</v>
      </c>
      <c r="K131" s="6"/>
      <c r="L131" s="6"/>
      <c r="N131" s="6"/>
      <c r="O131" s="6"/>
      <c r="Q131" s="6"/>
      <c r="R131" s="6"/>
      <c r="T131" s="6"/>
      <c r="U131" s="6"/>
      <c r="W131" s="6"/>
      <c r="X131" s="6"/>
      <c r="Z131" s="6"/>
      <c r="AA131" s="6"/>
      <c r="AC131" s="6"/>
      <c r="AD131" s="6"/>
      <c r="AG131" s="8"/>
      <c r="AH131" s="8"/>
    </row>
    <row r="132" spans="5:34" s="2" customFormat="1" ht="20" customHeight="1" x14ac:dyDescent="0.2">
      <c r="E132" s="17" t="s">
        <v>1394</v>
      </c>
      <c r="F132" s="337" t="str">
        <f>IF(ISBLANK(mgmt_cl01_az1_nsx_uplink1_chosen),"Value Missing",mgmt_cl01_az1_nsx_uplink1_chosen)</f>
        <v>Active</v>
      </c>
      <c r="H132" s="17" t="s">
        <v>1394</v>
      </c>
      <c r="I132" s="337" t="str">
        <f>IF(ISBLANK(wld_cl01_az1_nsx_uplink1_chosen),"Value Missing",wld_cl01_az1_nsx_uplink1_chosen)</f>
        <v>uplink1</v>
      </c>
      <c r="K132" s="6"/>
      <c r="L132" s="6"/>
      <c r="N132" s="6"/>
      <c r="O132" s="6"/>
      <c r="Q132" s="6"/>
      <c r="R132" s="6"/>
      <c r="T132" s="6"/>
      <c r="U132" s="6"/>
      <c r="W132" s="6"/>
      <c r="X132" s="6"/>
      <c r="Z132" s="6"/>
      <c r="AA132" s="6"/>
      <c r="AC132" s="6"/>
      <c r="AD132" s="6"/>
      <c r="AG132" s="8"/>
      <c r="AH132" s="8"/>
    </row>
    <row r="133" spans="5:34" s="2" customFormat="1" ht="20" customHeight="1" x14ac:dyDescent="0.2">
      <c r="E133" s="4" t="s">
        <v>1395</v>
      </c>
      <c r="F133" s="337" t="str">
        <f>IF(ISBLANK(mgmt_cl01_az1_nsx_uplink2_chosen),"Value Missing",mgmt_cl01_az1_nsx_uplink2_chosen)</f>
        <v>Active</v>
      </c>
      <c r="H133" s="4" t="s">
        <v>1395</v>
      </c>
      <c r="I133" s="337" t="str">
        <f>IF(ISBLANK(wld_cl01_az1_nsx_uplink2_chosen),"Value Missing",wld_cl01_az1_nsx_uplink2_chosen)</f>
        <v>uplink2</v>
      </c>
      <c r="K133" s="6"/>
      <c r="L133" s="6"/>
      <c r="N133" s="6"/>
      <c r="O133" s="6"/>
      <c r="Q133" s="6"/>
      <c r="R133" s="6"/>
      <c r="T133" s="6"/>
      <c r="U133" s="6"/>
      <c r="W133" s="6"/>
      <c r="X133" s="6"/>
      <c r="Z133" s="6"/>
      <c r="AA133" s="6"/>
      <c r="AC133" s="6"/>
      <c r="AD133" s="6"/>
      <c r="AG133" s="8"/>
      <c r="AH133" s="8"/>
    </row>
    <row r="134" spans="5:34" s="2" customFormat="1" ht="20" customHeight="1" x14ac:dyDescent="0.2">
      <c r="E134" s="4" t="s">
        <v>1396</v>
      </c>
      <c r="F134" s="337" t="str">
        <f>IF(ISBLANK(mgmt_cl01_az1_nfs_uplink1_chosen),"Value Missing",mgmt_cl01_az1_nfs_uplink1_chosen)</f>
        <v>Active</v>
      </c>
      <c r="H134" s="4" t="s">
        <v>1397</v>
      </c>
      <c r="I134" s="337" t="str">
        <f>wld_cl01_az1_vsan_storage_client_uplink1_chosen</f>
        <v>Active</v>
      </c>
      <c r="K134" s="6"/>
      <c r="L134" s="6"/>
      <c r="N134" s="6"/>
      <c r="O134" s="6"/>
      <c r="Q134" s="6"/>
      <c r="R134" s="6"/>
      <c r="T134" s="6"/>
      <c r="U134" s="6"/>
      <c r="W134" s="6"/>
      <c r="X134" s="6"/>
      <c r="Z134" s="6"/>
      <c r="AA134" s="6"/>
      <c r="AC134" s="6"/>
      <c r="AD134" s="6"/>
      <c r="AG134" s="8"/>
      <c r="AH134" s="8"/>
    </row>
    <row r="135" spans="5:34" s="2" customFormat="1" ht="20" customHeight="1" x14ac:dyDescent="0.2">
      <c r="E135" s="4" t="s">
        <v>1398</v>
      </c>
      <c r="F135" s="337" t="str">
        <f>IF(ISBLANK(mgmt_cl01_az1_nfs_uplink2_chosen),"Value Missing",mgmt_cl01_az1_nfs_uplink2_chosen)</f>
        <v>Active</v>
      </c>
      <c r="H135" s="4" t="s">
        <v>1397</v>
      </c>
      <c r="I135" s="337" t="str">
        <f>wld_cl01_az1_vsan_storage_client_uplink2_chosen</f>
        <v>Active</v>
      </c>
      <c r="K135" s="6"/>
      <c r="L135" s="6"/>
      <c r="N135" s="6"/>
      <c r="O135" s="6"/>
      <c r="Q135" s="6"/>
      <c r="R135" s="6"/>
      <c r="T135" s="6"/>
      <c r="U135" s="6"/>
      <c r="W135" s="6"/>
      <c r="X135" s="6"/>
      <c r="Z135" s="6"/>
      <c r="AA135" s="6"/>
      <c r="AC135" s="6"/>
      <c r="AD135" s="6"/>
      <c r="AG135" s="8"/>
      <c r="AH135" s="8"/>
    </row>
    <row r="136" spans="5:34" s="2" customFormat="1" ht="20" customHeight="1" x14ac:dyDescent="0.2">
      <c r="E136" s="6"/>
      <c r="F136" s="6"/>
      <c r="H136" s="6"/>
      <c r="I136" s="6"/>
      <c r="K136" s="6"/>
      <c r="L136" s="6"/>
      <c r="N136" s="6"/>
      <c r="O136" s="6"/>
      <c r="Q136" s="6"/>
      <c r="R136" s="6"/>
      <c r="T136" s="6"/>
      <c r="U136" s="6"/>
      <c r="W136" s="6"/>
      <c r="X136" s="6"/>
      <c r="Z136" s="6"/>
      <c r="AA136" s="6"/>
      <c r="AC136" s="6"/>
      <c r="AD136" s="6"/>
      <c r="AG136" s="8"/>
      <c r="AH136" s="8"/>
    </row>
    <row r="137" spans="5:34" s="2" customFormat="1" ht="20" customHeight="1" x14ac:dyDescent="0.2">
      <c r="E137" s="379" t="s">
        <v>1399</v>
      </c>
      <c r="F137" s="381"/>
      <c r="H137" s="379" t="s">
        <v>1400</v>
      </c>
      <c r="I137" s="381"/>
      <c r="K137" s="6"/>
      <c r="L137" s="6"/>
      <c r="N137" s="6"/>
      <c r="O137" s="6"/>
      <c r="Q137" s="6"/>
      <c r="R137" s="6"/>
      <c r="T137" s="6"/>
      <c r="U137" s="6"/>
      <c r="W137" s="6"/>
      <c r="X137" s="6"/>
      <c r="Z137" s="6"/>
      <c r="AA137" s="6"/>
      <c r="AC137" s="6"/>
      <c r="AD137" s="6"/>
      <c r="AG137" s="8"/>
      <c r="AH137" s="8"/>
    </row>
    <row r="138" spans="5:34" s="2" customFormat="1" ht="20" customHeight="1" x14ac:dyDescent="0.2">
      <c r="E138" s="11" t="s">
        <v>261</v>
      </c>
      <c r="F138" s="14" t="s">
        <v>1269</v>
      </c>
      <c r="H138" s="11" t="s">
        <v>261</v>
      </c>
      <c r="I138" s="14" t="s">
        <v>1269</v>
      </c>
      <c r="K138" s="6"/>
      <c r="L138" s="6"/>
      <c r="N138" s="6"/>
      <c r="O138" s="6"/>
      <c r="Q138" s="6"/>
      <c r="R138" s="6"/>
      <c r="T138" s="6"/>
      <c r="U138" s="6"/>
      <c r="W138" s="6"/>
      <c r="X138" s="6"/>
      <c r="Z138" s="6"/>
      <c r="AA138" s="6"/>
      <c r="AC138" s="6"/>
      <c r="AD138" s="6"/>
      <c r="AG138" s="8"/>
      <c r="AH138" s="8"/>
    </row>
    <row r="139" spans="5:34" s="2" customFormat="1" ht="20" customHeight="1" x14ac:dyDescent="0.2">
      <c r="E139" s="4" t="s">
        <v>1401</v>
      </c>
      <c r="F139" s="337" t="str">
        <f>IF(ISBLANK(mgmt_cl01_az1_mgmt_vm_lbt_chosen),"Value Missing",mgmt_cl01_az1_mgmt_vm_lbt_chosen)</f>
        <v>Route Based on Physical NIC Load</v>
      </c>
      <c r="H139" s="4" t="s">
        <v>1401</v>
      </c>
      <c r="I139" s="337" t="str">
        <f>IF(ISBLANK(wld_cl01_az1_mgmt_vm_lbt_chosen),"Value Missing",wld_cl01_az1_mgmt_vm_lbt_chosen)</f>
        <v>Route Based on Physical NIC Load</v>
      </c>
      <c r="K139" s="6"/>
      <c r="N139" s="6"/>
      <c r="O139" s="6"/>
      <c r="Q139" s="6"/>
      <c r="R139" s="6"/>
      <c r="T139" s="6"/>
      <c r="U139" s="6"/>
      <c r="W139" s="6"/>
      <c r="X139" s="6"/>
      <c r="Z139" s="6"/>
      <c r="AA139" s="6"/>
      <c r="AC139" s="6"/>
      <c r="AD139" s="6"/>
      <c r="AG139" s="8"/>
      <c r="AH139" s="8"/>
    </row>
    <row r="140" spans="5:34" s="2" customFormat="1" ht="20" customHeight="1" x14ac:dyDescent="0.2">
      <c r="E140" s="4" t="s">
        <v>1402</v>
      </c>
      <c r="F140" s="337" t="str">
        <f>IF(ISBLANK(mgmt_cl01_az1_mgmt_lbt_chosen),"Value Missing",mgmt_cl01_az1_mgmt_lbt_chosen)</f>
        <v>Route Based on Physical NIC Load</v>
      </c>
      <c r="H140" s="4" t="s">
        <v>1402</v>
      </c>
      <c r="I140" s="337" t="str">
        <f>IF(ISBLANK(wld_cl01_az1_mgmt_lbt_chosen),"Value Missing",wld_cl01_az1_mgmt_lbt_chosen)</f>
        <v>Route Based on Physical NIC Load</v>
      </c>
      <c r="K140" s="6"/>
      <c r="L140" s="6"/>
      <c r="N140" s="6"/>
      <c r="O140" s="6"/>
      <c r="Q140" s="6"/>
      <c r="R140" s="6"/>
      <c r="T140" s="6"/>
      <c r="U140" s="6"/>
      <c r="W140" s="6"/>
      <c r="X140" s="6"/>
      <c r="Z140" s="6"/>
      <c r="AA140" s="6"/>
      <c r="AC140" s="6"/>
      <c r="AD140" s="6"/>
      <c r="AG140" s="8"/>
      <c r="AH140" s="8"/>
    </row>
    <row r="141" spans="5:34" s="2" customFormat="1" ht="20" customHeight="1" x14ac:dyDescent="0.2">
      <c r="E141" s="4" t="s">
        <v>1403</v>
      </c>
      <c r="F141" s="337" t="str">
        <f>IF(ISBLANK(mgmt_cl01_az1_vmotion_lbt_chosen),"Value Missing",mgmt_cl01_az1_vmotion_lbt_chosen)</f>
        <v>Route Based on Physical NIC Load</v>
      </c>
      <c r="H141" s="4" t="s">
        <v>1403</v>
      </c>
      <c r="I141" s="337" t="str">
        <f>IF(ISBLANK(wld_cl01_az1_vmotion_lbt_chosen),"Value Missing",wld_cl01_az1_vmotion_lbt_chosen)</f>
        <v>Route Based on Physical NIC Load</v>
      </c>
      <c r="K141" s="6"/>
      <c r="L141" s="6"/>
      <c r="M141" s="3"/>
      <c r="N141" s="6"/>
      <c r="O141" s="6"/>
      <c r="Q141" s="6"/>
      <c r="R141" s="6"/>
      <c r="T141" s="6"/>
      <c r="U141" s="6"/>
      <c r="W141" s="6"/>
      <c r="X141" s="6"/>
      <c r="Z141" s="6"/>
      <c r="AA141" s="6"/>
      <c r="AC141" s="6"/>
      <c r="AD141" s="6"/>
      <c r="AG141" s="8"/>
      <c r="AH141" s="8"/>
    </row>
    <row r="142" spans="5:34" s="2" customFormat="1" ht="20" customHeight="1" x14ac:dyDescent="0.2">
      <c r="E142" s="4" t="s">
        <v>1404</v>
      </c>
      <c r="F142" s="337" t="str">
        <f>IF(ISBLANK(mgmt_cl01_az1_vsan_lbt_chosen),"Value Missing",mgmt_cl01_az1_vsan_lbt_chosen)</f>
        <v>Route Based on Physical NIC Load</v>
      </c>
      <c r="G142" s="15"/>
      <c r="H142" s="4" t="s">
        <v>1404</v>
      </c>
      <c r="I142" s="337" t="str">
        <f>IF(ISBLANK(wld_cl01_az1_vsan_lbt_chosen),"Value Missing",wld_cl01_az1_vsan_lbt_chosen)</f>
        <v>Route Based on Physical NIC Load</v>
      </c>
      <c r="J142" s="15"/>
      <c r="K142" s="6"/>
      <c r="L142" s="6"/>
      <c r="N142" s="6"/>
      <c r="O142" s="6"/>
      <c r="Q142" s="6"/>
      <c r="R142" s="6"/>
      <c r="T142" s="6"/>
      <c r="U142" s="6"/>
      <c r="W142" s="6"/>
      <c r="X142" s="6"/>
      <c r="Z142" s="6"/>
      <c r="AA142" s="6"/>
      <c r="AC142" s="6"/>
      <c r="AD142" s="6"/>
      <c r="AG142" s="8"/>
      <c r="AH142" s="8"/>
    </row>
    <row r="143" spans="5:34" s="2" customFormat="1" ht="20" customHeight="1" x14ac:dyDescent="0.2">
      <c r="E143" s="4" t="s">
        <v>1405</v>
      </c>
      <c r="F143" s="337" t="str">
        <f>IF(ISBLANK(mgmt_cl01_az1_nsx_lbt_chosen),"Value Missing",mgmt_cl01_az1_nsx_lbt_chosen)</f>
        <v>Route Based on the Source of the Port ID</v>
      </c>
      <c r="H143" s="4" t="s">
        <v>1274</v>
      </c>
      <c r="I143" s="337" t="str">
        <f>IF(ISBLANK(wld_cl01_az1_nsx_lbt_chosen),"Value Missing",wld_cl01_az1_nsx_lbt_chosen)</f>
        <v>Load Balance Source</v>
      </c>
      <c r="K143" s="6"/>
      <c r="L143" s="6"/>
      <c r="M143" s="15"/>
      <c r="N143" s="6"/>
      <c r="O143" s="6"/>
      <c r="Q143" s="6"/>
      <c r="R143" s="6"/>
      <c r="T143" s="6"/>
      <c r="U143" s="6"/>
      <c r="W143" s="6"/>
      <c r="X143" s="6"/>
      <c r="Z143" s="6"/>
      <c r="AA143" s="6"/>
      <c r="AC143" s="6"/>
      <c r="AD143" s="6"/>
      <c r="AG143" s="8"/>
      <c r="AH143" s="8"/>
    </row>
    <row r="144" spans="5:34" s="2" customFormat="1" ht="20" customHeight="1" x14ac:dyDescent="0.2">
      <c r="E144" s="4" t="s">
        <v>1406</v>
      </c>
      <c r="F144" s="337"/>
      <c r="H144" s="4" t="s">
        <v>1406</v>
      </c>
      <c r="I144" s="337" t="str">
        <f>IF(ISBLANK(wld_cl01_az1_vsan_storage_client_lbt_chosen),"Value Missing",wld_cl01_az1_vsan_storage_client_lbt_chosen)</f>
        <v>Route Based on Physical NIC Load</v>
      </c>
      <c r="K144" s="6"/>
      <c r="L144" s="6"/>
      <c r="N144" s="6"/>
      <c r="O144" s="6"/>
      <c r="Q144" s="6"/>
      <c r="R144" s="6"/>
      <c r="T144" s="6"/>
      <c r="U144" s="6"/>
      <c r="W144" s="6"/>
      <c r="X144" s="6"/>
      <c r="Z144" s="6"/>
      <c r="AA144" s="6"/>
      <c r="AC144" s="6"/>
      <c r="AD144" s="6"/>
      <c r="AG144" s="8"/>
      <c r="AH144" s="8"/>
    </row>
    <row r="145" spans="5:35" s="2" customFormat="1" ht="20" customHeight="1" x14ac:dyDescent="0.2">
      <c r="E145" s="4" t="s">
        <v>1407</v>
      </c>
      <c r="F145" s="337" t="str">
        <f>IF(ISBLANK(mgmt_cl01_az1_nfs_lbt_chosen),"Value Missing",mgmt_cl01_az1_nfs_lbt_chosen)</f>
        <v>Route Based on Physical NIC Load</v>
      </c>
      <c r="H145" s="6"/>
      <c r="I145" s="3"/>
      <c r="K145" s="6"/>
      <c r="L145" s="6"/>
      <c r="N145" s="6"/>
      <c r="O145" s="6"/>
      <c r="Q145" s="6"/>
      <c r="R145" s="6"/>
      <c r="T145" s="6"/>
      <c r="U145" s="6"/>
      <c r="W145" s="6"/>
      <c r="X145" s="6"/>
      <c r="Z145" s="6"/>
      <c r="AA145" s="6"/>
      <c r="AC145" s="6"/>
      <c r="AD145" s="6"/>
      <c r="AG145" s="8"/>
      <c r="AH145" s="8"/>
      <c r="AI145" s="8"/>
    </row>
    <row r="146" spans="5:35" s="2" customFormat="1" ht="20" customHeight="1" x14ac:dyDescent="0.2">
      <c r="I146" s="3"/>
      <c r="L146" s="3"/>
      <c r="AG146" s="8"/>
      <c r="AH146" s="8"/>
      <c r="AI146" s="8"/>
    </row>
    <row r="147" spans="5:35" s="2" customFormat="1" ht="20" customHeight="1" x14ac:dyDescent="0.2">
      <c r="E147" s="20" t="s">
        <v>1408</v>
      </c>
      <c r="F147" s="381"/>
      <c r="H147" s="20" t="s">
        <v>1409</v>
      </c>
      <c r="I147" s="381"/>
      <c r="K147" s="20" t="s">
        <v>1410</v>
      </c>
      <c r="L147" s="381"/>
      <c r="N147" s="20" t="s">
        <v>1411</v>
      </c>
      <c r="O147" s="381"/>
      <c r="Q147" s="20" t="s">
        <v>1412</v>
      </c>
      <c r="R147" s="381"/>
      <c r="T147" s="20" t="s">
        <v>1413</v>
      </c>
      <c r="U147" s="381"/>
      <c r="W147" s="20" t="s">
        <v>1414</v>
      </c>
      <c r="X147" s="381"/>
      <c r="Z147" s="20" t="s">
        <v>1415</v>
      </c>
      <c r="AA147" s="381"/>
      <c r="AC147" s="20" t="s">
        <v>1416</v>
      </c>
      <c r="AD147" s="381"/>
      <c r="AG147" s="8"/>
      <c r="AH147" s="8"/>
      <c r="AI147" s="8"/>
    </row>
    <row r="148" spans="5:35" s="2" customFormat="1" ht="20" customHeight="1" x14ac:dyDescent="0.2">
      <c r="E148" s="13" t="s">
        <v>261</v>
      </c>
      <c r="F148" s="14" t="s">
        <v>1269</v>
      </c>
      <c r="H148" s="11" t="s">
        <v>261</v>
      </c>
      <c r="I148" s="14" t="s">
        <v>19</v>
      </c>
      <c r="K148" s="13" t="s">
        <v>261</v>
      </c>
      <c r="L148" s="14" t="s">
        <v>19</v>
      </c>
      <c r="N148" s="13" t="s">
        <v>261</v>
      </c>
      <c r="O148" s="14" t="s">
        <v>19</v>
      </c>
      <c r="P148" s="15"/>
      <c r="Q148" s="13" t="s">
        <v>261</v>
      </c>
      <c r="R148" s="14" t="s">
        <v>19</v>
      </c>
      <c r="S148" s="15"/>
      <c r="T148" s="13" t="s">
        <v>261</v>
      </c>
      <c r="U148" s="14" t="s">
        <v>19</v>
      </c>
      <c r="V148" s="15"/>
      <c r="W148" s="13" t="s">
        <v>261</v>
      </c>
      <c r="X148" s="14" t="s">
        <v>19</v>
      </c>
      <c r="Y148" s="15"/>
      <c r="Z148" s="13" t="s">
        <v>261</v>
      </c>
      <c r="AA148" s="14" t="s">
        <v>19</v>
      </c>
      <c r="AB148" s="15"/>
      <c r="AC148" s="13" t="s">
        <v>261</v>
      </c>
      <c r="AD148" s="14" t="s">
        <v>19</v>
      </c>
      <c r="AG148" s="8"/>
      <c r="AH148" s="8"/>
      <c r="AI148" s="8"/>
    </row>
    <row r="149" spans="5:35" s="2" customFormat="1" ht="20" customHeight="1" x14ac:dyDescent="0.2">
      <c r="E149" s="361" t="s">
        <v>1417</v>
      </c>
      <c r="F149" s="337" t="str">
        <f>IF(ISBLANK(input_mgmt_az1_vmotion_pool_start_ip),"Value Missing",input_mgmt_az1_vmotion_pool_start_ip)</f>
        <v>Value Missing</v>
      </c>
      <c r="H149" s="361" t="s">
        <v>1417</v>
      </c>
      <c r="I149" s="337" t="str">
        <f>IF(ISBLANK(input_wld_az1_vmotion_pool_start_ip),"Value Missing",input_wld_az1_vmotion_pool_start_ip)</f>
        <v>Value Missing</v>
      </c>
      <c r="K149" s="361" t="s">
        <v>1417</v>
      </c>
      <c r="L149" s="337" t="str">
        <f>IF(ISBLANK(input_wld_az1_rack2_vmotion_pool_start_ip),"Value Missing",input_wld_az1_rack2_vmotion_pool_start_ip)</f>
        <v>Value Missing</v>
      </c>
      <c r="N149" s="361" t="s">
        <v>1417</v>
      </c>
      <c r="O149" s="337" t="str">
        <f>IF(ISBLANK(input_wld_az1_rack3_vmotion_pool_start_ip),"Value Missing",input_wld_az1_rack3_vmotion_pool_start_ip)</f>
        <v>Value Missing</v>
      </c>
      <c r="Q149" s="361" t="s">
        <v>1417</v>
      </c>
      <c r="R149" s="337" t="str">
        <f>IF(ISBLANK(input_wld_az1_rack4_vmotion_pool_start_ip),"Value Missing",input_wld_az1_rack4_vmotion_pool_start_ip)</f>
        <v>Value Missing</v>
      </c>
      <c r="T149" s="361" t="s">
        <v>1417</v>
      </c>
      <c r="U149" s="337" t="str">
        <f>IF(ISBLANK(input_wld_az1_rack5_vmotion_pool_start_ip),"Value Missing",input_wld_az1_rack5_vmotion_pool_start_ip)</f>
        <v>Value Missing</v>
      </c>
      <c r="W149" s="361" t="s">
        <v>1417</v>
      </c>
      <c r="X149" s="337" t="str">
        <f>IF(ISBLANK(input_wld_az1_rack6_vmotion_pool_start_ip),"Value Missing",input_wld_az1_rack6_vmotion_pool_start_ip)</f>
        <v>Value Missing</v>
      </c>
      <c r="Z149" s="361" t="s">
        <v>1417</v>
      </c>
      <c r="AA149" s="337" t="str">
        <f>IF(ISBLANK(input_wld_az1_rack7_vmotion_pool_start_ip),"Value Missing",input_wld_az1_rack7_vmotion_pool_start_ip)</f>
        <v>Value Missing</v>
      </c>
      <c r="AC149" s="361" t="s">
        <v>1417</v>
      </c>
      <c r="AD149" s="337" t="str">
        <f>IF(ISBLANK(input_wld_az1_rack8_vmotion_pool_start_ip),"Value Missing",input_wld_az1_rack8_vmotion_pool_start_ip)</f>
        <v>Value Missing</v>
      </c>
      <c r="AG149" s="8"/>
      <c r="AH149" s="8"/>
      <c r="AI149" s="8"/>
    </row>
    <row r="150" spans="5:35" s="2" customFormat="1" ht="20" customHeight="1" x14ac:dyDescent="0.2">
      <c r="E150" s="361" t="s">
        <v>1418</v>
      </c>
      <c r="F150" s="337" t="str">
        <f>IF(ISBLANK(input_mgmt_az1_vmotion_pool_end_ip),"Value Missing",input_mgmt_az1_vmotion_pool_end_ip)</f>
        <v>Value Missing</v>
      </c>
      <c r="H150" s="361" t="s">
        <v>1418</v>
      </c>
      <c r="I150" s="337" t="str">
        <f>IF(ISBLANK(input_wld_az1_vmotion_pool_end_ip),"Value Missing",input_wld_az1_vmotion_pool_end_ip)</f>
        <v>Value Missing</v>
      </c>
      <c r="K150" s="361" t="s">
        <v>1418</v>
      </c>
      <c r="L150" s="337" t="str">
        <f>IF(ISBLANK(input_wld_az1_rack2_vmotion_pool_end_ip),"Value Missing",input_wld_az1_rack2_vmotion_pool_end_ip)</f>
        <v>Value Missing</v>
      </c>
      <c r="N150" s="361" t="s">
        <v>1418</v>
      </c>
      <c r="O150" s="337" t="str">
        <f>IF(ISBLANK(input_wld_az1_rack3_vmotion_pool_end_ip),"Value Missing",input_wld_az1_rack3_vmotion_pool_end_ip)</f>
        <v>Value Missing</v>
      </c>
      <c r="Q150" s="361" t="s">
        <v>1418</v>
      </c>
      <c r="R150" s="337" t="str">
        <f>IF(ISBLANK(input_wld_az1_rack4_vmotion_pool_end_ip),"Value Missing",input_wld_az1_rack4_vmotion_pool_end_ip)</f>
        <v>Value Missing</v>
      </c>
      <c r="T150" s="361" t="s">
        <v>1418</v>
      </c>
      <c r="U150" s="337" t="str">
        <f>IF(ISBLANK(input_wld_az1_rack5_vmotion_pool_end_ip),"Value Missing",input_wld_az1_rack5_vmotion_pool_end_ip)</f>
        <v>Value Missing</v>
      </c>
      <c r="W150" s="361" t="s">
        <v>1418</v>
      </c>
      <c r="X150" s="337" t="str">
        <f>IF(ISBLANK(input_wld_az1_rack6_vmotion_pool_end_ip),"Value Missing",input_wld_az1_rack6_vmotion_pool_end_ip)</f>
        <v>Value Missing</v>
      </c>
      <c r="Z150" s="361" t="s">
        <v>1418</v>
      </c>
      <c r="AA150" s="337" t="str">
        <f>IF(ISBLANK(input_wld_az1_rack7_vmotion_pool_end_ip),"Value Missing",input_wld_az1_rack7_vmotion_pool_end_ip)</f>
        <v>Value Missing</v>
      </c>
      <c r="AC150" s="361" t="s">
        <v>1418</v>
      </c>
      <c r="AD150" s="337" t="str">
        <f>IF(ISBLANK(input_wld_az1_rack8_vmotion_pool_end_ip),"Value Missing",input_wld_az1_rack8_vmotion_pool_end_ip)</f>
        <v>Value Missing</v>
      </c>
      <c r="AG150" s="8"/>
      <c r="AH150" s="8"/>
      <c r="AI150" s="8"/>
    </row>
    <row r="151" spans="5:35" s="2" customFormat="1" ht="20" customHeight="1" x14ac:dyDescent="0.2">
      <c r="E151" s="361" t="s">
        <v>1419</v>
      </c>
      <c r="F151" s="337" t="str">
        <f>IF(ISBLANK(input_mgmt_az1_vsan_pool_start_ip),"Value Missing",input_mgmt_az1_vsan_pool_start_ip)</f>
        <v>Value Missing</v>
      </c>
      <c r="H151" s="361" t="s">
        <v>1419</v>
      </c>
      <c r="I151" s="337" t="str">
        <f>IF(ISBLANK(input_wld_az1_principal_storage_pool_start_ip),"Value Missing",input_wld_az1_principal_storage_pool_start_ip)</f>
        <v>Value Missing</v>
      </c>
      <c r="K151" s="361" t="s">
        <v>1419</v>
      </c>
      <c r="L151" s="337" t="str">
        <f>IF(ISBLANK(input_wld_az1_rack2_principal_storage_pool_start_ip),"Value Missing",input_wld_az1_rack2_principal_storage_pool_start_ip)</f>
        <v>Value Missing</v>
      </c>
      <c r="N151" s="361" t="s">
        <v>1419</v>
      </c>
      <c r="O151" s="337" t="str">
        <f>IF(ISBLANK(input_wld_az1_rack3_principal_storage_pool_start_ip),"Value Missing",input_wld_az1_rack3_principal_storage_pool_start_ip)</f>
        <v>Value Missing</v>
      </c>
      <c r="Q151" s="361" t="s">
        <v>1419</v>
      </c>
      <c r="R151" s="337" t="str">
        <f>IF(ISBLANK(input_wld_az1_rack4_principal_storage_pool_start_ip),"Value Missing",input_wld_az1_rack4_principal_storage_pool_start_ip)</f>
        <v>Value Missing</v>
      </c>
      <c r="T151" s="361" t="s">
        <v>1419</v>
      </c>
      <c r="U151" s="337" t="str">
        <f>IF(ISBLANK(input_wld_az1_rack5_principal_storage_pool_start_ip),"Value Missing",input_wld_az1_rack5_principal_storage_pool_start_ip)</f>
        <v>Value Missing</v>
      </c>
      <c r="W151" s="361" t="s">
        <v>1419</v>
      </c>
      <c r="X151" s="337" t="str">
        <f>IF(ISBLANK(input_wld_az1_rack6_principal_storage_pool_start_ip),"Value Missing",input_wld_az1_rack6_principal_storage_pool_start_ip)</f>
        <v>Value Missing</v>
      </c>
      <c r="Z151" s="361" t="s">
        <v>1419</v>
      </c>
      <c r="AA151" s="337" t="str">
        <f>IF(ISBLANK(input_wld_az1_rack7_principal_storage_pool_start_ip),"Value Missing",input_wld_az1_rack7_principal_storage_pool_start_ip)</f>
        <v>Value Missing</v>
      </c>
      <c r="AC151" s="361" t="s">
        <v>1419</v>
      </c>
      <c r="AD151" s="337" t="str">
        <f>IF(ISBLANK(input_wld_az1_rack8_principal_storage_pool_start_ip),"Value Missing",input_wld_az1_rack8_principal_storage_pool_start_ip)</f>
        <v>Value Missing</v>
      </c>
      <c r="AG151" s="8"/>
      <c r="AH151" s="8"/>
      <c r="AI151" s="8"/>
    </row>
    <row r="152" spans="5:35" s="2" customFormat="1" ht="20" customHeight="1" x14ac:dyDescent="0.2">
      <c r="E152" s="361" t="s">
        <v>1420</v>
      </c>
      <c r="F152" s="337" t="str">
        <f>IF(ISBLANK(input_mgmt_az1_vsan_pool_end_ip),"Value Missing",input_mgmt_az1_vsan_pool_end_ip)</f>
        <v>Value Missing</v>
      </c>
      <c r="H152" s="361" t="s">
        <v>1420</v>
      </c>
      <c r="I152" s="337" t="str">
        <f>IF(ISBLANK(input_wld_az1_principal_storage_pool_end_ip),"Value Missing",input_wld_az1_principal_storage_pool_end_ip)</f>
        <v>Value Missing</v>
      </c>
      <c r="K152" s="361" t="s">
        <v>1420</v>
      </c>
      <c r="L152" s="337" t="str">
        <f>IF(ISBLANK(input_wld_az1_rack2_principal_storage_pool_end_ip),"Value Missing",input_wld_az1_rack2_principal_storage_pool_end_ip)</f>
        <v>Value Missing</v>
      </c>
      <c r="N152" s="361" t="s">
        <v>1420</v>
      </c>
      <c r="O152" s="337" t="str">
        <f>IF(ISBLANK(input_wld_az1_rack3_principal_storage_pool_end_ip),"Value Missing",input_wld_az1_rack3_principal_storage_pool_end_ip)</f>
        <v>Value Missing</v>
      </c>
      <c r="Q152" s="361" t="s">
        <v>1420</v>
      </c>
      <c r="R152" s="337" t="str">
        <f>IF(ISBLANK(input_wld_az1_rack4_principal_storage_pool_end_ip),"Value Missing",input_wld_az1_rack4_principal_storage_pool_end_ip)</f>
        <v>Value Missing</v>
      </c>
      <c r="T152" s="361" t="s">
        <v>1420</v>
      </c>
      <c r="U152" s="337" t="str">
        <f>IF(ISBLANK(input_wld_az1_rack5_principal_storage_pool_end_ip),"Value Missing",input_wld_az1_rack5_principal_storage_pool_end_ip)</f>
        <v>Value Missing</v>
      </c>
      <c r="W152" s="361" t="s">
        <v>1420</v>
      </c>
      <c r="X152" s="337" t="str">
        <f>IF(ISBLANK(input_wld_az1_rack6_principal_storage_pool_end_ip),"Value Missing",input_wld_az1_rack6_principal_storage_pool_end_ip)</f>
        <v>Value Missing</v>
      </c>
      <c r="Z152" s="361" t="s">
        <v>1420</v>
      </c>
      <c r="AA152" s="337" t="str">
        <f>IF(ISBLANK(input_wld_az1_rack7_principal_storage_pool_end_ip),"Value Missing",input_wld_az1_rack7_principal_storage_pool_end_ip)</f>
        <v>Value Missing</v>
      </c>
      <c r="AC152" s="361" t="s">
        <v>1420</v>
      </c>
      <c r="AD152" s="337" t="str">
        <f>IF(ISBLANK(input_wld_az1_rack8_principal_storage_pool_end_ip),"Value Missing",input_wld_az1_rack8_principal_storage_pool_end_ip)</f>
        <v>Value Missing</v>
      </c>
      <c r="AG152" s="8"/>
      <c r="AH152" s="8"/>
      <c r="AI152" s="8"/>
    </row>
    <row r="153" spans="5:35" s="2" customFormat="1" ht="20" customHeight="1" x14ac:dyDescent="0.2">
      <c r="E153" s="361" t="s">
        <v>1421</v>
      </c>
      <c r="F153" s="337" t="str">
        <f>IF(ISBLANK(input_mgmt_az1_host_overlay_pool_start_ip),"Value Missing",input_mgmt_az1_host_overlay_pool_start_ip)</f>
        <v>Value Missing</v>
      </c>
      <c r="H153" s="361" t="s">
        <v>1421</v>
      </c>
      <c r="I153" s="337" t="str">
        <f>IF(ISBLANK(input_wld_az1_host_overlay_pool_start_ip),"Value Missing",input_wld_az1_host_overlay_pool_start_ip)</f>
        <v>Value Missing</v>
      </c>
      <c r="K153" s="361" t="s">
        <v>1421</v>
      </c>
      <c r="L153" s="337" t="str">
        <f>IF(ISBLANK(input_wld_az1_rack2_host_overlay_pool_start_ip),"Value Missing",input_wld_az1_rack2_host_overlay_pool_start_ip)</f>
        <v>Value Missing</v>
      </c>
      <c r="N153" s="361" t="s">
        <v>1421</v>
      </c>
      <c r="O153" s="337" t="str">
        <f>IF(ISBLANK(input_wld_az1_rack3_host_overlay_pool_start_ip),"Value Missing",input_wld_az1_rack3_host_overlay_pool_start_ip)</f>
        <v>Value Missing</v>
      </c>
      <c r="Q153" s="361" t="s">
        <v>1421</v>
      </c>
      <c r="R153" s="337" t="str">
        <f>IF(ISBLANK(input_wld_az1_rack4_host_overlay_pool_start_ip),"Value Missing",input_wld_az1_rack4_host_overlay_pool_start_ip)</f>
        <v>Value Missing</v>
      </c>
      <c r="T153" s="361" t="s">
        <v>1421</v>
      </c>
      <c r="U153" s="337" t="str">
        <f>IF(ISBLANK(input_wld_az1_rack5_host_overlay_pool_start_ip),"Value Missing",input_wld_az1_rack5_host_overlay_pool_start_ip)</f>
        <v>Value Missing</v>
      </c>
      <c r="W153" s="361" t="s">
        <v>1421</v>
      </c>
      <c r="X153" s="337" t="str">
        <f>IF(ISBLANK(input_wld_az1_rack6_host_overlay_pool_start_ip),"Value Missing",input_wld_az1_rack6_host_overlay_pool_start_ip)</f>
        <v>Value Missing</v>
      </c>
      <c r="Z153" s="361" t="s">
        <v>1421</v>
      </c>
      <c r="AA153" s="337" t="str">
        <f>IF(ISBLANK(input_wld_az1_rack7_host_overlay_pool_start_ip),"Value Missing",input_wld_az1_rack7_host_overlay_pool_start_ip)</f>
        <v>Value Missing</v>
      </c>
      <c r="AC153" s="361" t="s">
        <v>1421</v>
      </c>
      <c r="AD153" s="337" t="str">
        <f>IF(ISBLANK(input_wld_az1_rack8_host_overlay_pool_start_ip),"Value Missing",input_wld_az1_rack8_host_overlay_pool_start_ip)</f>
        <v>Value Missing</v>
      </c>
      <c r="AG153" s="8"/>
      <c r="AH153" s="8"/>
      <c r="AI153" s="8"/>
    </row>
    <row r="154" spans="5:35" s="2" customFormat="1" ht="20" customHeight="1" x14ac:dyDescent="0.2">
      <c r="E154" s="361" t="s">
        <v>1422</v>
      </c>
      <c r="F154" s="337" t="str">
        <f>IF(ISBLANK(input_mgmt_az1_host_overlay_pool_end_ip),"Value Missing",input_mgmt_az1_host_overlay_pool_end_ip)</f>
        <v>Value Missing</v>
      </c>
      <c r="H154" s="361" t="s">
        <v>1422</v>
      </c>
      <c r="I154" s="337" t="str">
        <f>IF(ISBLANK(input_wld_az1_host_overlay_pool_end_ip),"Value Missing",input_wld_az1_host_overlay_pool_end_ip)</f>
        <v>Value Missing</v>
      </c>
      <c r="K154" s="361" t="s">
        <v>1422</v>
      </c>
      <c r="L154" s="337" t="str">
        <f>IF(ISBLANK(input_wld_az1_rack2_host_overlay_pool_end_ip),"Value Missing",input_wld_az1_rack2_host_overlay_pool_end_ip)</f>
        <v>Value Missing</v>
      </c>
      <c r="N154" s="361" t="s">
        <v>1422</v>
      </c>
      <c r="O154" s="337" t="str">
        <f>IF(ISBLANK(input_wld_az1_rack3_host_overlay_pool_end_ip),"Value Missing",input_wld_az1_rack3_host_overlay_pool_end_ip)</f>
        <v>Value Missing</v>
      </c>
      <c r="Q154" s="361" t="s">
        <v>1422</v>
      </c>
      <c r="R154" s="337" t="str">
        <f>IF(ISBLANK(input_wld_az1_rack4_host_overlay_pool_end_ip),"Value Missing",input_wld_az1_rack4_host_overlay_pool_end_ip)</f>
        <v>Value Missing</v>
      </c>
      <c r="T154" s="361" t="s">
        <v>1422</v>
      </c>
      <c r="U154" s="337" t="str">
        <f>IF(ISBLANK(input_wld_az1_rack5_host_overlay_pool_end_ip),"Value Missing",input_wld_az1_rack5_host_overlay_pool_end_ip)</f>
        <v>Value Missing</v>
      </c>
      <c r="W154" s="361" t="s">
        <v>1422</v>
      </c>
      <c r="X154" s="337" t="str">
        <f>IF(ISBLANK(input_wld_az1_rack6_host_overlay_pool_end_ip),"Value Missing",input_wld_az1_rack6_host_overlay_pool_end_ip)</f>
        <v>Value Missing</v>
      </c>
      <c r="Z154" s="361" t="s">
        <v>1422</v>
      </c>
      <c r="AA154" s="337" t="str">
        <f>IF(ISBLANK(input_wld_az1_rack7_host_overlay_pool_end_ip),"Value Missing",input_wld_az1_rack7_host_overlay_pool_end_ip)</f>
        <v>Value Missing</v>
      </c>
      <c r="AC154" s="361" t="s">
        <v>1422</v>
      </c>
      <c r="AD154" s="337" t="str">
        <f>IF(ISBLANK(input_wld_az1_rack8_host_overlay_pool_end_ip),"Value Missing",input_wld_az1_rack8_host_overlay_pool_end_ip)</f>
        <v>Value Missing</v>
      </c>
      <c r="AG154" s="8"/>
      <c r="AH154" s="8"/>
      <c r="AI154" s="8"/>
    </row>
    <row r="155" spans="5:35" s="2" customFormat="1" ht="20" customHeight="1" x14ac:dyDescent="0.2">
      <c r="E155" s="5" t="s">
        <v>1423</v>
      </c>
      <c r="F155" s="337" t="str">
        <f>IF(ISBLANK(input_mgmt_az1_secondary_storage_pool_start_ip),"Value Missing",input_mgmt_az1_secondary_storage_pool_start_ip)</f>
        <v>Value Missing</v>
      </c>
      <c r="H155" s="17" t="s">
        <v>1423</v>
      </c>
      <c r="I155" s="337" t="str">
        <f>IF(ISBLANK(input_wld_az1_secondary_storage_pool_start_ip),"Value Missing",input_wld_az1_secondary_storage_pool_start_ip)</f>
        <v>Value Missing</v>
      </c>
      <c r="K155" s="17" t="s">
        <v>1423</v>
      </c>
      <c r="L155" s="337" t="str">
        <f>IF(ISBLANK(input_wld_az1_rack2_secondary_storage_pool_start_ip),"Value Missing",input_wld_az1_rack2_secondary_storage_pool_start_ip)</f>
        <v>Value Missing</v>
      </c>
      <c r="N155" s="17" t="s">
        <v>1423</v>
      </c>
      <c r="O155" s="337" t="str">
        <f>IF(ISBLANK(input_wld_az1_rack3_secondary_storage_pool_start_ip),"Value Missing",input_wld_az1_rack3_secondary_storage_pool_start_ip)</f>
        <v>Value Missing</v>
      </c>
      <c r="Q155" s="17" t="s">
        <v>1423</v>
      </c>
      <c r="R155" s="337" t="str">
        <f>IF(ISBLANK(input_wld_az1_rack4_secondary_storage_pool_start_ip),"Value Missing",input_wld_az1_rack4_secondary_storage_pool_start_ip)</f>
        <v>Value Missing</v>
      </c>
      <c r="T155" s="17" t="s">
        <v>1423</v>
      </c>
      <c r="U155" s="337" t="str">
        <f>IF(ISBLANK(input_wld_az1_rack5_secondary_storage_pool_start_ip),"Value Missing",input_wld_az1_rack5_secondary_storage_pool_start_ip)</f>
        <v>Value Missing</v>
      </c>
      <c r="W155" s="17" t="s">
        <v>1423</v>
      </c>
      <c r="X155" s="337" t="str">
        <f>IF(ISBLANK(input_wld_az1_rack6_secondary_storage_pool_start_ip),"Value Missing",input_wld_az1_rack6_secondary_storage_pool_start_ip)</f>
        <v>Value Missing</v>
      </c>
      <c r="Z155" s="17" t="s">
        <v>1423</v>
      </c>
      <c r="AA155" s="337" t="str">
        <f>IF(ISBLANK(input_wld_az1_rack7_secondary_storage_pool_start_ip),"Value Missing",input_wld_az1_rack7_secondary_storage_pool_start_ip)</f>
        <v>Value Missing</v>
      </c>
      <c r="AC155" s="17" t="s">
        <v>1423</v>
      </c>
      <c r="AD155" s="337" t="str">
        <f>IF(ISBLANK(input_wld_az1_rack8_secondary_storage_pool_start_ip),"Value Missing",input_wld_az1_rack8_secondary_storage_pool_start_ip)</f>
        <v>Value Missing</v>
      </c>
      <c r="AG155" s="8"/>
      <c r="AH155" s="8"/>
      <c r="AI155" s="8"/>
    </row>
    <row r="156" spans="5:35" s="2" customFormat="1" ht="20" customHeight="1" x14ac:dyDescent="0.2">
      <c r="E156" s="21" t="s">
        <v>1424</v>
      </c>
      <c r="F156" s="337" t="str">
        <f>IF(ISBLANK(input_mgmt_az1_secondary_storage_pool_end_ip),"Value Missing",input_mgmt_az1_secondary_storage_pool_end_ip)</f>
        <v>Value Missing</v>
      </c>
      <c r="H156" s="22" t="s">
        <v>1424</v>
      </c>
      <c r="I156" s="337" t="str">
        <f>IF(ISBLANK(input_wld_az1_secondary_storage_pool_end_ip),"Value Missing",input_wld_az1_secondary_storage_pool_end_ip)</f>
        <v>Value Missing</v>
      </c>
      <c r="K156" s="22" t="s">
        <v>1424</v>
      </c>
      <c r="L156" s="337" t="str">
        <f>IF(ISBLANK(input_wld_az1_rack2_secondary_storage_pool_end_ip),"Value Missing",input_wld_az1_rack2_secondary_storage_pool_end_ip)</f>
        <v>Value Missing</v>
      </c>
      <c r="N156" s="22" t="s">
        <v>1424</v>
      </c>
      <c r="O156" s="337" t="str">
        <f>IF(ISBLANK(input_wld_az1_rack3_secondary_storage_pool_end_ip),"Value Missing",input_wld_az1_rack3_secondary_storage_pool_end_ip)</f>
        <v>Value Missing</v>
      </c>
      <c r="Q156" s="22" t="s">
        <v>1424</v>
      </c>
      <c r="R156" s="337" t="str">
        <f>IF(ISBLANK(input_wld_az1_rack4_secondary_storage_pool_end_ip),"Value Missing",input_wld_az1_rack4_secondary_storage_pool_end_ip)</f>
        <v>Value Missing</v>
      </c>
      <c r="T156" s="22" t="s">
        <v>1424</v>
      </c>
      <c r="U156" s="337" t="str">
        <f>IF(ISBLANK(input_wld_az1_rack5_secondary_storage_pool_end_ip),"Value Missing",input_wld_az1_rack5_secondary_storage_pool_end_ip)</f>
        <v>Value Missing</v>
      </c>
      <c r="W156" s="22" t="s">
        <v>1424</v>
      </c>
      <c r="X156" s="337" t="str">
        <f>IF(ISBLANK(input_wld_az1_rack6_secondary_storage_pool_end_ip),"Value Missing",input_wld_az1_rack6_secondary_storage_pool_end_ip)</f>
        <v>Value Missing</v>
      </c>
      <c r="Z156" s="22" t="s">
        <v>1424</v>
      </c>
      <c r="AA156" s="337" t="str">
        <f>IF(ISBLANK(input_wld_az1_rack7_secondary_storage_pool_end_ip),"Value Missing",input_wld_az1_rack7_secondary_storage_pool_end_ip)</f>
        <v>Value Missing</v>
      </c>
      <c r="AC156" s="22" t="s">
        <v>1424</v>
      </c>
      <c r="AD156" s="337" t="str">
        <f>IF(ISBLANK(input_wld_az1_rack8_secondary_storage_pool_end_ip),"Value Missing",input_wld_az1_rack8_secondary_storage_pool_end_ip)</f>
        <v>Value Missing</v>
      </c>
      <c r="AG156" s="8"/>
      <c r="AH156" s="8"/>
      <c r="AI156" s="8"/>
    </row>
    <row r="157" spans="5:35" s="2" customFormat="1" ht="20" customHeight="1" x14ac:dyDescent="0.2">
      <c r="E157" s="21"/>
      <c r="F157" s="337"/>
      <c r="G157" s="24"/>
      <c r="H157" s="28" t="s">
        <v>1425</v>
      </c>
      <c r="I157" s="337" t="str">
        <f>IF(ISBLANK(input_wld_az1_storage_cluster_pool_start_ip),"Value Missing",input_wld_az1_storage_cluster_pool_start_ip)</f>
        <v>Value Missing</v>
      </c>
      <c r="J157" s="24"/>
      <c r="K157" s="22"/>
      <c r="L157" s="337"/>
      <c r="N157" s="22"/>
      <c r="O157" s="337"/>
      <c r="Q157" s="22"/>
      <c r="R157" s="337"/>
      <c r="T157" s="22"/>
      <c r="U157" s="337"/>
      <c r="W157" s="22"/>
      <c r="X157" s="337"/>
      <c r="Z157" s="22"/>
      <c r="AA157" s="337"/>
      <c r="AC157" s="22"/>
      <c r="AD157" s="337"/>
      <c r="AG157" s="8"/>
      <c r="AH157" s="8"/>
      <c r="AI157" s="8"/>
    </row>
    <row r="158" spans="5:35" s="2" customFormat="1" ht="20" customHeight="1" x14ac:dyDescent="0.2">
      <c r="E158" s="21"/>
      <c r="F158" s="337"/>
      <c r="G158" s="8"/>
      <c r="H158" s="261" t="s">
        <v>1426</v>
      </c>
      <c r="I158" s="337" t="str">
        <f>IF(ISBLANK(input_wld_az1_storage_cluster_pool_end_ip),"Value Missing",input_wld_az1_storage_cluster_pool_end_ip)</f>
        <v>Value Missing</v>
      </c>
      <c r="J158" s="8"/>
      <c r="K158" s="22"/>
      <c r="L158" s="337"/>
      <c r="N158" s="22"/>
      <c r="O158" s="337"/>
      <c r="Q158" s="22"/>
      <c r="R158" s="337"/>
      <c r="T158" s="22"/>
      <c r="U158" s="337"/>
      <c r="W158" s="22"/>
      <c r="X158" s="337"/>
      <c r="Z158" s="22"/>
      <c r="AA158" s="337"/>
      <c r="AC158" s="22"/>
      <c r="AD158" s="337"/>
      <c r="AG158" s="8"/>
      <c r="AH158" s="8"/>
      <c r="AI158" s="8"/>
    </row>
    <row r="159" spans="5:35" s="2" customFormat="1" ht="20" customHeight="1" x14ac:dyDescent="0.2">
      <c r="E159" s="361" t="s">
        <v>122</v>
      </c>
      <c r="F159" s="337" t="str">
        <f>IF(ISBLANK(input_mgmt_az1_edge_overlay_pool_start_ip),"Value Missing",input_mgmt_az1_edge_overlay_pool_start_ip)</f>
        <v>Value Missing</v>
      </c>
      <c r="H159" s="361" t="s">
        <v>122</v>
      </c>
      <c r="I159" s="337" t="str">
        <f>IF(ISBLANK(input_wld_az1_edge_overlay_pool_start_ip),"Value Missing",input_wld_az1_edge_overlay_pool_start_ip)</f>
        <v>Value Missing</v>
      </c>
      <c r="K159" s="361" t="s">
        <v>122</v>
      </c>
      <c r="L159" s="337" t="str">
        <f t="array" ref="L159">IF(ISBLANK(input_wld_az1_rack2_edge_overlay_pool_start_ip),"Value Missing",input_wld_az1_rack2_edge_overlay_pool_start_ip)</f>
        <v>Value Missing</v>
      </c>
      <c r="N159" s="361" t="s">
        <v>122</v>
      </c>
      <c r="O159" s="337" t="str">
        <f t="array" ref="O159">IF(ISBLANK(input_wld_az1_rack3_edge_overlay_pool_start_ip),"Value Missing",input_wld_az1_rack3_edge_overlay_pool_start_ip)</f>
        <v>Value Missing</v>
      </c>
      <c r="Q159" s="361" t="s">
        <v>122</v>
      </c>
      <c r="R159" s="337" t="str">
        <f t="array" ref="R159">IF(ISBLANK(input_wld_az1_rack4_edge_overlay_pool_start_ip),"Value Missing",input_wld_az1_rack4_edge_overlay_pool_start_ip)</f>
        <v>Value Missing</v>
      </c>
      <c r="T159" s="361" t="s">
        <v>122</v>
      </c>
      <c r="U159" s="337" t="str">
        <f t="array" ref="U159">IF(ISBLANK(input_wld_az1_rack5_edge_overlay_pool_start_ip),"Value Missing",input_wld_az1_rack5_edge_overlay_pool_start_ip)</f>
        <v>Value Missing</v>
      </c>
      <c r="W159" s="361" t="s">
        <v>122</v>
      </c>
      <c r="X159" s="337" t="str">
        <f t="array" ref="X159">IF(ISBLANK(input_wld_az1_rack6_edge_overlay_pool_start_ip),"Value Missing",input_wld_az1_rack6_edge_overlay_pool_start_ip)</f>
        <v>Value Missing</v>
      </c>
      <c r="Z159" s="361" t="s">
        <v>122</v>
      </c>
      <c r="AA159" s="337" t="str">
        <f t="array" ref="AA159">IF(ISBLANK(input_wld_az1_rack7_edge_overlay_pool_start_ip),"Value Missing",input_wld_az1_rack7_edge_overlay_pool_start_ip)</f>
        <v>Value Missing</v>
      </c>
      <c r="AC159" s="361" t="s">
        <v>122</v>
      </c>
      <c r="AD159" s="337" t="str">
        <f t="array" ref="AD159">IF(ISBLANK(input_wld_az1_rack8_edge_overlay_pool_start_ip),"Value Missing",input_wld_az1_rack8_edge_overlay_pool_start_ip)</f>
        <v>Value Missing</v>
      </c>
      <c r="AG159" s="8"/>
      <c r="AH159" s="8"/>
      <c r="AI159" s="8"/>
    </row>
    <row r="160" spans="5:35" s="2" customFormat="1" ht="20" customHeight="1" x14ac:dyDescent="0.2">
      <c r="E160" s="361" t="s">
        <v>123</v>
      </c>
      <c r="F160" s="337" t="str">
        <f>IF(ISBLANK(input_mgmt_az1_edge_overlay_pool_end_ip),"Value Missing",input_mgmt_az1_edge_overlay_pool_end_ip)</f>
        <v>Value Missing</v>
      </c>
      <c r="G160" s="26"/>
      <c r="H160" s="361" t="s">
        <v>123</v>
      </c>
      <c r="I160" s="337" t="str">
        <f>IF(ISBLANK(input_wld_az1_edge_overlay_pool_end_ip),"Value Missing",input_wld_az1_edge_overlay_pool_end_ip)</f>
        <v>Value Missing</v>
      </c>
      <c r="J160" s="26"/>
      <c r="K160" s="361" t="s">
        <v>123</v>
      </c>
      <c r="L160" s="337" t="str">
        <f t="array" ref="L160">IF(ISBLANK(input_wld_az1_rack2_edge_overlay_pool_end_ip),"Value Missing",input_wld_az1_rack2_edge_overlay_pool_end_ip)</f>
        <v>Value Missing</v>
      </c>
      <c r="M160" s="24"/>
      <c r="N160" s="361" t="s">
        <v>123</v>
      </c>
      <c r="O160" s="337" t="str">
        <f t="array" ref="O160">IF(ISBLANK(input_wld_az1_rack3_edge_overlay_pool_end_ip),"Value Missing",input_wld_az1_rack3_edge_overlay_pool_end_ip)</f>
        <v>Value Missing</v>
      </c>
      <c r="Q160" s="361" t="s">
        <v>123</v>
      </c>
      <c r="R160" s="337" t="str">
        <f t="array" ref="R160">IF(ISBLANK(input_wld_az1_rack4_edge_overlay_pool_end_ip),"Value Missing",input_wld_az1_rack4_edge_overlay_pool_end_ip)</f>
        <v>Value Missing</v>
      </c>
      <c r="T160" s="361" t="s">
        <v>123</v>
      </c>
      <c r="U160" s="337" t="str">
        <f t="array" ref="U160">IF(ISBLANK(input_wld_az1_rack5_edge_overlay_pool_end_ip),"Value Missing",input_wld_az1_rack5_edge_overlay_pool_end_ip)</f>
        <v>Value Missing</v>
      </c>
      <c r="W160" s="361" t="s">
        <v>123</v>
      </c>
      <c r="X160" s="337" t="str">
        <f t="array" ref="X160">IF(ISBLANK(input_wld_az1_rack6_edge_overlay_pool_end_ip),"Value Missing",input_wld_az1_rack6_edge_overlay_pool_end_ip)</f>
        <v>Value Missing</v>
      </c>
      <c r="Z160" s="361" t="s">
        <v>123</v>
      </c>
      <c r="AA160" s="337" t="str">
        <f t="array" ref="AA160">IF(ISBLANK(input_wld_az1_rack7_edge_overlay_pool_end_ip),"Value Missing",input_wld_az1_rack7_edge_overlay_pool_end_ip)</f>
        <v>Value Missing</v>
      </c>
      <c r="AC160" s="361" t="s">
        <v>123</v>
      </c>
      <c r="AD160" s="337" t="str">
        <f t="array" ref="AD160">IF(ISBLANK(input_wld_az1_rack8_edge_overlay_pool_end_ip),"Value Missing",input_wld_az1_rack8_edge_overlay_pool_end_ip)</f>
        <v>Value Missing</v>
      </c>
      <c r="AG160" s="8"/>
      <c r="AH160" s="8"/>
      <c r="AI160" s="8"/>
    </row>
    <row r="161" spans="5:36" s="2" customFormat="1" ht="20" customHeight="1" x14ac:dyDescent="0.2">
      <c r="E161" s="361" t="s">
        <v>1427</v>
      </c>
      <c r="F161" s="337" t="str">
        <f>IF(ISBLANK(input_mgmt_rtep_overlay_pool_start_ip),"Value Missing",input_mgmt_rtep_overlay_pool_start_ip)</f>
        <v>Value Missing</v>
      </c>
      <c r="H161" s="361" t="s">
        <v>1427</v>
      </c>
      <c r="I161" s="337" t="str">
        <f>IF(ISBLANK(input_wld_rtep_overlay_pool_start_ip),"Value Missing",input_wld_rtep_overlay_pool_start_ip)</f>
        <v>Value Missing</v>
      </c>
      <c r="K161" s="361" t="s">
        <v>1427</v>
      </c>
      <c r="L161" s="337"/>
      <c r="M161" s="8"/>
      <c r="N161" s="361" t="s">
        <v>1427</v>
      </c>
      <c r="O161" s="337"/>
      <c r="Q161" s="361" t="s">
        <v>1427</v>
      </c>
      <c r="R161" s="337"/>
      <c r="T161" s="361" t="s">
        <v>1427</v>
      </c>
      <c r="U161" s="337"/>
      <c r="W161" s="361" t="s">
        <v>1427</v>
      </c>
      <c r="X161" s="337"/>
      <c r="Z161" s="361" t="s">
        <v>1427</v>
      </c>
      <c r="AA161" s="337"/>
      <c r="AC161" s="361" t="s">
        <v>1427</v>
      </c>
      <c r="AD161" s="337"/>
      <c r="AG161" s="8"/>
      <c r="AH161" s="8"/>
      <c r="AI161" s="8"/>
      <c r="AJ161" s="8"/>
    </row>
    <row r="162" spans="5:36" s="2" customFormat="1" ht="20" customHeight="1" x14ac:dyDescent="0.2">
      <c r="E162" s="361" t="s">
        <v>1428</v>
      </c>
      <c r="F162" s="337" t="str">
        <f>IF(ISBLANK(input_mgmt_rtep_overlay_pool_end_ip),"Value Missing",input_mgmt_rtep_overlay_pool_end_ip)</f>
        <v>Value Missing</v>
      </c>
      <c r="H162" s="361" t="s">
        <v>1428</v>
      </c>
      <c r="I162" s="337" t="str">
        <f>IF(ISBLANK(input_wld_rtep_overlay_pool_end_ip),"Value Missing",input_wld_rtep_overlay_pool_end_ip)</f>
        <v>Value Missing</v>
      </c>
      <c r="K162" s="361" t="s">
        <v>1428</v>
      </c>
      <c r="L162" s="337"/>
      <c r="N162" s="361" t="s">
        <v>1428</v>
      </c>
      <c r="O162" s="337"/>
      <c r="Q162" s="361" t="s">
        <v>1428</v>
      </c>
      <c r="R162" s="337"/>
      <c r="T162" s="361" t="s">
        <v>1428</v>
      </c>
      <c r="U162" s="337"/>
      <c r="W162" s="361" t="s">
        <v>1428</v>
      </c>
      <c r="X162" s="337"/>
      <c r="Z162" s="361" t="s">
        <v>1428</v>
      </c>
      <c r="AA162" s="337"/>
      <c r="AC162" s="361" t="s">
        <v>1428</v>
      </c>
      <c r="AD162" s="337"/>
      <c r="AG162" s="8"/>
      <c r="AH162" s="8"/>
      <c r="AI162" s="8"/>
      <c r="AJ162" s="8"/>
    </row>
    <row r="163" spans="5:36" s="2" customFormat="1" ht="20" customHeight="1" x14ac:dyDescent="0.2">
      <c r="H163" s="358"/>
      <c r="K163" s="23"/>
      <c r="M163" s="26"/>
      <c r="N163" s="23"/>
      <c r="Q163" s="23"/>
      <c r="T163" s="23"/>
      <c r="W163" s="23"/>
      <c r="Z163" s="23"/>
      <c r="AC163" s="23"/>
      <c r="AG163" s="8"/>
      <c r="AH163" s="8"/>
      <c r="AI163" s="8"/>
      <c r="AJ163" s="8"/>
    </row>
    <row r="164" spans="5:36" s="2" customFormat="1" ht="20" customHeight="1" x14ac:dyDescent="0.2">
      <c r="E164" s="20" t="s">
        <v>1429</v>
      </c>
      <c r="F164" s="381"/>
      <c r="H164" s="20" t="s">
        <v>1430</v>
      </c>
      <c r="I164" s="381"/>
      <c r="K164" s="20" t="s">
        <v>1431</v>
      </c>
      <c r="L164" s="381"/>
      <c r="N164" s="20" t="s">
        <v>1432</v>
      </c>
      <c r="O164" s="381"/>
      <c r="Q164" s="20" t="s">
        <v>1433</v>
      </c>
      <c r="R164" s="381"/>
      <c r="T164" s="20" t="s">
        <v>1434</v>
      </c>
      <c r="U164" s="381"/>
      <c r="W164" s="20" t="s">
        <v>1435</v>
      </c>
      <c r="X164" s="381"/>
      <c r="Z164" s="20" t="s">
        <v>1436</v>
      </c>
      <c r="AA164" s="381"/>
      <c r="AC164" s="20" t="s">
        <v>1437</v>
      </c>
      <c r="AD164" s="381"/>
      <c r="AG164" s="8"/>
      <c r="AH164" s="8"/>
      <c r="AI164" s="8"/>
      <c r="AJ164" s="8"/>
    </row>
    <row r="165" spans="5:36" s="2" customFormat="1" ht="20" customHeight="1" x14ac:dyDescent="0.2">
      <c r="E165" s="11" t="s">
        <v>261</v>
      </c>
      <c r="F165" s="14" t="s">
        <v>1269</v>
      </c>
      <c r="H165" s="11" t="s">
        <v>261</v>
      </c>
      <c r="I165" s="14" t="s">
        <v>19</v>
      </c>
      <c r="K165" s="13" t="s">
        <v>261</v>
      </c>
      <c r="L165" s="14" t="s">
        <v>19</v>
      </c>
      <c r="N165" s="13" t="s">
        <v>261</v>
      </c>
      <c r="O165" s="14" t="s">
        <v>19</v>
      </c>
      <c r="P165" s="24"/>
      <c r="Q165" s="13" t="s">
        <v>261</v>
      </c>
      <c r="R165" s="14" t="s">
        <v>19</v>
      </c>
      <c r="S165" s="24"/>
      <c r="T165" s="13" t="s">
        <v>261</v>
      </c>
      <c r="U165" s="14" t="s">
        <v>19</v>
      </c>
      <c r="V165" s="24"/>
      <c r="W165" s="13" t="s">
        <v>261</v>
      </c>
      <c r="X165" s="14" t="s">
        <v>19</v>
      </c>
      <c r="Y165" s="24"/>
      <c r="Z165" s="13" t="s">
        <v>261</v>
      </c>
      <c r="AA165" s="14" t="s">
        <v>19</v>
      </c>
      <c r="AB165" s="24"/>
      <c r="AC165" s="13" t="s">
        <v>261</v>
      </c>
      <c r="AD165" s="14" t="s">
        <v>19</v>
      </c>
      <c r="AG165" s="8"/>
      <c r="AH165" s="8"/>
      <c r="AI165" s="8"/>
      <c r="AJ165" s="8"/>
    </row>
    <row r="166" spans="5:36" s="2" customFormat="1" ht="20" customHeight="1" x14ac:dyDescent="0.2">
      <c r="E166" s="361" t="s">
        <v>250</v>
      </c>
      <c r="F166" s="337" t="str">
        <f>CONCATENATE(this_instance,"01-m01","-r01-network-pool-01")</f>
        <v>sfo01-m01-r01-network-pool-01</v>
      </c>
      <c r="H166" s="361" t="s">
        <v>1438</v>
      </c>
      <c r="I166" s="337" t="str">
        <f>IF(ISBLANK(input_wld_az1_pool_name),"Value Missing",input_wld_az1_pool_name)</f>
        <v>Value Missing</v>
      </c>
      <c r="K166" s="361" t="s">
        <v>250</v>
      </c>
      <c r="L166" s="337" t="str">
        <f>IF(ISBLANK(input_wld_az1_rack2_pool_name),"Value Missing",input_wld_az1_rack2_pool_name)</f>
        <v>Value Missing</v>
      </c>
      <c r="N166" s="361" t="s">
        <v>1438</v>
      </c>
      <c r="O166" s="337" t="str">
        <f>IF(ISBLANK(input_wld_az1_rack3_pool_name),"Value Missing",input_wld_az1_rack3_pool_name)</f>
        <v>Value Missing</v>
      </c>
      <c r="P166" s="8"/>
      <c r="Q166" s="361" t="s">
        <v>1438</v>
      </c>
      <c r="R166" s="337" t="str">
        <f>IF(ISBLANK(input_wld_az1_rack4_pool_name),"Value Missing",input_wld_az1_rack4_pool_name)</f>
        <v>Value Missing</v>
      </c>
      <c r="S166" s="8"/>
      <c r="T166" s="361" t="s">
        <v>1438</v>
      </c>
      <c r="U166" s="337" t="str">
        <f>IF(ISBLANK(input_wld_az1_rack5_pool_name),"Value Missing",input_wld_az1_rack5_pool_name)</f>
        <v>Value Missing</v>
      </c>
      <c r="V166" s="8"/>
      <c r="W166" s="361" t="s">
        <v>1438</v>
      </c>
      <c r="X166" s="337" t="str">
        <f>IF(ISBLANK(input_wld_az1_rack6_pool_name),"Value Missing",input_wld_az1_rack6_pool_name)</f>
        <v>Value Missing</v>
      </c>
      <c r="Y166" s="8"/>
      <c r="Z166" s="361" t="s">
        <v>1438</v>
      </c>
      <c r="AA166" s="337" t="str">
        <f>IF(ISBLANK(input_wld_az1_rack7_pool_name),"Value Missing",input_wld_az1_rack7_pool_name)</f>
        <v>Value Missing</v>
      </c>
      <c r="AB166" s="8"/>
      <c r="AC166" s="361" t="s">
        <v>1438</v>
      </c>
      <c r="AD166" s="337" t="str">
        <f>IF(ISBLANK(input_wld_az1_rack8_pool_name),"Value Missing",input_wld_az1_rack8_pool_name)</f>
        <v>Value Missing</v>
      </c>
      <c r="AG166" s="8"/>
      <c r="AH166" s="8"/>
      <c r="AI166" s="8"/>
    </row>
    <row r="167" spans="5:36" s="2" customFormat="1" ht="20" customHeight="1" x14ac:dyDescent="0.2">
      <c r="E167" s="361" t="s">
        <v>1439</v>
      </c>
      <c r="F167" s="337" t="str">
        <f>CONCATENATE(this_instance,"01-",sample_mgmt_cl01_cluster,"-r01-network-profile")</f>
        <v>sfo01-sfo-m01-cl01-r01-network-profile</v>
      </c>
      <c r="G167" s="7"/>
      <c r="H167" s="361" t="s">
        <v>1439</v>
      </c>
      <c r="I167" s="337" t="str">
        <f>IF(ISBLANK(input_wld_az1_rack1_host_overlay_network_profile_name),"Value Missing",input_wld_az1_rack1_host_overlay_network_profile_name)</f>
        <v>Value Missing</v>
      </c>
      <c r="J167" s="7"/>
      <c r="K167" s="361" t="s">
        <v>1439</v>
      </c>
      <c r="L167" s="337" t="str">
        <f>IF(ISBLANK(input_wld_az1_rack2_host_overlay_network_profile_name),"Value Missing",input_wld_az1_rack2_host_overlay_network_profile_name)</f>
        <v>Value Missing</v>
      </c>
      <c r="N167" s="361" t="s">
        <v>1439</v>
      </c>
      <c r="O167" s="337" t="str">
        <f>IF(ISBLANK(input_wld_az1_rack3_host_overlay_network_profile_name),"Value Missing",input_wld_az1_rack3_host_overlay_network_profile_name)</f>
        <v>Value Missing</v>
      </c>
      <c r="Q167" s="361" t="s">
        <v>1439</v>
      </c>
      <c r="R167" s="337" t="str">
        <f>IF(ISBLANK(input_wld_az1_rack4_host_overlay_network_profile_name),"Value Missing",input_wld_az1_rack4_host_overlay_network_profile_name)</f>
        <v>Value Missing</v>
      </c>
      <c r="T167" s="361" t="s">
        <v>1439</v>
      </c>
      <c r="U167" s="337" t="str">
        <f>IF(ISBLANK(input_wld_az1_rack5_host_overlay_network_profile_name),"Value Missing",input_wld_az1_rack5_host_overlay_network_profile_name)</f>
        <v>Value Missing</v>
      </c>
      <c r="W167" s="361" t="s">
        <v>1439</v>
      </c>
      <c r="X167" s="337" t="str">
        <f>IF(ISBLANK(input_wld_az1_rack6_host_overlay_network_profile_name),"Value Missing",input_wld_az1_rack6_host_overlay_network_profile_name)</f>
        <v>Value Missing</v>
      </c>
      <c r="Z167" s="361" t="s">
        <v>1439</v>
      </c>
      <c r="AA167" s="337" t="str">
        <f>IF(ISBLANK(input_wld_az1_rack7_host_overlay_network_profile_name),"Value Missing",input_wld_az1_rack7_host_overlay_network_profile_name)</f>
        <v>Value Missing</v>
      </c>
      <c r="AC167" s="361" t="s">
        <v>1439</v>
      </c>
      <c r="AD167" s="337" t="str">
        <f>IF(ISBLANK(input_wld_az1_rack8_host_overlay_network_profile_name),"Value Missing",input_wld_az1_rack8_host_overlay_network_profile_name)</f>
        <v>Value Missing</v>
      </c>
      <c r="AG167" s="8"/>
      <c r="AH167" s="8"/>
      <c r="AI167" s="8"/>
      <c r="AJ167" s="8"/>
    </row>
    <row r="168" spans="5:36" s="2" customFormat="1" ht="20" customHeight="1" x14ac:dyDescent="0.2">
      <c r="E168" s="361" t="s">
        <v>1440</v>
      </c>
      <c r="F168" s="25" t="str">
        <f>IF(ISBLANK(sample_mgmt_az1_host_overlay_network_pool_description),"Value Missing",sample_mgmt_az1_host_overlay_network_pool_description)</f>
        <v>ESX Host Overlay TEP IP Pool</v>
      </c>
      <c r="H168" s="361" t="s">
        <v>1440</v>
      </c>
      <c r="I168" s="25" t="str">
        <f>IF(ISBLANK(sample_wld_az1_host_overlay_network_pool_description),"Value Missing",sample_wld_az1_host_overlay_network_pool_description)</f>
        <v>ESX Host Overlay TEP IP Pool</v>
      </c>
      <c r="K168" s="361" t="s">
        <v>1440</v>
      </c>
      <c r="L168" s="25"/>
      <c r="N168" s="361" t="s">
        <v>1440</v>
      </c>
      <c r="O168" s="25"/>
      <c r="P168" s="26"/>
      <c r="Q168" s="361" t="s">
        <v>1440</v>
      </c>
      <c r="R168" s="25"/>
      <c r="S168" s="26"/>
      <c r="T168" s="361" t="s">
        <v>1440</v>
      </c>
      <c r="U168" s="25"/>
      <c r="V168" s="26"/>
      <c r="W168" s="361" t="s">
        <v>1440</v>
      </c>
      <c r="X168" s="25"/>
      <c r="Y168" s="26"/>
      <c r="Z168" s="361" t="s">
        <v>1440</v>
      </c>
      <c r="AA168" s="25"/>
      <c r="AB168" s="26"/>
      <c r="AC168" s="361" t="s">
        <v>1440</v>
      </c>
      <c r="AD168" s="25"/>
      <c r="AG168" s="8"/>
      <c r="AH168" s="8"/>
      <c r="AI168" s="8"/>
      <c r="AJ168" s="8"/>
    </row>
    <row r="169" spans="5:36" s="2" customFormat="1" ht="20" customHeight="1" x14ac:dyDescent="0.2">
      <c r="E169" s="361" t="s">
        <v>1441</v>
      </c>
      <c r="F169" s="337" t="str">
        <f>IF(ISBLANK(input_mgmt_az1_host_overlay_network_pool_name),"Value Missing",input_mgmt_az1_host_overlay_network_pool_name)</f>
        <v>Value Missing</v>
      </c>
      <c r="G169" s="15"/>
      <c r="H169" s="361" t="s">
        <v>1442</v>
      </c>
      <c r="I169" s="337" t="str">
        <f>IF(ISBLANK(input_wld_az1_host_overlay_network_pool_name),"Value Missing",input_wld_az1_host_overlay_network_pool_name)</f>
        <v>Value Missing</v>
      </c>
      <c r="J169" s="15"/>
      <c r="K169" s="361" t="s">
        <v>1441</v>
      </c>
      <c r="L169" s="337" t="str">
        <f>IF(ISBLANK(input_wld_az1_rack2_host_overlay_network_pool_name),"Value Missing",input_wld_az1_rack2_host_overlay_network_pool_name)</f>
        <v>Value Missing</v>
      </c>
      <c r="N169" s="361" t="s">
        <v>1442</v>
      </c>
      <c r="O169" s="337" t="str">
        <f>IF(ISBLANK(input_wld_az1_rack3_host_overlay_network_pool_name),"Value Missing",input_wld_az1_rack3_host_overlay_network_pool_name)</f>
        <v>Value Missing</v>
      </c>
      <c r="Q169" s="361" t="s">
        <v>1442</v>
      </c>
      <c r="R169" s="337" t="str">
        <f>IF(ISBLANK(input_wld_az1_rack4_host_overlay_network_pool_name),"Value Missing",input_wld_az1_rack4_host_overlay_network_pool_name)</f>
        <v>Value Missing</v>
      </c>
      <c r="T169" s="361" t="s">
        <v>1442</v>
      </c>
      <c r="U169" s="337" t="str">
        <f>IF(ISBLANK(input_wld_az1_rack5_host_overlay_network_pool_name),"Value Missing",input_wld_az1_rack5_host_overlay_network_pool_name)</f>
        <v>Value Missing</v>
      </c>
      <c r="W169" s="361" t="s">
        <v>1442</v>
      </c>
      <c r="X169" s="337" t="str">
        <f>IF(ISBLANK(input_wld_az1_rack6_host_overlay_network_pool_name),"Value Missing",input_wld_az1_rack6_host_overlay_network_pool_name)</f>
        <v>Value Missing</v>
      </c>
      <c r="Z169" s="361" t="s">
        <v>1442</v>
      </c>
      <c r="AA169" s="337" t="str">
        <f>IF(ISBLANK(input_wld_az1_rack7_host_overlay_network_pool_name),"Value Missing",input_wld_az1_rack7_host_overlay_network_pool_name)</f>
        <v>Value Missing</v>
      </c>
      <c r="AC169" s="361" t="s">
        <v>1442</v>
      </c>
      <c r="AD169" s="337" t="str">
        <f>IF(ISBLANK(input_wld_az1_rack8_host_overlay_network_pool_name),"Value Missing",input_wld_az1_rack8_host_overlay_network_pool_name)</f>
        <v>Value Missing</v>
      </c>
      <c r="AG169" s="8"/>
      <c r="AH169" s="8"/>
      <c r="AI169" s="8"/>
      <c r="AJ169" s="8"/>
    </row>
    <row r="170" spans="5:36" s="2" customFormat="1" ht="20" customHeight="1" x14ac:dyDescent="0.2">
      <c r="E170" s="4" t="s">
        <v>1443</v>
      </c>
      <c r="F170" s="337" t="str">
        <f>IF(ISBLANK(input_mgmt_host_overlay_transportzone),"Value Missing",input_mgmt_host_overlay_transportzone)</f>
        <v>Value Missing</v>
      </c>
      <c r="G170" s="15"/>
      <c r="H170" s="361" t="s">
        <v>1444</v>
      </c>
      <c r="I170" s="337" t="str">
        <f>IF(ISBLANK(input_wld_host_overlay_transportzone),"Value Missing",input_wld_host_overlay_transportzone)</f>
        <v>Value Missing</v>
      </c>
      <c r="J170" s="15"/>
      <c r="K170" s="361"/>
      <c r="L170" s="337"/>
      <c r="M170" s="7"/>
      <c r="N170" s="361"/>
      <c r="O170" s="337"/>
      <c r="Q170" s="361"/>
      <c r="R170" s="337"/>
      <c r="T170" s="361"/>
      <c r="U170" s="337"/>
      <c r="W170" s="361"/>
      <c r="X170" s="337"/>
      <c r="Z170" s="361"/>
      <c r="AA170" s="337"/>
      <c r="AC170" s="361"/>
      <c r="AD170" s="337"/>
      <c r="AG170" s="8"/>
      <c r="AH170" s="8"/>
      <c r="AI170" s="8"/>
      <c r="AJ170" s="8"/>
    </row>
    <row r="171" spans="5:36" s="2" customFormat="1" ht="20" customHeight="1" x14ac:dyDescent="0.2">
      <c r="E171" s="361" t="s">
        <v>1445</v>
      </c>
      <c r="F171" s="337" t="str">
        <f>CONCATENATE(this_instance,"01-m01","-r01-uplink-profile01")</f>
        <v>sfo01-m01-r01-uplink-profile01</v>
      </c>
      <c r="H171" s="361" t="s">
        <v>1445</v>
      </c>
      <c r="I171" s="337" t="str">
        <f>IF(ISBLANK(input_wld_az1_host_overlay_uplink_profile_name),"Value Missing",input_wld_az1_host_overlay_uplink_profile_name)</f>
        <v>Value Missing</v>
      </c>
      <c r="K171" s="361" t="s">
        <v>1445</v>
      </c>
      <c r="L171" s="337" t="str">
        <f>IF(ISBLANK(input_wld_az1_rack2_host_overlay_uplink_profile_name),"Value Missing",input_wld_az1_rack2_host_overlay_uplink_profile_name)</f>
        <v>Value Missing</v>
      </c>
      <c r="M171" s="3"/>
      <c r="N171" s="361" t="s">
        <v>1445</v>
      </c>
      <c r="O171" s="337" t="str">
        <f>IF(ISBLANK(input_wld_az1_rack3_host_overlay_uplink_profile_name),"Value Missing",input_wld_az1_rack3_host_overlay_uplink_profile_name)</f>
        <v>Value Missing</v>
      </c>
      <c r="Q171" s="361" t="s">
        <v>1445</v>
      </c>
      <c r="R171" s="337" t="str">
        <f>IF(ISBLANK(input_wld_az1_rack4_host_overlay_uplink_profile_name),"Value Missing",input_wld_az1_rack4_host_overlay_uplink_profile_name)</f>
        <v>Value Missing</v>
      </c>
      <c r="T171" s="361" t="s">
        <v>1445</v>
      </c>
      <c r="U171" s="337" t="str">
        <f>IF(ISBLANK(input_wld_az1_rack5_host_overlay_uplink_profile_name),"Value Missing",input_wld_az1_rack5_host_overlay_uplink_profile_name)</f>
        <v>Value Missing</v>
      </c>
      <c r="W171" s="361" t="s">
        <v>1445</v>
      </c>
      <c r="X171" s="337" t="str">
        <f>IF(ISBLANK(input_wld_az1_rack6_host_overlay_uplink_profile_name),"Value Missing",input_wld_az1_rack6_host_overlay_uplink_profile_name)</f>
        <v>Value Missing</v>
      </c>
      <c r="Z171" s="361" t="s">
        <v>1445</v>
      </c>
      <c r="AA171" s="337" t="str">
        <f>IF(ISBLANK(input_wld_az1_rack7_host_overlay_uplink_profile_name),"Value Missing",input_wld_az1_rack7_host_overlay_uplink_profile_name)</f>
        <v>Value Missing</v>
      </c>
      <c r="AC171" s="361" t="s">
        <v>1445</v>
      </c>
      <c r="AD171" s="337" t="str">
        <f>IF(ISBLANK(input_wld_az1_rack8_host_overlay_uplink_profile_name),"Value Missing",input_wld_az1_rack8_host_overlay_uplink_profile_name)</f>
        <v>Value Missing</v>
      </c>
      <c r="AG171" s="8"/>
      <c r="AH171" s="8"/>
      <c r="AI171" s="8"/>
      <c r="AJ171" s="8"/>
    </row>
    <row r="172" spans="5:36" s="2" customFormat="1" ht="20" customHeight="1" x14ac:dyDescent="0.2">
      <c r="E172" s="361" t="s">
        <v>1446</v>
      </c>
      <c r="F172" s="337" t="str">
        <f>IF(ISBLANK(input_mgmt_az1_edge_overlay_network_pool_name),"Value Missing",input_mgmt_az1_edge_overlay_network_pool_name)</f>
        <v>Value Missing</v>
      </c>
      <c r="H172" s="361" t="s">
        <v>1446</v>
      </c>
      <c r="I172" s="337" t="str">
        <f>IF(ISBLANK(input_wld_az1_edge_overlay_network_pool_name),"Value Missing",input_wld_az1_edge_overlay_network_pool_name)</f>
        <v>Value Missing</v>
      </c>
      <c r="K172" s="361" t="s">
        <v>1446</v>
      </c>
      <c r="L172" s="337" t="str">
        <f>IF(ISBLANK(input_wld_az1_rack2_edge_overlay_network_pool_name),"Value Missing",input_wld_az1_rack2_edge_overlay_network_pool_name)</f>
        <v>Value Missing</v>
      </c>
      <c r="M172" s="15"/>
      <c r="N172" s="361" t="s">
        <v>1446</v>
      </c>
      <c r="O172" s="337" t="str">
        <f>IF(ISBLANK(input_wld_az1_rack3_edge_overlay_network_pool_name),"Value Missing",input_wld_az1_rack3_edge_overlay_network_pool_name)</f>
        <v>Value Missing</v>
      </c>
      <c r="Q172" s="361" t="s">
        <v>1446</v>
      </c>
      <c r="R172" s="337" t="str">
        <f>IF(ISBLANK(input_wld_az1_rack4_edge_overlay_network_pool_name),"Value Missing",input_wld_az1_rack4_edge_overlay_network_pool_name)</f>
        <v>Value Missing</v>
      </c>
      <c r="T172" s="361" t="s">
        <v>1446</v>
      </c>
      <c r="U172" s="337" t="str">
        <f>IF(ISBLANK(input_wld_az1_rack5_edge_overlay_network_pool_name),"Value Missing",input_wld_az1_rack5_edge_overlay_network_pool_name)</f>
        <v>Value Missing</v>
      </c>
      <c r="W172" s="361" t="s">
        <v>1446</v>
      </c>
      <c r="X172" s="337" t="str">
        <f>IF(ISBLANK(input_wld_az1_rack6_edge_overlay_network_pool_name),"Value Missing",input_wld_az1_rack6_edge_overlay_network_pool_name)</f>
        <v>Value Missing</v>
      </c>
      <c r="Z172" s="361" t="s">
        <v>1446</v>
      </c>
      <c r="AA172" s="337" t="str">
        <f>IF(ISBLANK(input_wld_az1_rack7_edge_overlay_network_pool_name),"Value Missing",input_wld_az1_rack7_edge_overlay_network_pool_name)</f>
        <v>Value Missing</v>
      </c>
      <c r="AC172" s="28" t="s">
        <v>1446</v>
      </c>
      <c r="AD172" s="337" t="str">
        <f>IF(ISBLANK(input_wld_az1_rack8_edge_overlay_network_pool_name),"Value Missing",input_wld_az1_rack8_edge_overlay_network_pool_name)</f>
        <v>Value Missing</v>
      </c>
      <c r="AG172" s="8"/>
      <c r="AH172" s="8"/>
      <c r="AI172" s="8"/>
      <c r="AJ172" s="8"/>
    </row>
    <row r="173" spans="5:36" s="2" customFormat="1" ht="20" customHeight="1" x14ac:dyDescent="0.2">
      <c r="E173" s="361" t="s">
        <v>1447</v>
      </c>
      <c r="F173" s="337" t="str">
        <f>IF(ISBLANK(input_mgmt_az1_rtep_ip_pool_name),"Value Missing",input_mgmt_az1_rtep_ip_pool_name)</f>
        <v>Value Missing</v>
      </c>
      <c r="H173" s="361" t="s">
        <v>1447</v>
      </c>
      <c r="I173" s="337" t="str">
        <f>IF(ISBLANK(input_wld_az1_rtep_ip_pool_name),"Value Missing",input_wld_az1_rtep_ip_pool_name)</f>
        <v>Value Missing</v>
      </c>
      <c r="K173" s="361" t="s">
        <v>1447</v>
      </c>
      <c r="L173" s="337" t="str">
        <f>IF(ISBLANK(input_wld_az1_rack2_rtep_ip_pool_name),"Value Missing",input_wld_az1_rack2_rtep_ip_pool_name)</f>
        <v>Value Missing</v>
      </c>
      <c r="M173" s="15"/>
      <c r="N173" s="361" t="s">
        <v>1447</v>
      </c>
      <c r="O173" s="337" t="str">
        <f>IF(ISBLANK(input_wld_az1_rack3_rtep_ip_pool_name),"Value Missing",input_wld_az1_rack3_rtep_ip_pool_name)</f>
        <v>Value Missing</v>
      </c>
      <c r="Q173" s="361" t="s">
        <v>1447</v>
      </c>
      <c r="R173" s="337" t="str">
        <f>IF(ISBLANK(input_wld_az1_rack4_rtep_ip_pool_name),"Value Missing",input_wld_az1_rack4_rtep_ip_pool_name)</f>
        <v>Value Missing</v>
      </c>
      <c r="T173" s="361" t="s">
        <v>1447</v>
      </c>
      <c r="U173" s="337" t="str">
        <f>IF(ISBLANK(input_wld_az1_rack5_rtep_ip_pool_name),"Value Missing",input_wld_az1_rack5_rtep_ip_pool_name)</f>
        <v>Value Missing</v>
      </c>
      <c r="W173" s="361" t="s">
        <v>1447</v>
      </c>
      <c r="X173" s="337" t="str">
        <f>IF(ISBLANK(input_wld_az1_rack6_rtep_ip_pool_name),"Value Missing",input_wld_az1_rack6_rtep_ip_pool_name)</f>
        <v>Value Missing</v>
      </c>
      <c r="Z173" s="361" t="s">
        <v>1447</v>
      </c>
      <c r="AA173" s="337" t="str">
        <f>IF(ISBLANK(input_wld_az1_rack7_rtep_ip_pool_name),"Value Missing",input_wld_az1_rack7_rtep_ip_pool_name)</f>
        <v>Value Missing</v>
      </c>
      <c r="AC173" s="361" t="s">
        <v>1447</v>
      </c>
      <c r="AD173" s="337" t="str">
        <f>IF(ISBLANK(input_wld_az1_rack8_rtep_ip_pool_name),"Value Missing",input_wld_az1_rack8_rtep_ip_pool_name)</f>
        <v>Value Missing</v>
      </c>
      <c r="AG173" s="8"/>
      <c r="AH173" s="8"/>
      <c r="AI173" s="8"/>
      <c r="AJ173" s="8"/>
    </row>
    <row r="174" spans="5:36" s="2" customFormat="1" ht="20" customHeight="1" x14ac:dyDescent="0.2">
      <c r="E174" s="361" t="s">
        <v>1448</v>
      </c>
      <c r="F174" s="337"/>
      <c r="H174" s="361" t="s">
        <v>1448</v>
      </c>
      <c r="I174" s="337"/>
      <c r="K174" s="361" t="s">
        <v>1448</v>
      </c>
      <c r="L174" s="337" t="str">
        <f>IF(ISBLANK(input_wld_az1_rack2_vsan_fault_domain),"Value Missing",input_wld_az1_rack2_vsan_fault_domain)</f>
        <v>Value Missing</v>
      </c>
      <c r="N174" s="361" t="s">
        <v>1448</v>
      </c>
      <c r="O174" s="337" t="str">
        <f>IF(ISBLANK(input_wld_az1_rack3_vsan_fault_domain),"Value Missing",input_wld_az1_rack3_vsan_fault_domain)</f>
        <v>Value Missing</v>
      </c>
      <c r="Q174" s="361" t="s">
        <v>1448</v>
      </c>
      <c r="R174" s="337" t="str">
        <f>IF(ISBLANK(input_wld_az1_rack4_vsan_fault_domain),"Value Missing",input_wld_az1_rack4_vsan_fault_domain)</f>
        <v>Value Missing</v>
      </c>
      <c r="T174" s="361" t="s">
        <v>1448</v>
      </c>
      <c r="U174" s="337" t="str">
        <f>IF(ISBLANK(input_wld_az1_rack5_vsan_fault_domain),"Value Missing",input_wld_az1_rack5_vsan_fault_domain)</f>
        <v>Value Missing</v>
      </c>
      <c r="W174" s="361" t="s">
        <v>1448</v>
      </c>
      <c r="X174" s="337" t="str">
        <f>IF(ISBLANK(input_wld_az1_rack6_vsan_fault_domain),"Value Missing",input_wld_az1_rack6_vsan_fault_domain)</f>
        <v>Value Missing</v>
      </c>
      <c r="Z174" s="361" t="s">
        <v>1448</v>
      </c>
      <c r="AA174" s="337" t="str">
        <f>IF(ISBLANK(input_wld_az1_rack7_vsan_fault_domain),"Value Missing",input_wld_az1_rack7_vsan_fault_domain)</f>
        <v>Value Missing</v>
      </c>
      <c r="AC174" s="361" t="s">
        <v>1448</v>
      </c>
      <c r="AD174" s="337" t="str">
        <f>IF(ISBLANK(input_wld_az1_rack8_vsan_fault_domain),"Value Missing",input_wld_az1_rack8_vsan_fault_domain)</f>
        <v>Value Missing</v>
      </c>
      <c r="AG174" s="8"/>
      <c r="AH174" s="8"/>
      <c r="AI174" s="8"/>
      <c r="AJ174" s="8"/>
    </row>
    <row r="175" spans="5:36" s="2" customFormat="1" ht="20" customHeight="1" x14ac:dyDescent="0.2">
      <c r="E175" s="7"/>
      <c r="F175" s="7"/>
      <c r="H175" s="29"/>
      <c r="I175" s="29"/>
      <c r="K175" s="29"/>
      <c r="L175" s="19"/>
      <c r="N175" s="29"/>
      <c r="O175" s="19"/>
      <c r="P175" s="7"/>
      <c r="Q175" s="29"/>
      <c r="R175" s="19"/>
      <c r="S175" s="7"/>
      <c r="T175" s="29"/>
      <c r="U175" s="19"/>
      <c r="V175" s="7"/>
      <c r="W175" s="29"/>
      <c r="X175" s="19"/>
      <c r="Y175" s="7"/>
      <c r="Z175" s="29"/>
      <c r="AA175" s="19"/>
      <c r="AB175" s="7"/>
      <c r="AC175" s="29"/>
      <c r="AD175" s="19"/>
      <c r="AG175" s="8"/>
      <c r="AH175" s="8"/>
      <c r="AI175" s="8"/>
      <c r="AJ175" s="8"/>
    </row>
    <row r="176" spans="5:36" s="2" customFormat="1" ht="20" customHeight="1" x14ac:dyDescent="0.2">
      <c r="E176" s="573" t="s">
        <v>1449</v>
      </c>
      <c r="F176" s="575"/>
      <c r="H176" s="573" t="s">
        <v>1450</v>
      </c>
      <c r="I176" s="575"/>
      <c r="K176" s="573" t="s">
        <v>1451</v>
      </c>
      <c r="L176" s="575"/>
      <c r="N176" s="573" t="s">
        <v>1452</v>
      </c>
      <c r="O176" s="575"/>
      <c r="Q176" s="573" t="s">
        <v>1453</v>
      </c>
      <c r="R176" s="575"/>
      <c r="T176" s="573" t="s">
        <v>1453</v>
      </c>
      <c r="U176" s="575"/>
      <c r="W176" s="573" t="s">
        <v>1453</v>
      </c>
      <c r="X176" s="575"/>
      <c r="Z176" s="573" t="s">
        <v>1453</v>
      </c>
      <c r="AA176" s="575"/>
      <c r="AC176" s="573" t="s">
        <v>1453</v>
      </c>
      <c r="AD176" s="575"/>
      <c r="AG176" s="8"/>
      <c r="AH176" s="8"/>
      <c r="AI176" s="8"/>
      <c r="AJ176" s="8"/>
    </row>
    <row r="177" spans="2:37" s="2" customFormat="1" ht="20" customHeight="1" x14ac:dyDescent="0.2">
      <c r="E177" s="11" t="s">
        <v>261</v>
      </c>
      <c r="F177" s="14" t="s">
        <v>1269</v>
      </c>
      <c r="H177" s="11" t="s">
        <v>261</v>
      </c>
      <c r="I177" s="14" t="s">
        <v>19</v>
      </c>
      <c r="K177" s="13" t="s">
        <v>261</v>
      </c>
      <c r="L177" s="14" t="s">
        <v>19</v>
      </c>
      <c r="N177" s="13" t="s">
        <v>261</v>
      </c>
      <c r="O177" s="14" t="s">
        <v>19</v>
      </c>
      <c r="P177" s="15"/>
      <c r="Q177" s="13" t="s">
        <v>261</v>
      </c>
      <c r="R177" s="14" t="s">
        <v>19</v>
      </c>
      <c r="S177" s="15"/>
      <c r="T177" s="13" t="s">
        <v>261</v>
      </c>
      <c r="U177" s="14" t="s">
        <v>19</v>
      </c>
      <c r="V177" s="15"/>
      <c r="W177" s="13" t="s">
        <v>261</v>
      </c>
      <c r="X177" s="14" t="s">
        <v>19</v>
      </c>
      <c r="Y177" s="15"/>
      <c r="Z177" s="13" t="s">
        <v>261</v>
      </c>
      <c r="AA177" s="14" t="s">
        <v>19</v>
      </c>
      <c r="AB177" s="15"/>
      <c r="AC177" s="13" t="s">
        <v>261</v>
      </c>
      <c r="AD177" s="14" t="s">
        <v>19</v>
      </c>
      <c r="AG177" s="8"/>
      <c r="AH177" s="8"/>
      <c r="AI177" s="8"/>
      <c r="AJ177" s="8"/>
    </row>
    <row r="178" spans="2:37" s="2" customFormat="1" ht="20" customHeight="1" x14ac:dyDescent="0.2">
      <c r="E178" s="4" t="s">
        <v>1454</v>
      </c>
      <c r="F178" s="356"/>
      <c r="H178" s="4" t="s">
        <v>1455</v>
      </c>
      <c r="I178" s="337"/>
      <c r="K178" s="4" t="s">
        <v>1456</v>
      </c>
      <c r="L178" s="356" t="str">
        <f>IF(ISBLANK(input_wld_az1_rack2_mgmt_vm_cidr),"Value Missing",VLOOKUP(INT(RIGHT(input_wld_az1_rack2_mgmt_vm_cidr,LEN(input_wld_az1_rack2_mgmt_vm_cidr)-FIND("/",input_wld_az1_rack2_mgmt_vm_cidr))),table_cidr_to_mask,2,FALSE))</f>
        <v>Value Missing</v>
      </c>
      <c r="N178" s="4" t="s">
        <v>1457</v>
      </c>
      <c r="O178" s="356" t="str">
        <f>IF(ISBLANK(input_wld_az1_rack3_mgmt_vm_cidr),"Value Missing",VLOOKUP(INT(RIGHT(input_wld_az1_rack3_mgmt_vm_cidr,LEN(input_wld_az1_rack3_mgmt_vm_cidr)-FIND("/",input_wld_az1_rack3_mgmt_vm_cidr))),table_cidr_to_mask,2,FALSE))</f>
        <v>Value Missing</v>
      </c>
      <c r="P178" s="15"/>
      <c r="Q178" s="4" t="s">
        <v>1458</v>
      </c>
      <c r="R178" s="356" t="str">
        <f>IF(ISBLANK(input_wld_az1_rack4_mgmt_vm_cidr),"Value Missing",VLOOKUP(INT(RIGHT(input_wld_az1_rack4_mgmt_vm_cidr,LEN(input_wld_az1_rack4_mgmt_vm_cidr)-FIND("/",input_wld_az1_rack4_mgmt_vm_cidr))),table_cidr_to_mask,2,FALSE))</f>
        <v>Value Missing</v>
      </c>
      <c r="S178" s="15"/>
      <c r="T178" s="4" t="s">
        <v>1459</v>
      </c>
      <c r="U178" s="356" t="str">
        <f>IF(ISBLANK(input_wld_az1_rack5_mgmt_vm_cidr),"Value Missing",VLOOKUP(INT(RIGHT(input_wld_az1_rack5_mgmt_vm_cidr,LEN(input_wld_az1_rack5_mgmt_vm_cidr)-FIND("/",input_wld_az1_rack5_mgmt_vm_cidr))),table_cidr_to_mask,2,FALSE))</f>
        <v>Value Missing</v>
      </c>
      <c r="V178" s="15"/>
      <c r="W178" s="4" t="s">
        <v>1460</v>
      </c>
      <c r="X178" s="356" t="str">
        <f>IF(ISBLANK(input_wld_az1_rack6_mgmt_vm_cidr),"Value Missing",VLOOKUP(INT(RIGHT(input_wld_az1_rack6_mgmt_vm_cidr,LEN(input_wld_az1_rack6_mgmt_vm_cidr)-FIND("/",input_wld_az1_rack6_mgmt_vm_cidr))),table_cidr_to_mask,2,FALSE))</f>
        <v>Value Missing</v>
      </c>
      <c r="Y178" s="15"/>
      <c r="Z178" s="4" t="s">
        <v>1461</v>
      </c>
      <c r="AA178" s="356" t="str">
        <f>IF(ISBLANK(input_wld_az1_rack7_mgmt_vm_cidr),"Value Missing",VLOOKUP(INT(RIGHT(input_wld_az1_rack7_mgmt_vm_cidr,LEN(input_wld_az1_rack7_mgmt_vm_cidr)-FIND("/",input_wld_az1_rack7_mgmt_vm_cidr))),table_cidr_to_mask,2,FALSE))</f>
        <v>Value Missing</v>
      </c>
      <c r="AB178" s="15"/>
      <c r="AC178" s="4" t="s">
        <v>1462</v>
      </c>
      <c r="AD178" s="356" t="str">
        <f>IF(ISBLANK(input_wld_az1_rack8_mgmt_vm_cidr),"Value Missing",VLOOKUP(INT(RIGHT(input_wld_az1_rack8_mgmt_vm_cidr,LEN(input_wld_az1_rack8_mgmt_vm_cidr)-FIND("/",input_wld_az1_rack8_mgmt_vm_cidr))),table_cidr_to_mask,2,FALSE))</f>
        <v>Value Missing</v>
      </c>
      <c r="AG178" s="8"/>
      <c r="AH178" s="8"/>
      <c r="AI178" s="8"/>
      <c r="AJ178" s="8"/>
    </row>
    <row r="179" spans="2:37" s="2" customFormat="1" ht="20" customHeight="1" x14ac:dyDescent="0.2">
      <c r="E179" s="4" t="s">
        <v>1463</v>
      </c>
      <c r="F179" s="337"/>
      <c r="G179" s="15"/>
      <c r="H179" s="4" t="s">
        <v>1464</v>
      </c>
      <c r="I179" s="337"/>
      <c r="J179" s="15"/>
      <c r="K179" s="4" t="s">
        <v>1465</v>
      </c>
      <c r="L179" s="337" t="str">
        <f>IF(ISBLANK(input_wld_az1_rack2_mgmt_cidr),"Value Missing",VLOOKUP(INT(RIGHT(input_wld_az1_rack2_mgmt_cidr,LEN(input_wld_az1_rack2_mgmt_cidr)-FIND("/",input_wld_az1_rack2_mgmt_cidr))),table_cidr_to_mask,2,FALSE))</f>
        <v>Value Missing</v>
      </c>
      <c r="N179" s="4" t="s">
        <v>1466</v>
      </c>
      <c r="O179" s="337" t="str">
        <f>IF(ISBLANK(input_wld_az1_rack3_mgmt_cidr),"Value Missing",VLOOKUP(INT(RIGHT(input_wld_az1_rack3_mgmt_cidr,LEN(input_wld_az1_rack3_mgmt_cidr)-FIND("/",input_wld_az1_rack3_mgmt_cidr))),table_cidr_to_mask,2,FALSE))</f>
        <v>Value Missing</v>
      </c>
      <c r="Q179" s="4" t="s">
        <v>1467</v>
      </c>
      <c r="R179" s="337" t="str">
        <f>IF(ISBLANK(input_wld_az1_rack4_mgmt_cidr),"Value Missing",VLOOKUP(INT(RIGHT(input_wld_az1_rack4_mgmt_cidr,LEN(input_wld_az1_rack4_mgmt_cidr)-FIND("/",input_wld_az1_rack4_mgmt_cidr))),table_cidr_to_mask,2,FALSE))</f>
        <v>Value Missing</v>
      </c>
      <c r="T179" s="4" t="s">
        <v>1468</v>
      </c>
      <c r="U179" s="337" t="str">
        <f>IF(ISBLANK(input_wld_az1_rack5_mgmt_cidr),"Value Missing",VLOOKUP(INT(RIGHT(input_wld_az1_rack5_mgmt_cidr,LEN(input_wld_az1_rack5_mgmt_cidr)-FIND("/",input_wld_az1_rack5_mgmt_cidr))),table_cidr_to_mask,2,FALSE))</f>
        <v>Value Missing</v>
      </c>
      <c r="W179" s="4" t="s">
        <v>1469</v>
      </c>
      <c r="X179" s="337" t="str">
        <f>IF(ISBLANK(input_wld_az1_rack6_mgmt_cidr),"Value Missing",VLOOKUP(INT(RIGHT(input_wld_az1_rack6_mgmt_cidr,LEN(input_wld_az1_rack6_mgmt_cidr)-FIND("/",input_wld_az1_rack6_mgmt_cidr))),table_cidr_to_mask,2,FALSE))</f>
        <v>Value Missing</v>
      </c>
      <c r="Z179" s="4" t="s">
        <v>1470</v>
      </c>
      <c r="AA179" s="337" t="str">
        <f>IF(ISBLANK(input_wld_az1_rack7_mgmt_cidr),"Value Missing",VLOOKUP(INT(RIGHT(input_wld_az1_rack7_mgmt_cidr,LEN(input_wld_az1_rack7_mgmt_cidr)-FIND("/",input_wld_az1_rack7_mgmt_cidr))),table_cidr_to_mask,2,FALSE))</f>
        <v>Value Missing</v>
      </c>
      <c r="AC179" s="4" t="s">
        <v>1471</v>
      </c>
      <c r="AD179" s="337" t="str">
        <f>IF(ISBLANK(input_wld_az1_rack8_mgmt_cidr),"Value Missing",VLOOKUP(INT(RIGHT(input_wld_az1_rack8_mgmt_cidr,LEN(input_wld_az1_rack8_mgmt_cidr)-FIND("/",input_wld_az1_rack8_mgmt_cidr))),table_cidr_to_mask,2,FALSE))</f>
        <v>Value Missing</v>
      </c>
      <c r="AG179" s="8"/>
      <c r="AH179" s="8"/>
      <c r="AI179" s="8"/>
      <c r="AJ179" s="8"/>
    </row>
    <row r="180" spans="2:37" s="2" customFormat="1" ht="20" customHeight="1" x14ac:dyDescent="0.2">
      <c r="B180" s="8"/>
      <c r="C180" s="8"/>
      <c r="AE180" s="8"/>
      <c r="AF180" s="8"/>
      <c r="AG180" s="8"/>
      <c r="AH180" s="8"/>
      <c r="AI180" s="8"/>
      <c r="AJ180" s="8"/>
      <c r="AK180" s="8"/>
    </row>
    <row r="181" spans="2:37" s="2" customFormat="1" ht="20" customHeight="1" x14ac:dyDescent="0.2">
      <c r="B181" s="8"/>
      <c r="C181" s="8"/>
      <c r="E181" s="20" t="s">
        <v>1472</v>
      </c>
      <c r="F181" s="20"/>
      <c r="H181" s="20" t="s">
        <v>1473</v>
      </c>
      <c r="I181" s="20"/>
      <c r="K181" s="20" t="s">
        <v>1474</v>
      </c>
      <c r="L181" s="20"/>
      <c r="N181" s="20" t="s">
        <v>1475</v>
      </c>
      <c r="O181" s="20"/>
      <c r="P181" s="15"/>
      <c r="Q181" s="20" t="s">
        <v>1476</v>
      </c>
      <c r="R181" s="20"/>
      <c r="S181" s="15"/>
      <c r="T181" s="20" t="s">
        <v>1477</v>
      </c>
      <c r="U181" s="20"/>
      <c r="V181" s="15"/>
      <c r="W181" s="20" t="s">
        <v>1478</v>
      </c>
      <c r="X181" s="20"/>
      <c r="Y181" s="15"/>
      <c r="Z181" s="20" t="s">
        <v>1479</v>
      </c>
      <c r="AA181" s="20"/>
      <c r="AB181" s="15"/>
      <c r="AC181" s="20" t="s">
        <v>1480</v>
      </c>
      <c r="AD181" s="20"/>
      <c r="AE181" s="8"/>
      <c r="AF181" s="8"/>
      <c r="AG181" s="8"/>
      <c r="AH181" s="8"/>
      <c r="AI181" s="8"/>
      <c r="AJ181" s="8"/>
      <c r="AK181" s="8"/>
    </row>
    <row r="182" spans="2:37" s="2" customFormat="1" ht="20" customHeight="1" x14ac:dyDescent="0.2">
      <c r="B182" s="8"/>
      <c r="C182" s="8"/>
      <c r="E182" s="11" t="s">
        <v>261</v>
      </c>
      <c r="F182" s="14" t="s">
        <v>1269</v>
      </c>
      <c r="H182" s="11" t="s">
        <v>261</v>
      </c>
      <c r="I182" s="14" t="s">
        <v>19</v>
      </c>
      <c r="K182" s="13" t="s">
        <v>261</v>
      </c>
      <c r="L182" s="14" t="s">
        <v>19</v>
      </c>
      <c r="N182" s="13" t="s">
        <v>261</v>
      </c>
      <c r="O182" s="14" t="s">
        <v>19</v>
      </c>
      <c r="P182" s="15"/>
      <c r="Q182" s="13" t="s">
        <v>261</v>
      </c>
      <c r="R182" s="14" t="s">
        <v>19</v>
      </c>
      <c r="S182" s="15"/>
      <c r="T182" s="13" t="s">
        <v>261</v>
      </c>
      <c r="U182" s="14" t="s">
        <v>19</v>
      </c>
      <c r="V182" s="15"/>
      <c r="W182" s="13" t="s">
        <v>261</v>
      </c>
      <c r="X182" s="14" t="s">
        <v>19</v>
      </c>
      <c r="Y182" s="15"/>
      <c r="Z182" s="13" t="s">
        <v>261</v>
      </c>
      <c r="AA182" s="14" t="s">
        <v>19</v>
      </c>
      <c r="AB182" s="15"/>
      <c r="AC182" s="13" t="s">
        <v>261</v>
      </c>
      <c r="AD182" s="14" t="s">
        <v>19</v>
      </c>
      <c r="AE182" s="8"/>
      <c r="AF182" s="8"/>
      <c r="AG182" s="8"/>
      <c r="AH182" s="8"/>
      <c r="AI182" s="8"/>
      <c r="AJ182" s="8"/>
      <c r="AK182" s="8"/>
    </row>
    <row r="183" spans="2:37" s="2" customFormat="1" ht="20" customHeight="1" x14ac:dyDescent="0.2">
      <c r="B183" s="8"/>
      <c r="C183" s="8"/>
      <c r="E183" s="4" t="s">
        <v>1481</v>
      </c>
      <c r="F183" s="337" t="str">
        <f>IF(ISBLANK(input_mgmt_az1_host1_mgmt_ip),"Value Missing",input_mgmt_az1_host1_mgmt_ip)</f>
        <v>Value Missing</v>
      </c>
      <c r="H183" s="4" t="s">
        <v>1481</v>
      </c>
      <c r="I183" s="337" t="str">
        <f>IF(ISBLANK(input_wld_az1_host1_mgmt_ip),"Value Missing",input_wld_az1_host1_mgmt_ip)</f>
        <v>Value Missing</v>
      </c>
      <c r="K183" s="4" t="s">
        <v>1481</v>
      </c>
      <c r="L183" s="337" t="str">
        <f>IF(ISBLANK(input_wld_az1_rack2_host1_mgmt_ip),"Value Missing",input_wld_az1_rack2_host1_mgmt_ip)</f>
        <v>Value Missing</v>
      </c>
      <c r="N183" s="4" t="s">
        <v>1481</v>
      </c>
      <c r="O183" s="337" t="str">
        <f>IF(ISBLANK(input_wld_az1_rack3_host1_mgmt_ip),"Value Missing",input_wld_az1_rack3_host1_mgmt_ip)</f>
        <v>Value Missing</v>
      </c>
      <c r="Q183" s="4" t="s">
        <v>1481</v>
      </c>
      <c r="R183" s="337" t="str">
        <f>IF(ISBLANK(input_wld_az1_rack4_host1_mgmt_ip),"Value Missing",input_wld_az1_rack4_host1_mgmt_ip)</f>
        <v>Value Missing</v>
      </c>
      <c r="T183" s="4" t="s">
        <v>1481</v>
      </c>
      <c r="U183" s="337" t="str">
        <f>IF(ISBLANK(input_wld_az1_rack5_host1_mgmt_ip),"Value Missing",input_wld_az1_rack5_host1_mgmt_ip)</f>
        <v>Value Missing</v>
      </c>
      <c r="W183" s="4" t="s">
        <v>1481</v>
      </c>
      <c r="X183" s="337" t="str">
        <f>IF(ISBLANK(input_wld_az1_rack6_host1_mgmt_ip),"Value Missing",input_wld_az1_rack6_host1_mgmt_ip)</f>
        <v>Value Missing</v>
      </c>
      <c r="Z183" s="4" t="s">
        <v>1481</v>
      </c>
      <c r="AA183" s="337" t="str">
        <f>IF(ISBLANK(input_wld_az1_rack7_host1_mgmt_ip),"Value Missing",input_wld_az1_rack7_host1_mgmt_ip)</f>
        <v>Value Missing</v>
      </c>
      <c r="AC183" s="4" t="s">
        <v>1481</v>
      </c>
      <c r="AD183" s="337" t="str">
        <f>IF(ISBLANK(input_wld_az1_rack8_host1_mgmt_ip),"Value Missing",input_wld_az1_rack8_host1_mgmt_ip)</f>
        <v>Value Missing</v>
      </c>
      <c r="AE183" s="8"/>
      <c r="AF183" s="8"/>
      <c r="AG183" s="8"/>
      <c r="AH183" s="8"/>
      <c r="AI183" s="8"/>
      <c r="AJ183" s="8"/>
      <c r="AK183" s="8"/>
    </row>
    <row r="184" spans="2:37" s="2" customFormat="1" ht="20" customHeight="1" x14ac:dyDescent="0.2">
      <c r="B184" s="8"/>
      <c r="C184" s="8"/>
      <c r="E184" s="4" t="s">
        <v>1482</v>
      </c>
      <c r="F184" s="337" t="str">
        <f>IF(ISBLANK(input_mgmt_az1_host2_mgmt_ip),"Value Missing",input_mgmt_az1_host2_mgmt_ip)</f>
        <v>Value Missing</v>
      </c>
      <c r="H184" s="4" t="s">
        <v>1482</v>
      </c>
      <c r="I184" s="337" t="str">
        <f>IF(ISBLANK(input_wld_az1_host2_mgmt_ip),"Value Missing",input_wld_az1_host2_mgmt_ip)</f>
        <v>Value Missing</v>
      </c>
      <c r="K184" s="4" t="s">
        <v>1482</v>
      </c>
      <c r="L184" s="337" t="str">
        <f>IF(ISBLANK(input_wld_az1_rack2_host2_mgmt_ip),"Value Missing",input_wld_az1_rack2_host2_mgmt_ip)</f>
        <v>Value Missing</v>
      </c>
      <c r="N184" s="4" t="s">
        <v>1482</v>
      </c>
      <c r="O184" s="337" t="str">
        <f>IF(ISBLANK(input_wld_az1_rack3_host2_mgmt_ip),"Value Missing",input_wld_az1_rack3_host2_mgmt_ip)</f>
        <v>Value Missing</v>
      </c>
      <c r="Q184" s="4" t="s">
        <v>1482</v>
      </c>
      <c r="R184" s="337" t="str">
        <f>IF(ISBLANK(input_wld_az1_rack4_host2_mgmt_ip),"Value Missing",input_wld_az1_rack4_host2_mgmt_ip)</f>
        <v>Value Missing</v>
      </c>
      <c r="T184" s="4" t="s">
        <v>1482</v>
      </c>
      <c r="U184" s="337" t="str">
        <f>IF(ISBLANK(input_wld_az1_rack5_host2_mgmt_ip),"Value Missing",input_wld_az1_rack5_host2_mgmt_ip)</f>
        <v>Value Missing</v>
      </c>
      <c r="W184" s="4" t="s">
        <v>1482</v>
      </c>
      <c r="X184" s="337" t="str">
        <f>IF(ISBLANK(input_wld_az1_rack6_host2_mgmt_ip),"Value Missing",input_wld_az1_rack6_host2_mgmt_ip)</f>
        <v>Value Missing</v>
      </c>
      <c r="Z184" s="4" t="s">
        <v>1482</v>
      </c>
      <c r="AA184" s="337" t="str">
        <f>IF(ISBLANK(input_wld_az1_rack7_host2_mgmt_ip),"Value Missing",input_wld_az1_rack7_host2_mgmt_ip)</f>
        <v>Value Missing</v>
      </c>
      <c r="AC184" s="4" t="s">
        <v>1482</v>
      </c>
      <c r="AD184" s="337" t="str">
        <f>IF(ISBLANK(input_wld_az1_rack8_host2_mgmt_ip),"Value Missing",input_wld_az1_rack8_host2_mgmt_ip)</f>
        <v>Value Missing</v>
      </c>
      <c r="AE184" s="8"/>
      <c r="AF184" s="8"/>
      <c r="AG184" s="8"/>
      <c r="AH184" s="8"/>
      <c r="AI184" s="8"/>
      <c r="AJ184" s="8"/>
      <c r="AK184" s="8"/>
    </row>
    <row r="185" spans="2:37" s="2" customFormat="1" ht="20" customHeight="1" x14ac:dyDescent="0.2">
      <c r="B185" s="8"/>
      <c r="C185" s="8"/>
      <c r="E185" s="4" t="s">
        <v>1483</v>
      </c>
      <c r="F185" s="337" t="str">
        <f>IF(ISBLANK(input_mgmt_az1_host3_mgmt_ip),"Value Missing",input_mgmt_az1_host3_mgmt_ip)</f>
        <v>Value Missing</v>
      </c>
      <c r="H185" s="4" t="s">
        <v>1483</v>
      </c>
      <c r="I185" s="337" t="str">
        <f>IF(ISBLANK(input_wld_az1_host3_mgmt_ip),"Value Missing",input_wld_az1_host3_mgmt_ip)</f>
        <v>Value Missing</v>
      </c>
      <c r="K185" s="4" t="s">
        <v>1483</v>
      </c>
      <c r="L185" s="337" t="str">
        <f>IF(ISBLANK(input_wld_az1_rack2_host3_mgmt_ip),"Value Missing",input_wld_az1_rack2_host3_mgmt_ip)</f>
        <v>Value Missing</v>
      </c>
      <c r="N185" s="4" t="s">
        <v>1483</v>
      </c>
      <c r="O185" s="337" t="str">
        <f>IF(ISBLANK(input_wld_az1_rack3_host3_mgmt_ip),"Value Missing",input_wld_az1_rack3_host3_mgmt_ip)</f>
        <v>Value Missing</v>
      </c>
      <c r="Q185" s="4" t="s">
        <v>1483</v>
      </c>
      <c r="R185" s="337" t="str">
        <f>IF(ISBLANK(input_wld_az1_rack4_host3_mgmt_ip),"Value Missing",input_wld_az1_rack4_host3_mgmt_ip)</f>
        <v>Value Missing</v>
      </c>
      <c r="T185" s="4" t="s">
        <v>1483</v>
      </c>
      <c r="U185" s="337" t="str">
        <f>IF(ISBLANK(input_wld_az1_rack5_host3_mgmt_ip),"Value Missing",input_wld_az1_rack5_host3_mgmt_ip)</f>
        <v>Value Missing</v>
      </c>
      <c r="W185" s="4" t="s">
        <v>1483</v>
      </c>
      <c r="X185" s="337" t="str">
        <f>IF(ISBLANK(input_wld_az1_rack6_host3_mgmt_ip),"Value Missing",input_wld_az1_rack6_host3_mgmt_ip)</f>
        <v>Value Missing</v>
      </c>
      <c r="Z185" s="4" t="s">
        <v>1483</v>
      </c>
      <c r="AA185" s="337" t="str">
        <f>IF(ISBLANK(input_wld_az1_rack7_host3_mgmt_ip),"Value Missing",input_wld_az1_rack7_host3_mgmt_ip)</f>
        <v>Value Missing</v>
      </c>
      <c r="AC185" s="4" t="s">
        <v>1483</v>
      </c>
      <c r="AD185" s="337" t="str">
        <f>IF(ISBLANK(input_wld_az1_rack8_host3_mgmt_ip),"Value Missing",input_wld_az1_rack8_host3_mgmt_ip)</f>
        <v>Value Missing</v>
      </c>
      <c r="AE185" s="8"/>
      <c r="AF185" s="8"/>
      <c r="AG185" s="8"/>
      <c r="AH185" s="8"/>
      <c r="AI185" s="8"/>
      <c r="AJ185" s="8"/>
      <c r="AK185" s="8"/>
    </row>
    <row r="186" spans="2:37" s="2" customFormat="1" ht="20" customHeight="1" x14ac:dyDescent="0.2">
      <c r="B186" s="8"/>
      <c r="C186" s="8"/>
      <c r="E186" s="4" t="s">
        <v>1484</v>
      </c>
      <c r="F186" s="337" t="str">
        <f>IF(ISBLANK(input_mgmt_az1_host4_mgmt_ip),"Value Missing",input_mgmt_az1_host4_mgmt_ip)</f>
        <v>Value Missing</v>
      </c>
      <c r="H186" s="4" t="s">
        <v>1484</v>
      </c>
      <c r="I186" s="337" t="str">
        <f>IF(ISBLANK(input_wld_az1_host4_mgmt_ip),"Value Missing",input_wld_az1_host4_mgmt_ip)</f>
        <v>Value Missing</v>
      </c>
      <c r="K186" s="4" t="s">
        <v>1484</v>
      </c>
      <c r="L186" s="337" t="str">
        <f>IF(ISBLANK(input_wld_az1_rack2_host4_mgmt_ip),"Value Missing",input_wld_az1_rack2_host4_mgmt_ip)</f>
        <v>Value Missing</v>
      </c>
      <c r="N186" s="4" t="s">
        <v>1484</v>
      </c>
      <c r="O186" s="337" t="str">
        <f>IF(ISBLANK(input_wld_az1_rack3_host4_mgmt_ip),"Value Missing",input_wld_az1_rack3_host4_mgmt_ip)</f>
        <v>Value Missing</v>
      </c>
      <c r="Q186" s="4" t="s">
        <v>1484</v>
      </c>
      <c r="R186" s="337" t="str">
        <f>IF(ISBLANK(input_wld_az1_rack4_host4_mgmt_ip),"Value Missing",input_wld_az1_rack4_host4_mgmt_ip)</f>
        <v>Value Missing</v>
      </c>
      <c r="T186" s="4" t="s">
        <v>1484</v>
      </c>
      <c r="U186" s="337" t="str">
        <f>IF(ISBLANK(input_wld_az1_rack5_host4_mgmt_ip),"Value Missing",input_wld_az1_rack5_host4_mgmt_ip)</f>
        <v>Value Missing</v>
      </c>
      <c r="W186" s="4" t="s">
        <v>1484</v>
      </c>
      <c r="X186" s="337" t="str">
        <f>IF(ISBLANK(input_wld_az1_rack6_host4_mgmt_ip),"Value Missing",input_wld_az1_rack6_host4_mgmt_ip)</f>
        <v>Value Missing</v>
      </c>
      <c r="Z186" s="4" t="s">
        <v>1484</v>
      </c>
      <c r="AA186" s="337" t="str">
        <f>IF(ISBLANK(input_wld_az1_rack7_host4_mgmt_ip),"Value Missing",input_wld_az1_rack7_host4_mgmt_ip)</f>
        <v>Value Missing</v>
      </c>
      <c r="AC186" s="4" t="s">
        <v>1484</v>
      </c>
      <c r="AD186" s="337" t="str">
        <f>IF(ISBLANK(input_wld_az1_rack8_host4_mgmt_ip),"Value Missing",input_wld_az1_rack8_host4_mgmt_ip)</f>
        <v>Value Missing</v>
      </c>
      <c r="AE186" s="8"/>
      <c r="AF186" s="8"/>
      <c r="AG186" s="8"/>
      <c r="AH186" s="8"/>
      <c r="AI186" s="8"/>
      <c r="AJ186" s="8"/>
      <c r="AK186" s="8"/>
    </row>
    <row r="187" spans="2:37" s="2" customFormat="1" ht="20" customHeight="1" x14ac:dyDescent="0.2">
      <c r="B187" s="8"/>
      <c r="C187" s="8"/>
      <c r="E187" s="4" t="s">
        <v>1485</v>
      </c>
      <c r="F187" s="337" t="str">
        <f>IF(ISBLANK(input_mgmt_az1_host5_mgmt_ip),"Value Missing",input_mgmt_az1_host5_mgmt_ip)</f>
        <v>Value Missing</v>
      </c>
      <c r="H187" s="4" t="s">
        <v>1485</v>
      </c>
      <c r="I187" s="337" t="str">
        <f>IF(ISBLANK(input_wld_az1_host5_mgmt_ip),"Value Missing",input_wld_az1_host5_mgmt_ip)</f>
        <v>Value Missing</v>
      </c>
      <c r="K187" s="4" t="s">
        <v>1485</v>
      </c>
      <c r="L187" s="337" t="str">
        <f>IF(ISBLANK(input_wld_az1_rack2_host5_mgmt_ip),"Value Missing",input_wld_az1_rack2_host5_mgmt_ip)</f>
        <v>Value Missing</v>
      </c>
      <c r="N187" s="4" t="s">
        <v>1485</v>
      </c>
      <c r="O187" s="337" t="str">
        <f>IF(ISBLANK(input_wld_az1_rack3_host5_mgmt_ip),"Value Missing",input_wld_az1_rack3_host5_mgmt_ip)</f>
        <v>Value Missing</v>
      </c>
      <c r="Q187" s="4" t="s">
        <v>1485</v>
      </c>
      <c r="R187" s="337" t="str">
        <f>IF(ISBLANK(input_wld_az1_rack4_host5_mgmt_ip),"Value Missing",input_wld_az1_rack4_host5_mgmt_ip)</f>
        <v>Value Missing</v>
      </c>
      <c r="T187" s="4" t="s">
        <v>1485</v>
      </c>
      <c r="U187" s="337" t="str">
        <f>IF(ISBLANK(input_wld_az1_rack5_host5_mgmt_ip),"Value Missing",input_wld_az1_rack5_host5_mgmt_ip)</f>
        <v>Value Missing</v>
      </c>
      <c r="W187" s="4" t="s">
        <v>1485</v>
      </c>
      <c r="X187" s="337" t="str">
        <f>IF(ISBLANK(input_wld_az1_rack6_host5_mgmt_ip),"Value Missing",input_wld_az1_rack6_host5_mgmt_ip)</f>
        <v>Value Missing</v>
      </c>
      <c r="Z187" s="4" t="s">
        <v>1485</v>
      </c>
      <c r="AA187" s="337" t="str">
        <f>IF(ISBLANK(input_wld_az1_rack7_host5_mgmt_ip),"Value Missing",input_wld_az1_rack7_host5_mgmt_ip)</f>
        <v>Value Missing</v>
      </c>
      <c r="AC187" s="4" t="s">
        <v>1485</v>
      </c>
      <c r="AD187" s="337" t="str">
        <f>IF(ISBLANK(input_wld_az1_rack8_host5_mgmt_ip),"Value Missing",input_wld_az1_rack8_host5_mgmt_ip)</f>
        <v>Value Missing</v>
      </c>
      <c r="AE187" s="8"/>
      <c r="AF187" s="8"/>
      <c r="AG187" s="8"/>
      <c r="AH187" s="8"/>
      <c r="AI187" s="8"/>
      <c r="AJ187" s="8"/>
      <c r="AK187" s="8"/>
    </row>
    <row r="188" spans="2:37" s="2" customFormat="1" ht="20" customHeight="1" x14ac:dyDescent="0.2">
      <c r="B188" s="8"/>
      <c r="C188" s="8"/>
      <c r="E188" s="4" t="s">
        <v>1486</v>
      </c>
      <c r="F188" s="337" t="str">
        <f>IF(ISBLANK(input_mgmt_az1_host6_mgmt_ip),"Value Missing",input_mgmt_az1_host6_mgmt_ip)</f>
        <v>Value Missing</v>
      </c>
      <c r="H188" s="4" t="s">
        <v>1486</v>
      </c>
      <c r="I188" s="337" t="str">
        <f>IF(ISBLANK(input_wld_az1_host6_mgmt_ip),"Value Missing",input_wld_az1_host6_mgmt_ip)</f>
        <v>Value Missing</v>
      </c>
      <c r="K188" s="4" t="s">
        <v>1486</v>
      </c>
      <c r="L188" s="337" t="str">
        <f>IF(ISBLANK(input_wld_az1_rack2_host6_mgmt_ip),"Value Missing",input_wld_az1_rack2_host6_mgmt_ip)</f>
        <v>Value Missing</v>
      </c>
      <c r="N188" s="4" t="s">
        <v>1486</v>
      </c>
      <c r="O188" s="337" t="str">
        <f>IF(ISBLANK(input_wld_az1_rack3_host6_mgmt_ip),"Value Missing",input_wld_az1_rack3_host6_mgmt_ip)</f>
        <v>Value Missing</v>
      </c>
      <c r="Q188" s="4" t="s">
        <v>1486</v>
      </c>
      <c r="R188" s="337" t="str">
        <f>IF(ISBLANK(input_wld_az1_rack4_host6_mgmt_ip),"Value Missing",input_wld_az1_rack4_host6_mgmt_ip)</f>
        <v>Value Missing</v>
      </c>
      <c r="T188" s="4" t="s">
        <v>1486</v>
      </c>
      <c r="U188" s="337" t="str">
        <f>IF(ISBLANK(input_wld_az1_rack5_host6_mgmt_ip),"Value Missing",input_wld_az1_rack5_host6_mgmt_ip)</f>
        <v>Value Missing</v>
      </c>
      <c r="W188" s="4" t="s">
        <v>1486</v>
      </c>
      <c r="X188" s="337" t="str">
        <f>IF(ISBLANK(input_wld_az1_rack6_host6_mgmt_ip),"Value Missing",input_wld_az1_rack6_host6_mgmt_ip)</f>
        <v>Value Missing</v>
      </c>
      <c r="Z188" s="4" t="s">
        <v>1486</v>
      </c>
      <c r="AA188" s="337" t="str">
        <f>IF(ISBLANK(input_wld_az1_rack7_host6_mgmt_ip),"Value Missing",input_wld_az1_rack7_host6_mgmt_ip)</f>
        <v>Value Missing</v>
      </c>
      <c r="AC188" s="4" t="s">
        <v>1486</v>
      </c>
      <c r="AD188" s="337" t="str">
        <f>IF(ISBLANK(input_wld_az1_rack8_host6_mgmt_ip),"Value Missing",input_wld_az1_rack8_host6_mgmt_ip)</f>
        <v>Value Missing</v>
      </c>
      <c r="AE188" s="8"/>
      <c r="AF188" s="8"/>
      <c r="AG188" s="8"/>
      <c r="AH188" s="8"/>
      <c r="AI188" s="8"/>
      <c r="AJ188" s="8"/>
      <c r="AK188" s="8"/>
    </row>
    <row r="189" spans="2:37" s="2" customFormat="1" ht="20" customHeight="1" x14ac:dyDescent="0.2">
      <c r="B189" s="8"/>
      <c r="C189" s="8"/>
      <c r="E189" s="4" t="s">
        <v>1487</v>
      </c>
      <c r="F189" s="337" t="str">
        <f>IF(ISBLANK(input_mgmt_az1_host7_mgmt_ip),"Value Missing",input_mgmt_az1_host7_mgmt_ip)</f>
        <v>Value Missing</v>
      </c>
      <c r="H189" s="4" t="s">
        <v>1487</v>
      </c>
      <c r="I189" s="337" t="str">
        <f>IF(ISBLANK(input_wld_az1_host7_mgmt_ip),"Value Missing",input_wld_az1_host7_mgmt_ip)</f>
        <v>Value Missing</v>
      </c>
      <c r="K189" s="4" t="s">
        <v>1487</v>
      </c>
      <c r="L189" s="337" t="str">
        <f>IF(ISBLANK(input_wld_az1_rack2_host7_mgmt_ip),"Value Missing",input_wld_az1_rack2_host7_mgmt_ip)</f>
        <v>Value Missing</v>
      </c>
      <c r="N189" s="4" t="s">
        <v>1487</v>
      </c>
      <c r="O189" s="337" t="str">
        <f>IF(ISBLANK(input_wld_az1_rack3_host7_mgmt_ip),"Value Missing",input_wld_az1_rack3_host7_mgmt_ip)</f>
        <v>Value Missing</v>
      </c>
      <c r="Q189" s="4" t="s">
        <v>1487</v>
      </c>
      <c r="R189" s="337" t="str">
        <f>IF(ISBLANK(input_wld_az1_rack4_host7_mgmt_ip),"Value Missing",input_wld_az1_rack4_host7_mgmt_ip)</f>
        <v>Value Missing</v>
      </c>
      <c r="T189" s="4" t="s">
        <v>1487</v>
      </c>
      <c r="U189" s="337" t="str">
        <f>IF(ISBLANK(input_wld_az1_rack5_host7_mgmt_ip),"Value Missing",input_wld_az1_rack5_host7_mgmt_ip)</f>
        <v>Value Missing</v>
      </c>
      <c r="W189" s="4" t="s">
        <v>1487</v>
      </c>
      <c r="X189" s="337" t="str">
        <f>IF(ISBLANK(input_wld_az1_rack6_host7_mgmt_ip),"Value Missing",input_wld_az1_rack6_host7_mgmt_ip)</f>
        <v>Value Missing</v>
      </c>
      <c r="Z189" s="4" t="s">
        <v>1487</v>
      </c>
      <c r="AA189" s="337" t="str">
        <f>IF(ISBLANK(input_wld_az1_rack7_host7_mgmt_ip),"Value Missing",input_wld_az1_rack7_host7_mgmt_ip)</f>
        <v>Value Missing</v>
      </c>
      <c r="AC189" s="4" t="s">
        <v>1487</v>
      </c>
      <c r="AD189" s="337" t="str">
        <f>IF(ISBLANK(input_wld_az1_rack8_host7_mgmt_ip),"Value Missing",input_wld_az1_rack8_host7_mgmt_ip)</f>
        <v>Value Missing</v>
      </c>
      <c r="AE189" s="8"/>
      <c r="AF189" s="8"/>
      <c r="AG189" s="8"/>
      <c r="AH189" s="8"/>
      <c r="AI189" s="8"/>
      <c r="AJ189" s="8"/>
      <c r="AK189" s="8"/>
    </row>
    <row r="190" spans="2:37" s="2" customFormat="1" ht="20" customHeight="1" x14ac:dyDescent="0.2">
      <c r="B190" s="8"/>
      <c r="C190" s="8"/>
      <c r="E190" s="4" t="s">
        <v>1488</v>
      </c>
      <c r="F190" s="337" t="str">
        <f>IF(ISBLANK(input_mgmt_az1_host8_mgmt_ip),"Value Missing",input_mgmt_az1_host8_mgmt_ip)</f>
        <v>Value Missing</v>
      </c>
      <c r="H190" s="4" t="s">
        <v>1488</v>
      </c>
      <c r="I190" s="337" t="str">
        <f>IF(ISBLANK(input_wld_az1_host8_mgmt_ip),"Value Missing",input_wld_az1_host8_mgmt_ip)</f>
        <v>Value Missing</v>
      </c>
      <c r="K190" s="4" t="s">
        <v>1488</v>
      </c>
      <c r="L190" s="337" t="str">
        <f>IF(ISBLANK(input_wld_az1_rack2_host8_mgmt_ip),"Value Missing",input_wld_az1_rack2_host8_mgmt_ip)</f>
        <v>Value Missing</v>
      </c>
      <c r="N190" s="4" t="s">
        <v>1488</v>
      </c>
      <c r="O190" s="337" t="str">
        <f>IF(ISBLANK(input_wld_az1_rack3_host8_mgmt_ip),"Value Missing",input_wld_az1_rack3_host8_mgmt_ip)</f>
        <v>Value Missing</v>
      </c>
      <c r="Q190" s="4" t="s">
        <v>1488</v>
      </c>
      <c r="R190" s="337" t="str">
        <f>IF(ISBLANK(input_wld_az1_rack4_host8_mgmt_ip),"Value Missing",input_wld_az1_rack4_host8_mgmt_ip)</f>
        <v>Value Missing</v>
      </c>
      <c r="T190" s="4" t="s">
        <v>1488</v>
      </c>
      <c r="U190" s="337" t="str">
        <f>IF(ISBLANK(input_wld_az1_rack5_host8_mgmt_ip),"Value Missing",input_wld_az1_rack5_host8_mgmt_ip)</f>
        <v>Value Missing</v>
      </c>
      <c r="W190" s="4" t="s">
        <v>1488</v>
      </c>
      <c r="X190" s="337" t="str">
        <f>IF(ISBLANK(input_wld_az1_rack6_host8_mgmt_ip),"Value Missing",input_wld_az1_rack6_host8_mgmt_ip)</f>
        <v>Value Missing</v>
      </c>
      <c r="Z190" s="4" t="s">
        <v>1488</v>
      </c>
      <c r="AA190" s="337" t="str">
        <f>IF(ISBLANK(input_wld_az1_rack7_host8_mgmt_ip),"Value Missing",input_wld_az1_rack7_host8_mgmt_ip)</f>
        <v>Value Missing</v>
      </c>
      <c r="AC190" s="4" t="s">
        <v>1488</v>
      </c>
      <c r="AD190" s="337" t="str">
        <f>IF(ISBLANK(input_wld_az1_rack8_host8_mgmt_ip),"Value Missing",input_wld_az1_rack8_host8_mgmt_ip)</f>
        <v>Value Missing</v>
      </c>
      <c r="AE190" s="8"/>
      <c r="AF190" s="8"/>
      <c r="AG190" s="8"/>
      <c r="AH190" s="8"/>
      <c r="AI190" s="8"/>
      <c r="AJ190" s="8"/>
      <c r="AK190" s="8"/>
    </row>
    <row r="191" spans="2:37" ht="20" customHeight="1" x14ac:dyDescent="0.2">
      <c r="E191" s="4" t="s">
        <v>1489</v>
      </c>
      <c r="F191" s="337" t="str">
        <f>IF(ISBLANK(input_mgmt_az1_host9_mgmt_ip),"Value Missing",input_mgmt_az1_host9_mgmt_ip)</f>
        <v>Value Missing</v>
      </c>
      <c r="G191" s="2"/>
      <c r="H191" s="4" t="s">
        <v>1489</v>
      </c>
      <c r="I191" s="337" t="str">
        <f>IF(ISBLANK(input_wld_az1_host9_mgmt_ip),"Value Missing",input_wld_az1_host9_mgmt_ip)</f>
        <v>Value Missing</v>
      </c>
      <c r="J191" s="2"/>
      <c r="K191" s="4" t="s">
        <v>1489</v>
      </c>
      <c r="L191" s="337" t="str">
        <f>IF(ISBLANK(input_wld_az1_rack2_host9_mgmt_ip),"Value Missing",input_wld_az1_rack2_host9_mgmt_ip)</f>
        <v>Value Missing</v>
      </c>
      <c r="M191" s="2"/>
      <c r="N191" s="4" t="s">
        <v>1489</v>
      </c>
      <c r="O191" s="337" t="str">
        <f>IF(ISBLANK(input_wld_az1_rack3_host9_mgmt_ip),"Value Missing",input_wld_az1_rack3_host9_mgmt_ip)</f>
        <v>Value Missing</v>
      </c>
      <c r="P191" s="2"/>
      <c r="Q191" s="4" t="s">
        <v>1489</v>
      </c>
      <c r="R191" s="337" t="str">
        <f>IF(ISBLANK(input_wld_az1_rack4_host9_mgmt_ip),"Value Missing",input_wld_az1_rack4_host9_mgmt_ip)</f>
        <v>Value Missing</v>
      </c>
      <c r="S191" s="2"/>
      <c r="T191" s="4" t="s">
        <v>1489</v>
      </c>
      <c r="U191" s="337" t="str">
        <f>IF(ISBLANK(input_wld_az1_rack5_host9_mgmt_ip),"Value Missing",input_wld_az1_rack5_host9_mgmt_ip)</f>
        <v>Value Missing</v>
      </c>
      <c r="V191" s="2"/>
      <c r="W191" s="4" t="s">
        <v>1489</v>
      </c>
      <c r="X191" s="337" t="str">
        <f>IF(ISBLANK(input_wld_az1_rack6_host9_mgmt_ip),"Value Missing",input_wld_az1_rack6_host9_mgmt_ip)</f>
        <v>Value Missing</v>
      </c>
      <c r="Y191" s="2"/>
      <c r="Z191" s="4" t="s">
        <v>1489</v>
      </c>
      <c r="AA191" s="337" t="str">
        <f>IF(ISBLANK(input_wld_az1_rack7_host9_mgmt_ip),"Value Missing",input_wld_az1_rack7_host9_mgmt_ip)</f>
        <v>Value Missing</v>
      </c>
      <c r="AB191" s="2"/>
      <c r="AC191" s="4" t="s">
        <v>1489</v>
      </c>
      <c r="AD191" s="337" t="str">
        <f>IF(ISBLANK(input_wld_az1_rack8_host9_mgmt_ip),"Value Missing",input_wld_az1_rack8_host9_mgmt_ip)</f>
        <v>Value Missing</v>
      </c>
    </row>
    <row r="192" spans="2:37" ht="20" customHeight="1" x14ac:dyDescent="0.2">
      <c r="E192" s="4" t="s">
        <v>1490</v>
      </c>
      <c r="F192" s="337" t="str">
        <f>IF(ISBLANK(input_mgmt_az1_host10_mgmt_ip),"Value Missing",input_mgmt_az1_host10_mgmt_ip)</f>
        <v>Value Missing</v>
      </c>
      <c r="G192" s="2"/>
      <c r="H192" s="4" t="s">
        <v>1490</v>
      </c>
      <c r="I192" s="337" t="str">
        <f>IF(ISBLANK(input_wld_az1_host10_mgmt_ip),"Value Missing",input_wld_az1_host10_mgmt_ip)</f>
        <v>Value Missing</v>
      </c>
      <c r="J192" s="2"/>
      <c r="K192" s="4" t="s">
        <v>1490</v>
      </c>
      <c r="L192" s="337" t="str">
        <f>IF(ISBLANK(input_wld_az1_rack2_host10_mgmt_ip),"Value Missing",input_wld_az1_rack2_host10_mgmt_ip)</f>
        <v>Value Missing</v>
      </c>
      <c r="M192" s="2"/>
      <c r="N192" s="4" t="s">
        <v>1490</v>
      </c>
      <c r="O192" s="337" t="str">
        <f>IF(ISBLANK(input_wld_az1_rack3_host10_mgmt_ip),"Value Missing",input_wld_az1_rack3_host10_mgmt_ip)</f>
        <v>Value Missing</v>
      </c>
      <c r="P192" s="2"/>
      <c r="Q192" s="4" t="s">
        <v>1490</v>
      </c>
      <c r="R192" s="337" t="str">
        <f>IF(ISBLANK(input_wld_az1_rack4_host10_mgmt_ip),"Value Missing",input_wld_az1_rack4_host10_mgmt_ip)</f>
        <v>Value Missing</v>
      </c>
      <c r="S192" s="2"/>
      <c r="T192" s="4" t="s">
        <v>1490</v>
      </c>
      <c r="U192" s="337" t="str">
        <f>IF(ISBLANK(input_wld_az1_rack5_host10_mgmt_ip),"Value Missing",input_wld_az1_rack5_host10_mgmt_ip)</f>
        <v>Value Missing</v>
      </c>
      <c r="V192" s="2"/>
      <c r="W192" s="4" t="s">
        <v>1490</v>
      </c>
      <c r="X192" s="337" t="str">
        <f>IF(ISBLANK(input_wld_az1_rack6_host10_mgmt_ip),"Value Missing",input_wld_az1_rack6_host10_mgmt_ip)</f>
        <v>Value Missing</v>
      </c>
      <c r="Y192" s="2"/>
      <c r="Z192" s="4" t="s">
        <v>1490</v>
      </c>
      <c r="AA192" s="337" t="str">
        <f>IF(ISBLANK(input_wld_az1_rack7_host10_mgmt_ip),"Value Missing",input_wld_az1_rack7_host10_mgmt_ip)</f>
        <v>Value Missing</v>
      </c>
      <c r="AB192" s="2"/>
      <c r="AC192" s="4" t="s">
        <v>1490</v>
      </c>
      <c r="AD192" s="337" t="str">
        <f>IF(ISBLANK(input_wld_az1_rack8_host10_mgmt_ip),"Value Missing",input_wld_az1_rack8_host10_mgmt_ip)</f>
        <v>Value Missing</v>
      </c>
    </row>
    <row r="193" spans="5:30" ht="20" customHeight="1" x14ac:dyDescent="0.2">
      <c r="E193" s="4" t="s">
        <v>1491</v>
      </c>
      <c r="F193" s="337" t="str">
        <f>IF(ISBLANK(input_mgmt_az1_host11_mgmt_ip),"Value Missing",input_mgmt_az1_host11_mgmt_ip)</f>
        <v>Value Missing</v>
      </c>
      <c r="G193" s="15"/>
      <c r="H193" s="4" t="s">
        <v>1491</v>
      </c>
      <c r="I193" s="337" t="str">
        <f>IF(ISBLANK(input_wld_az1_host11_mgmt_ip),"Value Missing",input_wld_az1_host11_mgmt_ip)</f>
        <v>Value Missing</v>
      </c>
      <c r="J193" s="15"/>
      <c r="K193" s="4" t="s">
        <v>1491</v>
      </c>
      <c r="L193" s="337" t="str">
        <f>IF(ISBLANK(input_wld_az1_rack2_host11_mgmt_ip),"Value Missing",input_wld_az1_rack2_host11_mgmt_ip)</f>
        <v>Value Missing</v>
      </c>
      <c r="M193" s="2"/>
      <c r="N193" s="4" t="s">
        <v>1491</v>
      </c>
      <c r="O193" s="337" t="str">
        <f>IF(ISBLANK(input_wld_az1_rack3_host11_mgmt_ip),"Value Missing",input_wld_az1_rack3_host11_mgmt_ip)</f>
        <v>Value Missing</v>
      </c>
      <c r="P193" s="2"/>
      <c r="Q193" s="4" t="s">
        <v>1491</v>
      </c>
      <c r="R193" s="337" t="str">
        <f>IF(ISBLANK(input_wld_az1_rack4_host11_mgmt_ip),"Value Missing",input_wld_az1_rack4_host11_mgmt_ip)</f>
        <v>Value Missing</v>
      </c>
      <c r="S193" s="2"/>
      <c r="T193" s="4" t="s">
        <v>1491</v>
      </c>
      <c r="U193" s="337" t="str">
        <f>IF(ISBLANK(input_wld_az1_rack5_host11_mgmt_ip),"Value Missing",input_wld_az1_rack5_host11_mgmt_ip)</f>
        <v>Value Missing</v>
      </c>
      <c r="V193" s="2"/>
      <c r="W193" s="4" t="s">
        <v>1491</v>
      </c>
      <c r="X193" s="337" t="str">
        <f>IF(ISBLANK(input_wld_az1_rack6_host11_mgmt_ip),"Value Missing",input_wld_az1_rack6_host11_mgmt_ip)</f>
        <v>Value Missing</v>
      </c>
      <c r="Y193" s="2"/>
      <c r="Z193" s="4" t="s">
        <v>1491</v>
      </c>
      <c r="AA193" s="337" t="str">
        <f>IF(ISBLANK(input_wld_az1_rack7_host11_mgmt_ip),"Value Missing",input_wld_az1_rack7_host11_mgmt_ip)</f>
        <v>Value Missing</v>
      </c>
      <c r="AB193" s="2"/>
      <c r="AC193" s="4" t="s">
        <v>1491</v>
      </c>
      <c r="AD193" s="337" t="str">
        <f>IF(ISBLANK(input_wld_az1_rack8_host11_mgmt_ip),"Value Missing",input_wld_az1_rack8_host11_mgmt_ip)</f>
        <v>Value Missing</v>
      </c>
    </row>
    <row r="194" spans="5:30" ht="20" customHeight="1" x14ac:dyDescent="0.2">
      <c r="E194" s="4" t="s">
        <v>1492</v>
      </c>
      <c r="F194" s="337" t="str">
        <f>IF(ISBLANK(input_mgmt_az1_host12_mgmt_ip),"Value Missing",input_mgmt_az1_host12_mgmt_ip)</f>
        <v>Value Missing</v>
      </c>
      <c r="G194" s="2"/>
      <c r="H194" s="4" t="s">
        <v>1492</v>
      </c>
      <c r="I194" s="337" t="str">
        <f>IF(ISBLANK(input_wld_az1_host12_mgmt_ip),"Value Missing",input_wld_az1_host12_mgmt_ip)</f>
        <v>Value Missing</v>
      </c>
      <c r="J194" s="2"/>
      <c r="K194" s="4" t="s">
        <v>1492</v>
      </c>
      <c r="L194" s="337" t="str">
        <f>IF(ISBLANK(input_wld_az1_rack2_host12_mgmt_ip),"Value Missing",input_wld_az1_rack2_host12_mgmt_ip)</f>
        <v>Value Missing</v>
      </c>
      <c r="M194" s="2"/>
      <c r="N194" s="4" t="s">
        <v>1492</v>
      </c>
      <c r="O194" s="337" t="str">
        <f>IF(ISBLANK(input_wld_az1_rack3_host12_mgmt_ip),"Value Missing",input_wld_az1_rack3_host12_mgmt_ip)</f>
        <v>Value Missing</v>
      </c>
      <c r="P194" s="2"/>
      <c r="Q194" s="4" t="s">
        <v>1492</v>
      </c>
      <c r="R194" s="337" t="str">
        <f>IF(ISBLANK(input_wld_az1_rack4_host12_mgmt_ip),"Value Missing",input_wld_az1_rack4_host12_mgmt_ip)</f>
        <v>Value Missing</v>
      </c>
      <c r="S194" s="2"/>
      <c r="T194" s="4" t="s">
        <v>1492</v>
      </c>
      <c r="U194" s="337" t="str">
        <f>IF(ISBLANK(input_wld_az1_rack5_host12_mgmt_ip),"Value Missing",input_wld_az1_rack5_host12_mgmt_ip)</f>
        <v>Value Missing</v>
      </c>
      <c r="V194" s="2"/>
      <c r="W194" s="4" t="s">
        <v>1492</v>
      </c>
      <c r="X194" s="337" t="str">
        <f>IF(ISBLANK(input_wld_az1_rack6_host12_mgmt_ip),"Value Missing",input_wld_az1_rack6_host12_mgmt_ip)</f>
        <v>Value Missing</v>
      </c>
      <c r="Y194" s="2"/>
      <c r="Z194" s="4" t="s">
        <v>1492</v>
      </c>
      <c r="AA194" s="337" t="str">
        <f>IF(ISBLANK(input_wld_az1_rack7_host12_mgmt_ip),"Value Missing",input_wld_az1_rack7_host12_mgmt_ip)</f>
        <v>Value Missing</v>
      </c>
      <c r="AB194" s="2"/>
      <c r="AC194" s="4" t="s">
        <v>1492</v>
      </c>
      <c r="AD194" s="337" t="str">
        <f>IF(ISBLANK(input_wld_az1_rack8_host12_mgmt_ip),"Value Missing",input_wld_az1_rack8_host12_mgmt_ip)</f>
        <v>Value Missing</v>
      </c>
    </row>
    <row r="195" spans="5:30" ht="20" customHeight="1" x14ac:dyDescent="0.2">
      <c r="E195" s="4" t="s">
        <v>1493</v>
      </c>
      <c r="F195" s="337" t="str">
        <f>IF(ISBLANK(input_mgmt_az1_host13_mgmt_ip),"Value Missing",input_mgmt_az1_host13_mgmt_ip)</f>
        <v>Value Missing</v>
      </c>
      <c r="G195" s="2"/>
      <c r="H195" s="4" t="s">
        <v>1493</v>
      </c>
      <c r="I195" s="337" t="str">
        <f>IF(ISBLANK(input_wld_az1_host13_mgmt_ip),"Value Missing",input_wld_az1_host13_mgmt_ip)</f>
        <v>Value Missing</v>
      </c>
      <c r="J195" s="2"/>
      <c r="K195" s="4" t="s">
        <v>1493</v>
      </c>
      <c r="L195" s="337" t="str">
        <f>IF(ISBLANK(input_wld_az1_rack2_host13_mgmt_ip),"Value Missing",input_wld_az1_rack2_host13_mgmt_ip)</f>
        <v>Value Missing</v>
      </c>
      <c r="M195" s="2"/>
      <c r="N195" s="4" t="s">
        <v>1493</v>
      </c>
      <c r="O195" s="337" t="str">
        <f>IF(ISBLANK(input_wld_az1_rack3_host13_mgmt_ip),"Value Missing",input_wld_az1_rack3_host13_mgmt_ip)</f>
        <v>Value Missing</v>
      </c>
      <c r="P195" s="2"/>
      <c r="Q195" s="4" t="s">
        <v>1493</v>
      </c>
      <c r="R195" s="337" t="str">
        <f>IF(ISBLANK(input_wld_az1_rack4_host13_mgmt_ip),"Value Missing",input_wld_az1_rack4_host13_mgmt_ip)</f>
        <v>Value Missing</v>
      </c>
      <c r="S195" s="2"/>
      <c r="T195" s="4" t="s">
        <v>1493</v>
      </c>
      <c r="U195" s="337" t="str">
        <f>IF(ISBLANK(input_wld_az1_rack5_host13_mgmt_ip),"Value Missing",input_wld_az1_rack5_host13_mgmt_ip)</f>
        <v>Value Missing</v>
      </c>
      <c r="V195" s="2"/>
      <c r="W195" s="4" t="s">
        <v>1493</v>
      </c>
      <c r="X195" s="337" t="str">
        <f>IF(ISBLANK(input_wld_az1_rack6_host13_mgmt_ip),"Value Missing",input_wld_az1_rack6_host13_mgmt_ip)</f>
        <v>Value Missing</v>
      </c>
      <c r="Y195" s="2"/>
      <c r="Z195" s="4" t="s">
        <v>1493</v>
      </c>
      <c r="AA195" s="337" t="str">
        <f>IF(ISBLANK(input_wld_az1_rack7_host13_mgmt_ip),"Value Missing",input_wld_az1_rack7_host13_mgmt_ip)</f>
        <v>Value Missing</v>
      </c>
      <c r="AB195" s="2"/>
      <c r="AC195" s="4" t="s">
        <v>1493</v>
      </c>
      <c r="AD195" s="337" t="str">
        <f>IF(ISBLANK(input_wld_az1_rack8_host13_mgmt_ip),"Value Missing",input_wld_az1_rack8_host13_mgmt_ip)</f>
        <v>Value Missing</v>
      </c>
    </row>
    <row r="196" spans="5:30" ht="20" customHeight="1" x14ac:dyDescent="0.2">
      <c r="E196" s="4" t="s">
        <v>1494</v>
      </c>
      <c r="F196" s="337" t="str">
        <f>IF(ISBLANK(input_mgmt_az1_host14_mgmt_ip),"Value Missing",input_mgmt_az1_host14_mgmt_ip)</f>
        <v>Value Missing</v>
      </c>
      <c r="G196" s="2"/>
      <c r="H196" s="4" t="s">
        <v>1494</v>
      </c>
      <c r="I196" s="337" t="str">
        <f>IF(ISBLANK(input_wld_az1_host14_mgmt_ip),"Value Missing",input_wld_az1_host14_mgmt_ip)</f>
        <v>Value Missing</v>
      </c>
      <c r="J196" s="2"/>
      <c r="K196" s="4" t="s">
        <v>1494</v>
      </c>
      <c r="L196" s="337" t="str">
        <f>IF(ISBLANK(input_wld_az1_rack2_host14_mgmt_ip),"Value Missing",input_wld_az1_rack2_host14_mgmt_ip)</f>
        <v>Value Missing</v>
      </c>
      <c r="M196" s="15"/>
      <c r="N196" s="4" t="s">
        <v>1494</v>
      </c>
      <c r="O196" s="337" t="str">
        <f>IF(ISBLANK(input_wld_az1_rack3_host14_mgmt_ip),"Value Missing",input_wld_az1_rack3_host14_mgmt_ip)</f>
        <v>Value Missing</v>
      </c>
      <c r="P196" s="2"/>
      <c r="Q196" s="4" t="s">
        <v>1494</v>
      </c>
      <c r="R196" s="337" t="str">
        <f>IF(ISBLANK(input_wld_az1_rack4_host14_mgmt_ip),"Value Missing",input_wld_az1_rack4_host14_mgmt_ip)</f>
        <v>Value Missing</v>
      </c>
      <c r="S196" s="2"/>
      <c r="T196" s="4" t="s">
        <v>1494</v>
      </c>
      <c r="U196" s="337" t="str">
        <f>IF(ISBLANK(input_wld_az1_rack5_host14_mgmt_ip),"Value Missing",input_wld_az1_rack5_host14_mgmt_ip)</f>
        <v>Value Missing</v>
      </c>
      <c r="V196" s="2"/>
      <c r="W196" s="4" t="s">
        <v>1494</v>
      </c>
      <c r="X196" s="337" t="str">
        <f>IF(ISBLANK(input_wld_az1_rack6_host14_mgmt_ip),"Value Missing",input_wld_az1_rack6_host14_mgmt_ip)</f>
        <v>Value Missing</v>
      </c>
      <c r="Y196" s="2"/>
      <c r="Z196" s="4" t="s">
        <v>1494</v>
      </c>
      <c r="AA196" s="337" t="str">
        <f>IF(ISBLANK(input_wld_az1_rack7_host14_mgmt_ip),"Value Missing",input_wld_az1_rack7_host14_mgmt_ip)</f>
        <v>Value Missing</v>
      </c>
      <c r="AB196" s="2"/>
      <c r="AC196" s="4" t="s">
        <v>1494</v>
      </c>
      <c r="AD196" s="337" t="str">
        <f>IF(ISBLANK(input_wld_az1_rack8_host14_mgmt_ip),"Value Missing",input_wld_az1_rack8_host14_mgmt_ip)</f>
        <v>Value Missing</v>
      </c>
    </row>
    <row r="197" spans="5:30" ht="20" customHeight="1" x14ac:dyDescent="0.2">
      <c r="E197" s="4" t="s">
        <v>1495</v>
      </c>
      <c r="F197" s="337" t="str">
        <f>IF(ISBLANK(input_mgmt_az1_host15_mgmt_ip),"Value Missing",input_mgmt_az1_host15_mgmt_ip)</f>
        <v>Value Missing</v>
      </c>
      <c r="G197" s="2"/>
      <c r="H197" s="4" t="s">
        <v>1495</v>
      </c>
      <c r="I197" s="337" t="str">
        <f>IF(ISBLANK(input_wld_az1_host15_mgmt_ip),"Value Missing",input_wld_az1_host15_mgmt_ip)</f>
        <v>Value Missing</v>
      </c>
      <c r="J197" s="2"/>
      <c r="K197" s="4" t="s">
        <v>1495</v>
      </c>
      <c r="L197" s="337" t="str">
        <f>IF(ISBLANK(input_wld_az1_rack2_host15_mgmt_ip),"Value Missing",input_wld_az1_rack2_host15_mgmt_ip)</f>
        <v>Value Missing</v>
      </c>
      <c r="M197" s="2"/>
      <c r="N197" s="4" t="s">
        <v>1495</v>
      </c>
      <c r="O197" s="337" t="str">
        <f>IF(ISBLANK(input_wld_az1_rack3_host15_mgmt_ip),"Value Missing",input_wld_az1_rack3_host15_mgmt_ip)</f>
        <v>Value Missing</v>
      </c>
      <c r="P197" s="2"/>
      <c r="Q197" s="4" t="s">
        <v>1495</v>
      </c>
      <c r="R197" s="337" t="str">
        <f>IF(ISBLANK(input_wld_az1_rack4_host15_mgmt_ip),"Value Missing",input_wld_az1_rack4_host15_mgmt_ip)</f>
        <v>Value Missing</v>
      </c>
      <c r="S197" s="2"/>
      <c r="T197" s="4" t="s">
        <v>1495</v>
      </c>
      <c r="U197" s="337" t="str">
        <f>IF(ISBLANK(input_wld_az1_rack5_host15_mgmt_ip),"Value Missing",input_wld_az1_rack5_host15_mgmt_ip)</f>
        <v>Value Missing</v>
      </c>
      <c r="V197" s="2"/>
      <c r="W197" s="4" t="s">
        <v>1495</v>
      </c>
      <c r="X197" s="337" t="str">
        <f>IF(ISBLANK(input_wld_az1_rack6_host15_mgmt_ip),"Value Missing",input_wld_az1_rack6_host15_mgmt_ip)</f>
        <v>Value Missing</v>
      </c>
      <c r="Y197" s="2"/>
      <c r="Z197" s="4" t="s">
        <v>1495</v>
      </c>
      <c r="AA197" s="337" t="str">
        <f>IF(ISBLANK(input_wld_az1_rack7_host15_mgmt_ip),"Value Missing",input_wld_az1_rack7_host15_mgmt_ip)</f>
        <v>Value Missing</v>
      </c>
      <c r="AB197" s="2"/>
      <c r="AC197" s="4" t="s">
        <v>1495</v>
      </c>
      <c r="AD197" s="337" t="str">
        <f>IF(ISBLANK(input_wld_az1_rack8_host15_mgmt_ip),"Value Missing",input_wld_az1_rack8_host15_mgmt_ip)</f>
        <v>Value Missing</v>
      </c>
    </row>
    <row r="198" spans="5:30" ht="20" customHeight="1" x14ac:dyDescent="0.2">
      <c r="E198" s="4" t="s">
        <v>1496</v>
      </c>
      <c r="F198" s="337" t="str">
        <f>IF(ISBLANK(input_mgmt_az1_host16_mgmt_ip),"Value Missing",input_mgmt_az1_host16_mgmt_ip)</f>
        <v>Value Missing</v>
      </c>
      <c r="G198" s="2"/>
      <c r="H198" s="4" t="s">
        <v>1496</v>
      </c>
      <c r="I198" s="337" t="str">
        <f>IF(ISBLANK(input_wld_az1_host16_mgmt_ip),"Value Missing",input_wld_az1_host16_mgmt_ip)</f>
        <v>Value Missing</v>
      </c>
      <c r="J198" s="2"/>
      <c r="K198" s="4" t="s">
        <v>1496</v>
      </c>
      <c r="L198" s="337" t="str">
        <f>IF(ISBLANK(input_wld_az1_rack2_host16_mgmt_ip),"Value Missing",input_wld_az1_rack2_host16_mgmt_ip)</f>
        <v>Value Missing</v>
      </c>
      <c r="M198" s="2"/>
      <c r="N198" s="4" t="s">
        <v>1496</v>
      </c>
      <c r="O198" s="337" t="str">
        <f>IF(ISBLANK(input_wld_az1_rack3_host16_mgmt_ip),"Value Missing",input_wld_az1_rack3_host16_mgmt_ip)</f>
        <v>Value Missing</v>
      </c>
      <c r="P198" s="2"/>
      <c r="Q198" s="4" t="s">
        <v>1496</v>
      </c>
      <c r="R198" s="337" t="str">
        <f>IF(ISBLANK(input_wld_az1_rack4_host16_mgmt_ip),"Value Missing",input_wld_az1_rack4_host16_mgmt_ip)</f>
        <v>Value Missing</v>
      </c>
      <c r="S198" s="2"/>
      <c r="T198" s="4" t="s">
        <v>1496</v>
      </c>
      <c r="U198" s="337" t="str">
        <f>IF(ISBLANK(input_wld_az1_rack5_host16_mgmt_ip),"Value Missing",input_wld_az1_rack5_host16_mgmt_ip)</f>
        <v>Value Missing</v>
      </c>
      <c r="V198" s="2"/>
      <c r="W198" s="4" t="s">
        <v>1496</v>
      </c>
      <c r="X198" s="337" t="str">
        <f>IF(ISBLANK(input_wld_az1_rack6_host16_mgmt_ip),"Value Missing",input_wld_az1_rack6_host16_mgmt_ip)</f>
        <v>Value Missing</v>
      </c>
      <c r="Y198" s="2"/>
      <c r="Z198" s="4" t="s">
        <v>1496</v>
      </c>
      <c r="AA198" s="337" t="str">
        <f>IF(ISBLANK(input_wld_az1_rack7_host16_mgmt_ip),"Value Missing",input_wld_az1_rack7_host16_mgmt_ip)</f>
        <v>Value Missing</v>
      </c>
      <c r="AB198" s="2"/>
      <c r="AC198" s="4" t="s">
        <v>1496</v>
      </c>
      <c r="AD198" s="337" t="str">
        <f>IF(ISBLANK(input_wld_az1_rack8_host16_mgmt_ip),"Value Missing",input_wld_az1_rack8_host16_mgmt_ip)</f>
        <v>Value Missing</v>
      </c>
    </row>
    <row r="199" spans="5:30" ht="20" customHeight="1" x14ac:dyDescent="0.2">
      <c r="E199" s="4" t="s">
        <v>1497</v>
      </c>
      <c r="F199" s="337" t="str">
        <f>IF(ISBLANK(input_mgmt_az1_host1_vrms_ip),"Value Missing",input_mgmt_az1_host1_vrms_ip)</f>
        <v>Value Missing</v>
      </c>
      <c r="G199" s="2"/>
      <c r="H199" s="4" t="s">
        <v>1497</v>
      </c>
      <c r="I199" s="337" t="str">
        <f>IF(ISBLANK(input_wld_az1_host1_vrms_ip),"Value Missing",input_wld_az1_host1_vrms_ip)</f>
        <v>Value Missing</v>
      </c>
      <c r="J199" s="2"/>
      <c r="K199" s="2"/>
      <c r="L199" s="2"/>
      <c r="M199" s="2"/>
      <c r="N199" s="2"/>
      <c r="O199" s="2"/>
      <c r="P199" s="2"/>
      <c r="Q199" s="2"/>
      <c r="R199" s="2"/>
      <c r="S199" s="2"/>
      <c r="T199" s="2"/>
      <c r="U199" s="2"/>
      <c r="V199" s="2"/>
      <c r="W199" s="2"/>
      <c r="X199" s="2"/>
      <c r="Y199" s="2"/>
      <c r="Z199" s="2"/>
      <c r="AA199" s="2"/>
      <c r="AB199" s="2"/>
      <c r="AC199" s="2"/>
      <c r="AD199" s="2"/>
    </row>
    <row r="200" spans="5:30" ht="20" customHeight="1" x14ac:dyDescent="0.2">
      <c r="E200" s="4" t="s">
        <v>1498</v>
      </c>
      <c r="F200" s="337" t="str">
        <f>IF(ISBLANK(input_mgmt_az1_host2_vrms_ip),"Value Missing",input_mgmt_az1_host2_vrms_ip)</f>
        <v>Value Missing</v>
      </c>
      <c r="G200" s="2"/>
      <c r="H200" s="4" t="s">
        <v>1498</v>
      </c>
      <c r="I200" s="337" t="str">
        <f>IF(ISBLANK(input_wld_az1_host2_vrms_ip),"Value Missing",input_wld_az1_host2_vrms_ip)</f>
        <v>Value Missing</v>
      </c>
      <c r="J200" s="2"/>
      <c r="K200" s="573" t="s">
        <v>1499</v>
      </c>
      <c r="L200" s="575"/>
      <c r="M200" s="2"/>
      <c r="N200" s="573" t="s">
        <v>1500</v>
      </c>
      <c r="O200" s="575"/>
      <c r="P200" s="2"/>
      <c r="Q200" s="573" t="s">
        <v>1501</v>
      </c>
      <c r="R200" s="575"/>
      <c r="S200" s="2"/>
      <c r="T200" s="573" t="s">
        <v>1502</v>
      </c>
      <c r="U200" s="575"/>
      <c r="V200" s="2"/>
      <c r="W200" s="573" t="s">
        <v>1503</v>
      </c>
      <c r="X200" s="575"/>
      <c r="Y200" s="2"/>
      <c r="Z200" s="573" t="s">
        <v>1504</v>
      </c>
      <c r="AA200" s="575"/>
      <c r="AB200" s="2"/>
      <c r="AC200" s="573" t="s">
        <v>1505</v>
      </c>
      <c r="AD200" s="575"/>
    </row>
    <row r="201" spans="5:30" ht="20" customHeight="1" x14ac:dyDescent="0.2">
      <c r="E201" s="4" t="s">
        <v>1506</v>
      </c>
      <c r="F201" s="337" t="str">
        <f>IF(ISBLANK(input_mgmt_az1_host3_vrms_ip),"Value Missing",input_mgmt_az1_host3_vrms_ip)</f>
        <v>Value Missing</v>
      </c>
      <c r="G201" s="2"/>
      <c r="H201" s="4" t="s">
        <v>1506</v>
      </c>
      <c r="I201" s="337" t="str">
        <f>IF(ISBLANK(input_wld_az1_host3_vrms_ip),"Value Missing",input_wld_az1_host3_vrms_ip)</f>
        <v>Value Missing</v>
      </c>
      <c r="J201" s="2"/>
      <c r="K201" s="13" t="s">
        <v>261</v>
      </c>
      <c r="L201" s="14" t="s">
        <v>19</v>
      </c>
      <c r="M201" s="2"/>
      <c r="N201" s="13" t="s">
        <v>261</v>
      </c>
      <c r="O201" s="14" t="s">
        <v>19</v>
      </c>
      <c r="P201" s="15"/>
      <c r="Q201" s="13" t="s">
        <v>261</v>
      </c>
      <c r="R201" s="14" t="s">
        <v>19</v>
      </c>
      <c r="S201" s="15"/>
      <c r="T201" s="13" t="s">
        <v>261</v>
      </c>
      <c r="U201" s="14" t="s">
        <v>19</v>
      </c>
      <c r="V201" s="15"/>
      <c r="W201" s="11" t="s">
        <v>261</v>
      </c>
      <c r="X201" s="14" t="s">
        <v>19</v>
      </c>
      <c r="Y201" s="15"/>
      <c r="Z201" s="13" t="s">
        <v>261</v>
      </c>
      <c r="AA201" s="14" t="s">
        <v>19</v>
      </c>
      <c r="AB201" s="15"/>
      <c r="AC201" s="13" t="s">
        <v>261</v>
      </c>
      <c r="AD201" s="14" t="s">
        <v>19</v>
      </c>
    </row>
    <row r="202" spans="5:30" ht="20" customHeight="1" x14ac:dyDescent="0.2">
      <c r="E202" s="4" t="s">
        <v>1507</v>
      </c>
      <c r="F202" s="337" t="str">
        <f>IF(ISBLANK(input_mgmt_az1_host4_vrms_ip),"Value Missing",input_mgmt_az1_host4_vrms_ip)</f>
        <v>Value Missing</v>
      </c>
      <c r="G202" s="2"/>
      <c r="H202" s="4" t="s">
        <v>1507</v>
      </c>
      <c r="I202" s="337" t="str">
        <f>IF(ISBLANK(input_wld_az1_host4_vrms_ip),"Value Missing",input_wld_az1_host4_vrms_ip)</f>
        <v>Value Missing</v>
      </c>
      <c r="J202" s="2"/>
      <c r="K202" s="4" t="s">
        <v>1508</v>
      </c>
      <c r="L202" s="337" t="str">
        <f>IF(wld_az1_rack2_host1_fqdn="Value Missing",wld_az1_rack2_host1_fqdn,LEFT(wld_az1_rack2_host1_fqdn,FIND(".",wld_az1_rack2_host1_fqdn)-1))</f>
        <v>Value Missing</v>
      </c>
      <c r="M202" s="2"/>
      <c r="N202" s="4" t="s">
        <v>1508</v>
      </c>
      <c r="O202" s="337" t="str">
        <f>IF(wld_az1_rack3_host1_fqdn="Value Missing",wld_az1_rack3_host1_fqdn,LEFT(wld_az1_rack3_host1_fqdn,FIND(".",wld_az1_rack3_host1_fqdn)-1))</f>
        <v>Value Missing</v>
      </c>
      <c r="P202" s="2"/>
      <c r="Q202" s="4" t="s">
        <v>1508</v>
      </c>
      <c r="R202" s="337" t="str">
        <f>IF(wld_az1_rack4_host1_fqdn="Value Missing",wld_az1_rack4_host1_fqdn,LEFT(wld_az1_rack4_host1_fqdn,FIND(".",wld_az1_rack4_host1_fqdn)-1))</f>
        <v>Value Missing</v>
      </c>
      <c r="S202" s="2"/>
      <c r="T202" s="4" t="s">
        <v>1508</v>
      </c>
      <c r="U202" s="337" t="str">
        <f>IF(wld_az1_rack5_host1_fqdn="Value Missing",wld_az1_rack5_host1_fqdn,LEFT(wld_az1_rack5_host1_fqdn,FIND(".",wld_az1_rack5_host1_fqdn)-1))</f>
        <v>Value Missing</v>
      </c>
      <c r="V202" s="2"/>
      <c r="W202" s="4" t="s">
        <v>1508</v>
      </c>
      <c r="X202" s="337" t="str">
        <f>IF(wld_az1_rack6_host1_fqdn="Value Missing",wld_az1_rack6_host1_fqdn,LEFT(wld_az1_rack6_host1_fqdn,FIND(".",wld_az1_rack6_host1_fqdn)-1))</f>
        <v>Value Missing</v>
      </c>
      <c r="Y202" s="2"/>
      <c r="Z202" s="4" t="s">
        <v>1508</v>
      </c>
      <c r="AA202" s="337" t="str">
        <f>IF(wld_az1_rack7_host1_fqdn="Value Missing",wld_az1_rack7_host1_fqdn,LEFT(wld_az1_rack7_host1_fqdn,FIND(".",wld_az1_rack7_host1_fqdn)-1))</f>
        <v>Value Missing</v>
      </c>
      <c r="AB202" s="2"/>
      <c r="AC202" s="4" t="s">
        <v>1508</v>
      </c>
      <c r="AD202" s="337" t="str">
        <f>IF(wld_az1_rack8_host1_fqdn="Value Missing",wld_az1_rack8_host1_fqdn,LEFT(wld_az1_rack8_host1_fqdn,FIND(".",wld_az1_rack8_host1_fqdn)-1))</f>
        <v>Value Missing</v>
      </c>
    </row>
    <row r="203" spans="5:30" ht="20" customHeight="1" x14ac:dyDescent="0.2">
      <c r="E203" s="4" t="s">
        <v>1509</v>
      </c>
      <c r="F203" s="337" t="str">
        <f>IF(ISBLANK(input_mgmt_az1_host5_vrms_ip),"Value Missing",input_mgmt_az1_host5_vrms_ip)</f>
        <v>Value Missing</v>
      </c>
      <c r="G203" s="2"/>
      <c r="H203" s="4" t="s">
        <v>1509</v>
      </c>
      <c r="I203" s="337" t="str">
        <f>IF(ISBLANK(input_wld_az1_host5_vrms_ip),"Value Missing",input_wld_az1_host5_vrms_ip)</f>
        <v>Value Missing</v>
      </c>
      <c r="J203" s="2"/>
      <c r="K203" s="4" t="s">
        <v>1510</v>
      </c>
      <c r="L203" s="337" t="str">
        <f>IF(wld_az1_rack2_host2_fqdn="Value Missing",wld_az1_rack2_host2_fqdn,LEFT(wld_az1_rack2_host2_fqdn,FIND(".",wld_az1_rack2_host2_fqdn)-1))</f>
        <v>Value Missing</v>
      </c>
      <c r="M203" s="2"/>
      <c r="N203" s="4" t="s">
        <v>1510</v>
      </c>
      <c r="O203" s="337" t="str">
        <f>IF(wld_az1_rack3_host2_fqdn="Value Missing",wld_az1_rack3_host2_fqdn,LEFT(wld_az1_rack3_host2_fqdn,FIND(".",wld_az1_rack3_host2_fqdn)-1))</f>
        <v>Value Missing</v>
      </c>
      <c r="P203" s="2"/>
      <c r="Q203" s="4" t="s">
        <v>1510</v>
      </c>
      <c r="R203" s="337" t="str">
        <f>IF(wld_az1_rack4_host2_fqdn="Value Missing",wld_az1_rack4_host2_fqdn,LEFT(wld_az1_rack4_host2_fqdn,FIND(".",wld_az1_rack4_host2_fqdn)-1))</f>
        <v>Value Missing</v>
      </c>
      <c r="S203" s="2"/>
      <c r="T203" s="4" t="s">
        <v>1510</v>
      </c>
      <c r="U203" s="337" t="str">
        <f>IF(wld_az1_rack5_host2_fqdn="Value Missing",wld_az1_rack5_host2_fqdn,LEFT(wld_az1_rack5_host2_fqdn,FIND(".",wld_az1_rack5_host2_fqdn)-1))</f>
        <v>Value Missing</v>
      </c>
      <c r="V203" s="2"/>
      <c r="W203" s="4" t="s">
        <v>1510</v>
      </c>
      <c r="X203" s="337" t="str">
        <f>IF(wld_az1_rack6_host2_fqdn="Value Missing",wld_az1_rack6_host2_fqdn,LEFT(wld_az1_rack6_host2_fqdn,FIND(".",wld_az1_rack6_host2_fqdn)-1))</f>
        <v>Value Missing</v>
      </c>
      <c r="Y203" s="2"/>
      <c r="Z203" s="4" t="s">
        <v>1510</v>
      </c>
      <c r="AA203" s="337" t="str">
        <f>IF(wld_az1_rack7_host2_fqdn="Value Missing",wld_az1_rack7_host2_fqdn,LEFT(wld_az1_rack7_host2_fqdn,FIND(".",wld_az1_rack7_host2_fqdn)-1))</f>
        <v>Value Missing</v>
      </c>
      <c r="AB203" s="2"/>
      <c r="AC203" s="4" t="s">
        <v>1510</v>
      </c>
      <c r="AD203" s="337" t="str">
        <f>IF(wld_az1_rack8_host2_fqdn="Value Missing",wld_az1_rack8_host2_fqdn,LEFT(wld_az1_rack8_host2_fqdn,FIND(".",wld_az1_rack8_host2_fqdn)-1))</f>
        <v>Value Missing</v>
      </c>
    </row>
    <row r="204" spans="5:30" ht="20" customHeight="1" x14ac:dyDescent="0.2">
      <c r="E204" s="4" t="s">
        <v>1511</v>
      </c>
      <c r="F204" s="337" t="str">
        <f>IF(ISBLANK(input_mgmt_az1_host6_vrms_ip),"Value Missing",input_mgmt_az1_host6_vrms_ip)</f>
        <v>Value Missing</v>
      </c>
      <c r="G204" s="2"/>
      <c r="H204" s="4" t="s">
        <v>1511</v>
      </c>
      <c r="I204" s="337" t="str">
        <f>IF(ISBLANK(input_wld_az1_host6_vrms_ip),"Value Missing",input_wld_az1_host6_vrms_ip)</f>
        <v>Value Missing</v>
      </c>
      <c r="J204" s="2"/>
      <c r="K204" s="4" t="s">
        <v>1512</v>
      </c>
      <c r="L204" s="337" t="str">
        <f>IF(wld_az1_rack2_host3_fqdn="Value Missing",wld_az1_rack2_host3_fqdn,LEFT(wld_az1_rack2_host3_fqdn,FIND(".",wld_az1_rack2_host3_fqdn)-1))</f>
        <v>Value Missing</v>
      </c>
      <c r="M204" s="2"/>
      <c r="N204" s="4" t="s">
        <v>1512</v>
      </c>
      <c r="O204" s="337" t="str">
        <f>IF(wld_az1_rack3_host3_fqdn="Value Missing",wld_az1_rack3_host3_fqdn,LEFT(wld_az1_rack3_host3_fqdn,FIND(".",wld_az1_rack3_host3_fqdn)-1))</f>
        <v>Value Missing</v>
      </c>
      <c r="P204" s="2"/>
      <c r="Q204" s="4" t="s">
        <v>1512</v>
      </c>
      <c r="R204" s="337" t="str">
        <f>IF(wld_az1_rack4_host3_fqdn="Value Missing",wld_az1_rack4_host3_fqdn,LEFT(wld_az1_rack4_host3_fqdn,FIND(".",wld_az1_rack4_host3_fqdn)-1))</f>
        <v>Value Missing</v>
      </c>
      <c r="S204" s="2"/>
      <c r="T204" s="4" t="s">
        <v>1512</v>
      </c>
      <c r="U204" s="337" t="str">
        <f>IF(wld_az1_rack5_host3_fqdn="Value Missing",wld_az1_rack5_host3_fqdn,LEFT(wld_az1_rack5_host3_fqdn,FIND(".",wld_az1_rack5_host3_fqdn)-1))</f>
        <v>Value Missing</v>
      </c>
      <c r="V204" s="2"/>
      <c r="W204" s="4" t="s">
        <v>1512</v>
      </c>
      <c r="X204" s="337" t="str">
        <f>IF(wld_az1_rack6_host3_fqdn="Value Missing",wld_az1_rack6_host3_fqdn,LEFT(wld_az1_rack6_host3_fqdn,FIND(".",wld_az1_rack6_host3_fqdn)-1))</f>
        <v>Value Missing</v>
      </c>
      <c r="Y204" s="2"/>
      <c r="Z204" s="4" t="s">
        <v>1512</v>
      </c>
      <c r="AA204" s="337" t="str">
        <f>IF(wld_az1_rack7_host3_fqdn="Value Missing",wld_az1_rack7_host3_fqdn,LEFT(wld_az1_rack7_host3_fqdn,FIND(".",wld_az1_rack7_host3_fqdn)-1))</f>
        <v>Value Missing</v>
      </c>
      <c r="AB204" s="2"/>
      <c r="AC204" s="4" t="s">
        <v>1512</v>
      </c>
      <c r="AD204" s="337" t="str">
        <f>IF(wld_az1_rack8_host3_fqdn="Value Missing",wld_az1_rack8_host3_fqdn,LEFT(wld_az1_rack8_host3_fqdn,FIND(".",wld_az1_rack8_host3_fqdn)-1))</f>
        <v>Value Missing</v>
      </c>
    </row>
    <row r="205" spans="5:30" ht="20" customHeight="1" x14ac:dyDescent="0.2">
      <c r="E205" s="4" t="s">
        <v>1513</v>
      </c>
      <c r="F205" s="337" t="str">
        <f>IF(ISBLANK(input_mgmt_az1_host7_vrms_ip),"Value Missing",input_mgmt_az1_host7_vrms_ip)</f>
        <v>Value Missing</v>
      </c>
      <c r="G205" s="2"/>
      <c r="H205" s="4" t="s">
        <v>1513</v>
      </c>
      <c r="I205" s="337" t="str">
        <f>IF(ISBLANK(input_wld_az1_host7_vrms_ip),"Value Missing",input_wld_az1_host7_vrms_ip)</f>
        <v>Value Missing</v>
      </c>
      <c r="J205" s="2"/>
      <c r="K205" s="4" t="s">
        <v>1514</v>
      </c>
      <c r="L205" s="337" t="str">
        <f>IF(wld_az1_rack2_host4_fqdn="Value Missing",wld_az1_rack2_host4_fqdn,LEFT(wld_az1_rack2_host4_fqdn,FIND(".",wld_az1_rack2_host4_fqdn)-1))</f>
        <v>Value Missing</v>
      </c>
      <c r="M205" s="2"/>
      <c r="N205" s="4" t="s">
        <v>1514</v>
      </c>
      <c r="O205" s="337" t="str">
        <f>IF(wld_az1_rack3_host4_fqdn="Value Missing",wld_az1_rack3_host4_fqdn,LEFT(wld_az1_rack3_host4_fqdn,FIND(".",wld_az1_rack3_host4_fqdn)-1))</f>
        <v>Value Missing</v>
      </c>
      <c r="P205" s="2"/>
      <c r="Q205" s="4" t="s">
        <v>1514</v>
      </c>
      <c r="R205" s="337" t="str">
        <f>IF(wld_az1_rack4_host4_fqdn="Value Missing",wld_az1_rack4_host4_fqdn,LEFT(wld_az1_rack4_host4_fqdn,FIND(".",wld_az1_rack4_host4_fqdn)-1))</f>
        <v>Value Missing</v>
      </c>
      <c r="S205" s="2"/>
      <c r="T205" s="4" t="s">
        <v>1514</v>
      </c>
      <c r="U205" s="337" t="str">
        <f>IF(wld_az1_rack5_host4_fqdn="Value Missing",wld_az1_rack5_host4_fqdn,LEFT(wld_az1_rack5_host4_fqdn,FIND(".",wld_az1_rack5_host4_fqdn)-1))</f>
        <v>Value Missing</v>
      </c>
      <c r="V205" s="2"/>
      <c r="W205" s="4" t="s">
        <v>1514</v>
      </c>
      <c r="X205" s="337" t="str">
        <f>IF(wld_az1_rack6_host4_fqdn="Value Missing",wld_az1_rack6_host4_fqdn,LEFT(wld_az1_rack6_host4_fqdn,FIND(".",wld_az1_rack6_host4_fqdn)-1))</f>
        <v>Value Missing</v>
      </c>
      <c r="Y205" s="2"/>
      <c r="Z205" s="4" t="s">
        <v>1514</v>
      </c>
      <c r="AA205" s="337" t="str">
        <f>IF(wld_az1_rack7_host4_fqdn="Value Missing",wld_az1_rack7_host4_fqdn,LEFT(wld_az1_rack7_host4_fqdn,FIND(".",wld_az1_rack7_host4_fqdn)-1))</f>
        <v>Value Missing</v>
      </c>
      <c r="AB205" s="2"/>
      <c r="AC205" s="4" t="s">
        <v>1514</v>
      </c>
      <c r="AD205" s="337" t="str">
        <f>IF(wld_az1_rack8_host4_fqdn="Value Missing",wld_az1_rack8_host4_fqdn,LEFT(wld_az1_rack8_host4_fqdn,FIND(".",wld_az1_rack8_host4_fqdn)-1))</f>
        <v>Value Missing</v>
      </c>
    </row>
    <row r="206" spans="5:30" ht="20" customHeight="1" x14ac:dyDescent="0.2">
      <c r="E206" s="4" t="s">
        <v>1515</v>
      </c>
      <c r="F206" s="337" t="str">
        <f>IF(ISBLANK(input_mgmt_az1_host8_vrms_ip),"Value Missing",input_mgmt_az1_host8_vrms_ip)</f>
        <v>Value Missing</v>
      </c>
      <c r="G206" s="2"/>
      <c r="H206" s="4" t="s">
        <v>1515</v>
      </c>
      <c r="I206" s="337" t="str">
        <f>IF(ISBLANK(input_wld_az1_host8_vrms_ip),"Value Missing",input_wld_az1_host8_vrms_ip)</f>
        <v>Value Missing</v>
      </c>
      <c r="J206" s="2"/>
      <c r="K206" s="4" t="s">
        <v>1516</v>
      </c>
      <c r="L206" s="337" t="str">
        <f>IF(wld_az1_rack2_host5_fqdn="Value Missing",wld_az1_rack2_host5_fqdn,LEFT(wld_az1_rack2_host5_fqdn,FIND(".",wld_az1_rack2_host5_fqdn)-1))</f>
        <v>Value Missing</v>
      </c>
      <c r="M206" s="2"/>
      <c r="N206" s="4" t="s">
        <v>1516</v>
      </c>
      <c r="O206" s="337" t="str">
        <f>IF(wld_az1_rack3_host5_fqdn="Value Missing",wld_az1_rack3_host5_fqdn,LEFT(wld_az1_rack3_host5_fqdn,FIND(".",wld_az1_rack3_host5_fqdn)-1))</f>
        <v>Value Missing</v>
      </c>
      <c r="P206" s="2"/>
      <c r="Q206" s="4" t="s">
        <v>1516</v>
      </c>
      <c r="R206" s="337" t="str">
        <f>IF(wld_az1_rack4_host5_fqdn="Value Missing",wld_az1_rack4_host5_fqdn,LEFT(wld_az1_rack4_host5_fqdn,FIND(".",wld_az1_rack4_host5_fqdn)-1))</f>
        <v>Value Missing</v>
      </c>
      <c r="S206" s="2"/>
      <c r="T206" s="4" t="s">
        <v>1516</v>
      </c>
      <c r="U206" s="337" t="str">
        <f>IF(wld_az1_rack5_host5_fqdn="Value Missing",wld_az1_rack5_host5_fqdn,LEFT(wld_az1_rack5_host5_fqdn,FIND(".",wld_az1_rack5_host5_fqdn)-1))</f>
        <v>Value Missing</v>
      </c>
      <c r="V206" s="2"/>
      <c r="W206" s="4" t="s">
        <v>1516</v>
      </c>
      <c r="X206" s="337" t="str">
        <f>IF(wld_az1_rack6_host5_fqdn="Value Missing",wld_az1_rack6_host5_fqdn,LEFT(wld_az1_rack6_host5_fqdn,FIND(".",wld_az1_rack6_host5_fqdn)-1))</f>
        <v>Value Missing</v>
      </c>
      <c r="Y206" s="2"/>
      <c r="Z206" s="4" t="s">
        <v>1516</v>
      </c>
      <c r="AA206" s="337" t="str">
        <f>IF(wld_az1_rack7_host5_fqdn="Value Missing",wld_az1_rack7_host5_fqdn,LEFT(wld_az1_rack7_host5_fqdn,FIND(".",wld_az1_rack7_host5_fqdn)-1))</f>
        <v>Value Missing</v>
      </c>
      <c r="AB206" s="2"/>
      <c r="AC206" s="4" t="s">
        <v>1516</v>
      </c>
      <c r="AD206" s="337" t="str">
        <f>IF(wld_az1_rack8_host5_fqdn="Value Missing",wld_az1_rack8_host5_fqdn,LEFT(wld_az1_rack8_host5_fqdn,FIND(".",wld_az1_rack8_host5_fqdn)-1))</f>
        <v>Value Missing</v>
      </c>
    </row>
    <row r="207" spans="5:30" ht="20" customHeight="1" x14ac:dyDescent="0.2">
      <c r="E207" s="4" t="s">
        <v>1517</v>
      </c>
      <c r="F207" s="337" t="str">
        <f>IF(ISBLANK(input_mgmt_az1_host9_vrms_ip),"Value Missing",input_mgmt_az1_host9_vrms_ip)</f>
        <v>Value Missing</v>
      </c>
      <c r="G207" s="2"/>
      <c r="H207" s="4" t="s">
        <v>1517</v>
      </c>
      <c r="I207" s="337" t="str">
        <f>IF(ISBLANK(input_wld_az1_host9_vrms_ip),"Value Missing",input_wld_az1_host9_vrms_ip)</f>
        <v>Value Missing</v>
      </c>
      <c r="J207" s="2"/>
      <c r="K207" s="4" t="s">
        <v>1518</v>
      </c>
      <c r="L207" s="337" t="str">
        <f>IF(wld_az1_rack2_host6_fqdn="Value Missing",wld_az1_rack2_host6_fqdn,LEFT(wld_az1_rack2_host6_fqdn,FIND(".",wld_az1_rack2_host6_fqdn)-1))</f>
        <v>Value Missing</v>
      </c>
      <c r="M207" s="2"/>
      <c r="N207" s="4" t="s">
        <v>1518</v>
      </c>
      <c r="O207" s="337" t="str">
        <f>IF(wld_az1_rack3_host6_fqdn="Value Missing",wld_az1_rack3_host6_fqdn,LEFT(wld_az1_rack3_host6_fqdn,FIND(".",wld_az1_rack3_host6_fqdn)-1))</f>
        <v>Value Missing</v>
      </c>
      <c r="P207" s="2"/>
      <c r="Q207" s="4" t="s">
        <v>1518</v>
      </c>
      <c r="R207" s="337" t="str">
        <f>IF(wld_az1_rack4_host6_fqdn="Value Missing",wld_az1_rack4_host6_fqdn,LEFT(wld_az1_rack4_host6_fqdn,FIND(".",wld_az1_rack4_host6_fqdn)-1))</f>
        <v>Value Missing</v>
      </c>
      <c r="S207" s="2"/>
      <c r="T207" s="4" t="s">
        <v>1518</v>
      </c>
      <c r="U207" s="337" t="str">
        <f>IF(wld_az1_rack5_host6_fqdn="Value Missing",wld_az1_rack5_host6_fqdn,LEFT(wld_az1_rack5_host6_fqdn,FIND(".",wld_az1_rack5_host6_fqdn)-1))</f>
        <v>Value Missing</v>
      </c>
      <c r="V207" s="2"/>
      <c r="W207" s="4" t="s">
        <v>1518</v>
      </c>
      <c r="X207" s="337" t="str">
        <f>IF(wld_az1_rack6_host6_fqdn="Value Missing",wld_az1_rack6_host6_fqdn,LEFT(wld_az1_rack6_host6_fqdn,FIND(".",wld_az1_rack6_host6_fqdn)-1))</f>
        <v>Value Missing</v>
      </c>
      <c r="Y207" s="2"/>
      <c r="Z207" s="4" t="s">
        <v>1518</v>
      </c>
      <c r="AA207" s="337" t="str">
        <f>IF(wld_az1_rack7_host6_fqdn="Value Missing",wld_az1_rack7_host6_fqdn,LEFT(wld_az1_rack7_host6_fqdn,FIND(".",wld_az1_rack7_host6_fqdn)-1))</f>
        <v>Value Missing</v>
      </c>
      <c r="AB207" s="2"/>
      <c r="AC207" s="4" t="s">
        <v>1518</v>
      </c>
      <c r="AD207" s="337" t="str">
        <f>IF(wld_az1_rack8_host6_fqdn="Value Missing",wld_az1_rack8_host6_fqdn,LEFT(wld_az1_rack8_host6_fqdn,FIND(".",wld_az1_rack8_host6_fqdn)-1))</f>
        <v>Value Missing</v>
      </c>
    </row>
    <row r="208" spans="5:30" ht="20" customHeight="1" x14ac:dyDescent="0.2">
      <c r="E208" s="4" t="s">
        <v>1519</v>
      </c>
      <c r="F208" s="337" t="str">
        <f>IF(ISBLANK(input_mgmt_az1_host10_vrms_ip),"Value Missing",input_mgmt_az1_host10_vrms_ip)</f>
        <v>Value Missing</v>
      </c>
      <c r="G208" s="2"/>
      <c r="H208" s="4" t="s">
        <v>1519</v>
      </c>
      <c r="I208" s="337" t="str">
        <f>IF(ISBLANK(input_wld_az1_host10_vrms_ip),"Value Missing",input_wld_az1_host10_vrms_ip)</f>
        <v>Value Missing</v>
      </c>
      <c r="J208" s="2"/>
      <c r="K208" s="4" t="s">
        <v>1520</v>
      </c>
      <c r="L208" s="337" t="str">
        <f>IF(wld_az1_rack2_host7_fqdn="Value Missing",wld_az1_rack2_host7_fqdn,LEFT(wld_az1_rack2_host7_fqdn,FIND(".",wld_az1_rack2_host7_fqdn)-1))</f>
        <v>Value Missing</v>
      </c>
      <c r="M208" s="2"/>
      <c r="N208" s="4" t="s">
        <v>1520</v>
      </c>
      <c r="O208" s="337" t="str">
        <f>IF(wld_az1_rack3_host7_fqdn="Value Missing",wld_az1_rack3_host7_fqdn,LEFT(wld_az1_rack3_host7_fqdn,FIND(".",wld_az1_rack3_host7_fqdn)-1))</f>
        <v>Value Missing</v>
      </c>
      <c r="P208" s="2"/>
      <c r="Q208" s="4" t="s">
        <v>1520</v>
      </c>
      <c r="R208" s="337" t="str">
        <f>IF(wld_az1_rack4_host7_fqdn="Value Missing",wld_az1_rack4_host7_fqdn,LEFT(wld_az1_rack4_host7_fqdn,FIND(".",wld_az1_rack4_host7_fqdn)-1))</f>
        <v>Value Missing</v>
      </c>
      <c r="S208" s="2"/>
      <c r="T208" s="4" t="s">
        <v>1520</v>
      </c>
      <c r="U208" s="337" t="str">
        <f>IF(wld_az1_rack5_host7_fqdn="Value Missing",wld_az1_rack5_host7_fqdn,LEFT(wld_az1_rack5_host7_fqdn,FIND(".",wld_az1_rack5_host7_fqdn)-1))</f>
        <v>Value Missing</v>
      </c>
      <c r="V208" s="2"/>
      <c r="W208" s="4" t="s">
        <v>1520</v>
      </c>
      <c r="X208" s="337" t="str">
        <f>IF(wld_az1_rack6_host7_fqdn="Value Missing",wld_az1_rack6_host7_fqdn,LEFT(wld_az1_rack6_host7_fqdn,FIND(".",wld_az1_rack6_host7_fqdn)-1))</f>
        <v>Value Missing</v>
      </c>
      <c r="Y208" s="2"/>
      <c r="Z208" s="4" t="s">
        <v>1520</v>
      </c>
      <c r="AA208" s="337" t="str">
        <f>IF(wld_az1_rack7_host7_fqdn="Value Missing",wld_az1_rack7_host7_fqdn,LEFT(wld_az1_rack7_host7_fqdn,FIND(".",wld_az1_rack7_host7_fqdn)-1))</f>
        <v>Value Missing</v>
      </c>
      <c r="AB208" s="2"/>
      <c r="AC208" s="4" t="s">
        <v>1520</v>
      </c>
      <c r="AD208" s="337" t="str">
        <f>IF(wld_az1_rack8_host7_fqdn="Value Missing",wld_az1_rack8_host7_fqdn,LEFT(wld_az1_rack8_host7_fqdn,FIND(".",wld_az1_rack8_host7_fqdn)-1))</f>
        <v>Value Missing</v>
      </c>
    </row>
    <row r="209" spans="5:30" ht="20" customHeight="1" x14ac:dyDescent="0.2">
      <c r="E209" s="4" t="s">
        <v>1521</v>
      </c>
      <c r="F209" s="337" t="str">
        <f>IF(ISBLANK(input_mgmt_az1_host11_vrms_ip),"Value Missing",input_mgmt_az1_host11_vrms_ip)</f>
        <v>Value Missing</v>
      </c>
      <c r="G209" s="2"/>
      <c r="H209" s="4" t="s">
        <v>1521</v>
      </c>
      <c r="I209" s="337" t="str">
        <f>IF(ISBLANK(input_wld_az1_host11_vrms_ip),"Value Missing",input_wld_az1_host11_vrms_ip)</f>
        <v>Value Missing</v>
      </c>
      <c r="J209" s="2"/>
      <c r="K209" s="4" t="s">
        <v>1522</v>
      </c>
      <c r="L209" s="337" t="str">
        <f>IF(wld_az1_rack2_host8_fqdn="Value Missing",wld_az1_rack2_host8_fqdn,LEFT(wld_az1_rack2_host8_fqdn,FIND(".",wld_az1_rack2_host8_fqdn)-1))</f>
        <v>Value Missing</v>
      </c>
      <c r="M209" s="2"/>
      <c r="N209" s="4" t="s">
        <v>1522</v>
      </c>
      <c r="O209" s="337" t="str">
        <f>IF(wld_az1_rack3_host8_fqdn="Value Missing",wld_az1_rack3_host8_fqdn,LEFT(wld_az1_rack3_host8_fqdn,FIND(".",wld_az1_rack3_host8_fqdn)-1))</f>
        <v>Value Missing</v>
      </c>
      <c r="P209" s="2"/>
      <c r="Q209" s="4" t="s">
        <v>1522</v>
      </c>
      <c r="R209" s="337" t="str">
        <f>IF(wld_az1_rack4_host8_fqdn="Value Missing",wld_az1_rack4_host8_fqdn,LEFT(wld_az1_rack4_host8_fqdn,FIND(".",wld_az1_rack4_host8_fqdn)-1))</f>
        <v>Value Missing</v>
      </c>
      <c r="S209" s="2"/>
      <c r="T209" s="4" t="s">
        <v>1522</v>
      </c>
      <c r="U209" s="337" t="str">
        <f>IF(wld_az1_rack5_host8_fqdn="Value Missing",wld_az1_rack5_host8_fqdn,LEFT(wld_az1_rack5_host8_fqdn,FIND(".",wld_az1_rack5_host8_fqdn)-1))</f>
        <v>Value Missing</v>
      </c>
      <c r="V209" s="2"/>
      <c r="W209" s="4" t="s">
        <v>1522</v>
      </c>
      <c r="X209" s="337" t="str">
        <f>IF(wld_az1_rack6_host8_fqdn="Value Missing",wld_az1_rack6_host8_fqdn,LEFT(wld_az1_rack6_host8_fqdn,FIND(".",wld_az1_rack6_host8_fqdn)-1))</f>
        <v>Value Missing</v>
      </c>
      <c r="Y209" s="2"/>
      <c r="Z209" s="4" t="s">
        <v>1522</v>
      </c>
      <c r="AA209" s="337" t="str">
        <f>IF(wld_az1_rack7_host8_fqdn="Value Missing",wld_az1_rack7_host8_fqdn,LEFT(wld_az1_rack7_host8_fqdn,FIND(".",wld_az1_rack7_host8_fqdn)-1))</f>
        <v>Value Missing</v>
      </c>
      <c r="AB209" s="2"/>
      <c r="AC209" s="4" t="s">
        <v>1522</v>
      </c>
      <c r="AD209" s="337" t="str">
        <f>IF(wld_az1_rack8_host8_fqdn="Value Missing",wld_az1_rack8_host8_fqdn,LEFT(wld_az1_rack8_host8_fqdn,FIND(".",wld_az1_rack8_host8_fqdn)-1))</f>
        <v>Value Missing</v>
      </c>
    </row>
    <row r="210" spans="5:30" ht="20" customHeight="1" x14ac:dyDescent="0.2">
      <c r="E210" s="4" t="s">
        <v>1523</v>
      </c>
      <c r="F210" s="337" t="str">
        <f>IF(ISBLANK(input_mgmt_az1_host12_vrms_ip),"Value Missing",input_mgmt_az1_host12_vrms_ip)</f>
        <v>Value Missing</v>
      </c>
      <c r="G210" s="2"/>
      <c r="H210" s="4" t="s">
        <v>1523</v>
      </c>
      <c r="I210" s="337" t="str">
        <f>IF(ISBLANK(input_wld_az1_host12_vrms_ip),"Value Missing",input_wld_az1_host12_vrms_ip)</f>
        <v>Value Missing</v>
      </c>
      <c r="J210" s="2"/>
      <c r="K210" s="4" t="s">
        <v>1524</v>
      </c>
      <c r="L210" s="337" t="str">
        <f>IF(wld_az1_rack2_host9_fqdn="Value Missing",wld_az1_rack2_host9_fqdn,LEFT(wld_az1_rack2_host9_fqdn,FIND(".",wld_az1_rack2_host9_fqdn)-1))</f>
        <v>Value Missing</v>
      </c>
      <c r="M210" s="2"/>
      <c r="N210" s="4" t="s">
        <v>1524</v>
      </c>
      <c r="O210" s="337" t="str">
        <f>IF(wld_az1_rack3_host9_fqdn="Value Missing",wld_az1_rack3_host9_fqdn,LEFT(wld_az1_rack3_host9_fqdn,FIND(".",wld_az1_rack3_host9_fqdn)-1))</f>
        <v>Value Missing</v>
      </c>
      <c r="P210" s="2"/>
      <c r="Q210" s="4" t="s">
        <v>1524</v>
      </c>
      <c r="R210" s="337" t="str">
        <f>IF(wld_az1_rack4_host9_fqdn="Value Missing",wld_az1_rack4_host9_fqdn,LEFT(wld_az1_rack4_host9_fqdn,FIND(".",wld_az1_rack4_host9_fqdn)-1))</f>
        <v>Value Missing</v>
      </c>
      <c r="S210" s="2"/>
      <c r="T210" s="4" t="s">
        <v>1524</v>
      </c>
      <c r="U210" s="337" t="str">
        <f>IF(wld_az1_rack5_host9_fqdn="Value Missing",wld_az1_rack5_host9_fqdn,LEFT(wld_az1_rack5_host9_fqdn,FIND(".",wld_az1_rack5_host9_fqdn)-1))</f>
        <v>Value Missing</v>
      </c>
      <c r="V210" s="2"/>
      <c r="W210" s="4" t="s">
        <v>1524</v>
      </c>
      <c r="X210" s="337" t="str">
        <f>IF(wld_az1_rack6_host9_fqdn="Value Missing",wld_az1_rack6_host9_fqdn,LEFT(wld_az1_rack6_host9_fqdn,FIND(".",wld_az1_rack6_host9_fqdn)-1))</f>
        <v>Value Missing</v>
      </c>
      <c r="Y210" s="2"/>
      <c r="Z210" s="4" t="s">
        <v>1524</v>
      </c>
      <c r="AA210" s="337" t="str">
        <f>IF(wld_az1_rack7_host9_fqdn="Value Missing",wld_az1_rack7_host9_fqdn,LEFT(wld_az1_rack7_host9_fqdn,FIND(".",wld_az1_rack7_host9_fqdn)-1))</f>
        <v>Value Missing</v>
      </c>
      <c r="AB210" s="2"/>
      <c r="AC210" s="4" t="s">
        <v>1524</v>
      </c>
      <c r="AD210" s="337" t="str">
        <f>IF(wld_az1_rack8_host9_fqdn="Value Missing",wld_az1_rack8_host9_fqdn,LEFT(wld_az1_rack8_host9_fqdn,FIND(".",wld_az1_rack8_host9_fqdn)-1))</f>
        <v>Value Missing</v>
      </c>
    </row>
    <row r="211" spans="5:30" ht="20" customHeight="1" x14ac:dyDescent="0.2">
      <c r="E211" s="4" t="s">
        <v>1525</v>
      </c>
      <c r="F211" s="337" t="str">
        <f>IF(ISBLANK(input_mgmt_az1_host13_vrms_ip),"Value Missing",input_mgmt_az1_host13_vrms_ip)</f>
        <v>Value Missing</v>
      </c>
      <c r="G211" s="2"/>
      <c r="H211" s="4" t="s">
        <v>1525</v>
      </c>
      <c r="I211" s="337" t="str">
        <f>IF(ISBLANK(input_wld_az1_host13_vrms_ip),"Value Missing",input_wld_az1_host13_vrms_ip)</f>
        <v>Value Missing</v>
      </c>
      <c r="J211" s="2"/>
      <c r="K211" s="4" t="s">
        <v>1526</v>
      </c>
      <c r="L211" s="337" t="str">
        <f>IF(wld_az1_rack2_host10_fqdn="Value Missing",wld_az1_rack2_host10_fqdn,LEFT(wld_az1_rack2_host10_fqdn,FIND(".",wld_az1_rack2_host10_fqdn)-1))</f>
        <v>Value Missing</v>
      </c>
      <c r="M211" s="2"/>
      <c r="N211" s="4" t="s">
        <v>1526</v>
      </c>
      <c r="O211" s="337" t="str">
        <f>IF(wld_az1_rack3_host10_fqdn="Value Missing",wld_az1_rack3_host10_fqdn,LEFT(wld_az1_rack3_host10_fqdn,FIND(".",wld_az1_rack3_host10_fqdn)-1))</f>
        <v>Value Missing</v>
      </c>
      <c r="P211" s="2"/>
      <c r="Q211" s="4" t="s">
        <v>1526</v>
      </c>
      <c r="R211" s="337" t="str">
        <f>IF(wld_az1_rack4_host10_fqdn="Value Missing",wld_az1_rack4_host10_fqdn,LEFT(wld_az1_rack4_host10_fqdn,FIND(".",wld_az1_rack4_host10_fqdn)-1))</f>
        <v>Value Missing</v>
      </c>
      <c r="S211" s="2"/>
      <c r="T211" s="4" t="s">
        <v>1526</v>
      </c>
      <c r="U211" s="337" t="str">
        <f>IF(wld_az1_rack5_host10_fqdn="Value Missing",wld_az1_rack5_host10_fqdn,LEFT(wld_az1_rack5_host10_fqdn,FIND(".",wld_az1_rack5_host10_fqdn)-1))</f>
        <v>Value Missing</v>
      </c>
      <c r="V211" s="2"/>
      <c r="W211" s="4" t="s">
        <v>1526</v>
      </c>
      <c r="X211" s="337" t="str">
        <f>IF(wld_az1_rack6_host10_fqdn="Value Missing",wld_az1_rack6_host10_fqdn,LEFT(wld_az1_rack6_host10_fqdn,FIND(".",wld_az1_rack6_host10_fqdn)-1))</f>
        <v>Value Missing</v>
      </c>
      <c r="Y211" s="2"/>
      <c r="Z211" s="4" t="s">
        <v>1526</v>
      </c>
      <c r="AA211" s="337" t="str">
        <f>IF(wld_az1_rack7_host10_fqdn="Value Missing",wld_az1_rack7_host10_fqdn,LEFT(wld_az1_rack7_host10_fqdn,FIND(".",wld_az1_rack7_host10_fqdn)-1))</f>
        <v>Value Missing</v>
      </c>
      <c r="AB211" s="2"/>
      <c r="AC211" s="4" t="s">
        <v>1526</v>
      </c>
      <c r="AD211" s="337" t="str">
        <f>IF(wld_az1_rack8_host10_fqdn="Value Missing",wld_az1_rack8_host10_fqdn,LEFT(wld_az1_rack8_host10_fqdn,FIND(".",wld_az1_rack8_host10_fqdn)-1))</f>
        <v>Value Missing</v>
      </c>
    </row>
    <row r="212" spans="5:30" ht="20" customHeight="1" x14ac:dyDescent="0.2">
      <c r="E212" s="4" t="s">
        <v>1527</v>
      </c>
      <c r="F212" s="337" t="str">
        <f>IF(ISBLANK(input_mgmt_az1_host14_vrms_ip),"Value Missing",input_mgmt_az1_host14_vrms_ip)</f>
        <v>Value Missing</v>
      </c>
      <c r="G212" s="15"/>
      <c r="H212" s="4" t="s">
        <v>1527</v>
      </c>
      <c r="I212" s="337" t="str">
        <f>IF(ISBLANK(input_wld_az1_host14_vrms_ip),"Value Missing",input_wld_az1_host14_vrms_ip)</f>
        <v>Value Missing</v>
      </c>
      <c r="J212" s="15"/>
      <c r="K212" s="4" t="s">
        <v>1528</v>
      </c>
      <c r="L212" s="337" t="str">
        <f>IF(wld_az1_rack2_host11_fqdn="Value Missing",wld_az1_rack2_host11_fqdn,LEFT(wld_az1_rack2_host11_fqdn,FIND(".",wld_az1_rack2_host11_fqdn)-1))</f>
        <v>Value Missing</v>
      </c>
      <c r="M212" s="2"/>
      <c r="N212" s="4" t="s">
        <v>1528</v>
      </c>
      <c r="O212" s="337" t="str">
        <f>IF(wld_az1_rack3_host11_fqdn="Value Missing",wld_az1_rack3_host11_fqdn,LEFT(wld_az1_rack3_host11_fqdn,FIND(".",wld_az1_rack3_host11_fqdn)-1))</f>
        <v>Value Missing</v>
      </c>
      <c r="P212" s="2"/>
      <c r="Q212" s="4" t="s">
        <v>1528</v>
      </c>
      <c r="R212" s="337" t="str">
        <f>IF(wld_az1_rack4_host11_fqdn="Value Missing",wld_az1_rack4_host11_fqdn,LEFT(wld_az1_rack4_host11_fqdn,FIND(".",wld_az1_rack4_host11_fqdn)-1))</f>
        <v>Value Missing</v>
      </c>
      <c r="S212" s="2"/>
      <c r="T212" s="4" t="s">
        <v>1528</v>
      </c>
      <c r="U212" s="337" t="str">
        <f>IF(wld_az1_rack5_host11_fqdn="Value Missing",wld_az1_rack5_host11_fqdn,LEFT(wld_az1_rack5_host11_fqdn,FIND(".",wld_az1_rack5_host11_fqdn)-1))</f>
        <v>Value Missing</v>
      </c>
      <c r="V212" s="2"/>
      <c r="W212" s="4" t="s">
        <v>1528</v>
      </c>
      <c r="X212" s="337" t="str">
        <f>IF(wld_az1_rack6_host11_fqdn="Value Missing",wld_az1_rack6_host11_fqdn,LEFT(wld_az1_rack6_host11_fqdn,FIND(".",wld_az1_rack6_host11_fqdn)-1))</f>
        <v>Value Missing</v>
      </c>
      <c r="Y212" s="2"/>
      <c r="Z212" s="4" t="s">
        <v>1528</v>
      </c>
      <c r="AA212" s="337" t="str">
        <f>IF(wld_az1_rack7_host11_fqdn="Value Missing",wld_az1_rack7_host11_fqdn,LEFT(wld_az1_rack7_host11_fqdn,FIND(".",wld_az1_rack7_host11_fqdn)-1))</f>
        <v>Value Missing</v>
      </c>
      <c r="AB212" s="2"/>
      <c r="AC212" s="4" t="s">
        <v>1528</v>
      </c>
      <c r="AD212" s="337" t="str">
        <f>IF(wld_az1_rack8_host11_fqdn="Value Missing",wld_az1_rack8_host11_fqdn,LEFT(wld_az1_rack8_host11_fqdn,FIND(".",wld_az1_rack8_host11_fqdn)-1))</f>
        <v>Value Missing</v>
      </c>
    </row>
    <row r="213" spans="5:30" ht="20" customHeight="1" x14ac:dyDescent="0.2">
      <c r="E213" s="4" t="s">
        <v>1529</v>
      </c>
      <c r="F213" s="337" t="str">
        <f>IF(ISBLANK(input_mgmt_az1_host15_vrms_ip),"Value Missing",input_mgmt_az1_host15_vrms_ip)</f>
        <v>Value Missing</v>
      </c>
      <c r="G213" s="2"/>
      <c r="H213" s="4" t="s">
        <v>1529</v>
      </c>
      <c r="I213" s="337" t="str">
        <f>IF(ISBLANK(input_wld_az1_host15_vrms_ip),"Value Missing",input_wld_az1_host15_vrms_ip)</f>
        <v>Value Missing</v>
      </c>
      <c r="J213" s="2"/>
      <c r="K213" s="4" t="s">
        <v>1530</v>
      </c>
      <c r="L213" s="337" t="str">
        <f>IF(wld_az1_rack2_host12_fqdn="Value Missing",wld_az1_rack2_host12_fqdn,LEFT(wld_az1_rack2_host12_fqdn,FIND(".",wld_az1_rack2_host12_fqdn)-1))</f>
        <v>Value Missing</v>
      </c>
      <c r="M213" s="2"/>
      <c r="N213" s="4" t="s">
        <v>1530</v>
      </c>
      <c r="O213" s="337" t="str">
        <f>IF(wld_az1_rack3_host12_fqdn="Value Missing",wld_az1_rack3_host12_fqdn,LEFT(wld_az1_rack3_host12_fqdn,FIND(".",wld_az1_rack3_host12_fqdn)-1))</f>
        <v>Value Missing</v>
      </c>
      <c r="P213" s="2"/>
      <c r="Q213" s="4" t="s">
        <v>1530</v>
      </c>
      <c r="R213" s="337" t="str">
        <f>IF(wld_az1_rack4_host12_fqdn="Value Missing",wld_az1_rack4_host12_fqdn,LEFT(wld_az1_rack4_host12_fqdn,FIND(".",wld_az1_rack4_host12_fqdn)-1))</f>
        <v>Value Missing</v>
      </c>
      <c r="S213" s="2"/>
      <c r="T213" s="4" t="s">
        <v>1530</v>
      </c>
      <c r="U213" s="337" t="str">
        <f>IF(wld_az1_rack5_host12_fqdn="Value Missing",wld_az1_rack5_host12_fqdn,LEFT(wld_az1_rack5_host12_fqdn,FIND(".",wld_az1_rack5_host12_fqdn)-1))</f>
        <v>Value Missing</v>
      </c>
      <c r="V213" s="2"/>
      <c r="W213" s="4" t="s">
        <v>1530</v>
      </c>
      <c r="X213" s="337" t="str">
        <f>IF(wld_az1_rack6_host12_fqdn="Value Missing",wld_az1_rack6_host12_fqdn,LEFT(wld_az1_rack6_host12_fqdn,FIND(".",wld_az1_rack6_host12_fqdn)-1))</f>
        <v>Value Missing</v>
      </c>
      <c r="Y213" s="2"/>
      <c r="Z213" s="4" t="s">
        <v>1530</v>
      </c>
      <c r="AA213" s="337" t="str">
        <f>IF(wld_az1_rack7_host12_fqdn="Value Missing",wld_az1_rack7_host12_fqdn,LEFT(wld_az1_rack7_host12_fqdn,FIND(".",wld_az1_rack7_host12_fqdn)-1))</f>
        <v>Value Missing</v>
      </c>
      <c r="AB213" s="2"/>
      <c r="AC213" s="4" t="s">
        <v>1530</v>
      </c>
      <c r="AD213" s="337" t="str">
        <f>IF(wld_az1_rack8_host12_fqdn="Value Missing",wld_az1_rack8_host12_fqdn,LEFT(wld_az1_rack8_host12_fqdn,FIND(".",wld_az1_rack8_host12_fqdn)-1))</f>
        <v>Value Missing</v>
      </c>
    </row>
    <row r="214" spans="5:30" ht="20" customHeight="1" x14ac:dyDescent="0.2">
      <c r="E214" s="4" t="s">
        <v>1531</v>
      </c>
      <c r="F214" s="337" t="str">
        <f>IF(ISBLANK(input_mgmt_az1_host16_vrms_ip),"Value Missing",input_mgmt_az1_host16_vrms_ip)</f>
        <v>Value Missing</v>
      </c>
      <c r="G214" s="2"/>
      <c r="H214" s="4" t="s">
        <v>1531</v>
      </c>
      <c r="I214" s="337" t="str">
        <f>IF(ISBLANK(input_wld_az1_host16_vrms_ip),"Value Missing",input_wld_az1_host16_vrms_ip)</f>
        <v>Value Missing</v>
      </c>
      <c r="J214" s="2"/>
      <c r="K214" s="4" t="s">
        <v>1532</v>
      </c>
      <c r="L214" s="337" t="str">
        <f>IF(wld_az1_rack2_host13_fqdn="Value Missing",wld_az1_rack2_host13_fqdn,LEFT(wld_az1_rack2_host13_fqdn,FIND(".",wld_az1_rack2_host13_fqdn)-1))</f>
        <v>Value Missing</v>
      </c>
      <c r="M214" s="2"/>
      <c r="N214" s="4" t="s">
        <v>1532</v>
      </c>
      <c r="O214" s="337" t="str">
        <f>IF(wld_az1_rack3_host13_fqdn="Value Missing",wld_az1_rack3_host13_fqdn,LEFT(wld_az1_rack3_host13_fqdn,FIND(".",wld_az1_rack3_host13_fqdn)-1))</f>
        <v>Value Missing</v>
      </c>
      <c r="P214" s="2"/>
      <c r="Q214" s="4" t="s">
        <v>1532</v>
      </c>
      <c r="R214" s="337" t="str">
        <f>IF(wld_az1_rack4_host13_fqdn="Value Missing",wld_az1_rack4_host13_fqdn,LEFT(wld_az1_rack4_host13_fqdn,FIND(".",wld_az1_rack4_host13_fqdn)-1))</f>
        <v>Value Missing</v>
      </c>
      <c r="S214" s="2"/>
      <c r="T214" s="4" t="s">
        <v>1532</v>
      </c>
      <c r="U214" s="337" t="str">
        <f>IF(wld_az1_rack5_host13_fqdn="Value Missing",wld_az1_rack5_host13_fqdn,LEFT(wld_az1_rack5_host13_fqdn,FIND(".",wld_az1_rack5_host13_fqdn)-1))</f>
        <v>Value Missing</v>
      </c>
      <c r="V214" s="2"/>
      <c r="W214" s="4" t="s">
        <v>1532</v>
      </c>
      <c r="X214" s="337" t="str">
        <f>IF(wld_az1_rack6_host13_fqdn="Value Missing",wld_az1_rack6_host13_fqdn,LEFT(wld_az1_rack6_host13_fqdn,FIND(".",wld_az1_rack6_host13_fqdn)-1))</f>
        <v>Value Missing</v>
      </c>
      <c r="Y214" s="2"/>
      <c r="Z214" s="4" t="s">
        <v>1532</v>
      </c>
      <c r="AA214" s="337" t="str">
        <f>IF(wld_az1_rack7_host13_fqdn="Value Missing",wld_az1_rack7_host13_fqdn,LEFT(wld_az1_rack7_host13_fqdn,FIND(".",wld_az1_rack7_host13_fqdn)-1))</f>
        <v>Value Missing</v>
      </c>
      <c r="AB214" s="2"/>
      <c r="AC214" s="4" t="s">
        <v>1532</v>
      </c>
      <c r="AD214" s="337" t="str">
        <f>IF(wld_az1_rack8_host13_fqdn="Value Missing",wld_az1_rack8_host13_fqdn,LEFT(wld_az1_rack8_host13_fqdn,FIND(".",wld_az1_rack8_host13_fqdn)-1))</f>
        <v>Value Missing</v>
      </c>
    </row>
    <row r="215" spans="5:30" ht="20" customHeight="1" x14ac:dyDescent="0.2">
      <c r="E215" s="2"/>
      <c r="F215" s="2"/>
      <c r="G215" s="2"/>
      <c r="H215" s="2"/>
      <c r="I215" s="2"/>
      <c r="J215" s="2"/>
      <c r="K215" s="4" t="s">
        <v>1533</v>
      </c>
      <c r="L215" s="337" t="str">
        <f>IF(wld_az1_rack2_host14_fqdn="Value Missing",wld_az1_rack2_host14_fqdn,LEFT(wld_az1_rack2_host14_fqdn,FIND(".",wld_az1_rack2_host14_fqdn)-1))</f>
        <v>Value Missing</v>
      </c>
      <c r="M215" s="15"/>
      <c r="N215" s="4" t="s">
        <v>1533</v>
      </c>
      <c r="O215" s="337" t="str">
        <f>IF(wld_az1_rack3_host14_fqdn="Value Missing",wld_az1_rack3_host14_fqdn,LEFT(wld_az1_rack3_host14_fqdn,FIND(".",wld_az1_rack3_host14_fqdn)-1))</f>
        <v>Value Missing</v>
      </c>
      <c r="P215" s="2"/>
      <c r="Q215" s="4" t="s">
        <v>1533</v>
      </c>
      <c r="R215" s="337" t="str">
        <f>IF(wld_az1_rack4_host14_fqdn="Value Missing",wld_az1_rack4_host14_fqdn,LEFT(wld_az1_rack4_host14_fqdn,FIND(".",wld_az1_rack4_host14_fqdn)-1))</f>
        <v>Value Missing</v>
      </c>
      <c r="S215" s="2"/>
      <c r="T215" s="4" t="s">
        <v>1533</v>
      </c>
      <c r="U215" s="337" t="str">
        <f>IF(wld_az1_rack5_host14_fqdn="Value Missing",wld_az1_rack5_host14_fqdn,LEFT(wld_az1_rack5_host14_fqdn,FIND(".",wld_az1_rack5_host14_fqdn)-1))</f>
        <v>Value Missing</v>
      </c>
      <c r="V215" s="2"/>
      <c r="W215" s="4" t="s">
        <v>1533</v>
      </c>
      <c r="X215" s="337" t="str">
        <f>IF(wld_az1_rack6_host14_fqdn="Value Missing",wld_az1_rack6_host14_fqdn,LEFT(wld_az1_rack6_host14_fqdn,FIND(".",wld_az1_rack6_host14_fqdn)-1))</f>
        <v>Value Missing</v>
      </c>
      <c r="Y215" s="2"/>
      <c r="Z215" s="4" t="s">
        <v>1533</v>
      </c>
      <c r="AA215" s="337" t="str">
        <f>IF(wld_az1_rack7_host14_fqdn="Value Missing",wld_az1_rack7_host14_fqdn,LEFT(wld_az1_rack7_host14_fqdn,FIND(".",wld_az1_rack7_host14_fqdn)-1))</f>
        <v>Value Missing</v>
      </c>
      <c r="AB215" s="2"/>
      <c r="AC215" s="4" t="s">
        <v>1533</v>
      </c>
      <c r="AD215" s="337" t="str">
        <f>IF(wld_az1_rack8_host14_fqdn="Value Missing",wld_az1_rack8_host14_fqdn,LEFT(wld_az1_rack8_host14_fqdn,FIND(".",wld_az1_rack8_host14_fqdn)-1))</f>
        <v>Value Missing</v>
      </c>
    </row>
    <row r="216" spans="5:30" ht="20" customHeight="1" x14ac:dyDescent="0.2">
      <c r="E216" s="573" t="s">
        <v>1534</v>
      </c>
      <c r="F216" s="575"/>
      <c r="G216" s="2"/>
      <c r="H216" s="573" t="s">
        <v>1535</v>
      </c>
      <c r="I216" s="575"/>
      <c r="J216" s="2"/>
      <c r="K216" s="4" t="s">
        <v>1536</v>
      </c>
      <c r="L216" s="337" t="str">
        <f>IF(wld_az1_rack2_host15_fqdn="Value Missing",wld_az1_rack2_host15_fqdn,LEFT(wld_az1_rack2_host15_fqdn,FIND(".",wld_az1_rack2_host15_fqdn)-1))</f>
        <v>Value Missing</v>
      </c>
      <c r="M216" s="2"/>
      <c r="N216" s="4" t="s">
        <v>1536</v>
      </c>
      <c r="O216" s="337" t="str">
        <f>IF(wld_az1_rack3_host15_fqdn="Value Missing",wld_az1_rack3_host15_fqdn,LEFT(wld_az1_rack3_host15_fqdn,FIND(".",wld_az1_rack3_host15_fqdn)-1))</f>
        <v>Value Missing</v>
      </c>
      <c r="P216" s="2"/>
      <c r="Q216" s="4" t="s">
        <v>1536</v>
      </c>
      <c r="R216" s="337" t="str">
        <f>IF(wld_az1_rack4_host15_fqdn="Value Missing",wld_az1_rack4_host15_fqdn,LEFT(wld_az1_rack4_host15_fqdn,FIND(".",wld_az1_rack4_host15_fqdn)-1))</f>
        <v>Value Missing</v>
      </c>
      <c r="S216" s="2"/>
      <c r="T216" s="4" t="s">
        <v>1536</v>
      </c>
      <c r="U216" s="337" t="str">
        <f>IF(wld_az1_rack5_host15_fqdn="Value Missing",wld_az1_rack5_host15_fqdn,LEFT(wld_az1_rack5_host15_fqdn,FIND(".",wld_az1_rack5_host15_fqdn)-1))</f>
        <v>Value Missing</v>
      </c>
      <c r="V216" s="2"/>
      <c r="W216" s="4" t="s">
        <v>1536</v>
      </c>
      <c r="X216" s="337" t="str">
        <f>IF(wld_az1_rack6_host15_fqdn="Value Missing",wld_az1_rack6_host15_fqdn,LEFT(wld_az1_rack6_host15_fqdn,FIND(".",wld_az1_rack6_host15_fqdn)-1))</f>
        <v>Value Missing</v>
      </c>
      <c r="Y216" s="2"/>
      <c r="Z216" s="4" t="s">
        <v>1536</v>
      </c>
      <c r="AA216" s="337" t="str">
        <f>IF(wld_az1_rack7_host15_fqdn="Value Missing",wld_az1_rack7_host15_fqdn,LEFT(wld_az1_rack7_host15_fqdn,FIND(".",wld_az1_rack7_host15_fqdn)-1))</f>
        <v>Value Missing</v>
      </c>
      <c r="AB216" s="2"/>
      <c r="AC216" s="4" t="s">
        <v>1536</v>
      </c>
      <c r="AD216" s="337" t="str">
        <f>IF(wld_az1_rack8_host15_fqdn="Value Missing",wld_az1_rack8_host15_fqdn,LEFT(wld_az1_rack8_host15_fqdn,FIND(".",wld_az1_rack8_host15_fqdn)-1))</f>
        <v>Value Missing</v>
      </c>
    </row>
    <row r="217" spans="5:30" ht="20" customHeight="1" x14ac:dyDescent="0.2">
      <c r="E217" s="11" t="s">
        <v>261</v>
      </c>
      <c r="F217" s="14" t="s">
        <v>1269</v>
      </c>
      <c r="G217" s="2"/>
      <c r="H217" s="11" t="s">
        <v>261</v>
      </c>
      <c r="I217" s="14" t="s">
        <v>19</v>
      </c>
      <c r="J217" s="2"/>
      <c r="K217" s="4" t="s">
        <v>1537</v>
      </c>
      <c r="L217" s="337" t="str">
        <f>IF(wld_az1_rack2_host16_fqdn="Value Missing",wld_az1_rack2_host16_fqdn,LEFT(wld_az1_rack2_host16_fqdn,FIND(".",wld_az1_rack2_host16_fqdn)-1))</f>
        <v>Value Missing</v>
      </c>
      <c r="M217" s="2"/>
      <c r="N217" s="4" t="s">
        <v>1537</v>
      </c>
      <c r="O217" s="337" t="str">
        <f>IF(wld_az1_rack3_host16_fqdn="Value Missing",wld_az1_rack3_host16_fqdn,LEFT(wld_az1_rack3_host16_fqdn,FIND(".",wld_az1_rack3_host16_fqdn)-1))</f>
        <v>Value Missing</v>
      </c>
      <c r="P217" s="2"/>
      <c r="Q217" s="4" t="s">
        <v>1537</v>
      </c>
      <c r="R217" s="337" t="str">
        <f>IF(wld_az1_rack4_host16_fqdn="Value Missing",wld_az1_rack4_host16_fqdn,LEFT(wld_az1_rack4_host16_fqdn,FIND(".",wld_az1_rack4_host16_fqdn)-1))</f>
        <v>Value Missing</v>
      </c>
      <c r="S217" s="2"/>
      <c r="T217" s="4" t="s">
        <v>1537</v>
      </c>
      <c r="U217" s="337" t="str">
        <f>IF(wld_az1_rack5_host16_fqdn="Value Missing",wld_az1_rack5_host16_fqdn,LEFT(wld_az1_rack5_host16_fqdn,FIND(".",wld_az1_rack5_host16_fqdn)-1))</f>
        <v>Value Missing</v>
      </c>
      <c r="V217" s="2"/>
      <c r="W217" s="4" t="s">
        <v>1537</v>
      </c>
      <c r="X217" s="337" t="str">
        <f>IF(wld_az1_rack6_host16_fqdn="Value Missing",wld_az1_rack6_host16_fqdn,LEFT(wld_az1_rack6_host16_fqdn,FIND(".",wld_az1_rack6_host16_fqdn)-1))</f>
        <v>Value Missing</v>
      </c>
      <c r="Y217" s="2"/>
      <c r="Z217" s="4" t="s">
        <v>1537</v>
      </c>
      <c r="AA217" s="337" t="str">
        <f>IF(wld_az1_rack7_host16_fqdn="Value Missing",wld_az1_rack7_host16_fqdn,LEFT(wld_az1_rack7_host16_fqdn,FIND(".",wld_az1_rack7_host16_fqdn)-1))</f>
        <v>Value Missing</v>
      </c>
      <c r="AB217" s="2"/>
      <c r="AC217" s="4" t="s">
        <v>1537</v>
      </c>
      <c r="AD217" s="337" t="str">
        <f>IF(wld_az1_rack8_host16_fqdn="Value Missing",wld_az1_rack8_host16_fqdn,LEFT(wld_az1_rack8_host16_fqdn,FIND(".",wld_az1_rack8_host16_fqdn)-1))</f>
        <v>Value Missing</v>
      </c>
    </row>
    <row r="218" spans="5:30" ht="20" customHeight="1" x14ac:dyDescent="0.2">
      <c r="E218" s="4" t="s">
        <v>1508</v>
      </c>
      <c r="F218" s="337" t="str">
        <f>IF(mgmt_az1_host1_fqdn="Value Missing",mgmt_az1_host1_fqdn,LEFT(mgmt_az1_host1_fqdn,FIND(".",mgmt_az1_host1_fqdn)-1))</f>
        <v>Value Missing</v>
      </c>
      <c r="G218" s="2"/>
      <c r="H218" s="4" t="s">
        <v>1508</v>
      </c>
      <c r="I218" s="337" t="str">
        <f>IF(wld_az1_host1_fqdn="Value Missing",wld_az1_host1_fqdn,LEFT(wld_az1_host1_fqdn,FIND(".",wld_az1_host1_fqdn)-1))</f>
        <v>Value Missing</v>
      </c>
      <c r="J218" s="2"/>
      <c r="K218" s="2"/>
      <c r="L218" s="2"/>
      <c r="M218" s="2"/>
      <c r="N218" s="7"/>
      <c r="O218" s="7"/>
      <c r="P218" s="2"/>
      <c r="Q218" s="2"/>
      <c r="R218" s="2"/>
      <c r="S218" s="2"/>
      <c r="T218" s="2"/>
      <c r="U218" s="2"/>
      <c r="V218" s="2"/>
      <c r="W218" s="2"/>
      <c r="X218" s="2"/>
      <c r="Y218" s="2"/>
      <c r="Z218" s="2"/>
      <c r="AA218" s="2"/>
      <c r="AB218" s="2"/>
      <c r="AC218" s="2"/>
      <c r="AD218" s="2"/>
    </row>
    <row r="219" spans="5:30" ht="20" customHeight="1" x14ac:dyDescent="0.2">
      <c r="E219" s="4" t="s">
        <v>1510</v>
      </c>
      <c r="F219" s="337" t="str">
        <f>IF(mgmt_az1_host2_fqdn="Value Missing",mgmt_az1_host2_fqdn,LEFT(mgmt_az1_host2_fqdn,FIND(".",mgmt_az1_host2_fqdn)-1))</f>
        <v>Value Missing</v>
      </c>
      <c r="G219" s="2"/>
      <c r="H219" s="4" t="s">
        <v>1510</v>
      </c>
      <c r="I219" s="337" t="str">
        <f>IF(wld_az1_host2_fqdn="Value Missing",wld_az1_host2_fqdn,LEFT(wld_az1_host2_fqdn,FIND(".",wld_az1_host2_fqdn)-1))</f>
        <v>Value Missing</v>
      </c>
      <c r="J219" s="2"/>
      <c r="K219" s="379" t="s">
        <v>1538</v>
      </c>
      <c r="L219" s="380"/>
      <c r="M219" s="2"/>
      <c r="N219" s="379" t="s">
        <v>1539</v>
      </c>
      <c r="O219" s="380"/>
      <c r="P219" s="2"/>
      <c r="Q219" s="379" t="s">
        <v>1540</v>
      </c>
      <c r="R219" s="380"/>
      <c r="S219" s="2"/>
      <c r="T219" s="379" t="s">
        <v>1541</v>
      </c>
      <c r="U219" s="380"/>
      <c r="V219" s="2"/>
      <c r="W219" s="379" t="s">
        <v>1542</v>
      </c>
      <c r="X219" s="380"/>
      <c r="Y219" s="2"/>
      <c r="Z219" s="379" t="s">
        <v>1543</v>
      </c>
      <c r="AA219" s="380"/>
      <c r="AB219" s="2"/>
      <c r="AC219" s="379" t="s">
        <v>1544</v>
      </c>
      <c r="AD219" s="380"/>
    </row>
    <row r="220" spans="5:30" ht="20" customHeight="1" x14ac:dyDescent="0.2">
      <c r="E220" s="4" t="s">
        <v>1512</v>
      </c>
      <c r="F220" s="337" t="str">
        <f>IF(mgmt_az1_host3_fqdn="Value Missing",mgmt_az1_host3_fqdn,LEFT(mgmt_az1_host3_fqdn,FIND(".",mgmt_az1_host3_fqdn)-1))</f>
        <v>Value Missing</v>
      </c>
      <c r="G220" s="2"/>
      <c r="H220" s="4" t="s">
        <v>1512</v>
      </c>
      <c r="I220" s="337" t="str">
        <f>IF(wld_az1_host3_fqdn="Value Missing",wld_az1_host3_fqdn,LEFT(wld_az1_host3_fqdn,FIND(".",wld_az1_host3_fqdn)-1))</f>
        <v>Value Missing</v>
      </c>
      <c r="J220" s="2"/>
      <c r="K220" s="13" t="s">
        <v>261</v>
      </c>
      <c r="L220" s="14" t="s">
        <v>19</v>
      </c>
      <c r="M220" s="2"/>
      <c r="N220" s="13" t="s">
        <v>261</v>
      </c>
      <c r="O220" s="14" t="s">
        <v>19</v>
      </c>
      <c r="P220" s="15"/>
      <c r="Q220" s="13" t="s">
        <v>261</v>
      </c>
      <c r="R220" s="14" t="s">
        <v>19</v>
      </c>
      <c r="S220" s="15"/>
      <c r="T220" s="13" t="s">
        <v>261</v>
      </c>
      <c r="U220" s="14" t="s">
        <v>19</v>
      </c>
      <c r="V220" s="15"/>
      <c r="W220" s="13" t="s">
        <v>261</v>
      </c>
      <c r="X220" s="14" t="s">
        <v>19</v>
      </c>
      <c r="Y220" s="15"/>
      <c r="Z220" s="13" t="s">
        <v>261</v>
      </c>
      <c r="AA220" s="14" t="s">
        <v>19</v>
      </c>
      <c r="AB220" s="15"/>
      <c r="AC220" s="13" t="s">
        <v>261</v>
      </c>
      <c r="AD220" s="14" t="s">
        <v>19</v>
      </c>
    </row>
    <row r="221" spans="5:30" ht="20" customHeight="1" x14ac:dyDescent="0.2">
      <c r="E221" s="4" t="s">
        <v>1514</v>
      </c>
      <c r="F221" s="337" t="str">
        <f>IF(mgmt_az1_host4_fqdn="Value Missing",mgmt_az1_host4_fqdn,LEFT(mgmt_az1_host4_fqdn,FIND(".",mgmt_az1_host4_fqdn)-1))</f>
        <v>Value Missing</v>
      </c>
      <c r="H221" s="4" t="s">
        <v>1514</v>
      </c>
      <c r="I221" s="337" t="str">
        <f>IF(wld_az1_host4_fqdn="Value Missing",wld_az1_host4_fqdn,LEFT(wld_az1_host4_fqdn,FIND(".",wld_az1_host4_fqdn)-1))</f>
        <v>Value Missing</v>
      </c>
      <c r="K221" s="4" t="s">
        <v>1508</v>
      </c>
      <c r="L221" s="337" t="str">
        <f>IF(ISBLANK(input_wld_az1_rack2_host1_fqdn),"Value Missing",input_wld_az1_rack2_host1_fqdn)</f>
        <v>Value Missing</v>
      </c>
      <c r="M221" s="2"/>
      <c r="N221" s="4" t="s">
        <v>1508</v>
      </c>
      <c r="O221" s="337" t="str">
        <f>IF(ISBLANK(input_wld_az1_rack3_host1_fqdn),"Value Missing",input_wld_az1_rack3_host1_fqdn)</f>
        <v>Value Missing</v>
      </c>
      <c r="P221" s="2"/>
      <c r="Q221" s="4" t="s">
        <v>1508</v>
      </c>
      <c r="R221" s="337" t="str">
        <f>IF(ISBLANK(input_wld_az1_rack4_host1_fqdn),"Value Missing",input_wld_az1_rack4_host1_fqdn)</f>
        <v>Value Missing</v>
      </c>
      <c r="S221" s="2"/>
      <c r="T221" s="4" t="s">
        <v>1508</v>
      </c>
      <c r="U221" s="337" t="str">
        <f>IF(ISBLANK(input_wld_az1_rack5_host1_fqdn),"Value Missing",input_wld_az1_rack5_host1_fqdn)</f>
        <v>Value Missing</v>
      </c>
      <c r="V221" s="2"/>
      <c r="W221" s="4" t="s">
        <v>1508</v>
      </c>
      <c r="X221" s="337" t="str">
        <f>IF(ISBLANK(input_wld_az1_rack6_host1_fqdn),"Value Missing",input_wld_az1_rack6_host1_fqdn)</f>
        <v>Value Missing</v>
      </c>
      <c r="Y221" s="2"/>
      <c r="Z221" s="4" t="s">
        <v>1508</v>
      </c>
      <c r="AA221" s="337" t="str">
        <f>IF(ISBLANK(input_wld_az1_rack7_host1_fqdn),"Value Missing",input_wld_az1_rack7_host1_fqdn)</f>
        <v>Value Missing</v>
      </c>
      <c r="AB221" s="2"/>
      <c r="AC221" s="4" t="s">
        <v>1508</v>
      </c>
      <c r="AD221" s="337" t="str">
        <f>IF(ISBLANK(input_wld_az1_rack8_host1_fqdn),"Value Missing",input_wld_az1_rack8_host1_fqdn)</f>
        <v>Value Missing</v>
      </c>
    </row>
    <row r="222" spans="5:30" ht="20" customHeight="1" x14ac:dyDescent="0.2">
      <c r="E222" s="4" t="s">
        <v>1516</v>
      </c>
      <c r="F222" s="337" t="str">
        <f>IF(mgmt_az1_host5_fqdn="Value Missing",mgmt_az1_host5_fqdn,LEFT(mgmt_az1_host5_fqdn,FIND(".",mgmt_az1_host5_fqdn)-1))</f>
        <v>Value Missing</v>
      </c>
      <c r="H222" s="4" t="s">
        <v>1516</v>
      </c>
      <c r="I222" s="337" t="str">
        <f>IF(wld_az1_host5_fqdn="Value Missing",wld_az1_host5_fqdn,LEFT(wld_az1_host5_fqdn,FIND(".",wld_az1_host5_fqdn)-1))</f>
        <v>Value Missing</v>
      </c>
      <c r="K222" s="4" t="s">
        <v>1510</v>
      </c>
      <c r="L222" s="337" t="str">
        <f>IF(ISBLANK(input_wld_az1_rack2_host2_fqdn),"Value Missing",input_wld_az1_rack2_host2_fqdn)</f>
        <v>Value Missing</v>
      </c>
      <c r="M222" s="2"/>
      <c r="N222" s="4" t="s">
        <v>1510</v>
      </c>
      <c r="O222" s="337" t="str">
        <f>IF(ISBLANK(input_wld_az1_rack3_host2_fqdn),"Value Missing",input_wld_az1_rack3_host2_fqdn)</f>
        <v>Value Missing</v>
      </c>
      <c r="P222" s="2"/>
      <c r="Q222" s="4" t="s">
        <v>1510</v>
      </c>
      <c r="R222" s="337" t="str">
        <f>IF(ISBLANK(input_wld_az1_rack4_host2_fqdn),"Value Missing",input_wld_az1_rack4_host2_fqdn)</f>
        <v>Value Missing</v>
      </c>
      <c r="S222" s="2"/>
      <c r="T222" s="4" t="s">
        <v>1510</v>
      </c>
      <c r="U222" s="337" t="str">
        <f>IF(ISBLANK(input_wld_az1_rack5_host2_fqdn),"Value Missing",input_wld_az1_rack5_host2_fqdn)</f>
        <v>Value Missing</v>
      </c>
      <c r="V222" s="2"/>
      <c r="W222" s="4" t="s">
        <v>1510</v>
      </c>
      <c r="X222" s="337" t="str">
        <f>IF(ISBLANK(input_wld_az1_rack6_host2_fqdn),"Value Missing",input_wld_az1_rack6_host2_fqdn)</f>
        <v>Value Missing</v>
      </c>
      <c r="Y222" s="2"/>
      <c r="Z222" s="4" t="s">
        <v>1510</v>
      </c>
      <c r="AA222" s="337" t="str">
        <f>IF(ISBLANK(input_wld_az1_rack7_host2_fqdn),"Value Missing",input_wld_az1_rack7_host2_fqdn)</f>
        <v>Value Missing</v>
      </c>
      <c r="AB222" s="2"/>
      <c r="AC222" s="4" t="s">
        <v>1510</v>
      </c>
      <c r="AD222" s="337" t="str">
        <f>IF(ISBLANK(input_wld_az1_rack8_host2_fqdn),"Value Missing",input_wld_az1_rack8_host2_fqdn)</f>
        <v>Value Missing</v>
      </c>
    </row>
    <row r="223" spans="5:30" ht="20" customHeight="1" x14ac:dyDescent="0.2">
      <c r="E223" s="4" t="s">
        <v>1518</v>
      </c>
      <c r="F223" s="337" t="str">
        <f>IF(mgmt_az1_host6_fqdn="Value Missing",mgmt_az1_host6_fqdn,LEFT(mgmt_az1_host6_fqdn,FIND(".",mgmt_az1_host6_fqdn)-1))</f>
        <v>Value Missing</v>
      </c>
      <c r="H223" s="4" t="s">
        <v>1518</v>
      </c>
      <c r="I223" s="337" t="str">
        <f>IF(wld_az1_host6_fqdn="Value Missing",wld_az1_host6_fqdn,LEFT(wld_az1_host6_fqdn,FIND(".",wld_az1_host6_fqdn)-1))</f>
        <v>Value Missing</v>
      </c>
      <c r="K223" s="4" t="s">
        <v>1512</v>
      </c>
      <c r="L223" s="337" t="str">
        <f>IF(ISBLANK(input_wld_az1_rack2_host3_fqdn),"Value Missing",input_wld_az1_rack2_host3_fqdn)</f>
        <v>Value Missing</v>
      </c>
      <c r="M223" s="2"/>
      <c r="N223" s="4" t="s">
        <v>1512</v>
      </c>
      <c r="O223" s="337" t="str">
        <f>IF(ISBLANK(input_wld_az1_rack3_host3_fqdn),"Value Missing",input_wld_az1_rack3_host3_fqdn)</f>
        <v>Value Missing</v>
      </c>
      <c r="P223" s="2"/>
      <c r="Q223" s="4" t="s">
        <v>1512</v>
      </c>
      <c r="R223" s="337" t="str">
        <f>IF(ISBLANK(input_wld_az1_rack4_host3_fqdn),"Value Missing",input_wld_az1_rack4_host3_fqdn)</f>
        <v>Value Missing</v>
      </c>
      <c r="S223" s="2"/>
      <c r="T223" s="4" t="s">
        <v>1512</v>
      </c>
      <c r="U223" s="337" t="str">
        <f>IF(ISBLANK(input_wld_az1_rack5_host3_fqdn),"Value Missing",input_wld_az1_rack5_host3_fqdn)</f>
        <v>Value Missing</v>
      </c>
      <c r="V223" s="2"/>
      <c r="W223" s="4" t="s">
        <v>1512</v>
      </c>
      <c r="X223" s="337" t="str">
        <f>IF(ISBLANK(input_wld_az1_rack6_host3_fqdn),"Value Missing",input_wld_az1_rack6_host3_fqdn)</f>
        <v>Value Missing</v>
      </c>
      <c r="Y223" s="2"/>
      <c r="Z223" s="4" t="s">
        <v>1512</v>
      </c>
      <c r="AA223" s="337" t="str">
        <f>IF(ISBLANK(input_wld_az1_rack7_host3_fqdn),"Value Missing",input_wld_az1_rack7_host3_fqdn)</f>
        <v>Value Missing</v>
      </c>
      <c r="AB223" s="2"/>
      <c r="AC223" s="4" t="s">
        <v>1512</v>
      </c>
      <c r="AD223" s="337" t="str">
        <f>IF(ISBLANK(input_wld_az1_rack8_host3_fqdn),"Value Missing",input_wld_az1_rack8_host3_fqdn)</f>
        <v>Value Missing</v>
      </c>
    </row>
    <row r="224" spans="5:30" ht="20" customHeight="1" x14ac:dyDescent="0.2">
      <c r="E224" s="4" t="s">
        <v>1520</v>
      </c>
      <c r="F224" s="337" t="str">
        <f>IF(mgmt_az1_host7_fqdn="Value Missing",mgmt_az1_host7_fqdn,LEFT(mgmt_az1_host7_fqdn,FIND(".",mgmt_az1_host7_fqdn)-1))</f>
        <v>Value Missing</v>
      </c>
      <c r="H224" s="4" t="s">
        <v>1520</v>
      </c>
      <c r="I224" s="337" t="str">
        <f>IF(wld_az1_host7_fqdn="Value Missing",wld_az1_host7_fqdn,LEFT(wld_az1_host7_fqdn,FIND(".",wld_az1_host7_fqdn)-1))</f>
        <v>Value Missing</v>
      </c>
      <c r="K224" s="4" t="s">
        <v>1514</v>
      </c>
      <c r="L224" s="337" t="str">
        <f>IF(ISBLANK(input_wld_az1_rack2_host4_fqdn),"Value Missing",input_wld_az1_rack2_host4_fqdn)</f>
        <v>Value Missing</v>
      </c>
      <c r="N224" s="4" t="s">
        <v>1514</v>
      </c>
      <c r="O224" s="337" t="str">
        <f>IF(ISBLANK(input_wld_az1_rack3_host4_fqdn),"Value Missing",input_wld_az1_rack3_host4_fqdn)</f>
        <v>Value Missing</v>
      </c>
      <c r="P224" s="2"/>
      <c r="Q224" s="4" t="s">
        <v>1514</v>
      </c>
      <c r="R224" s="337" t="str">
        <f>IF(ISBLANK(input_wld_az1_rack4_host4_fqdn),"Value Missing",input_wld_az1_rack4_host4_fqdn)</f>
        <v>Value Missing</v>
      </c>
      <c r="S224" s="2"/>
      <c r="T224" s="4" t="s">
        <v>1514</v>
      </c>
      <c r="U224" s="337" t="str">
        <f>IF(ISBLANK(input_wld_az1_rack5_host4_fqdn),"Value Missing",input_wld_az1_rack5_host4_fqdn)</f>
        <v>Value Missing</v>
      </c>
      <c r="V224" s="2"/>
      <c r="W224" s="4" t="s">
        <v>1514</v>
      </c>
      <c r="X224" s="337" t="str">
        <f>IF(ISBLANK(input_wld_az1_rack6_host4_fqdn),"Value Missing",input_wld_az1_rack6_host4_fqdn)</f>
        <v>Value Missing</v>
      </c>
      <c r="Y224" s="2"/>
      <c r="Z224" s="4" t="s">
        <v>1514</v>
      </c>
      <c r="AA224" s="337" t="str">
        <f>IF(ISBLANK(input_wld_az1_rack7_host4_fqdn),"Value Missing",input_wld_az1_rack7_host4_fqdn)</f>
        <v>Value Missing</v>
      </c>
      <c r="AB224" s="2"/>
      <c r="AC224" s="4" t="s">
        <v>1514</v>
      </c>
      <c r="AD224" s="337" t="str">
        <f>IF(ISBLANK(input_wld_az1_rack8_host4_fqdn),"Value Missing",input_wld_az1_rack8_host4_fqdn)</f>
        <v>Value Missing</v>
      </c>
    </row>
    <row r="225" spans="5:30" ht="20" customHeight="1" x14ac:dyDescent="0.2">
      <c r="E225" s="4" t="s">
        <v>1522</v>
      </c>
      <c r="F225" s="337" t="str">
        <f>IF(mgmt_az1_host8_fqdn="Value Missing",mgmt_az1_host8_fqdn,LEFT(mgmt_az1_host8_fqdn,FIND(".",mgmt_az1_host8_fqdn)-1))</f>
        <v>Value Missing</v>
      </c>
      <c r="H225" s="4" t="s">
        <v>1522</v>
      </c>
      <c r="I225" s="337" t="str">
        <f>IF(wld_az1_host8_fqdn="Value Missing",wld_az1_host8_fqdn,LEFT(wld_az1_host8_fqdn,FIND(".",wld_az1_host8_fqdn)-1))</f>
        <v>Value Missing</v>
      </c>
      <c r="K225" s="4" t="s">
        <v>1516</v>
      </c>
      <c r="L225" s="337" t="str">
        <f>IF(ISBLANK(input_wld_az1_rack2_host5_fqdn),"Value Missing",input_wld_az1_rack2_host5_fqdn)</f>
        <v>Value Missing</v>
      </c>
      <c r="N225" s="4" t="s">
        <v>1516</v>
      </c>
      <c r="O225" s="337" t="str">
        <f>IF(ISBLANK(input_wld_az1_rack3_host5_fqdn),"Value Missing",input_wld_az1_rack3_host5_fqdn)</f>
        <v>Value Missing</v>
      </c>
      <c r="P225" s="2"/>
      <c r="Q225" s="4" t="s">
        <v>1516</v>
      </c>
      <c r="R225" s="337" t="str">
        <f>IF(ISBLANK(input_wld_az1_rack4_host5_fqdn),"Value Missing",input_wld_az1_rack4_host5_fqdn)</f>
        <v>Value Missing</v>
      </c>
      <c r="S225" s="2"/>
      <c r="T225" s="4" t="s">
        <v>1516</v>
      </c>
      <c r="U225" s="337" t="str">
        <f>IF(ISBLANK(input_wld_az1_rack5_host5_fqdn),"Value Missing",input_wld_az1_rack5_host5_fqdn)</f>
        <v>Value Missing</v>
      </c>
      <c r="V225" s="2"/>
      <c r="W225" s="4" t="s">
        <v>1516</v>
      </c>
      <c r="X225" s="337" t="str">
        <f>IF(ISBLANK(input_wld_az1_rack6_host5_fqdn),"Value Missing",input_wld_az1_rack6_host5_fqdn)</f>
        <v>Value Missing</v>
      </c>
      <c r="Y225" s="2"/>
      <c r="Z225" s="4" t="s">
        <v>1516</v>
      </c>
      <c r="AA225" s="337" t="str">
        <f>IF(ISBLANK(input_wld_az1_rack7_host5_fqdn),"Value Missing",input_wld_az1_rack7_host5_fqdn)</f>
        <v>Value Missing</v>
      </c>
      <c r="AB225" s="2"/>
      <c r="AC225" s="4" t="s">
        <v>1516</v>
      </c>
      <c r="AD225" s="337" t="str">
        <f>IF(ISBLANK(input_wld_az1_rack8_host5_fqdn),"Value Missing",input_wld_az1_rack8_host5_fqdn)</f>
        <v>Value Missing</v>
      </c>
    </row>
    <row r="226" spans="5:30" ht="20" customHeight="1" x14ac:dyDescent="0.2">
      <c r="E226" s="4" t="s">
        <v>1524</v>
      </c>
      <c r="F226" s="337" t="str">
        <f>IF(mgmt_az1_host9_fqdn="Value Missing",mgmt_az1_host9_fqdn,LEFT(mgmt_az1_host9_fqdn,FIND(".",mgmt_az1_host9_fqdn)-1))</f>
        <v>Value Missing</v>
      </c>
      <c r="H226" s="4" t="s">
        <v>1524</v>
      </c>
      <c r="I226" s="337" t="str">
        <f>IF(wld_az1_host9_fqdn="Value Missing",wld_az1_host9_fqdn,LEFT(wld_az1_host9_fqdn,FIND(".",wld_az1_host9_fqdn)-1))</f>
        <v>Value Missing</v>
      </c>
      <c r="K226" s="4" t="s">
        <v>1518</v>
      </c>
      <c r="L226" s="337" t="str">
        <f>IF(ISBLANK(input_wld_az1_rack2_host6_fqdn),"Value Missing",input_wld_az1_rack2_host6_fqdn)</f>
        <v>Value Missing</v>
      </c>
      <c r="N226" s="4" t="s">
        <v>1518</v>
      </c>
      <c r="O226" s="337" t="str">
        <f>IF(ISBLANK(input_wld_az1_rack3_host6_fqdn),"Value Missing",input_wld_az1_rack3_host6_fqdn)</f>
        <v>Value Missing</v>
      </c>
      <c r="P226" s="2"/>
      <c r="Q226" s="4" t="s">
        <v>1518</v>
      </c>
      <c r="R226" s="337" t="str">
        <f>IF(ISBLANK(input_wld_az1_rack4_host6_fqdn),"Value Missing",input_wld_az1_rack4_host6_fqdn)</f>
        <v>Value Missing</v>
      </c>
      <c r="S226" s="2"/>
      <c r="T226" s="4" t="s">
        <v>1518</v>
      </c>
      <c r="U226" s="337" t="str">
        <f>IF(ISBLANK(input_wld_az1_rack5_host6_fqdn),"Value Missing",input_wld_az1_rack5_host6_fqdn)</f>
        <v>Value Missing</v>
      </c>
      <c r="V226" s="2"/>
      <c r="W226" s="4" t="s">
        <v>1518</v>
      </c>
      <c r="X226" s="337" t="str">
        <f>IF(ISBLANK(input_wld_az1_rack6_host6_fqdn),"Value Missing",input_wld_az1_rack6_host6_fqdn)</f>
        <v>Value Missing</v>
      </c>
      <c r="Y226" s="2"/>
      <c r="Z226" s="4" t="s">
        <v>1518</v>
      </c>
      <c r="AA226" s="337" t="str">
        <f>IF(ISBLANK(input_wld_az1_rack7_host6_fqdn),"Value Missing",input_wld_az1_rack7_host6_fqdn)</f>
        <v>Value Missing</v>
      </c>
      <c r="AB226" s="2"/>
      <c r="AC226" s="4" t="s">
        <v>1518</v>
      </c>
      <c r="AD226" s="337" t="str">
        <f>IF(ISBLANK(input_wld_az1_rack8_host6_fqdn),"Value Missing",input_wld_az1_rack8_host6_fqdn)</f>
        <v>Value Missing</v>
      </c>
    </row>
    <row r="227" spans="5:30" ht="20" customHeight="1" x14ac:dyDescent="0.2">
      <c r="E227" s="4" t="s">
        <v>1526</v>
      </c>
      <c r="F227" s="337" t="str">
        <f>IF(mgmt_az1_host10_fqdn="Value Missing",mgmt_az1_host10_fqdn,LEFT(mgmt_az1_host10_fqdn,FIND(".",mgmt_az1_host10_fqdn)-1))</f>
        <v>Value Missing</v>
      </c>
      <c r="H227" s="4" t="s">
        <v>1526</v>
      </c>
      <c r="I227" s="337" t="str">
        <f>IF(wld_az1_host10_fqdn="Value Missing",wld_az1_host10_fqdn,LEFT(wld_az1_host10_fqdn,FIND(".",wld_az1_host10_fqdn)-1))</f>
        <v>Value Missing</v>
      </c>
      <c r="K227" s="4" t="s">
        <v>1520</v>
      </c>
      <c r="L227" s="337" t="str">
        <f>IF(ISBLANK(input_wld_az1_rack2_host7_fqdn),"Value Missing",input_wld_az1_rack2_host7_fqdn)</f>
        <v>Value Missing</v>
      </c>
      <c r="N227" s="4" t="s">
        <v>1520</v>
      </c>
      <c r="O227" s="337" t="str">
        <f>IF(ISBLANK(input_wld_az1_rack3_host7_fqdn),"Value Missing",input_wld_az1_rack3_host7_fqdn)</f>
        <v>Value Missing</v>
      </c>
      <c r="P227" s="2"/>
      <c r="Q227" s="4" t="s">
        <v>1520</v>
      </c>
      <c r="R227" s="337" t="str">
        <f>IF(ISBLANK(input_wld_az1_rack4_host7_fqdn),"Value Missing",input_wld_az1_rack4_host7_fqdn)</f>
        <v>Value Missing</v>
      </c>
      <c r="S227" s="2"/>
      <c r="T227" s="4" t="s">
        <v>1520</v>
      </c>
      <c r="U227" s="337" t="str">
        <f>IF(ISBLANK(input_wld_az1_rack5_host7_fqdn),"Value Missing",input_wld_az1_rack5_host7_fqdn)</f>
        <v>Value Missing</v>
      </c>
      <c r="V227" s="2"/>
      <c r="W227" s="4" t="s">
        <v>1520</v>
      </c>
      <c r="X227" s="337" t="str">
        <f>IF(ISBLANK(input_wld_az1_rack6_host7_fqdn),"Value Missing",input_wld_az1_rack6_host7_fqdn)</f>
        <v>Value Missing</v>
      </c>
      <c r="Y227" s="2"/>
      <c r="Z227" s="4" t="s">
        <v>1520</v>
      </c>
      <c r="AA227" s="337" t="str">
        <f>IF(ISBLANK(input_wld_az1_rack7_host7_fqdn),"Value Missing",input_wld_az1_rack7_host7_fqdn)</f>
        <v>Value Missing</v>
      </c>
      <c r="AB227" s="2"/>
      <c r="AC227" s="4" t="s">
        <v>1520</v>
      </c>
      <c r="AD227" s="337" t="str">
        <f>IF(ISBLANK(input_wld_az1_rack8_host7_fqdn),"Value Missing",input_wld_az1_rack8_host7_fqdn)</f>
        <v>Value Missing</v>
      </c>
    </row>
    <row r="228" spans="5:30" ht="20" customHeight="1" x14ac:dyDescent="0.2">
      <c r="E228" s="4" t="s">
        <v>1528</v>
      </c>
      <c r="F228" s="337" t="str">
        <f>IF(mgmt_az1_host11_fqdn="Value Missing",mgmt_az1_host11_fqdn,LEFT(mgmt_az1_host11_fqdn,FIND(".",mgmt_az1_host11_fqdn)-1))</f>
        <v>Value Missing</v>
      </c>
      <c r="H228" s="4" t="s">
        <v>1528</v>
      </c>
      <c r="I228" s="337" t="str">
        <f>IF(wld_az1_host11_fqdn="Value Missing",wld_az1_host11_fqdn,LEFT(wld_az1_host11_fqdn,FIND(".",wld_az1_host11_fqdn)-1))</f>
        <v>Value Missing</v>
      </c>
      <c r="K228" s="4" t="s">
        <v>1522</v>
      </c>
      <c r="L228" s="337" t="str">
        <f>IF(ISBLANK(input_wld_az1_rack2_host8_fqdn),"Value Missing",input_wld_az1_rack2_host8_fqdn)</f>
        <v>Value Missing</v>
      </c>
      <c r="N228" s="4" t="s">
        <v>1522</v>
      </c>
      <c r="O228" s="337" t="str">
        <f>IF(ISBLANK(input_wld_az1_rack3_host8_fqdn),"Value Missing",input_wld_az1_rack3_host8_fqdn)</f>
        <v>Value Missing</v>
      </c>
      <c r="P228" s="2"/>
      <c r="Q228" s="4" t="s">
        <v>1522</v>
      </c>
      <c r="R228" s="337" t="str">
        <f>IF(ISBLANK(input_wld_az1_rack4_host8_fqdn),"Value Missing",input_wld_az1_rack4_host8_fqdn)</f>
        <v>Value Missing</v>
      </c>
      <c r="S228" s="2"/>
      <c r="T228" s="4" t="s">
        <v>1522</v>
      </c>
      <c r="U228" s="337" t="str">
        <f>IF(ISBLANK(input_wld_az1_rack5_host8_fqdn),"Value Missing",input_wld_az1_rack5_host8_fqdn)</f>
        <v>Value Missing</v>
      </c>
      <c r="V228" s="2"/>
      <c r="W228" s="4" t="s">
        <v>1522</v>
      </c>
      <c r="X228" s="337" t="str">
        <f>IF(ISBLANK(input_wld_az1_rack6_host8_fqdn),"Value Missing",input_wld_az1_rack6_host8_fqdn)</f>
        <v>Value Missing</v>
      </c>
      <c r="Y228" s="2"/>
      <c r="Z228" s="4" t="s">
        <v>1522</v>
      </c>
      <c r="AA228" s="337" t="str">
        <f>IF(ISBLANK(input_wld_az1_rack7_host8_fqdn),"Value Missing",input_wld_az1_rack7_host8_fqdn)</f>
        <v>Value Missing</v>
      </c>
      <c r="AB228" s="2"/>
      <c r="AC228" s="4" t="s">
        <v>1522</v>
      </c>
      <c r="AD228" s="337" t="str">
        <f>IF(ISBLANK(input_wld_az1_rack8_host8_fqdn),"Value Missing",input_wld_az1_rack8_host8_fqdn)</f>
        <v>Value Missing</v>
      </c>
    </row>
    <row r="229" spans="5:30" ht="20" customHeight="1" x14ac:dyDescent="0.2">
      <c r="E229" s="4" t="s">
        <v>1530</v>
      </c>
      <c r="F229" s="337" t="str">
        <f>IF(mgmt_az1_host12_fqdn="Value Missing",mgmt_az1_host12_fqdn,LEFT(mgmt_az1_host12_fqdn,FIND(".",mgmt_az1_host12_fqdn)-1))</f>
        <v>Value Missing</v>
      </c>
      <c r="H229" s="4" t="s">
        <v>1530</v>
      </c>
      <c r="I229" s="337" t="str">
        <f>IF(wld_az1_host12_fqdn="Value Missing",wld_az1_host12_fqdn,LEFT(wld_az1_host12_fqdn,FIND(".",wld_az1_host12_fqdn)-1))</f>
        <v>Value Missing</v>
      </c>
      <c r="K229" s="4" t="s">
        <v>1524</v>
      </c>
      <c r="L229" s="337" t="str">
        <f>IF(ISBLANK(input_wld_az1_rack2_host9_fqdn),"Value Missing",input_wld_az1_rack2_host9_fqdn)</f>
        <v>Value Missing</v>
      </c>
      <c r="N229" s="4" t="s">
        <v>1524</v>
      </c>
      <c r="O229" s="337" t="str">
        <f>IF(ISBLANK(input_wld_az1_rack3_host9_fqdn),"Value Missing",input_wld_az1_rack3_host9_fqdn)</f>
        <v>Value Missing</v>
      </c>
      <c r="Q229" s="4" t="s">
        <v>1524</v>
      </c>
      <c r="R229" s="337" t="str">
        <f>IF(ISBLANK(input_wld_az1_rack4_host9_fqdn),"Value Missing",input_wld_az1_rack4_host9_fqdn)</f>
        <v>Value Missing</v>
      </c>
      <c r="T229" s="4" t="s">
        <v>1524</v>
      </c>
      <c r="U229" s="337" t="str">
        <f>IF(ISBLANK(input_wld_az1_rack5_host9_fqdn),"Value Missing",input_wld_az1_rack5_host9_fqdn)</f>
        <v>Value Missing</v>
      </c>
      <c r="W229" s="4" t="s">
        <v>1524</v>
      </c>
      <c r="X229" s="337" t="str">
        <f>IF(ISBLANK(input_wld_az1_rack6_host9_fqdn),"Value Missing",input_wld_az1_rack6_host9_fqdn)</f>
        <v>Value Missing</v>
      </c>
      <c r="Z229" s="4" t="s">
        <v>1524</v>
      </c>
      <c r="AA229" s="337" t="str">
        <f>IF(ISBLANK(input_wld_az1_rack7_host9_fqdn),"Value Missing",input_wld_az1_rack7_host9_fqdn)</f>
        <v>Value Missing</v>
      </c>
      <c r="AC229" s="4" t="s">
        <v>1524</v>
      </c>
      <c r="AD229" s="337" t="str">
        <f>IF(ISBLANK(input_wld_az1_rack8_host9_fqdn),"Value Missing",input_wld_az1_rack8_host9_fqdn)</f>
        <v>Value Missing</v>
      </c>
    </row>
    <row r="230" spans="5:30" ht="20" customHeight="1" x14ac:dyDescent="0.2">
      <c r="E230" s="4" t="s">
        <v>1532</v>
      </c>
      <c r="F230" s="337" t="str">
        <f>IF(mgmt_az1_host13_fqdn="Value Missing",mgmt_az1_host13_fqdn,LEFT(mgmt_az1_host13_fqdn,FIND(".",mgmt_az1_host13_fqdn)-1))</f>
        <v>Value Missing</v>
      </c>
      <c r="H230" s="4" t="s">
        <v>1532</v>
      </c>
      <c r="I230" s="337" t="str">
        <f>IF(wld_az1_host13_fqdn="Value Missing",wld_az1_host13_fqdn,LEFT(wld_az1_host13_fqdn,FIND(".",wld_az1_host13_fqdn)-1))</f>
        <v>Value Missing</v>
      </c>
      <c r="K230" s="4" t="s">
        <v>1526</v>
      </c>
      <c r="L230" s="337" t="str">
        <f>IF(ISBLANK(input_wld_az1_rack2_host10_fqdn),"Value Missing",input_wld_az1_rack2_host10_fqdn)</f>
        <v>Value Missing</v>
      </c>
      <c r="N230" s="4" t="s">
        <v>1526</v>
      </c>
      <c r="O230" s="337" t="str">
        <f>IF(ISBLANK(input_wld_az1_rack3_host10_fqdn),"Value Missing",input_wld_az1_rack3_host10_fqdn)</f>
        <v>Value Missing</v>
      </c>
      <c r="Q230" s="4" t="s">
        <v>1526</v>
      </c>
      <c r="R230" s="337" t="str">
        <f>IF(ISBLANK(input_wld_az1_rack4_host10_fqdn),"Value Missing",input_wld_az1_rack4_host10_fqdn)</f>
        <v>Value Missing</v>
      </c>
      <c r="T230" s="4" t="s">
        <v>1526</v>
      </c>
      <c r="U230" s="337" t="str">
        <f>IF(ISBLANK(input_wld_az1_rack5_host10_fqdn),"Value Missing",input_wld_az1_rack5_host10_fqdn)</f>
        <v>Value Missing</v>
      </c>
      <c r="W230" s="4" t="s">
        <v>1526</v>
      </c>
      <c r="X230" s="337" t="str">
        <f>IF(ISBLANK(input_wld_az1_rack6_host10_fqdn),"Value Missing",input_wld_az1_rack6_host10_fqdn)</f>
        <v>Value Missing</v>
      </c>
      <c r="Z230" s="4" t="s">
        <v>1526</v>
      </c>
      <c r="AA230" s="337" t="str">
        <f>IF(ISBLANK(input_wld_az1_rack7_host10_fqdn),"Value Missing",input_wld_az1_rack7_host10_fqdn)</f>
        <v>Value Missing</v>
      </c>
      <c r="AC230" s="4" t="s">
        <v>1526</v>
      </c>
      <c r="AD230" s="337" t="str">
        <f>IF(ISBLANK(input_wld_az1_rack8_host10_fqdn),"Value Missing",input_wld_az1_rack8_host10_fqdn)</f>
        <v>Value Missing</v>
      </c>
    </row>
    <row r="231" spans="5:30" ht="20" customHeight="1" x14ac:dyDescent="0.2">
      <c r="E231" s="4" t="s">
        <v>1533</v>
      </c>
      <c r="F231" s="337" t="str">
        <f>IF(mgmt_az1_host14_fqdn="Value Missing",mgmt_az1_host14_fqdn,LEFT(mgmt_az1_host14_fqdn,FIND(".",mgmt_az1_host14_fqdn)-1))</f>
        <v>Value Missing</v>
      </c>
      <c r="H231" s="4" t="s">
        <v>1533</v>
      </c>
      <c r="I231" s="337" t="str">
        <f>IF(wld_az1_host14_fqdn="Value Missing",wld_az1_host14_fqdn,LEFT(wld_az1_host14_fqdn,FIND(".",wld_az1_host14_fqdn)-1))</f>
        <v>Value Missing</v>
      </c>
      <c r="K231" s="4" t="s">
        <v>1528</v>
      </c>
      <c r="L231" s="337" t="str">
        <f>IF(ISBLANK(input_wld_az1_rack2_host11_fqdn),"Value Missing",input_wld_az1_rack2_host11_fqdn)</f>
        <v>Value Missing</v>
      </c>
      <c r="N231" s="4" t="s">
        <v>1528</v>
      </c>
      <c r="O231" s="337" t="str">
        <f>IF(ISBLANK(input_wld_az1_rack3_host11_fqdn),"Value Missing",input_wld_az1_rack3_host11_fqdn)</f>
        <v>Value Missing</v>
      </c>
      <c r="Q231" s="4" t="s">
        <v>1528</v>
      </c>
      <c r="R231" s="337" t="str">
        <f>IF(ISBLANK(input_wld_az1_rack4_host11_fqdn),"Value Missing",input_wld_az1_rack4_host11_fqdn)</f>
        <v>Value Missing</v>
      </c>
      <c r="T231" s="4" t="s">
        <v>1528</v>
      </c>
      <c r="U231" s="337" t="str">
        <f>IF(ISBLANK(input_wld_az1_rack5_host11_fqdn),"Value Missing",input_wld_az1_rack5_host11_fqdn)</f>
        <v>Value Missing</v>
      </c>
      <c r="W231" s="4" t="s">
        <v>1528</v>
      </c>
      <c r="X231" s="337" t="str">
        <f>IF(ISBLANK(input_wld_az1_rack6_host11_fqdn),"Value Missing",input_wld_az1_rack6_host11_fqdn)</f>
        <v>Value Missing</v>
      </c>
      <c r="Z231" s="4" t="s">
        <v>1528</v>
      </c>
      <c r="AA231" s="337" t="str">
        <f>IF(ISBLANK(input_wld_az1_rack7_host11_fqdn),"Value Missing",input_wld_az1_rack7_host11_fqdn)</f>
        <v>Value Missing</v>
      </c>
      <c r="AC231" s="4" t="s">
        <v>1528</v>
      </c>
      <c r="AD231" s="337" t="str">
        <f>IF(ISBLANK(input_wld_az1_rack8_host11_fqdn),"Value Missing",input_wld_az1_rack8_host11_fqdn)</f>
        <v>Value Missing</v>
      </c>
    </row>
    <row r="232" spans="5:30" ht="20" customHeight="1" x14ac:dyDescent="0.2">
      <c r="E232" s="4" t="s">
        <v>1536</v>
      </c>
      <c r="F232" s="337" t="str">
        <f>IF(mgmt_az1_host15_fqdn="Value Missing",mgmt_az1_host15_fqdn,LEFT(mgmt_az1_host15_fqdn,FIND(".",mgmt_az1_host15_fqdn)-1))</f>
        <v>Value Missing</v>
      </c>
      <c r="H232" s="4" t="s">
        <v>1536</v>
      </c>
      <c r="I232" s="337" t="str">
        <f>IF(wld_az1_host15_fqdn="Value Missing",wld_az1_host15_fqdn,LEFT(wld_az1_host15_fqdn,FIND(".",wld_az1_host15_fqdn)-1))</f>
        <v>Value Missing</v>
      </c>
      <c r="K232" s="4" t="s">
        <v>1530</v>
      </c>
      <c r="L232" s="337" t="str">
        <f>IF(ISBLANK(input_wld_az1_rack2_host12_fqdn),"Value Missing",input_wld_az1_rack2_host12_fqdn)</f>
        <v>Value Missing</v>
      </c>
      <c r="N232" s="4" t="s">
        <v>1530</v>
      </c>
      <c r="O232" s="337" t="str">
        <f>IF(ISBLANK(input_wld_az1_rack3_host12_fqdn),"Value Missing",input_wld_az1_rack3_host12_fqdn)</f>
        <v>Value Missing</v>
      </c>
      <c r="Q232" s="4" t="s">
        <v>1530</v>
      </c>
      <c r="R232" s="337" t="str">
        <f>IF(ISBLANK(input_wld_az1_rack4_host12_fqdn),"Value Missing",input_wld_az1_rack4_host12_fqdn)</f>
        <v>Value Missing</v>
      </c>
      <c r="T232" s="4" t="s">
        <v>1530</v>
      </c>
      <c r="U232" s="337" t="str">
        <f>IF(ISBLANK(input_wld_az1_rack5_host12_fqdn),"Value Missing",input_wld_az1_rack5_host12_fqdn)</f>
        <v>Value Missing</v>
      </c>
      <c r="W232" s="4" t="s">
        <v>1530</v>
      </c>
      <c r="X232" s="337" t="str">
        <f>IF(ISBLANK(input_wld_az1_rack6_host12_fqdn),"Value Missing",input_wld_az1_rack6_host12_fqdn)</f>
        <v>Value Missing</v>
      </c>
      <c r="Z232" s="4" t="s">
        <v>1530</v>
      </c>
      <c r="AA232" s="337" t="str">
        <f>IF(ISBLANK(input_wld_az1_rack7_host12_fqdn),"Value Missing",input_wld_az1_rack7_host12_fqdn)</f>
        <v>Value Missing</v>
      </c>
      <c r="AC232" s="4" t="s">
        <v>1530</v>
      </c>
      <c r="AD232" s="337" t="str">
        <f>IF(ISBLANK(input_wld_az1_rack8_host12_fqdn),"Value Missing",input_wld_az1_rack8_host12_fqdn)</f>
        <v>Value Missing</v>
      </c>
    </row>
    <row r="233" spans="5:30" ht="20" customHeight="1" x14ac:dyDescent="0.2">
      <c r="E233" s="4" t="s">
        <v>1537</v>
      </c>
      <c r="F233" s="337" t="str">
        <f>IF(mgmt_az1_host16_fqdn="Value Missing",mgmt_az1_host16_fqdn,LEFT(mgmt_az1_host16_fqdn,FIND(".",mgmt_az1_host16_fqdn)-1))</f>
        <v>Value Missing</v>
      </c>
      <c r="H233" s="4" t="s">
        <v>1537</v>
      </c>
      <c r="I233" s="337" t="str">
        <f>IF(wld_az1_host16_fqdn="Value Missing",wld_az1_host16_fqdn,LEFT(wld_az1_host16_fqdn,FIND(".",wld_az1_host16_fqdn)-1))</f>
        <v>Value Missing</v>
      </c>
      <c r="K233" s="4" t="s">
        <v>1532</v>
      </c>
      <c r="L233" s="337" t="str">
        <f>IF(ISBLANK(input_wld_az1_rack2_host13_fqdn),"Value Missing",input_wld_az1_rack2_host13_fqdn)</f>
        <v>Value Missing</v>
      </c>
      <c r="N233" s="4" t="s">
        <v>1532</v>
      </c>
      <c r="O233" s="337" t="str">
        <f>IF(ISBLANK(input_wld_az1_rack3_host13_fqdn),"Value Missing",input_wld_az1_rack3_host13_fqdn)</f>
        <v>Value Missing</v>
      </c>
      <c r="Q233" s="4" t="s">
        <v>1532</v>
      </c>
      <c r="R233" s="337" t="str">
        <f>IF(ISBLANK(input_wld_az1_rack4_host13_fqdn),"Value Missing",input_wld_az1_rack4_host13_fqdn)</f>
        <v>Value Missing</v>
      </c>
      <c r="T233" s="4" t="s">
        <v>1532</v>
      </c>
      <c r="U233" s="337" t="str">
        <f>IF(ISBLANK(input_wld_az1_rack5_host13_fqdn),"Value Missing",input_wld_az1_rack5_host13_fqdn)</f>
        <v>Value Missing</v>
      </c>
      <c r="W233" s="4" t="s">
        <v>1532</v>
      </c>
      <c r="X233" s="337" t="str">
        <f>IF(ISBLANK(input_wld_az1_rack6_host13_fqdn),"Value Missing",input_wld_az1_rack6_host13_fqdn)</f>
        <v>Value Missing</v>
      </c>
      <c r="Z233" s="4" t="s">
        <v>1532</v>
      </c>
      <c r="AA233" s="337" t="str">
        <f>IF(ISBLANK(input_wld_az1_rack7_host13_fqdn),"Value Missing",input_wld_az1_rack7_host13_fqdn)</f>
        <v>Value Missing</v>
      </c>
      <c r="AC233" s="4" t="s">
        <v>1532</v>
      </c>
      <c r="AD233" s="337" t="str">
        <f>IF(ISBLANK(input_wld_az1_rack8_host13_fqdn),"Value Missing",input_wld_az1_rack8_host13_fqdn)</f>
        <v>Value Missing</v>
      </c>
    </row>
    <row r="234" spans="5:30" ht="20" customHeight="1" x14ac:dyDescent="0.2">
      <c r="E234" s="2"/>
      <c r="F234" s="2"/>
      <c r="H234" s="2"/>
      <c r="I234" s="2"/>
      <c r="K234" s="4" t="s">
        <v>1533</v>
      </c>
      <c r="L234" s="337" t="str">
        <f>IF(ISBLANK(input_wld_az1_rack2_host14_fqdn),"Value Missing",input_wld_az1_rack2_host14_fqdn)</f>
        <v>Value Missing</v>
      </c>
      <c r="N234" s="4" t="s">
        <v>1533</v>
      </c>
      <c r="O234" s="337" t="str">
        <f>IF(ISBLANK(input_wld_az1_rack3_host14_fqdn),"Value Missing",input_wld_az1_rack3_host14_fqdn)</f>
        <v>Value Missing</v>
      </c>
      <c r="Q234" s="4" t="s">
        <v>1533</v>
      </c>
      <c r="R234" s="337" t="str">
        <f>IF(ISBLANK(input_wld_az1_rack4_host14_fqdn),"Value Missing",input_wld_az1_rack4_host14_fqdn)</f>
        <v>Value Missing</v>
      </c>
      <c r="T234" s="4" t="s">
        <v>1533</v>
      </c>
      <c r="U234" s="337" t="str">
        <f>IF(ISBLANK(input_wld_az1_rack5_host14_fqdn),"Value Missing",input_wld_az1_rack5_host14_fqdn)</f>
        <v>Value Missing</v>
      </c>
      <c r="W234" s="4" t="s">
        <v>1533</v>
      </c>
      <c r="X234" s="337" t="str">
        <f>IF(ISBLANK(input_wld_az1_rack6_host14_fqdn),"Value Missing",input_wld_az1_rack6_host14_fqdn)</f>
        <v>Value Missing</v>
      </c>
      <c r="Z234" s="4" t="s">
        <v>1533</v>
      </c>
      <c r="AA234" s="337" t="str">
        <f>IF(ISBLANK(input_wld_az1_rack7_host14_fqdn),"Value Missing",input_wld_az1_rack7_host14_fqdn)</f>
        <v>Value Missing</v>
      </c>
      <c r="AC234" s="4" t="s">
        <v>1533</v>
      </c>
      <c r="AD234" s="337" t="str">
        <f>IF(ISBLANK(input_wld_az1_rack8_host14_fqdn),"Value Missing",input_wld_az1_rack8_host14_fqdn)</f>
        <v>Value Missing</v>
      </c>
    </row>
    <row r="235" spans="5:30" ht="20" customHeight="1" x14ac:dyDescent="0.2">
      <c r="E235" s="379" t="s">
        <v>1545</v>
      </c>
      <c r="F235" s="380"/>
      <c r="H235" s="379" t="s">
        <v>1546</v>
      </c>
      <c r="I235" s="380"/>
      <c r="K235" s="4" t="s">
        <v>1536</v>
      </c>
      <c r="L235" s="337" t="str">
        <f>IF(ISBLANK(input_wld_az1_rack2_host15_fqdn),"Value Missing",input_wld_az1_rack2_host15_fqdn)</f>
        <v>Value Missing</v>
      </c>
      <c r="N235" s="4" t="s">
        <v>1536</v>
      </c>
      <c r="O235" s="337" t="str">
        <f>IF(ISBLANK(input_wld_az1_rack3_host15_fqdn),"Value Missing",input_wld_az1_rack3_host15_fqdn)</f>
        <v>Value Missing</v>
      </c>
      <c r="Q235" s="4" t="s">
        <v>1536</v>
      </c>
      <c r="R235" s="337" t="str">
        <f>IF(ISBLANK(input_wld_az1_rack4_host15_fqdn),"Value Missing",input_wld_az1_rack4_host15_fqdn)</f>
        <v>Value Missing</v>
      </c>
      <c r="T235" s="4" t="s">
        <v>1536</v>
      </c>
      <c r="U235" s="337" t="str">
        <f>IF(ISBLANK(input_wld_az1_rack5_host15_fqdn),"Value Missing",input_wld_az1_rack5_host15_fqdn)</f>
        <v>Value Missing</v>
      </c>
      <c r="W235" s="4" t="s">
        <v>1536</v>
      </c>
      <c r="X235" s="337" t="str">
        <f>IF(ISBLANK(input_wld_az1_rack6_host15_fqdn),"Value Missing",input_wld_az1_rack6_host15_fqdn)</f>
        <v>Value Missing</v>
      </c>
      <c r="Z235" s="4" t="s">
        <v>1536</v>
      </c>
      <c r="AA235" s="337" t="str">
        <f>IF(ISBLANK(input_wld_az1_rack7_host15_fqdn),"Value Missing",input_wld_az1_rack7_host15_fqdn)</f>
        <v>Value Missing</v>
      </c>
      <c r="AC235" s="4" t="s">
        <v>1536</v>
      </c>
      <c r="AD235" s="337" t="str">
        <f>IF(ISBLANK(input_wld_az1_rack8_host15_fqdn),"Value Missing",input_wld_az1_rack8_host15_fqdn)</f>
        <v>Value Missing</v>
      </c>
    </row>
    <row r="236" spans="5:30" ht="20" customHeight="1" x14ac:dyDescent="0.2">
      <c r="E236" s="11" t="s">
        <v>261</v>
      </c>
      <c r="F236" s="14" t="s">
        <v>1269</v>
      </c>
      <c r="H236" s="11" t="s">
        <v>261</v>
      </c>
      <c r="I236" s="14" t="s">
        <v>19</v>
      </c>
      <c r="K236" s="4" t="s">
        <v>1537</v>
      </c>
      <c r="L236" s="337" t="str">
        <f>IF(ISBLANK(input_wld_az1_rack2_host16_fqdn),"Value Missing",input_wld_az1_rack2_host16_fqdn)</f>
        <v>Value Missing</v>
      </c>
      <c r="N236" s="4" t="s">
        <v>1537</v>
      </c>
      <c r="O236" s="337" t="str">
        <f>IF(ISBLANK(input_wld_az1_rack3_host16_fqdn),"Value Missing",input_wld_az1_rack3_host16_fqdn)</f>
        <v>Value Missing</v>
      </c>
      <c r="Q236" s="4" t="s">
        <v>1537</v>
      </c>
      <c r="R236" s="337" t="str">
        <f>IF(ISBLANK(input_wld_az1_rack4_host16_fqdn),"Value Missing",input_wld_az1_rack4_host16_fqdn)</f>
        <v>Value Missing</v>
      </c>
      <c r="T236" s="4" t="s">
        <v>1537</v>
      </c>
      <c r="U236" s="337" t="str">
        <f>IF(ISBLANK(input_wld_az1_rack5_host16_fqdn),"Value Missing",input_wld_az1_rack5_host16_fqdn)</f>
        <v>Value Missing</v>
      </c>
      <c r="W236" s="4" t="s">
        <v>1537</v>
      </c>
      <c r="X236" s="337" t="str">
        <f>IF(ISBLANK(input_wld_az1_rack6_host16_fqdn),"Value Missing",input_wld_az1_rack6_host16_fqdn)</f>
        <v>Value Missing</v>
      </c>
      <c r="Z236" s="4" t="s">
        <v>1537</v>
      </c>
      <c r="AA236" s="337" t="str">
        <f>IF(ISBLANK(input_wld_az1_rack7_host16_fqdn),"Value Missing",input_wld_az1_rack7_host16_fqdn)</f>
        <v>Value Missing</v>
      </c>
      <c r="AC236" s="4" t="s">
        <v>1537</v>
      </c>
      <c r="AD236" s="337" t="str">
        <f>IF(ISBLANK(input_wld_az1_rack8_host16_fqdn),"Value Missing",input_wld_az1_rack8_host16_fqdn)</f>
        <v>Value Missing</v>
      </c>
    </row>
    <row r="237" spans="5:30" ht="20" customHeight="1" x14ac:dyDescent="0.2">
      <c r="E237" s="4" t="s">
        <v>1508</v>
      </c>
      <c r="F237" s="337" t="str">
        <f>IF(ISBLANK(input_mgmt_az1_host1_fqdn),"Value Missing",input_mgmt_az1_host1_fqdn)</f>
        <v>Value Missing</v>
      </c>
      <c r="H237" s="4" t="s">
        <v>1508</v>
      </c>
      <c r="I237" s="337" t="str">
        <f>IF(ISBLANK(input_wld_az1_host1_fqdn),"Value Missing",input_wld_az1_host1_fqdn)</f>
        <v>Value Missing</v>
      </c>
      <c r="K237" s="2"/>
      <c r="L237" s="2"/>
      <c r="N237" s="2"/>
      <c r="O237" s="2"/>
      <c r="Q237" s="2"/>
      <c r="R237" s="2"/>
      <c r="T237" s="2"/>
      <c r="U237" s="2"/>
      <c r="W237" s="2"/>
      <c r="X237" s="2"/>
      <c r="Z237" s="2"/>
      <c r="AA237" s="2"/>
      <c r="AC237" s="2"/>
      <c r="AD237" s="2"/>
    </row>
    <row r="238" spans="5:30" ht="20" customHeight="1" x14ac:dyDescent="0.2">
      <c r="E238" s="4" t="s">
        <v>1510</v>
      </c>
      <c r="F238" s="337" t="str">
        <f>IF(ISBLANK(input_mgmt_az1_host2_fqdn),"Value Missing",input_mgmt_az1_host2_fqdn)</f>
        <v>Value Missing</v>
      </c>
      <c r="H238" s="4" t="s">
        <v>1510</v>
      </c>
      <c r="I238" s="337" t="str">
        <f>IF(ISBLANK(input_wld_az1_host2_fqdn),"Value Missing",input_wld_az1_host2_fqdn)</f>
        <v>Value Missing</v>
      </c>
      <c r="K238" s="379" t="s">
        <v>1547</v>
      </c>
      <c r="L238" s="380"/>
      <c r="N238" s="379" t="s">
        <v>1548</v>
      </c>
      <c r="O238" s="380"/>
      <c r="Q238" s="379" t="s">
        <v>1549</v>
      </c>
      <c r="R238" s="380"/>
      <c r="T238" s="379" t="s">
        <v>1550</v>
      </c>
      <c r="U238" s="380"/>
      <c r="W238" s="379" t="s">
        <v>1551</v>
      </c>
      <c r="X238" s="380"/>
      <c r="Z238" s="379" t="s">
        <v>1552</v>
      </c>
      <c r="AA238" s="380"/>
      <c r="AC238" s="379" t="s">
        <v>1553</v>
      </c>
      <c r="AD238" s="380"/>
    </row>
    <row r="239" spans="5:30" ht="20" customHeight="1" x14ac:dyDescent="0.2">
      <c r="E239" s="4" t="s">
        <v>1512</v>
      </c>
      <c r="F239" s="337" t="str">
        <f>IF(ISBLANK(input_mgmt_az1_host3_fqdn),"Value Missing",input_mgmt_az1_host3_fqdn)</f>
        <v>Value Missing</v>
      </c>
      <c r="H239" s="4" t="s">
        <v>1512</v>
      </c>
      <c r="I239" s="337" t="str">
        <f>IF(ISBLANK(input_wld_az1_host3_fqdn),"Value Missing",input_wld_az1_host3_fqdn)</f>
        <v>Value Missing</v>
      </c>
      <c r="K239" s="4" t="s">
        <v>1554</v>
      </c>
      <c r="L239" s="337"/>
      <c r="N239" s="4" t="s">
        <v>1554</v>
      </c>
      <c r="O239" s="337"/>
      <c r="Q239" s="4" t="s">
        <v>1554</v>
      </c>
      <c r="R239" s="337"/>
      <c r="T239" s="4" t="s">
        <v>1554</v>
      </c>
      <c r="U239" s="337"/>
      <c r="W239" s="4" t="s">
        <v>1554</v>
      </c>
      <c r="X239" s="337"/>
      <c r="Z239" s="4" t="s">
        <v>1554</v>
      </c>
      <c r="AA239" s="337"/>
      <c r="AC239" s="4" t="s">
        <v>1554</v>
      </c>
      <c r="AD239" s="337"/>
    </row>
    <row r="240" spans="5:30" ht="20" customHeight="1" x14ac:dyDescent="0.2">
      <c r="E240" s="4" t="s">
        <v>1514</v>
      </c>
      <c r="F240" s="337" t="str">
        <f>IF(ISBLANK(input_mgmt_az1_host4_fqdn),"Value Missing",input_mgmt_az1_host4_fqdn)</f>
        <v>Value Missing</v>
      </c>
      <c r="G240" s="24"/>
      <c r="H240" s="4" t="s">
        <v>1514</v>
      </c>
      <c r="I240" s="337" t="str">
        <f>IF(ISBLANK(input_wld_az1_host4_fqdn),"Value Missing",input_wld_az1_host4_fqdn)</f>
        <v>Value Missing</v>
      </c>
      <c r="J240" s="24"/>
      <c r="K240" s="4" t="s">
        <v>1555</v>
      </c>
      <c r="L240" s="337"/>
      <c r="N240" s="4" t="s">
        <v>1555</v>
      </c>
      <c r="O240" s="337"/>
      <c r="Q240" s="4" t="s">
        <v>1555</v>
      </c>
      <c r="R240" s="337"/>
      <c r="T240" s="4" t="s">
        <v>1555</v>
      </c>
      <c r="U240" s="337"/>
      <c r="W240" s="4" t="s">
        <v>1555</v>
      </c>
      <c r="X240" s="337"/>
      <c r="Z240" s="4" t="s">
        <v>1555</v>
      </c>
      <c r="AA240" s="337"/>
      <c r="AC240" s="4" t="s">
        <v>1555</v>
      </c>
      <c r="AD240" s="337"/>
    </row>
    <row r="241" spans="5:30" ht="20" customHeight="1" x14ac:dyDescent="0.2">
      <c r="E241" s="4" t="s">
        <v>1516</v>
      </c>
      <c r="F241" s="337" t="str">
        <f>IF(ISBLANK(input_mgmt_az1_host5_fqdn),"Value Missing",input_mgmt_az1_host5_fqdn)</f>
        <v>Value Missing</v>
      </c>
      <c r="H241" s="4" t="s">
        <v>1516</v>
      </c>
      <c r="I241" s="337" t="str">
        <f>IF(ISBLANK(input_wld_az1_host5_fqdn),"Value Missing",input_wld_az1_host5_fqdn)</f>
        <v>Value Missing</v>
      </c>
      <c r="K241" s="4" t="s">
        <v>1556</v>
      </c>
      <c r="L241" s="337"/>
      <c r="N241" s="4" t="s">
        <v>1556</v>
      </c>
      <c r="O241" s="337"/>
      <c r="Q241" s="4" t="s">
        <v>1556</v>
      </c>
      <c r="R241" s="337"/>
      <c r="T241" s="4" t="s">
        <v>1556</v>
      </c>
      <c r="U241" s="337"/>
      <c r="W241" s="4" t="s">
        <v>1556</v>
      </c>
      <c r="X241" s="337"/>
      <c r="Z241" s="4" t="s">
        <v>1556</v>
      </c>
      <c r="AA241" s="337"/>
      <c r="AC241" s="4" t="s">
        <v>1556</v>
      </c>
      <c r="AD241" s="337"/>
    </row>
    <row r="242" spans="5:30" ht="20" customHeight="1" x14ac:dyDescent="0.2">
      <c r="E242" s="4" t="s">
        <v>1518</v>
      </c>
      <c r="F242" s="337" t="str">
        <f>IF(ISBLANK(input_mgmt_az1_host6_fqdn),"Value Missing",input_mgmt_az1_host6_fqdn)</f>
        <v>Value Missing</v>
      </c>
      <c r="H242" s="4" t="s">
        <v>1518</v>
      </c>
      <c r="I242" s="337" t="str">
        <f>IF(ISBLANK(input_wld_az1_host6_fqdn),"Value Missing",input_wld_az1_host6_fqdn)</f>
        <v>Value Missing</v>
      </c>
      <c r="K242" s="4" t="s">
        <v>1557</v>
      </c>
      <c r="L242" s="337"/>
      <c r="N242" s="4" t="s">
        <v>1557</v>
      </c>
      <c r="O242" s="337"/>
      <c r="Q242" s="4" t="s">
        <v>1557</v>
      </c>
      <c r="R242" s="337"/>
      <c r="T242" s="4" t="s">
        <v>1557</v>
      </c>
      <c r="U242" s="337"/>
      <c r="W242" s="4" t="s">
        <v>1557</v>
      </c>
      <c r="X242" s="337"/>
      <c r="Z242" s="4" t="s">
        <v>1557</v>
      </c>
      <c r="AA242" s="337"/>
      <c r="AC242" s="4" t="s">
        <v>1557</v>
      </c>
      <c r="AD242" s="337"/>
    </row>
    <row r="243" spans="5:30" ht="20" customHeight="1" x14ac:dyDescent="0.2">
      <c r="E243" s="4" t="s">
        <v>1520</v>
      </c>
      <c r="F243" s="337" t="str">
        <f>IF(ISBLANK(input_mgmt_az1_host7_fqdn),"Value Missing",input_mgmt_az1_host7_fqdn)</f>
        <v>Value Missing</v>
      </c>
      <c r="H243" s="4" t="s">
        <v>1520</v>
      </c>
      <c r="I243" s="337" t="str">
        <f>IF(ISBLANK(input_wld_az1_host7_fqdn),"Value Missing",input_wld_az1_host7_fqdn)</f>
        <v>Value Missing</v>
      </c>
      <c r="K243" s="4" t="s">
        <v>1558</v>
      </c>
      <c r="L243" s="337"/>
      <c r="M243" s="24"/>
      <c r="N243" s="4" t="s">
        <v>1558</v>
      </c>
      <c r="O243" s="337"/>
      <c r="Q243" s="4" t="s">
        <v>1558</v>
      </c>
      <c r="R243" s="337"/>
      <c r="T243" s="4" t="s">
        <v>1558</v>
      </c>
      <c r="U243" s="337"/>
      <c r="W243" s="4" t="s">
        <v>1558</v>
      </c>
      <c r="X243" s="337"/>
      <c r="Z243" s="4" t="s">
        <v>1558</v>
      </c>
      <c r="AA243" s="337"/>
      <c r="AC243" s="4" t="s">
        <v>1558</v>
      </c>
      <c r="AD243" s="337"/>
    </row>
    <row r="244" spans="5:30" ht="20" customHeight="1" x14ac:dyDescent="0.2">
      <c r="E244" s="4" t="s">
        <v>1522</v>
      </c>
      <c r="F244" s="337" t="str">
        <f>IF(ISBLANK(input_mgmt_az1_host8_fqdn),"Value Missing",input_mgmt_az1_host8_fqdn)</f>
        <v>Value Missing</v>
      </c>
      <c r="H244" s="4" t="s">
        <v>1522</v>
      </c>
      <c r="I244" s="337" t="str">
        <f>IF(ISBLANK(input_wld_az1_host8_fqdn),"Value Missing",input_wld_az1_host8_fqdn)</f>
        <v>Value Missing</v>
      </c>
      <c r="K244" s="4" t="s">
        <v>1559</v>
      </c>
      <c r="L244" s="337"/>
      <c r="N244" s="4" t="s">
        <v>1559</v>
      </c>
      <c r="O244" s="337"/>
      <c r="Q244" s="4" t="s">
        <v>1559</v>
      </c>
      <c r="R244" s="337"/>
      <c r="T244" s="4" t="s">
        <v>1559</v>
      </c>
      <c r="U244" s="337"/>
      <c r="W244" s="4" t="s">
        <v>1559</v>
      </c>
      <c r="X244" s="337"/>
      <c r="Z244" s="4" t="s">
        <v>1559</v>
      </c>
      <c r="AA244" s="337"/>
      <c r="AC244" s="4" t="s">
        <v>1559</v>
      </c>
      <c r="AD244" s="337"/>
    </row>
    <row r="245" spans="5:30" ht="20" customHeight="1" x14ac:dyDescent="0.2">
      <c r="E245" s="4" t="s">
        <v>1524</v>
      </c>
      <c r="F245" s="337" t="str">
        <f>IF(ISBLANK(input_mgmt_az1_host9_fqdn),"Value Missing",input_mgmt_az1_host9_fqdn)</f>
        <v>Value Missing</v>
      </c>
      <c r="H245" s="4" t="s">
        <v>1524</v>
      </c>
      <c r="I245" s="337" t="str">
        <f>IF(ISBLANK(input_wld_az1_host9_fqdn),"Value Missing",input_wld_az1_host9_fqdn)</f>
        <v>Value Missing</v>
      </c>
      <c r="K245" s="4" t="s">
        <v>1560</v>
      </c>
      <c r="L245" s="337"/>
      <c r="N245" s="4" t="s">
        <v>1560</v>
      </c>
      <c r="O245" s="337"/>
      <c r="Q245" s="4" t="s">
        <v>1560</v>
      </c>
      <c r="R245" s="337"/>
      <c r="T245" s="4" t="s">
        <v>1560</v>
      </c>
      <c r="U245" s="337"/>
      <c r="W245" s="4" t="s">
        <v>1560</v>
      </c>
      <c r="X245" s="337"/>
      <c r="Z245" s="4" t="s">
        <v>1560</v>
      </c>
      <c r="AA245" s="337"/>
      <c r="AC245" s="4" t="s">
        <v>1560</v>
      </c>
      <c r="AD245" s="337"/>
    </row>
    <row r="246" spans="5:30" ht="20" customHeight="1" x14ac:dyDescent="0.2">
      <c r="E246" s="4" t="s">
        <v>1526</v>
      </c>
      <c r="F246" s="337" t="str">
        <f>IF(ISBLANK(input_mgmt_az1_host10_fqdn),"Value Missing",input_mgmt_az1_host10_fqdn)</f>
        <v>Value Missing</v>
      </c>
      <c r="H246" s="4" t="s">
        <v>1526</v>
      </c>
      <c r="I246" s="337" t="str">
        <f>IF(ISBLANK(input_wld_az1_host10_fqdn),"Value Missing",input_wld_az1_host10_fqdn)</f>
        <v>Value Missing</v>
      </c>
      <c r="K246" s="6"/>
      <c r="L246" s="6"/>
      <c r="N246" s="6"/>
      <c r="O246" s="6"/>
      <c r="Q246" s="6"/>
      <c r="R246" s="6"/>
      <c r="T246" s="6"/>
      <c r="U246" s="6"/>
      <c r="W246" s="6"/>
      <c r="X246" s="6"/>
      <c r="Z246" s="6"/>
      <c r="AA246" s="6"/>
      <c r="AC246" s="6"/>
      <c r="AD246" s="6"/>
    </row>
    <row r="247" spans="5:30" ht="20" customHeight="1" x14ac:dyDescent="0.2">
      <c r="E247" s="4" t="s">
        <v>1528</v>
      </c>
      <c r="F247" s="337" t="str">
        <f>IF(ISBLANK(input_mgmt_az1_host11_fqdn),"Value Missing",input_mgmt_az1_host11_fqdn)</f>
        <v>Value Missing</v>
      </c>
      <c r="H247" s="4" t="s">
        <v>1528</v>
      </c>
      <c r="I247" s="337" t="str">
        <f>IF(ISBLANK(input_wld_az1_host11_fqdn),"Value Missing",input_wld_az1_host11_fqdn)</f>
        <v>Value Missing</v>
      </c>
      <c r="K247" s="6"/>
      <c r="L247" s="6"/>
      <c r="N247" s="6"/>
      <c r="O247" s="6"/>
      <c r="Q247" s="6"/>
      <c r="R247" s="6"/>
      <c r="T247" s="6"/>
      <c r="U247" s="6"/>
      <c r="W247" s="6"/>
      <c r="X247" s="6"/>
      <c r="Z247" s="6"/>
      <c r="AA247" s="6"/>
      <c r="AC247" s="34"/>
      <c r="AD247" s="34"/>
    </row>
    <row r="248" spans="5:30" ht="20" customHeight="1" x14ac:dyDescent="0.2">
      <c r="E248" s="4" t="s">
        <v>1530</v>
      </c>
      <c r="F248" s="337" t="str">
        <f>IF(ISBLANK(input_mgmt_az1_host12_fqdn),"Value Missing",input_mgmt_az1_host12_fqdn)</f>
        <v>Value Missing</v>
      </c>
      <c r="H248" s="4" t="s">
        <v>1530</v>
      </c>
      <c r="I248" s="337" t="str">
        <f>IF(ISBLANK(input_wld_az1_host12_fqdn),"Value Missing",input_wld_az1_host12_fqdn)</f>
        <v>Value Missing</v>
      </c>
      <c r="K248" s="379" t="s">
        <v>1547</v>
      </c>
      <c r="L248" s="380"/>
      <c r="N248" s="379" t="s">
        <v>1548</v>
      </c>
      <c r="O248" s="380"/>
      <c r="P248" s="24"/>
      <c r="Q248" s="379" t="s">
        <v>1549</v>
      </c>
      <c r="R248" s="380"/>
      <c r="S248" s="24"/>
      <c r="T248" s="379" t="s">
        <v>1550</v>
      </c>
      <c r="U248" s="380"/>
      <c r="V248" s="24"/>
      <c r="W248" s="379" t="s">
        <v>1551</v>
      </c>
      <c r="X248" s="380"/>
      <c r="Y248" s="24"/>
      <c r="Z248" s="379" t="s">
        <v>1552</v>
      </c>
      <c r="AA248" s="380"/>
      <c r="AB248" s="24"/>
      <c r="AC248" s="379" t="s">
        <v>1553</v>
      </c>
      <c r="AD248" s="380"/>
    </row>
    <row r="249" spans="5:30" ht="20" customHeight="1" x14ac:dyDescent="0.2">
      <c r="E249" s="4" t="s">
        <v>1532</v>
      </c>
      <c r="F249" s="337" t="str">
        <f>IF(ISBLANK(input_mgmt_az1_host13_fqdn),"Value Missing",input_mgmt_az1_host13_fqdn)</f>
        <v>Value Missing</v>
      </c>
      <c r="H249" s="4" t="s">
        <v>1532</v>
      </c>
      <c r="I249" s="337" t="str">
        <f>IF(ISBLANK(input_wld_az1_host13_fqdn),"Value Missing",input_wld_az1_host13_fqdn)</f>
        <v>Value Missing</v>
      </c>
      <c r="J249" s="6"/>
      <c r="K249" s="4" t="s">
        <v>1554</v>
      </c>
      <c r="L249" s="337"/>
      <c r="N249" s="4" t="s">
        <v>1554</v>
      </c>
      <c r="O249" s="337"/>
      <c r="Q249" s="4" t="s">
        <v>1554</v>
      </c>
      <c r="R249" s="337"/>
      <c r="T249" s="4" t="s">
        <v>1554</v>
      </c>
      <c r="U249" s="337"/>
      <c r="W249" s="4" t="s">
        <v>1554</v>
      </c>
      <c r="X249" s="337"/>
      <c r="Z249" s="4" t="s">
        <v>1554</v>
      </c>
      <c r="AA249" s="337"/>
      <c r="AC249" s="4" t="s">
        <v>1554</v>
      </c>
      <c r="AD249" s="337"/>
    </row>
    <row r="250" spans="5:30" ht="20" customHeight="1" x14ac:dyDescent="0.2">
      <c r="E250" s="4" t="s">
        <v>1533</v>
      </c>
      <c r="F250" s="337" t="str">
        <f>IF(ISBLANK(input_mgmt_az1_host14_fqdn),"Value Missing",input_mgmt_az1_host14_fqdn)</f>
        <v>Value Missing</v>
      </c>
      <c r="H250" s="4" t="s">
        <v>1533</v>
      </c>
      <c r="I250" s="337" t="str">
        <f>IF(ISBLANK(input_wld_az1_host14_fqdn),"Value Missing",input_wld_az1_host14_fqdn)</f>
        <v>Value Missing</v>
      </c>
      <c r="J250" s="6"/>
      <c r="K250" s="4" t="s">
        <v>1555</v>
      </c>
      <c r="L250" s="337"/>
      <c r="N250" s="4" t="s">
        <v>1555</v>
      </c>
      <c r="O250" s="337"/>
      <c r="Q250" s="4" t="s">
        <v>1555</v>
      </c>
      <c r="R250" s="337"/>
      <c r="T250" s="4" t="s">
        <v>1555</v>
      </c>
      <c r="U250" s="337"/>
      <c r="W250" s="4" t="s">
        <v>1555</v>
      </c>
      <c r="X250" s="337"/>
      <c r="Z250" s="4" t="s">
        <v>1555</v>
      </c>
      <c r="AA250" s="337"/>
      <c r="AC250" s="4" t="s">
        <v>1555</v>
      </c>
      <c r="AD250" s="337"/>
    </row>
    <row r="251" spans="5:30" ht="20" customHeight="1" x14ac:dyDescent="0.2">
      <c r="E251" s="4" t="s">
        <v>1536</v>
      </c>
      <c r="F251" s="337" t="str">
        <f>IF(ISBLANK(input_mgmt_az1_host15_fqdn),"Value Missing",input_mgmt_az1_host15_fqdn)</f>
        <v>Value Missing</v>
      </c>
      <c r="H251" s="4" t="s">
        <v>1536</v>
      </c>
      <c r="I251" s="337" t="str">
        <f>IF(ISBLANK(input_wld_az1_host15_fqdn),"Value Missing",input_wld_az1_host15_fqdn)</f>
        <v>Value Missing</v>
      </c>
      <c r="K251" s="4" t="s">
        <v>1556</v>
      </c>
      <c r="L251" s="337"/>
      <c r="N251" s="4" t="s">
        <v>1556</v>
      </c>
      <c r="O251" s="337"/>
      <c r="Q251" s="4" t="s">
        <v>1556</v>
      </c>
      <c r="R251" s="337"/>
      <c r="T251" s="4" t="s">
        <v>1556</v>
      </c>
      <c r="U251" s="337"/>
      <c r="W251" s="4" t="s">
        <v>1556</v>
      </c>
      <c r="X251" s="337"/>
      <c r="Z251" s="4" t="s">
        <v>1556</v>
      </c>
      <c r="AA251" s="337"/>
      <c r="AC251" s="4" t="s">
        <v>1556</v>
      </c>
      <c r="AD251" s="337"/>
    </row>
    <row r="252" spans="5:30" ht="20" customHeight="1" x14ac:dyDescent="0.2">
      <c r="E252" s="4" t="s">
        <v>1537</v>
      </c>
      <c r="F252" s="337" t="str">
        <f>IF(ISBLANK(input_mgmt_az1_host16_fqdn),"Value Missing",input_mgmt_az1_host16_fqdn)</f>
        <v>Value Missing</v>
      </c>
      <c r="H252" s="4" t="s">
        <v>1537</v>
      </c>
      <c r="I252" s="337" t="str">
        <f>IF(ISBLANK(input_wld_az1_host16_fqdn),"Value Missing",input_wld_az1_host16_fqdn)</f>
        <v>Value Missing</v>
      </c>
      <c r="K252" s="4" t="s">
        <v>1557</v>
      </c>
      <c r="L252" s="337"/>
      <c r="M252" s="2"/>
      <c r="N252" s="4" t="s">
        <v>1557</v>
      </c>
      <c r="O252" s="337"/>
      <c r="Q252" s="4" t="s">
        <v>1557</v>
      </c>
      <c r="R252" s="337"/>
      <c r="T252" s="4" t="s">
        <v>1557</v>
      </c>
      <c r="U252" s="337"/>
      <c r="W252" s="4" t="s">
        <v>1557</v>
      </c>
      <c r="X252" s="337"/>
      <c r="Z252" s="4" t="s">
        <v>1557</v>
      </c>
      <c r="AA252" s="337"/>
      <c r="AC252" s="4" t="s">
        <v>1557</v>
      </c>
      <c r="AD252" s="337"/>
    </row>
    <row r="253" spans="5:30" ht="20" customHeight="1" x14ac:dyDescent="0.2">
      <c r="H253" s="2"/>
      <c r="I253" s="2"/>
      <c r="K253" s="4" t="s">
        <v>1558</v>
      </c>
      <c r="L253" s="337"/>
      <c r="M253" s="2"/>
      <c r="N253" s="4" t="s">
        <v>1558</v>
      </c>
      <c r="O253" s="337"/>
      <c r="Q253" s="4" t="s">
        <v>1558</v>
      </c>
      <c r="R253" s="337"/>
      <c r="T253" s="4" t="s">
        <v>1558</v>
      </c>
      <c r="U253" s="337"/>
      <c r="W253" s="4" t="s">
        <v>1558</v>
      </c>
      <c r="X253" s="337"/>
      <c r="Z253" s="4" t="s">
        <v>1558</v>
      </c>
      <c r="AA253" s="337"/>
      <c r="AC253" s="4" t="s">
        <v>1558</v>
      </c>
      <c r="AD253" s="337"/>
    </row>
    <row r="254" spans="5:30" ht="20" customHeight="1" x14ac:dyDescent="0.2">
      <c r="E254" s="379" t="s">
        <v>1561</v>
      </c>
      <c r="F254" s="380"/>
      <c r="H254" s="379" t="s">
        <v>1562</v>
      </c>
      <c r="I254" s="380"/>
      <c r="K254" s="4" t="s">
        <v>1559</v>
      </c>
      <c r="L254" s="337"/>
      <c r="M254" s="9" t="str">
        <f>IF(wld_dpg_separation_result="Included",(CONCATENATE(prefix_wld_az1_rack_cidr,".21.0/24")),(CONCATENATE(prefix_wld_az1_rack_cidr,".22.0/24")))</f>
        <v>10.13..21.0/24</v>
      </c>
      <c r="N254" s="4" t="s">
        <v>1559</v>
      </c>
      <c r="O254" s="337"/>
      <c r="Q254" s="4" t="s">
        <v>1559</v>
      </c>
      <c r="R254" s="337"/>
      <c r="T254" s="4" t="s">
        <v>1559</v>
      </c>
      <c r="U254" s="337"/>
      <c r="W254" s="4" t="s">
        <v>1559</v>
      </c>
      <c r="X254" s="337"/>
      <c r="Z254" s="4" t="s">
        <v>1559</v>
      </c>
      <c r="AA254" s="337"/>
      <c r="AC254" s="4" t="s">
        <v>1559</v>
      </c>
      <c r="AD254" s="337"/>
    </row>
    <row r="255" spans="5:30" ht="20" customHeight="1" x14ac:dyDescent="0.2">
      <c r="E255" s="4" t="s">
        <v>1554</v>
      </c>
      <c r="F255" s="337" t="str">
        <f>IF(mgmt_az1_en1_fqdn="Value Missing",mgmt_az1_en1_fqdn,LEFT(mgmt_az1_en1_fqdn,FIND(".",mgmt_az1_en1_fqdn)-1))</f>
        <v>Value Missing</v>
      </c>
      <c r="H255" s="4" t="s">
        <v>1554</v>
      </c>
      <c r="I255" s="337" t="str">
        <f>IF(wld_az1_en1_fqdn="Value Missing",wld_az1_en1_fqdn,LEFT(wld_az1_en1_fqdn,FIND(".",wld_az1_en1_fqdn)-1))</f>
        <v>Value Missing</v>
      </c>
      <c r="K255" s="4" t="s">
        <v>1560</v>
      </c>
      <c r="L255" s="337"/>
      <c r="M255" s="9" t="str">
        <f>IF(wld_dpg_separation_result="Included",(CONCATENATE(prefix_wld_az1_rack_cidr,".32.0/24")),(CONCATENATE(prefix_wld_az1_rack_cidr,".33.0/24")))</f>
        <v>10.13..32.0/24</v>
      </c>
      <c r="N255" s="4" t="s">
        <v>1560</v>
      </c>
      <c r="O255" s="337"/>
      <c r="Q255" s="4" t="s">
        <v>1560</v>
      </c>
      <c r="R255" s="337"/>
      <c r="T255" s="4" t="s">
        <v>1560</v>
      </c>
      <c r="U255" s="337"/>
      <c r="W255" s="4" t="s">
        <v>1560</v>
      </c>
      <c r="X255" s="337"/>
      <c r="Z255" s="4" t="s">
        <v>1560</v>
      </c>
      <c r="AA255" s="337"/>
      <c r="AC255" s="4" t="s">
        <v>1560</v>
      </c>
      <c r="AD255" s="337"/>
    </row>
    <row r="256" spans="5:30" ht="20" customHeight="1" x14ac:dyDescent="0.2">
      <c r="E256" s="4" t="s">
        <v>1555</v>
      </c>
      <c r="F256" s="337" t="str">
        <f>mgmt_az1_en1_fqdn</f>
        <v>Value Missing</v>
      </c>
      <c r="H256" s="4" t="s">
        <v>1555</v>
      </c>
      <c r="I256" s="337" t="str">
        <f>wld_az1_en1_fqdn</f>
        <v>Value Missing</v>
      </c>
      <c r="K256" s="6"/>
      <c r="L256" s="2"/>
      <c r="M256" s="9" t="str">
        <f>IF(wld_dpg_separation_result="Included",(CONCATENATE(prefix_wld_az1_rack_cidr,".43.0/24")),(CONCATENATE(prefix_wld_az1_rack_cidr,".44.0/24")))</f>
        <v>10.13..43.0/24</v>
      </c>
      <c r="N256" s="6"/>
      <c r="O256" s="2"/>
      <c r="Q256" s="6"/>
      <c r="R256" s="2"/>
      <c r="T256" s="6"/>
      <c r="U256" s="2"/>
      <c r="W256" s="6"/>
      <c r="X256" s="2"/>
      <c r="Z256" s="6"/>
      <c r="AA256" s="2"/>
      <c r="AC256" s="6"/>
      <c r="AD256" s="2"/>
    </row>
    <row r="257" spans="5:31" ht="20" customHeight="1" x14ac:dyDescent="0.2">
      <c r="E257" s="4" t="s">
        <v>1556</v>
      </c>
      <c r="F257" s="337" t="str">
        <f>IF(mgmt_az1_en1_mgmt_cidr="Value Missing","Value Missing",(_xlfn.TEXTBEFORE(mgmt_az1_en1_mgmt_cidr,"/",1)))</f>
        <v>Value Missing</v>
      </c>
      <c r="H257" s="4" t="s">
        <v>1556</v>
      </c>
      <c r="I257" s="337" t="str">
        <f>IF(wld_az1_en1_mgmt_cidr="Value Missing","Value Missing",(_xlfn.TEXTBEFORE(wld_az1_en1_mgmt_cidr,"/",1)))</f>
        <v>Value Missing</v>
      </c>
      <c r="L257" s="19"/>
      <c r="M257" s="9" t="str">
        <f>IF(wld_dpg_separation_result="Included",(CONCATENATE(prefix_wld_az1_rack_cidr,".54.0/24")),(CONCATENATE(prefix_wld_az1_rack_cidr,".55.0/24")))</f>
        <v>10.13..54.0/24</v>
      </c>
      <c r="P257" s="2"/>
      <c r="S257" s="2"/>
      <c r="V257" s="2"/>
      <c r="W257" s="2"/>
      <c r="Y257" s="2"/>
      <c r="AB257" s="2"/>
    </row>
    <row r="258" spans="5:31" ht="20" customHeight="1" x14ac:dyDescent="0.2">
      <c r="E258" s="4" t="s">
        <v>1563</v>
      </c>
      <c r="F258" s="337" t="str">
        <f>IF(ISBLANK('Configure Management Domain'!D107),"Value Missing",'Configure Management Domain'!D107)</f>
        <v>Value Missing</v>
      </c>
      <c r="H258" s="4" t="s">
        <v>1563</v>
      </c>
      <c r="I258" s="337" t="str">
        <f>IF(ISBLANK('Configure Workload Domain'!D50),"Value Missing",'Configure Workload Domain'!D50)</f>
        <v>Value Missing</v>
      </c>
      <c r="L258" s="19"/>
      <c r="M258" s="9" t="str">
        <f>IF(wld_dpg_separation_result="Included",(CONCATENATE(prefix_wld_az1_rack_cidr,".65.0/24")),(CONCATENATE(prefix_wld_az1_rack_cidr,".66.0/24")))</f>
        <v>10.13..65.0/24</v>
      </c>
      <c r="P258" s="2"/>
      <c r="S258" s="2"/>
      <c r="V258" s="2"/>
      <c r="W258" s="2"/>
      <c r="Y258" s="2"/>
      <c r="AB258" s="2"/>
    </row>
    <row r="259" spans="5:31" ht="20" customHeight="1" x14ac:dyDescent="0.2">
      <c r="E259" s="4" t="s">
        <v>1557</v>
      </c>
      <c r="F259" s="337" t="str">
        <f>IF(ISBLANK('Configure Management Domain'!D159),"Value Missing",'Configure Management Domain'!D159)</f>
        <v>Value Missing</v>
      </c>
      <c r="H259" s="4" t="s">
        <v>1557</v>
      </c>
      <c r="I259" s="337" t="str">
        <f>IF(ISBLANK('Configure Workload Domain'!D102),"Value Missing",'Configure Workload Domain'!D102)</f>
        <v>Value Missing</v>
      </c>
      <c r="K259" s="201" t="str">
        <f t="array" ref="K259">IF(wld_dpg_separation_result="Included",CONCATENATE(prefix_wld_az1_rack_vlan,"21"),CONCATENATE(prefix_wld_az1_rack_vlan,"22"))</f>
        <v>1321</v>
      </c>
      <c r="L259" s="347"/>
      <c r="M259" s="9" t="str">
        <f>IF(wld_dpg_separation_result="Included",(CONCATENATE(prefix_wld_az1_rack_cidr,".76.0/24")),(CONCATENATE(prefix_wld_az1_rack_cidr,".77.0/24")))</f>
        <v>10.13..76.0/24</v>
      </c>
      <c r="N259" s="347"/>
      <c r="O259" s="9" t="str">
        <f>IF(wld_dpg_separation_result="Included",CONCATENATE(prefix_wld_az1_rack_cidr,".21.1"),CONCATENATE(prefix_wld_az1_rack_cidr,".22.1"))</f>
        <v>10.13..21.1</v>
      </c>
      <c r="P259" s="347"/>
      <c r="Q259" s="9">
        <v>1500</v>
      </c>
      <c r="R259" s="347"/>
      <c r="S259" s="2"/>
      <c r="V259" s="2"/>
      <c r="W259" s="2"/>
      <c r="Y259" s="2"/>
      <c r="AB259" s="2"/>
    </row>
    <row r="260" spans="5:31" ht="20" customHeight="1" x14ac:dyDescent="0.2">
      <c r="E260" s="4" t="s">
        <v>1558</v>
      </c>
      <c r="F260" s="337" t="str">
        <f>IF(ISBLANK('Configure Management Domain'!D166),"Value Missing",'Configure Management Domain'!D166)</f>
        <v>Value Missing</v>
      </c>
      <c r="H260" s="4" t="s">
        <v>1558</v>
      </c>
      <c r="I260" s="337" t="str">
        <f>IF(ISBLANK('Configure Workload Domain'!D109),"Value Missing",'Configure Workload Domain'!D109)</f>
        <v>Value Missing</v>
      </c>
      <c r="K260" s="201" t="str">
        <f>IF(wld_dpg_separation_result="Included",CONCATENATE(prefix_wld_az1_rack_vlan,"32"),CONCATENATE(prefix_wld_az1_rack_vlan,"33"))</f>
        <v>1332</v>
      </c>
      <c r="L260" s="347"/>
      <c r="M260" s="9" t="str">
        <f>IF(wld_dpg_separation_result="Included",(CONCATENATE(prefix_wld_az1_rack_cidr,".87.0/24")),(CONCATENATE(prefix_wld_az1_rack_cidr,".88.0/24")))</f>
        <v>10.13..87.0/24</v>
      </c>
      <c r="N260" s="347"/>
      <c r="O260" s="9" t="str">
        <f>IF(wld_dpg_separation_result="Included",CONCATENATE(prefix_wld_az1_rack_cidr,".32.1"),CONCATENATE(prefix_wld_az1_rack_cidr,".33.1"))</f>
        <v>10.13..32.1</v>
      </c>
      <c r="P260" s="347"/>
      <c r="Q260" s="9">
        <v>1500</v>
      </c>
      <c r="R260" s="347"/>
      <c r="S260" s="2"/>
      <c r="V260" s="2"/>
      <c r="W260" s="2"/>
      <c r="Y260" s="2"/>
      <c r="AB260" s="2"/>
    </row>
    <row r="261" spans="5:31" ht="20" customHeight="1" x14ac:dyDescent="0.2">
      <c r="E261" s="4" t="s">
        <v>1559</v>
      </c>
      <c r="F261" s="337" t="str">
        <f>IF(ISBLANK('Configure Management Domain'!D120),"Value Missing",'Configure Management Domain'!D120)</f>
        <v>Value Missing</v>
      </c>
      <c r="H261" s="4" t="s">
        <v>1559</v>
      </c>
      <c r="I261" s="337" t="str">
        <f>IF(ISBLANK('Configure Workload Domain'!D63),"Value Missing",'Configure Workload Domain'!D63)</f>
        <v>Value Missing</v>
      </c>
      <c r="K261" s="201" t="str">
        <f>IF(wld_dpg_separation_result="Included",CONCATENATE(prefix_wld_az1_rack_vlan,"43"),CONCATENATE(prefix_wld_az1_rack_vlan,"44"))</f>
        <v>1343</v>
      </c>
      <c r="L261" s="347"/>
      <c r="M261" s="2"/>
      <c r="N261" s="347"/>
      <c r="O261" s="9" t="str">
        <f>IF(wld_dpg_separation_result="Included",CONCATENATE(prefix_wld_az1_rack_cidr,".43.1"),CONCATENATE(prefix_wld_az1_rack_cidr,".44.1"))</f>
        <v>10.13..43.1</v>
      </c>
      <c r="P261" s="347"/>
      <c r="Q261" s="9">
        <v>1500</v>
      </c>
      <c r="R261" s="347"/>
      <c r="S261" s="2"/>
      <c r="V261" s="2"/>
      <c r="W261" s="2"/>
      <c r="Y261" s="2"/>
      <c r="AB261" s="2"/>
    </row>
    <row r="262" spans="5:31" ht="20" customHeight="1" x14ac:dyDescent="0.2">
      <c r="E262" s="4" t="s">
        <v>1560</v>
      </c>
      <c r="F262" s="337" t="str">
        <f>IF(ISBLANK('Configure Management Domain'!D121),"Value Missing",'Configure Management Domain'!D121)</f>
        <v>Value Missing</v>
      </c>
      <c r="H262" s="4" t="s">
        <v>1560</v>
      </c>
      <c r="I262" s="337" t="str">
        <f>IF(ISBLANK('Configure Workload Domain'!D64),"Value Missing",'Configure Workload Domain'!D64)</f>
        <v>Value Missing</v>
      </c>
      <c r="K262" s="201" t="str">
        <f>IF(wld_dpg_separation_result="Included",CONCATENATE(prefix_wld_az1_rack_vlan,"54"),CONCATENATE(prefix_wld_az1_rack_vlan,"55"))</f>
        <v>1354</v>
      </c>
      <c r="L262" s="347"/>
      <c r="M262" s="2"/>
      <c r="N262" s="347"/>
      <c r="O262" s="9" t="str">
        <f>IF(wld_dpg_separation_result="Included",CONCATENATE(prefix_wld_az1_rack_cidr,".54.1"),CONCATENATE(prefix_wld_az1_rack_cidr,".55.1"))</f>
        <v>10.13..54.1</v>
      </c>
      <c r="P262" s="347"/>
      <c r="Q262" s="9">
        <v>1500</v>
      </c>
      <c r="R262" s="347"/>
      <c r="S262" s="2"/>
      <c r="V262" s="2"/>
      <c r="W262" s="2"/>
      <c r="Y262" s="2"/>
      <c r="AB262" s="2"/>
    </row>
    <row r="263" spans="5:31" ht="20" customHeight="1" x14ac:dyDescent="0.2">
      <c r="E263" s="4" t="s">
        <v>1564</v>
      </c>
      <c r="F263" s="337" t="str">
        <f>IF(ISBLANK(mgmt_en01_bfd_chosen),"Value Missing",mgmt_en01_bfd_chosen)</f>
        <v>Selected</v>
      </c>
      <c r="H263" s="6"/>
      <c r="I263" s="6"/>
      <c r="K263" s="201" t="str">
        <f>IF(wld_dpg_separation_result="Included",CONCATENATE(prefix_wld_az1_rack_vlan,"65"),CONCATENATE(prefix_wld_az1_rack_vlan,"66"))</f>
        <v>1365</v>
      </c>
      <c r="L263" s="347"/>
      <c r="M263" s="2"/>
      <c r="N263" s="347"/>
      <c r="O263" s="9" t="str">
        <f>IF(wld_dpg_separation_result="Included",CONCATENATE(prefix_wld_az1_rack_cidr,".65.1"),CONCATENATE(prefix_wld_az1_rack_cidr,".66.1"))</f>
        <v>10.13..65.1</v>
      </c>
      <c r="P263" s="347"/>
      <c r="Q263" s="9">
        <v>1500</v>
      </c>
      <c r="R263" s="347"/>
      <c r="S263" s="2"/>
      <c r="V263" s="2"/>
      <c r="W263" s="2"/>
      <c r="Y263" s="2"/>
      <c r="AB263" s="2"/>
    </row>
    <row r="264" spans="5:31" ht="20" customHeight="1" x14ac:dyDescent="0.2">
      <c r="E264" s="6"/>
      <c r="H264" s="6"/>
      <c r="K264" s="201" t="str">
        <f>IF(wld_dpg_separation_result="Included",CONCATENATE(prefix_wld_az1_rack_vlan,"76"),CONCATENATE(prefix_wld_az1_rack_vlan,"77"))</f>
        <v>1376</v>
      </c>
      <c r="L264" s="347"/>
      <c r="M264" s="2"/>
      <c r="N264" s="347"/>
      <c r="O264" s="9" t="str">
        <f>IF(wld_dpg_separation_result="Included",CONCATENATE(prefix_wld_az1_rack_cidr,".76.1"),CONCATENATE(prefix_wld_az1_rack_cidr,".77.1"))</f>
        <v>10.13..76.1</v>
      </c>
      <c r="P264" s="347"/>
      <c r="Q264" s="9">
        <v>1500</v>
      </c>
      <c r="R264" s="347"/>
      <c r="S264" s="2"/>
      <c r="V264" s="2"/>
      <c r="W264" s="2"/>
      <c r="Y264" s="2"/>
      <c r="AB264" s="2"/>
      <c r="AE264" s="19"/>
    </row>
    <row r="265" spans="5:31" ht="20" customHeight="1" x14ac:dyDescent="0.2">
      <c r="E265" s="379" t="s">
        <v>1565</v>
      </c>
      <c r="F265" s="380"/>
      <c r="G265" s="24"/>
      <c r="H265" s="379" t="s">
        <v>1566</v>
      </c>
      <c r="I265" s="380"/>
      <c r="K265" s="201" t="str">
        <f>IF(wld_dpg_separation_result="Included",CONCATENATE(prefix_wld_az1_rack_vlan,"87"),CONCATENATE(prefix_wld_az1_rack_vlan,"88"))</f>
        <v>1387</v>
      </c>
      <c r="L265" s="347"/>
      <c r="M265" s="2"/>
      <c r="N265" s="347"/>
      <c r="O265" s="9" t="str">
        <f>IF(wld_dpg_separation_result="Included",CONCATENATE(prefix_wld_az1_rack_cidr,".87.1"),CONCATENATE(prefix_wld_az1_rack_cidr,".88.1"))</f>
        <v>10.13..87.1</v>
      </c>
      <c r="P265" s="347"/>
      <c r="Q265" s="9">
        <v>1500</v>
      </c>
      <c r="R265" s="347"/>
      <c r="S265" s="2"/>
      <c r="V265" s="2"/>
      <c r="W265" s="2"/>
      <c r="Y265" s="2"/>
      <c r="AB265" s="2"/>
    </row>
    <row r="266" spans="5:31" ht="20" customHeight="1" x14ac:dyDescent="0.2">
      <c r="E266" s="4" t="s">
        <v>1554</v>
      </c>
      <c r="F266" s="337" t="str">
        <f>IF(mgmt_az1_en2_fqdn="Value Missing",mgmt_az1_en2_fqdn,LEFT(mgmt_az1_en2_fqdn,FIND(".",mgmt_az1_en2_fqdn)-1))</f>
        <v>Value Missing</v>
      </c>
      <c r="H266" s="4" t="s">
        <v>1554</v>
      </c>
      <c r="I266" s="337" t="str">
        <f>IF(wld_az1_en2_fqdn="Value Missing",wld_az1_en2_fqdn,LEFT(wld_az1_en2_fqdn,FIND(".",wld_az1_en2_fqdn)-1))</f>
        <v>Value Missing</v>
      </c>
      <c r="L266" s="19"/>
      <c r="M266" s="2"/>
      <c r="P266" s="2"/>
      <c r="S266" s="2"/>
      <c r="V266" s="2"/>
      <c r="W266" s="2"/>
      <c r="Y266" s="2"/>
      <c r="AB266" s="2"/>
    </row>
    <row r="267" spans="5:31" ht="20" customHeight="1" x14ac:dyDescent="0.2">
      <c r="E267" s="4" t="s">
        <v>1555</v>
      </c>
      <c r="F267" s="337" t="str">
        <f>mgmt_az1_en1_fqdn</f>
        <v>Value Missing</v>
      </c>
      <c r="H267" s="4" t="s">
        <v>1555</v>
      </c>
      <c r="I267" s="337" t="str">
        <f>wld_az1_en2_fqdn</f>
        <v>Value Missing</v>
      </c>
      <c r="L267" s="19"/>
      <c r="M267" s="2"/>
      <c r="P267" s="2"/>
      <c r="S267" s="2"/>
      <c r="V267" s="2"/>
      <c r="W267" s="2"/>
      <c r="Y267" s="2"/>
      <c r="AB267" s="2"/>
    </row>
    <row r="268" spans="5:31" ht="20" customHeight="1" x14ac:dyDescent="0.2">
      <c r="E268" s="4" t="s">
        <v>1556</v>
      </c>
      <c r="F268" s="337" t="str">
        <f>IF(mgmt_az1_en2_mgmt_cidr="Value Missing","Value Missing",(_xlfn.TEXTBEFORE(mgmt_az1_en2_mgmt_cidr,"/",1)))</f>
        <v>Value Missing</v>
      </c>
      <c r="H268" s="4" t="s">
        <v>1556</v>
      </c>
      <c r="I268" s="337" t="str">
        <f>IF(wld_az1_en2_mgmt_cidr="Value Missing","Value Missing",(_xlfn.TEXTBEFORE(wld_az1_en2_mgmt_cidr,"/",1)))</f>
        <v>Value Missing</v>
      </c>
      <c r="L268" s="19"/>
      <c r="M268" s="2"/>
      <c r="P268" s="2"/>
      <c r="S268" s="2"/>
      <c r="V268" s="2"/>
      <c r="W268" s="2"/>
      <c r="Y268" s="2"/>
      <c r="AB268" s="2"/>
    </row>
    <row r="269" spans="5:31" ht="20" customHeight="1" x14ac:dyDescent="0.2">
      <c r="E269" s="4" t="s">
        <v>1563</v>
      </c>
      <c r="F269" s="337" t="str">
        <f>IF(ISBLANK('Configure Management Domain'!D133),"Value Missing",'Configure Management Domain'!D133)</f>
        <v>Value Missing</v>
      </c>
      <c r="H269" s="4" t="s">
        <v>1563</v>
      </c>
      <c r="I269" s="337" t="str">
        <f>IF(ISBLANK('Configure Workload Domain'!D76),"Value Missing",'Configure Workload Domain'!D76)</f>
        <v>Value Missing</v>
      </c>
      <c r="L269" s="19"/>
      <c r="P269" s="2"/>
      <c r="S269" s="2"/>
      <c r="V269" s="2"/>
      <c r="W269" s="2"/>
      <c r="Y269" s="2"/>
      <c r="AB269" s="2"/>
    </row>
    <row r="270" spans="5:31" ht="20" customHeight="1" x14ac:dyDescent="0.2">
      <c r="E270" s="4" t="s">
        <v>1557</v>
      </c>
      <c r="F270" s="337" t="str">
        <f>IF(ISBLANK('Configure Management Domain'!D174),"Value Missing",'Configure Management Domain'!D174)</f>
        <v>Value Missing</v>
      </c>
      <c r="H270" s="4" t="s">
        <v>1557</v>
      </c>
      <c r="I270" s="337" t="str">
        <f>IF(ISBLANK('Configure Workload Domain'!D117),"Value Missing",'Configure Workload Domain'!D117)</f>
        <v>Value Missing</v>
      </c>
      <c r="L270" s="19"/>
      <c r="P270" s="2"/>
      <c r="S270" s="2"/>
      <c r="V270" s="2"/>
      <c r="W270" s="2"/>
      <c r="Y270" s="2"/>
      <c r="AB270" s="2"/>
    </row>
    <row r="271" spans="5:31" ht="20" customHeight="1" x14ac:dyDescent="0.2">
      <c r="E271" s="4" t="s">
        <v>1558</v>
      </c>
      <c r="F271" s="337" t="str">
        <f>IF(ISBLANK('Configure Management Domain'!D181),"Value Missing",'Configure Management Domain'!D181)</f>
        <v>Value Missing</v>
      </c>
      <c r="H271" s="4" t="s">
        <v>1558</v>
      </c>
      <c r="I271" s="337" t="str">
        <f>IF(ISBLANK('Configure Workload Domain'!D124),"Value Missing",'Configure Workload Domain'!D124)</f>
        <v>Value Missing</v>
      </c>
      <c r="L271" s="19"/>
      <c r="P271" s="2"/>
      <c r="S271" s="2"/>
      <c r="V271" s="2"/>
      <c r="W271" s="2"/>
      <c r="Y271" s="2"/>
      <c r="AB271" s="2"/>
    </row>
    <row r="272" spans="5:31" ht="20" customHeight="1" x14ac:dyDescent="0.2">
      <c r="E272" s="4" t="s">
        <v>1559</v>
      </c>
      <c r="F272" s="337" t="str">
        <f>IF(ISBLANK('Configure Management Domain'!D144),"Value Missing",'Configure Management Domain'!D144)</f>
        <v>Value Missing</v>
      </c>
      <c r="H272" s="4" t="s">
        <v>1559</v>
      </c>
      <c r="I272" s="337" t="str">
        <f>IF(ISBLANK('Configure Workload Domain'!D87),"Value Missing",'Configure Workload Domain'!D87)</f>
        <v>Value Missing</v>
      </c>
      <c r="L272" s="19"/>
      <c r="S272" s="2"/>
      <c r="V272" s="2"/>
      <c r="W272" s="2"/>
      <c r="Y272" s="2"/>
      <c r="AB272" s="2"/>
    </row>
    <row r="273" spans="5:28" ht="20" customHeight="1" x14ac:dyDescent="0.2">
      <c r="E273" s="4" t="s">
        <v>1560</v>
      </c>
      <c r="F273" s="337" t="str">
        <f>IF(ISBLANK('Configure Management Domain'!D145),"Value Missing",'Configure Management Domain'!D145)</f>
        <v>Value Missing</v>
      </c>
      <c r="H273" s="4" t="s">
        <v>1560</v>
      </c>
      <c r="I273" s="337" t="str">
        <f>IF(ISBLANK('Configure Workload Domain'!D88),"Value Missing",'Configure Workload Domain'!D88)</f>
        <v>Value Missing</v>
      </c>
      <c r="L273" s="19"/>
      <c r="S273" s="2"/>
      <c r="V273" s="2"/>
      <c r="W273" s="2"/>
      <c r="Y273" s="2"/>
      <c r="AB273" s="2"/>
    </row>
    <row r="274" spans="5:28" ht="20" customHeight="1" x14ac:dyDescent="0.2">
      <c r="E274" s="4" t="s">
        <v>1564</v>
      </c>
      <c r="F274" s="337" t="str">
        <f>IF(ISBLANK(mgmt_en02_bfd_chosen),"Value Missing",mgmt_en02_bfd_chosen)</f>
        <v>Selected</v>
      </c>
      <c r="H274" s="6"/>
      <c r="I274" s="2"/>
    </row>
    <row r="276" spans="5:28" ht="20" customHeight="1" x14ac:dyDescent="0.2">
      <c r="E276" s="379" t="s">
        <v>1567</v>
      </c>
      <c r="F276" s="381"/>
      <c r="H276" s="379" t="s">
        <v>1568</v>
      </c>
      <c r="I276" s="381"/>
    </row>
    <row r="277" spans="5:28" ht="20" customHeight="1" x14ac:dyDescent="0.2">
      <c r="E277" s="11" t="s">
        <v>261</v>
      </c>
      <c r="F277" s="14" t="s">
        <v>1569</v>
      </c>
      <c r="H277" s="11" t="s">
        <v>261</v>
      </c>
      <c r="I277" s="12" t="s">
        <v>1569</v>
      </c>
    </row>
    <row r="278" spans="5:28" ht="20" customHeight="1" x14ac:dyDescent="0.2">
      <c r="E278" s="4" t="s">
        <v>1272</v>
      </c>
      <c r="F278" s="337"/>
      <c r="H278" s="4" t="s">
        <v>1272</v>
      </c>
      <c r="I278" s="337"/>
    </row>
    <row r="279" spans="5:28" ht="20" customHeight="1" x14ac:dyDescent="0.2">
      <c r="E279" s="4" t="s">
        <v>1274</v>
      </c>
      <c r="F279" s="337" t="str">
        <f>IF(ISBLANK('Configure Management Domain'!D225),"Value Missing",'Configure Management Domain'!D225)</f>
        <v>Value Missing</v>
      </c>
      <c r="G279" s="24"/>
      <c r="H279" s="4" t="s">
        <v>1274</v>
      </c>
      <c r="I279" s="337" t="str">
        <f>IF(ISBLANK('Configure Workload Domain'!D169),"Value Missing",'Configure Workload Domain'!D169)</f>
        <v>Value Missing</v>
      </c>
    </row>
    <row r="280" spans="5:28" ht="20" customHeight="1" x14ac:dyDescent="0.2">
      <c r="E280" s="4" t="s">
        <v>251</v>
      </c>
      <c r="F280" s="337" t="str">
        <f>IF(ISBLANK('Configure Management Domain'!D252),"Value Missing",'Configure Management Domain'!D252)</f>
        <v>Value Missing</v>
      </c>
      <c r="H280" s="4" t="s">
        <v>251</v>
      </c>
      <c r="I280" s="337" t="str">
        <f>IF(ISBLANK(input_wld_az2_vmotion_vlan),"Value Missing",input_wld_az2_vmotion_vlan)</f>
        <v>Value Missing</v>
      </c>
    </row>
    <row r="281" spans="5:28" ht="20" customHeight="1" x14ac:dyDescent="0.2">
      <c r="E281" s="17" t="str">
        <f>CONCATENATE("Principal Storage Network ",wld_principal_storage_chosen)</f>
        <v>Principal Storage Network vSAN-ESA</v>
      </c>
      <c r="F281" s="337" t="str">
        <f>IF(ISBLANK('Configure Management Domain'!D260),"Value Missing",'Configure Management Domain'!D260)</f>
        <v>Value Missing</v>
      </c>
      <c r="H281" s="17" t="s">
        <v>1570</v>
      </c>
      <c r="I281" s="337" t="str">
        <f>IF(ISBLANK(input_wld_az2_principal_storage_vlan),"Value Missing",input_wld_az2_principal_storage_vlan)</f>
        <v>Value Missing</v>
      </c>
    </row>
    <row r="282" spans="5:28" ht="20" customHeight="1" x14ac:dyDescent="0.2">
      <c r="E282" s="4" t="s">
        <v>1278</v>
      </c>
      <c r="F282" s="337" t="str">
        <f>IF(ISBLANK('Configure Management Domain'!D365),"Value Missing",'Configure Management Domain'!D365)</f>
        <v>Value Missing</v>
      </c>
      <c r="H282" s="4" t="s">
        <v>1278</v>
      </c>
      <c r="I282" s="337" t="str">
        <f>IF(ISBLANK('Configure Workload Domain'!D323),"Value Missing",'Configure Workload Domain'!D323)</f>
        <v>Value Missing</v>
      </c>
    </row>
    <row r="283" spans="5:28" ht="20" customHeight="1" x14ac:dyDescent="0.2">
      <c r="E283" s="4" t="s">
        <v>1280</v>
      </c>
      <c r="F283" s="337" t="str">
        <f>IF(ISBLANK(input_mgmt_az2_secondary_storage_vlan),"Value Missing",input_mgmt_az2_secondary_storage_vlan)</f>
        <v>Value Missing</v>
      </c>
      <c r="H283" s="4" t="s">
        <v>1280</v>
      </c>
      <c r="I283" s="337" t="str">
        <f>IF(ISBLANK('Configure Workload Domain'!D213),"Value Missing",'Configure Workload Domain'!D213)</f>
        <v>Value Missing</v>
      </c>
    </row>
    <row r="284" spans="5:28" ht="20" customHeight="1" x14ac:dyDescent="0.2">
      <c r="E284" s="4" t="s">
        <v>1283</v>
      </c>
      <c r="F284" s="337" t="str">
        <f>IF(ISBLANK(input_mgmt_az1_uplink01_vlan),"Value Missing",input_mgmt_az1_uplink01_vlan)</f>
        <v>Value Missing</v>
      </c>
      <c r="H284" s="4" t="s">
        <v>805</v>
      </c>
      <c r="I284" s="337" t="str">
        <f>IF(ISBLANK(input_wld_az2_storage_cluster_vlan),"Value Missing",input_wld_az2_storage_cluster_vlan)</f>
        <v>Value Missing</v>
      </c>
    </row>
    <row r="285" spans="5:28" ht="20" customHeight="1" x14ac:dyDescent="0.2">
      <c r="E285" s="4" t="s">
        <v>1285</v>
      </c>
      <c r="F285" s="337" t="str">
        <f>IF(ISBLANK(input_mgmt_az1_uplink02_vlan),"Value Missing",input_mgmt_az1_uplink02_vlan)</f>
        <v>Value Missing</v>
      </c>
      <c r="H285" s="4" t="s">
        <v>1283</v>
      </c>
      <c r="I285" s="337" t="str">
        <f>IF(ISBLANK(input_wld_az1_uplink01_vlan),"Value Missing",input_wld_az1_uplink01_vlan)</f>
        <v>Value Missing</v>
      </c>
    </row>
    <row r="286" spans="5:28" ht="20" customHeight="1" x14ac:dyDescent="0.2">
      <c r="E286" s="4" t="s">
        <v>1287</v>
      </c>
      <c r="F286" s="337" t="str">
        <f>IF(ISBLANK(input_mgmt_az1_edge_overlay_vlan),"Value Missing",input_mgmt_az1_edge_overlay_vlan)</f>
        <v>Value Missing</v>
      </c>
      <c r="H286" s="4" t="s">
        <v>1285</v>
      </c>
      <c r="I286" s="337" t="str">
        <f>IF(ISBLANK(input_wld_az1_uplink02_vlan),"Value Missing",input_wld_az1_uplink02_vlan)</f>
        <v>Value Missing</v>
      </c>
    </row>
    <row r="287" spans="5:28" ht="20" customHeight="1" x14ac:dyDescent="0.2">
      <c r="E287" s="4" t="s">
        <v>1289</v>
      </c>
      <c r="F287" s="337" t="str">
        <f>IF(ISBLANK(input_mgmt_az1_rtep_overlay_vlan),"Value Missing",input_mgmt_az1_rtep_overlay_vlan)</f>
        <v>Value Missing</v>
      </c>
      <c r="H287" s="4" t="s">
        <v>1287</v>
      </c>
      <c r="I287" s="337" t="str">
        <f>IF(ISBLANK(input_wld_az1_edge_overlay_vlan),"Value Missing",input_wld_az1_edge_overlay_vlan)</f>
        <v>Value Missing</v>
      </c>
    </row>
    <row r="288" spans="5:28" ht="20" customHeight="1" x14ac:dyDescent="0.2">
      <c r="E288" s="4" t="s">
        <v>1291</v>
      </c>
      <c r="F288" s="337" t="str">
        <f>IF(ISBLANK(input_mgmt_az1_vrms_vlan),"Value Missing",input_mgmt_az1_vrms_vlan)</f>
        <v>Value Missing</v>
      </c>
      <c r="H288" s="4" t="s">
        <v>1289</v>
      </c>
      <c r="I288" s="337" t="str">
        <f>IF(ISBLANK(input_wld_az1_rtep_overlay_vlan),"Value Missing",input_wld_az1_rtep_overlay_vlan)</f>
        <v>Value Missing</v>
      </c>
    </row>
    <row r="289" spans="5:9" ht="20" customHeight="1" x14ac:dyDescent="0.2">
      <c r="E289" s="2"/>
      <c r="F289" s="2"/>
      <c r="H289" s="4" t="s">
        <v>1291</v>
      </c>
      <c r="I289" s="337" t="str">
        <f>IF(ISBLANK(input_wld_az1_vrms_vlan),"Value Missing",input_wld_az1_vrms_vlan)</f>
        <v>Value Missing</v>
      </c>
    </row>
    <row r="290" spans="5:9" ht="20" customHeight="1" x14ac:dyDescent="0.2">
      <c r="E290" s="379" t="s">
        <v>1571</v>
      </c>
      <c r="F290" s="381"/>
    </row>
    <row r="291" spans="5:9" ht="20" customHeight="1" x14ac:dyDescent="0.2">
      <c r="E291" s="11" t="s">
        <v>261</v>
      </c>
      <c r="F291" s="14" t="s">
        <v>1569</v>
      </c>
      <c r="H291" s="379" t="s">
        <v>1572</v>
      </c>
      <c r="I291" s="381"/>
    </row>
    <row r="292" spans="5:9" ht="20" customHeight="1" x14ac:dyDescent="0.2">
      <c r="E292" s="4" t="s">
        <v>1272</v>
      </c>
      <c r="F292" s="337"/>
      <c r="H292" s="11" t="s">
        <v>261</v>
      </c>
      <c r="I292" s="12" t="s">
        <v>1573</v>
      </c>
    </row>
    <row r="293" spans="5:9" ht="20" customHeight="1" x14ac:dyDescent="0.2">
      <c r="E293" s="4" t="s">
        <v>1274</v>
      </c>
      <c r="F293" s="337" t="str">
        <f>IF(ISBLANK('Configure Management Domain'!D227),"Value Missing",'Configure Management Domain'!D227)</f>
        <v>Value Missing</v>
      </c>
      <c r="G293" s="24"/>
      <c r="H293" s="4" t="s">
        <v>1272</v>
      </c>
      <c r="I293" s="337"/>
    </row>
    <row r="294" spans="5:9" ht="20" customHeight="1" x14ac:dyDescent="0.2">
      <c r="E294" s="4" t="s">
        <v>251</v>
      </c>
      <c r="F294" s="337" t="str">
        <f>IF(OR(mgmt_az2_vmotion_network="Value Missing",mgmt_az2_vmotion_network="Value Missing"),"Value Missing",(CONCATENATE(mgmt_az2_vmotion_network,"/",VLOOKUP(mgmt_az2_vmotion_mask,table_mask_to_cidr,2,FALSE))))</f>
        <v>Value Missing</v>
      </c>
      <c r="H294" s="4" t="s">
        <v>1274</v>
      </c>
      <c r="I294" s="337" t="str">
        <f>IF(ISBLANK('Configure Workload Domain'!D171),"Value Missing",'Configure Workload Domain'!D171)</f>
        <v>Value Missing</v>
      </c>
    </row>
    <row r="295" spans="5:9" ht="20" customHeight="1" x14ac:dyDescent="0.2">
      <c r="E295" s="17" t="str">
        <f>CONCATENATE("Principal Storage Network ",wld_principal_storage_chosen)</f>
        <v>Principal Storage Network vSAN-ESA</v>
      </c>
      <c r="F295" s="337" t="str">
        <f>IF(OR(mgmt_az2_vsan_network="Value Missing",mgmt_az2_vsan_network="Value Missing"),"Value Missing",(CONCATENATE(mgmt_az2_vsan_network,"/",VLOOKUP(mgmt_az2_vsan_mask,table_mask_to_cidr,2,FALSE))))</f>
        <v>Value Missing</v>
      </c>
      <c r="H295" s="4" t="s">
        <v>251</v>
      </c>
      <c r="I295" s="337" t="str">
        <f>IF(OR(ISBLANK(input_wld_az2_vmotion_network),input_wld_az2_vmotion_network="Value Missing"),"Value Missing",(CONCATENATE(input_wld_az2_vmotion_network,"/",VLOOKUP(input_wld_az2_vmotion_mask,table_mask_to_cidr,2,FALSE))))</f>
        <v>Value Missing</v>
      </c>
    </row>
    <row r="296" spans="5:9" ht="20" customHeight="1" x14ac:dyDescent="0.2">
      <c r="E296" s="4" t="s">
        <v>1278</v>
      </c>
      <c r="F296" s="337" t="str">
        <f>IF(ISBLANK(input_mgmt_az2_host_overlay_cidr),"Value Missing",input_mgmt_az2_host_overlay_cidr)</f>
        <v>Value Missing</v>
      </c>
      <c r="H296" s="17" t="s">
        <v>1570</v>
      </c>
      <c r="I296" s="337" t="str">
        <f>IF(OR(ISBLANK(input_wld_az2_principal_storage_network),input_wld_az2_principal_storage_network="Value Missing"),"Value Missing",(CONCATENATE(input_wld_az2_principal_storage_network,"/",VLOOKUP(input_wld_az2_principal_storage_mask,table_mask_to_cidr,2,FALSE))))</f>
        <v>Value Missing</v>
      </c>
    </row>
    <row r="297" spans="5:9" ht="20" customHeight="1" x14ac:dyDescent="0.2">
      <c r="E297" s="4" t="s">
        <v>1280</v>
      </c>
      <c r="F297" s="337" t="str">
        <f>IF(OR(mgmt_az2_secondary_storage_network="Value Missing",mgmt_az2_secondary_storage_network="Value Missing"),"Value Missing",(CONCATENATE(mgmt_az2_secondary_storage_network,"/",VLOOKUP(mgmt_az2_vmotion_mask,table_mask_to_cidr,2,FALSE))))</f>
        <v>Value Missing</v>
      </c>
      <c r="H297" s="4" t="s">
        <v>1278</v>
      </c>
      <c r="I297" s="337" t="str">
        <f>IF(ISBLANK(input_wld_az2_host_overlay_cidr),"Value Missing",input_wld_az2_host_overlay_cidr)</f>
        <v>Value Missing</v>
      </c>
    </row>
    <row r="298" spans="5:9" ht="20" customHeight="1" x14ac:dyDescent="0.2">
      <c r="E298" s="4" t="s">
        <v>1283</v>
      </c>
      <c r="F298" s="337" t="str">
        <f>IF(ISBLANK(input_mgmt_az1_uplink01_cidr),"Value Missing",input_mgmt_az1_uplink01_cidr)</f>
        <v>Value Missing</v>
      </c>
      <c r="H298" s="4" t="s">
        <v>1280</v>
      </c>
      <c r="I298" s="337" t="str">
        <f>IF(OR(wld_az2_secondary_storage_network="Value Missing",wld_az2_secondary_storage_mask="Value Missing"),"Value Missing",(CONCATENATE(wld_az2_secondary_storage_network,"/",VLOOKUP(wld_az2_secondary_storage_mask,table_mask_to_cidr,2,FALSE))))</f>
        <v>Value Missing</v>
      </c>
    </row>
    <row r="299" spans="5:9" ht="20" customHeight="1" x14ac:dyDescent="0.2">
      <c r="E299" s="4" t="s">
        <v>1285</v>
      </c>
      <c r="F299" s="337" t="str">
        <f>IF(ISBLANK(input_mgmt_az1_uplink02_cidr),"Value Missing",input_mgmt_az1_uplink02_cidr)</f>
        <v>Value Missing</v>
      </c>
      <c r="H299" s="4" t="s">
        <v>805</v>
      </c>
      <c r="I299" s="337" t="str">
        <f>IF(OR(ISBLANK(wld_az2_storage_cluster_network),wld_az2_storage_cluster_mask="Value Missing"),"Value Missing",(CONCATENATE(wld_az2_storage_cluster_network,"/",VLOOKUP(wld_az2_storage_cluster_mask,table_mask_to_cidr,2,FALSE))))</f>
        <v>Value Missing</v>
      </c>
    </row>
    <row r="300" spans="5:9" ht="20" customHeight="1" x14ac:dyDescent="0.2">
      <c r="E300" s="4" t="s">
        <v>1287</v>
      </c>
      <c r="F300" s="337" t="str">
        <f>IF(ISBLANK(input_mgmt_az1_edge_overlay_cidr),"Value Missing",input_mgmt_az1_edge_overlay_cidr)</f>
        <v>Value Missing</v>
      </c>
      <c r="H300" s="4" t="s">
        <v>1283</v>
      </c>
      <c r="I300" s="337" t="str">
        <f>IF(ISBLANK(input_wld_az1_uplink01_cidr),"Value Missing",input_wld_az1_uplink01_cidr)</f>
        <v>Value Missing</v>
      </c>
    </row>
    <row r="301" spans="5:9" ht="20" customHeight="1" x14ac:dyDescent="0.2">
      <c r="E301" s="4" t="s">
        <v>1289</v>
      </c>
      <c r="F301" s="337" t="str">
        <f>IF(ISBLANK(input_mgmt_az1_rtep_overlay_cidr),"Value Missing",input_mgmt_az1_rtep_overlay_cidr)</f>
        <v>Value Missing</v>
      </c>
      <c r="H301" s="4" t="s">
        <v>1285</v>
      </c>
      <c r="I301" s="337" t="str">
        <f>IF(ISBLANK(input_wld_az1_uplink02_cidr),"Value Missing",input_wld_az1_uplink02_cidr)</f>
        <v>Value Missing</v>
      </c>
    </row>
    <row r="302" spans="5:9" ht="20" customHeight="1" x14ac:dyDescent="0.2">
      <c r="E302" s="4" t="s">
        <v>1291</v>
      </c>
      <c r="F302" s="337"/>
      <c r="H302" s="4" t="s">
        <v>1287</v>
      </c>
      <c r="I302" s="337" t="str">
        <f>IF(ISBLANK(input_wld_az1_edge_overlay_cidr),"Value Missing",input_wld_az1_edge_overlay_cidr)</f>
        <v>Value Missing</v>
      </c>
    </row>
    <row r="303" spans="5:9" ht="20" customHeight="1" x14ac:dyDescent="0.2">
      <c r="E303" s="6"/>
      <c r="F303" s="6"/>
      <c r="H303" s="4" t="s">
        <v>1289</v>
      </c>
      <c r="I303" s="337" t="str">
        <f>IF(ISBLANK(input_wld_az1_rtep_overlay_cidr),"Value Missing",input_wld_az1_rtep_overlay_cidr)</f>
        <v>Value Missing</v>
      </c>
    </row>
    <row r="304" spans="5:9" ht="20" customHeight="1" x14ac:dyDescent="0.2">
      <c r="E304" s="379" t="s">
        <v>1574</v>
      </c>
      <c r="F304" s="381"/>
      <c r="H304" s="4" t="s">
        <v>1291</v>
      </c>
      <c r="I304" s="337" t="str">
        <f>IF(ISBLANK(input_wld_az1_vrms_cidr),"Value Missing",input_wld_az1_vrms_cidr)</f>
        <v>Value Missing</v>
      </c>
    </row>
    <row r="305" spans="5:9" ht="20" customHeight="1" x14ac:dyDescent="0.2">
      <c r="E305" s="11" t="s">
        <v>261</v>
      </c>
      <c r="F305" s="14" t="s">
        <v>1569</v>
      </c>
      <c r="H305" s="6"/>
      <c r="I305" s="6"/>
    </row>
    <row r="306" spans="5:9" ht="20" customHeight="1" x14ac:dyDescent="0.2">
      <c r="E306" s="4" t="s">
        <v>1272</v>
      </c>
      <c r="F306" s="337"/>
      <c r="G306" s="24"/>
      <c r="H306" s="379" t="s">
        <v>1575</v>
      </c>
      <c r="I306" s="381"/>
    </row>
    <row r="307" spans="5:9" ht="20" customHeight="1" x14ac:dyDescent="0.2">
      <c r="E307" s="4" t="s">
        <v>1274</v>
      </c>
      <c r="F307" s="337" t="str">
        <f>IF(ISBLANK(input_mgmt_az2_mgmt_cidr),"Value Missing",LEFT(mgmt_az2_mgmt_cidr,(FIND("/",mgmt_az2_mgmt_cidr)-1)))</f>
        <v>Value Missing</v>
      </c>
      <c r="G307" s="24"/>
      <c r="H307" s="11" t="s">
        <v>261</v>
      </c>
      <c r="I307" s="12" t="s">
        <v>1573</v>
      </c>
    </row>
    <row r="308" spans="5:9" ht="20" customHeight="1" x14ac:dyDescent="0.2">
      <c r="E308" s="4" t="s">
        <v>251</v>
      </c>
      <c r="F308" s="337" t="str">
        <f>IF(ISBLANK(input_mgmt_az2_vmotion_network),"Value Missing",input_mgmt_az2_vmotion_network)</f>
        <v>Value Missing</v>
      </c>
      <c r="H308" s="4" t="s">
        <v>1272</v>
      </c>
      <c r="I308" s="337" t="s">
        <v>632</v>
      </c>
    </row>
    <row r="309" spans="5:9" ht="20" customHeight="1" x14ac:dyDescent="0.2">
      <c r="E309" s="17" t="str">
        <f>CONCATENATE("Principal Storage Network ",wld_principal_storage_chosen)</f>
        <v>Principal Storage Network vSAN-ESA</v>
      </c>
      <c r="F309" s="337" t="str">
        <f>IF(ISBLANK(input_mgmt_az2_vsan_network),"Value Missing",input_mgmt_az2_vsan_network)</f>
        <v>Value Missing</v>
      </c>
      <c r="H309" s="4" t="s">
        <v>1274</v>
      </c>
      <c r="I309" s="337" t="str">
        <f>IF(OR(ISBLANK(wld_az2_mgmt_cidr),wld_az2_mgmt_cidr="Value Missing"),"Value Missing",LEFT(wld_az2_mgmt_cidr,(FIND("/",wld_az2_mgmt_cidr)-1)))</f>
        <v>Value Missing</v>
      </c>
    </row>
    <row r="310" spans="5:9" ht="20" customHeight="1" x14ac:dyDescent="0.2">
      <c r="E310" s="4" t="s">
        <v>1278</v>
      </c>
      <c r="F310" s="337" t="str">
        <f>IF(OR(ISBLANK(mgmt_az2_host_overlay_cidr),mgmt_az2_host_overlay_cidr="Value Missing"),"Value Missing",LEFT(mgmt_az2_host_overlay_cidr,(FIND("/",mgmt_az2_host_overlay_cidr)-1)))</f>
        <v>Value Missing</v>
      </c>
      <c r="H310" s="4" t="s">
        <v>251</v>
      </c>
      <c r="I310" s="337" t="str">
        <f>IF(ISBLANK(input_wld_az2_vmotion_network),"Value Missing",input_wld_az2_vmotion_network)</f>
        <v>Value Missing</v>
      </c>
    </row>
    <row r="311" spans="5:9" ht="20" customHeight="1" x14ac:dyDescent="0.2">
      <c r="E311" s="4" t="s">
        <v>1280</v>
      </c>
      <c r="F311" s="337" t="str">
        <f>IF(ISBLANK(input_mgmt_az2_secondary_storage_network),"Value Missing",input_mgmt_az2_secondary_storage_network)</f>
        <v>Value Missing</v>
      </c>
      <c r="H311" s="17" t="s">
        <v>1570</v>
      </c>
      <c r="I311" s="337" t="str">
        <f>IF(ISBLANK(input_wld_az2_principal_storage_network),"Value Missing",input_wld_az2_principal_storage_network)</f>
        <v>Value Missing</v>
      </c>
    </row>
    <row r="312" spans="5:9" ht="20" customHeight="1" x14ac:dyDescent="0.2">
      <c r="E312" s="4" t="s">
        <v>1283</v>
      </c>
      <c r="F312" s="337" t="str">
        <f>IF(mgmt_az1_uplink01_cidr="Value Missing",mgmt_az1_uplink01_cidr,LEFT(mgmt_az1_uplink01_cidr,(FIND("/",mgmt_az1_uplink01_cidr)-1)))</f>
        <v>Value Missing</v>
      </c>
      <c r="H312" s="4" t="s">
        <v>1278</v>
      </c>
      <c r="I312" s="337" t="str">
        <f>IF(OR(ISBLANK(wld_az2_host_overlay_cidr),wld_az2_host_overlay_cidr="Value Missing"),"Value Missing",LEFT(wld_az2_host_overlay_cidr,(FIND("/",wld_az2_host_overlay_cidr)-1)))</f>
        <v>Value Missing</v>
      </c>
    </row>
    <row r="313" spans="5:9" ht="20" customHeight="1" x14ac:dyDescent="0.2">
      <c r="E313" s="4" t="s">
        <v>1285</v>
      </c>
      <c r="F313" s="337" t="str">
        <f>IF(mgmt_az1_uplink02_cidr="Value Missing",mgmt_az1_uplink02_cidr,LEFT(mgmt_az1_uplink02_cidr,(FIND("/",mgmt_az1_uplink02_cidr)-1)))</f>
        <v>Value Missing</v>
      </c>
      <c r="H313" s="4" t="s">
        <v>1280</v>
      </c>
      <c r="I313" s="2" t="str">
        <f>IF(ISBLANK(input_wld_az2_secondary_storage_network),"Value Missing",input_wld_az2_secondary_storage_network)</f>
        <v>Value Missing</v>
      </c>
    </row>
    <row r="314" spans="5:9" ht="20" customHeight="1" x14ac:dyDescent="0.2">
      <c r="E314" s="4" t="s">
        <v>1287</v>
      </c>
      <c r="F314" s="337" t="str">
        <f>IF(mgmt_az1_edge_overlay_cidr="Value Missing",mgmt_az1_edge_overlay_cidr,(LEFT(mgmt_az1_edge_overlay_cidr,(FIND("/",mgmt_az1_edge_overlay_cidr)-1))))</f>
        <v>Value Missing</v>
      </c>
      <c r="H314" s="4" t="s">
        <v>805</v>
      </c>
      <c r="I314" s="2" t="str">
        <f>IF(ISBLANK(input_wld_az2_storage_cluster_network),"Value Missing",input_wld_az2_storage_cluster_network)</f>
        <v>Value Missing</v>
      </c>
    </row>
    <row r="315" spans="5:9" ht="20" customHeight="1" x14ac:dyDescent="0.2">
      <c r="E315" s="4" t="s">
        <v>1289</v>
      </c>
      <c r="F315" s="337" t="str">
        <f>mgmt_az1_rtep_overlay_cidr</f>
        <v>Value Missing</v>
      </c>
      <c r="H315" s="4" t="s">
        <v>1283</v>
      </c>
      <c r="I315" s="337" t="str">
        <f>wld_az1_uplink01_network</f>
        <v>Value Missing</v>
      </c>
    </row>
    <row r="316" spans="5:9" ht="20" customHeight="1" x14ac:dyDescent="0.2">
      <c r="E316" s="4" t="s">
        <v>1291</v>
      </c>
      <c r="F316" s="337"/>
      <c r="H316" s="4" t="s">
        <v>1285</v>
      </c>
      <c r="I316" s="337" t="str">
        <f>wld_az1_uplink02_network</f>
        <v>Value Missing</v>
      </c>
    </row>
    <row r="317" spans="5:9" ht="20" customHeight="1" x14ac:dyDescent="0.2">
      <c r="E317" s="2"/>
      <c r="F317" s="2"/>
      <c r="H317" s="4" t="s">
        <v>1287</v>
      </c>
      <c r="I317" s="337" t="str">
        <f>wld_az1_edge_overlay_network</f>
        <v>Value Missing</v>
      </c>
    </row>
    <row r="318" spans="5:9" ht="20" customHeight="1" x14ac:dyDescent="0.2">
      <c r="E318" s="379" t="s">
        <v>1576</v>
      </c>
      <c r="F318" s="381"/>
      <c r="H318" s="4" t="s">
        <v>1289</v>
      </c>
      <c r="I318" s="337" t="str">
        <f>IF(ISBLANK(input_wld_az1_rtep_overlay_cidr),"Value Missing",input_wld_az1_rtep_overlay_cidr)</f>
        <v>Value Missing</v>
      </c>
    </row>
    <row r="319" spans="5:9" ht="20" customHeight="1" x14ac:dyDescent="0.2">
      <c r="E319" s="11" t="s">
        <v>261</v>
      </c>
      <c r="F319" s="14" t="s">
        <v>1569</v>
      </c>
      <c r="H319" s="4" t="s">
        <v>1291</v>
      </c>
      <c r="I319" s="337" t="str">
        <f>IF(ISBLANK(input_wld_az1_vrms_cidr),"Value Missing",input_wld_az1_vrms_cidr)</f>
        <v>Value Missing</v>
      </c>
    </row>
    <row r="320" spans="5:9" ht="20" customHeight="1" x14ac:dyDescent="0.2">
      <c r="E320" s="4" t="s">
        <v>1272</v>
      </c>
      <c r="F320" s="337"/>
    </row>
    <row r="321" spans="5:9" ht="20" customHeight="1" x14ac:dyDescent="0.2">
      <c r="E321" s="4" t="s">
        <v>1274</v>
      </c>
      <c r="F321" s="337" t="str">
        <f>IF(mgmt_az2_mgmt_cidr="Value Missing","Value Missing",VLOOKUP(INT(RIGHT(mgmt_az2_mgmt_cidr,LEN(mgmt_az2_mgmt_cidr)-FIND("/",mgmt_az2_mgmt_cidr))),table_cidr_to_mask,2,FALSE))</f>
        <v>Value Missing</v>
      </c>
      <c r="G321" s="24"/>
      <c r="H321" s="379" t="s">
        <v>1577</v>
      </c>
      <c r="I321" s="381"/>
    </row>
    <row r="322" spans="5:9" ht="20" customHeight="1" x14ac:dyDescent="0.2">
      <c r="E322" s="4" t="s">
        <v>251</v>
      </c>
      <c r="F322" s="337" t="str">
        <f>IF(ISBLANK(input_mgmt_az2_vmotion_mask),"Value Missing",input_mgmt_az2_vmotion_mask)</f>
        <v>Value Missing</v>
      </c>
      <c r="H322" s="11" t="s">
        <v>261</v>
      </c>
      <c r="I322" s="12" t="s">
        <v>1573</v>
      </c>
    </row>
    <row r="323" spans="5:9" ht="20" customHeight="1" x14ac:dyDescent="0.2">
      <c r="E323" s="17" t="str">
        <f>CONCATENATE("Principal Storage Network ",wld_principal_storage_chosen)</f>
        <v>Principal Storage Network vSAN-ESA</v>
      </c>
      <c r="F323" s="337" t="str">
        <f>IF(ISBLANK(input_mgmt_az2_vsan_mask),"Value Missing",input_mgmt_az2_vsan_mask)</f>
        <v>Value Missing</v>
      </c>
      <c r="H323" s="4" t="s">
        <v>1272</v>
      </c>
      <c r="I323" s="337" t="s">
        <v>632</v>
      </c>
    </row>
    <row r="324" spans="5:9" ht="20" customHeight="1" x14ac:dyDescent="0.2">
      <c r="E324" s="4" t="s">
        <v>1278</v>
      </c>
      <c r="F324" s="337" t="str">
        <f>IF(mgmt_az2_host_overlay_cidr="Value Missing","Value Missing",(VLOOKUP(INT(RIGHT(mgmt_az2_host_overlay_cidr,LEN(mgmt_az2_host_overlay_cidr)-FIND("/",mgmt_az2_host_overlay_cidr))),table_cidr_to_mask,2,FALSE)))</f>
        <v>Value Missing</v>
      </c>
      <c r="H324" s="4" t="s">
        <v>1274</v>
      </c>
      <c r="I324" s="337" t="str">
        <f>IF(wld_az2_mgmt_cidr="Value Missing","Value Missing",VLOOKUP(INT(RIGHT(wld_az2_mgmt_cidr,LEN(wld_az2_mgmt_cidr)-FIND("/",wld_az2_mgmt_cidr))),table_cidr_to_mask,2,FALSE))</f>
        <v>Value Missing</v>
      </c>
    </row>
    <row r="325" spans="5:9" ht="20" customHeight="1" x14ac:dyDescent="0.2">
      <c r="E325" s="4" t="s">
        <v>1280</v>
      </c>
      <c r="F325" s="337" t="str">
        <f>IF(ISBLANK(input_mgmt_az2_secondary_storage_mask),"Value Missing",input_mgmt_az2_secondary_storage_mask)</f>
        <v>Value Missing</v>
      </c>
      <c r="H325" s="4" t="s">
        <v>251</v>
      </c>
      <c r="I325" s="337" t="str">
        <f>IF(ISBLANK(input_wld_az2_vmotion_mask),"Value Missing",input_wld_az2_vmotion_mask)</f>
        <v>Value Missing</v>
      </c>
    </row>
    <row r="326" spans="5:9" ht="20" customHeight="1" x14ac:dyDescent="0.2">
      <c r="E326" s="4" t="s">
        <v>1283</v>
      </c>
      <c r="F326" s="337" t="str">
        <f>mgmt_az1_uplink01_mask</f>
        <v>Value Missing</v>
      </c>
      <c r="H326" s="17" t="s">
        <v>1570</v>
      </c>
      <c r="I326" s="337" t="str">
        <f>IF(ISBLANK(input_wld_az2_principal_storage_mask),"Value Missing",input_wld_az2_principal_storage_mask)</f>
        <v>Value Missing</v>
      </c>
    </row>
    <row r="327" spans="5:9" ht="20" customHeight="1" x14ac:dyDescent="0.2">
      <c r="E327" s="4" t="s">
        <v>1285</v>
      </c>
      <c r="F327" s="337" t="str">
        <f>mgmt_az1_uplink02_mask</f>
        <v>Value Missing</v>
      </c>
      <c r="H327" s="4" t="s">
        <v>1278</v>
      </c>
      <c r="I327" s="337" t="str">
        <f>IF(wld_az2_host_overlay_cidr="Value Missing","Value Missing",(VLOOKUP(INT(RIGHT(wld_az2_host_overlay_cidr,LEN(wld_az2_host_overlay_cidr)-FIND("/",wld_az2_host_overlay_cidr))),table_cidr_to_mask,2,FALSE)))</f>
        <v>Value Missing</v>
      </c>
    </row>
    <row r="328" spans="5:9" ht="20" customHeight="1" x14ac:dyDescent="0.2">
      <c r="E328" s="4" t="s">
        <v>1287</v>
      </c>
      <c r="F328" s="337" t="str">
        <f>mgmt_az1_edge_overlay_mask</f>
        <v>Value Missing</v>
      </c>
      <c r="H328" s="4" t="s">
        <v>1280</v>
      </c>
      <c r="I328" s="2" t="str">
        <f>IF(ISBLANK(input_wld_az2_secondary_storage_mask),"Value Missing",input_wld_az2_secondary_storage_mask)</f>
        <v>Value Missing</v>
      </c>
    </row>
    <row r="329" spans="5:9" ht="20" customHeight="1" x14ac:dyDescent="0.2">
      <c r="E329" s="4" t="s">
        <v>1289</v>
      </c>
      <c r="F329" s="337"/>
      <c r="H329" s="4" t="s">
        <v>805</v>
      </c>
      <c r="I329" s="2" t="str">
        <f>IF(ISBLANK(input_wld_az2_storage_cluster_mask),"Value Missing",input_wld_az2_storage_cluster_mask)</f>
        <v>Value Missing</v>
      </c>
    </row>
    <row r="330" spans="5:9" ht="20" customHeight="1" x14ac:dyDescent="0.2">
      <c r="E330" s="4" t="s">
        <v>1291</v>
      </c>
      <c r="F330" s="337" t="str">
        <f>IF(mgmt_az2_mgmt_cidr="Value Missing","Value Missing",VLOOKUP(INT(RIGHT(mgmt_az2_mgmt_cidr,LEN(mgmt_az2_mgmt_cidr)-FIND("/",mgmt_az2_mgmt_cidr))),table_cidr_to_mask,2,FALSE))</f>
        <v>Value Missing</v>
      </c>
      <c r="H330" s="4" t="s">
        <v>1283</v>
      </c>
      <c r="I330" s="337" t="str">
        <f>wld_az1_uplink01_mask</f>
        <v>Value Missing</v>
      </c>
    </row>
    <row r="331" spans="5:9" ht="20" customHeight="1" x14ac:dyDescent="0.2">
      <c r="E331" s="2"/>
      <c r="F331" s="2"/>
      <c r="H331" s="4" t="s">
        <v>1285</v>
      </c>
      <c r="I331" s="337" t="str">
        <f>wld_az1_uplink02_mask</f>
        <v>Value Missing</v>
      </c>
    </row>
    <row r="332" spans="5:9" ht="20" customHeight="1" x14ac:dyDescent="0.2">
      <c r="E332" s="379" t="s">
        <v>1578</v>
      </c>
      <c r="F332" s="381"/>
      <c r="H332" s="4" t="s">
        <v>1287</v>
      </c>
      <c r="I332" s="337" t="str">
        <f>wld_az1_edge_overlay_mask</f>
        <v>Value Missing</v>
      </c>
    </row>
    <row r="333" spans="5:9" ht="20" customHeight="1" x14ac:dyDescent="0.2">
      <c r="E333" s="11" t="s">
        <v>261</v>
      </c>
      <c r="F333" s="12" t="s">
        <v>1569</v>
      </c>
      <c r="H333" s="4" t="s">
        <v>1289</v>
      </c>
      <c r="I333" s="337" t="str">
        <f>IF(ISBLANK(input_wld_az1_rtep_overlay_cidr),"Value Missing",input_wld_az1_rtep_overlay_cidr)</f>
        <v>Value Missing</v>
      </c>
    </row>
    <row r="334" spans="5:9" ht="20" customHeight="1" x14ac:dyDescent="0.2">
      <c r="E334" s="4" t="s">
        <v>1272</v>
      </c>
      <c r="F334" s="337"/>
      <c r="H334" s="4" t="s">
        <v>1291</v>
      </c>
      <c r="I334" s="337" t="str">
        <f>IF(ISBLANK(input_wld_az1_vrms_cidr),"Value Missing",input_wld_az1_vrms_cidr)</f>
        <v>Value Missing</v>
      </c>
    </row>
    <row r="335" spans="5:9" ht="20" customHeight="1" x14ac:dyDescent="0.2">
      <c r="E335" s="4" t="s">
        <v>1274</v>
      </c>
      <c r="F335" s="337" t="str">
        <f>IF(ISBLANK('Configure Management Domain'!D226),"Value Missing",'Configure Management Domain'!D226)</f>
        <v>Value Missing</v>
      </c>
      <c r="G335" s="24"/>
    </row>
    <row r="336" spans="5:9" ht="20" customHeight="1" x14ac:dyDescent="0.2">
      <c r="E336" s="4" t="s">
        <v>251</v>
      </c>
      <c r="F336" s="337" t="str">
        <f>IF(ISBLANK('Configure Management Domain'!D256),"Value Missing",'Configure Management Domain'!D256)</f>
        <v>Value Missing</v>
      </c>
      <c r="H336" s="379" t="s">
        <v>1579</v>
      </c>
      <c r="I336" s="381"/>
    </row>
    <row r="337" spans="2:37" ht="20" customHeight="1" x14ac:dyDescent="0.2">
      <c r="E337" s="17" t="str">
        <f>CONCATENATE("Principal Storage Network ",wld_principal_storage_chosen)</f>
        <v>Principal Storage Network vSAN-ESA</v>
      </c>
      <c r="F337" s="337" t="str">
        <f>IF(ISBLANK('Configure Management Domain'!D264),"Value Missing",'Configure Management Domain'!D264)</f>
        <v>Value Missing</v>
      </c>
      <c r="H337" s="11" t="s">
        <v>261</v>
      </c>
      <c r="I337" s="12" t="s">
        <v>1573</v>
      </c>
    </row>
    <row r="338" spans="2:37" ht="20" customHeight="1" x14ac:dyDescent="0.2">
      <c r="E338" s="4" t="s">
        <v>1278</v>
      </c>
      <c r="F338" s="337" t="str">
        <f>IF(ISBLANK('Configure Management Domain'!D366),"Value Missing",'Configure Management Domain'!D366)</f>
        <v>Value Missing</v>
      </c>
      <c r="H338" s="4" t="s">
        <v>1272</v>
      </c>
      <c r="I338" s="337" t="s">
        <v>632</v>
      </c>
    </row>
    <row r="339" spans="2:37" ht="20" customHeight="1" x14ac:dyDescent="0.2">
      <c r="B339" s="2"/>
      <c r="C339" s="2"/>
      <c r="E339" s="4" t="s">
        <v>1280</v>
      </c>
      <c r="F339" s="337" t="str">
        <f>IF(ISBLANK(input_mgmt_az2_secondary_storage_gateway_ip),"Value Missing",input_mgmt_az2_secondary_storage_gateway_ip)</f>
        <v>Value Missing</v>
      </c>
      <c r="H339" s="4" t="s">
        <v>1274</v>
      </c>
      <c r="I339" s="337" t="str">
        <f>IF(ISBLANK('Configure Workload Domain'!D170),"Value Missing",'Configure Workload Domain'!D170)</f>
        <v>Value Missing</v>
      </c>
    </row>
    <row r="340" spans="2:37" ht="20" customHeight="1" x14ac:dyDescent="0.2">
      <c r="B340" s="2"/>
      <c r="C340" s="2"/>
      <c r="E340" s="4" t="s">
        <v>1283</v>
      </c>
      <c r="F340" s="337" t="str">
        <f>IF(ISBLANK(mgmt_az1_uplink01_gateway_ip),"Value Missing",mgmt_az1_uplink01_gateway_ip)</f>
        <v>Value Missing</v>
      </c>
      <c r="H340" s="4" t="s">
        <v>251</v>
      </c>
      <c r="I340" s="337" t="str">
        <f>IF(ISBLANK(input_wld_az2_vmotion_gateway_ip),"Value Missing",input_wld_az2_vmotion_gateway_ip)</f>
        <v>Value Missing</v>
      </c>
    </row>
    <row r="341" spans="2:37" ht="20" customHeight="1" x14ac:dyDescent="0.2">
      <c r="B341" s="2"/>
      <c r="C341" s="2"/>
      <c r="E341" s="4" t="s">
        <v>1285</v>
      </c>
      <c r="F341" s="337" t="str">
        <f>IF(ISBLANK(input_mgmt_az1_uplink02_gateway_ip),"Value Missing",mgmt_az1_uplink02_gateway_ip)</f>
        <v>Value Missing</v>
      </c>
      <c r="H341" s="17" t="s">
        <v>1570</v>
      </c>
      <c r="I341" s="337" t="str">
        <f>IF(ISBLANK(input_wld_az2_principal_storage_gateway_ip),"Value Missing",input_wld_az2_principal_storage_gateway_ip)</f>
        <v>Value Missing</v>
      </c>
    </row>
    <row r="342" spans="2:37" ht="20" customHeight="1" x14ac:dyDescent="0.2">
      <c r="B342" s="2"/>
      <c r="C342" s="2"/>
      <c r="E342" s="4" t="s">
        <v>1287</v>
      </c>
      <c r="F342" s="337" t="str">
        <f>IF(ISBLANK(input_mgmt_az1_edge_overlay_gateway_ip),"Value Missing",input_mgmt_az1_edge_overlay_gateway_ip)</f>
        <v>Value Missing</v>
      </c>
      <c r="H342" s="4" t="s">
        <v>1278</v>
      </c>
      <c r="I342" s="337" t="str">
        <f>IF(ISBLANK(input_wld_az2_host_overlay_gateway_ip),"Value Missing",input_wld_az2_host_overlay_gateway_ip)</f>
        <v>Value Missing</v>
      </c>
    </row>
    <row r="343" spans="2:37" ht="20" customHeight="1" x14ac:dyDescent="0.2">
      <c r="B343" s="2"/>
      <c r="C343" s="2"/>
      <c r="E343" s="4" t="s">
        <v>1289</v>
      </c>
      <c r="F343" s="337" t="str">
        <f>IF(ISBLANK(input_mgmt_az1_rtep_overlay_gateway_ip),"Value Missing",input_mgmt_az1_rtep_overlay_gateway_ip)</f>
        <v>Value Missing</v>
      </c>
      <c r="H343" s="4" t="s">
        <v>1280</v>
      </c>
      <c r="I343" s="337" t="str">
        <f>IF(ISBLANK(input_wld_az2_secondary_storage_gateway_ip),"Value Missing",input_wld_az2_secondary_storage_gateway_ip)</f>
        <v>Value Missing</v>
      </c>
    </row>
    <row r="344" spans="2:37" ht="20" customHeight="1" x14ac:dyDescent="0.2">
      <c r="B344" s="2"/>
      <c r="C344" s="2"/>
      <c r="E344" s="4" t="s">
        <v>1291</v>
      </c>
      <c r="F344" s="337"/>
      <c r="H344" s="4" t="s">
        <v>805</v>
      </c>
      <c r="I344" s="337" t="str">
        <f>IF(ISBLANK(input_wld_az2_storage_cluster_gateway_ip),"Value Missing",input_wld_az2_storage_cluster_gateway_ip)</f>
        <v>Value Missing</v>
      </c>
    </row>
    <row r="345" spans="2:37" ht="20" customHeight="1" x14ac:dyDescent="0.2">
      <c r="B345" s="2"/>
      <c r="C345" s="2"/>
      <c r="E345" s="2"/>
      <c r="F345" s="2"/>
      <c r="G345" s="24"/>
      <c r="H345" s="4" t="s">
        <v>1283</v>
      </c>
      <c r="I345" s="337" t="str">
        <f>wld_az1_uplink01_gateway_ip</f>
        <v>Value Missing</v>
      </c>
    </row>
    <row r="346" spans="2:37" ht="20" customHeight="1" x14ac:dyDescent="0.2">
      <c r="B346" s="2"/>
      <c r="C346" s="2"/>
      <c r="E346" s="379" t="s">
        <v>1580</v>
      </c>
      <c r="F346" s="381"/>
      <c r="H346" s="4" t="s">
        <v>1285</v>
      </c>
      <c r="I346" s="337" t="str">
        <f>wld_az1_uplink02_gateway_ip</f>
        <v>Value Missing</v>
      </c>
    </row>
    <row r="347" spans="2:37" ht="20" customHeight="1" x14ac:dyDescent="0.2">
      <c r="B347" s="2"/>
      <c r="C347" s="2"/>
      <c r="E347" s="11" t="s">
        <v>261</v>
      </c>
      <c r="F347" s="12" t="s">
        <v>1569</v>
      </c>
      <c r="H347" s="4" t="s">
        <v>1287</v>
      </c>
      <c r="I347" s="337" t="str">
        <f>wld_az1_edge_overlay_gateway_ip</f>
        <v>Value Missing</v>
      </c>
    </row>
    <row r="348" spans="2:37" ht="20" customHeight="1" x14ac:dyDescent="0.2">
      <c r="B348" s="2"/>
      <c r="C348" s="2"/>
      <c r="E348" s="4" t="s">
        <v>1272</v>
      </c>
      <c r="F348" s="337"/>
      <c r="H348" s="4" t="s">
        <v>1289</v>
      </c>
      <c r="I348" s="337" t="str">
        <f>wld_az1_rtep_overlay_gateway_ip</f>
        <v>Value Missing</v>
      </c>
    </row>
    <row r="349" spans="2:37" ht="20" customHeight="1" x14ac:dyDescent="0.2">
      <c r="B349" s="2"/>
      <c r="C349" s="2"/>
      <c r="E349" s="4" t="s">
        <v>1274</v>
      </c>
      <c r="F349" s="337" t="str">
        <f>IF(ISBLANK('Configure Management Domain'!D228),"Value Missing",'Configure Management Domain'!D228)</f>
        <v>Value Missing</v>
      </c>
      <c r="H349" s="4" t="s">
        <v>1291</v>
      </c>
      <c r="I349" s="337" t="str">
        <f>wld_az1_vrms_gateway_ip</f>
        <v>Value Missing</v>
      </c>
    </row>
    <row r="350" spans="2:37" ht="20" customHeight="1" x14ac:dyDescent="0.2">
      <c r="B350" s="2"/>
      <c r="C350" s="2"/>
      <c r="E350" s="4" t="s">
        <v>251</v>
      </c>
      <c r="F350" s="337" t="str">
        <f>IF(ISBLANK('Configure Management Domain'!D253),"Value Missing",'Configure Management Domain'!D253)</f>
        <v>Value Missing</v>
      </c>
    </row>
    <row r="351" spans="2:37" ht="20" customHeight="1" x14ac:dyDescent="0.2">
      <c r="B351" s="2"/>
      <c r="C351" s="2"/>
      <c r="E351" s="17" t="str">
        <f>CONCATENATE("Principal Storage Network ",wld_principal_storage_chosen)</f>
        <v>Principal Storage Network vSAN-ESA</v>
      </c>
      <c r="F351" s="337" t="str">
        <f>IF(ISBLANK('Configure Management Domain'!D261),"Value Missing",'Configure Management Domain'!D261)</f>
        <v>Value Missing</v>
      </c>
      <c r="H351" s="379" t="s">
        <v>1581</v>
      </c>
      <c r="I351" s="381"/>
    </row>
    <row r="352" spans="2:37" s="2" customFormat="1" ht="20" customHeight="1" x14ac:dyDescent="0.2">
      <c r="E352" s="4" t="s">
        <v>1278</v>
      </c>
      <c r="F352" s="337" t="str">
        <f>IF(ISBLANK(input_mgmt_az2_host_overlay_mtu),"Value Missing",input_mgmt_az2_host_overlay_mtu)</f>
        <v>Value Missing</v>
      </c>
      <c r="G352" s="8"/>
      <c r="H352" s="11" t="s">
        <v>261</v>
      </c>
      <c r="I352" s="12" t="s">
        <v>1573</v>
      </c>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row>
    <row r="353" spans="5:37" s="2" customFormat="1" ht="20" customHeight="1" x14ac:dyDescent="0.2">
      <c r="E353" s="4" t="s">
        <v>1280</v>
      </c>
      <c r="F353" s="337" t="str">
        <f>IF(ISBLANK(input_mgmt_az2_secondary_storage_mtu),"Value Missing",input_mgmt_az2_secondary_storage_mtu)</f>
        <v>Value Missing</v>
      </c>
      <c r="G353" s="8"/>
      <c r="H353" s="4" t="s">
        <v>1272</v>
      </c>
      <c r="I353" s="337"/>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row>
    <row r="354" spans="5:37" s="2" customFormat="1" ht="20" customHeight="1" x14ac:dyDescent="0.2">
      <c r="E354" s="4" t="s">
        <v>1283</v>
      </c>
      <c r="F354" s="337" t="str">
        <f>IF(ISBLANK(input_mgmt_az1_uplink01_mtu),"Value Missing",input_mgmt_az1_uplink01_mtu)</f>
        <v>Value Missing</v>
      </c>
      <c r="G354" s="8"/>
      <c r="H354" s="4" t="s">
        <v>1274</v>
      </c>
      <c r="I354" s="337" t="str">
        <f>IF(ISBLANK('Configure Workload Domain'!D172),"Value Missing",'Configure Workload Domain'!D172)</f>
        <v>Value Missing</v>
      </c>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row>
    <row r="355" spans="5:37" s="2" customFormat="1" ht="20" customHeight="1" x14ac:dyDescent="0.2">
      <c r="E355" s="4" t="s">
        <v>1285</v>
      </c>
      <c r="F355" s="337" t="str">
        <f>IF(ISBLANK(input_mgmt_az1_uplink02_mtu),"Value Missing",input_mgmt_az1_uplink02_mtu)</f>
        <v>Value Missing</v>
      </c>
      <c r="G355" s="8"/>
      <c r="H355" s="4" t="s">
        <v>251</v>
      </c>
      <c r="I355" s="337" t="str">
        <f>IF(ISBLANK(input_wld_az2_vmotion_mtu),"Value Missing",input_wld_az2_vmotion_mtu)</f>
        <v>Value Missing</v>
      </c>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row>
    <row r="356" spans="5:37" s="2" customFormat="1" ht="20" customHeight="1" x14ac:dyDescent="0.2">
      <c r="E356" s="4" t="s">
        <v>1287</v>
      </c>
      <c r="F356" s="337" t="s">
        <v>632</v>
      </c>
      <c r="G356" s="8"/>
      <c r="H356" s="17" t="s">
        <v>1570</v>
      </c>
      <c r="I356" s="337" t="str">
        <f>IF(ISBLANK(input_wld_az2_principal_storage_mtu),"Value Missing",input_wld_az2_principal_storage_mtu)</f>
        <v>Value Missing</v>
      </c>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row>
    <row r="357" spans="5:37" s="2" customFormat="1" ht="20" customHeight="1" x14ac:dyDescent="0.2">
      <c r="E357" s="4" t="s">
        <v>1289</v>
      </c>
      <c r="F357" s="337"/>
      <c r="G357" s="8"/>
      <c r="H357" s="4" t="s">
        <v>1278</v>
      </c>
      <c r="I357" s="337" t="str">
        <f>IF(ISBLANK(input_wld_az2_host_overlay_mtu),"Value Missing",input_wld_az2_host_overlay_mtu)</f>
        <v>Value Missing</v>
      </c>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row>
    <row r="358" spans="5:37" s="2" customFormat="1" ht="20" customHeight="1" x14ac:dyDescent="0.2">
      <c r="E358" s="4" t="s">
        <v>1291</v>
      </c>
      <c r="F358" s="337"/>
      <c r="G358" s="24"/>
      <c r="H358" s="4" t="s">
        <v>1280</v>
      </c>
      <c r="I358" s="337" t="str">
        <f>IF(ISBLANK('Configure Workload Domain'!D214),"Value Missing",'Configure Workload Domain'!D214)</f>
        <v>Value Missing</v>
      </c>
      <c r="J358" s="15"/>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row>
    <row r="359" spans="5:37" s="2" customFormat="1" ht="20" customHeight="1" x14ac:dyDescent="0.2">
      <c r="G359" s="8"/>
      <c r="H359" s="4" t="s">
        <v>805</v>
      </c>
      <c r="I359" s="337" t="str">
        <f>IF(ISBLANK(input_wld_az2_storage_cluster_mtu),"Value Missing",input_wld_az2_storage_cluster_mtu)</f>
        <v>Value Missing</v>
      </c>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row>
    <row r="360" spans="5:37" s="2" customFormat="1" ht="20" customHeight="1" x14ac:dyDescent="0.2">
      <c r="E360" s="379" t="s">
        <v>1582</v>
      </c>
      <c r="F360" s="381"/>
      <c r="G360" s="8"/>
      <c r="H360" s="4" t="s">
        <v>1283</v>
      </c>
      <c r="I360" s="337" t="str">
        <f>IF(ISBLANK(input_wld_az1_uplink01_mtu),"Value Missing",input_wld_az1_uplink01_mtu)</f>
        <v>Value Missing</v>
      </c>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row>
    <row r="361" spans="5:37" s="2" customFormat="1" ht="20" customHeight="1" x14ac:dyDescent="0.2">
      <c r="E361" s="11" t="s">
        <v>261</v>
      </c>
      <c r="F361" s="14" t="s">
        <v>1569</v>
      </c>
      <c r="G361" s="8"/>
      <c r="H361" s="4" t="s">
        <v>1285</v>
      </c>
      <c r="I361" s="337" t="str">
        <f>IF(ISBLANK(input_wld_az1_uplink02_mtu),"Value Missing",input_wld_az1_uplink02_mtu)</f>
        <v>Value Missing</v>
      </c>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row>
    <row r="362" spans="5:37" s="2" customFormat="1" ht="20" customHeight="1" x14ac:dyDescent="0.2">
      <c r="E362" s="4" t="s">
        <v>1025</v>
      </c>
      <c r="F362" s="337" t="str">
        <f>mgmt_en_asn</f>
        <v>Value Missing</v>
      </c>
      <c r="G362" s="8"/>
      <c r="H362" s="4" t="s">
        <v>1287</v>
      </c>
      <c r="I362" s="337" t="str">
        <f>wld_az1_edge_overlay_mtu</f>
        <v>N/A</v>
      </c>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row>
    <row r="363" spans="5:37" s="2" customFormat="1" ht="20" customHeight="1" x14ac:dyDescent="0.2">
      <c r="E363" s="4" t="s">
        <v>168</v>
      </c>
      <c r="F363" s="337" t="str">
        <f>IF(ISBLANK('Configure Management Domain'!D384),"Value Missing",'Configure Management Domain'!D384)</f>
        <v>Value Missing</v>
      </c>
      <c r="G363" s="8"/>
      <c r="H363" s="4" t="s">
        <v>1289</v>
      </c>
      <c r="I363" s="337">
        <f>wld_az1_rtep_overlay_mtu</f>
        <v>0</v>
      </c>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row>
    <row r="364" spans="5:37" s="2" customFormat="1" ht="20" customHeight="1" x14ac:dyDescent="0.2">
      <c r="E364" s="4" t="s">
        <v>169</v>
      </c>
      <c r="F364" s="337" t="str">
        <f>IF(ISBLANK('Configure Management Domain'!D385),"Value Missing",'Configure Management Domain'!D385)</f>
        <v>Value Missing</v>
      </c>
      <c r="G364" s="8"/>
      <c r="H364" s="4" t="s">
        <v>1291</v>
      </c>
      <c r="I364" s="337" t="str">
        <f>wld_az1_vrms_mtu</f>
        <v>Value Missing</v>
      </c>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row>
    <row r="365" spans="5:37" s="2" customFormat="1" ht="20" customHeight="1" x14ac:dyDescent="0.2">
      <c r="E365" s="4" t="s">
        <v>170</v>
      </c>
      <c r="F365" s="337" t="str">
        <f>IF(ISBLANK(input_mgmt_az2_tor1_peer_bgp_password),"Value Missing",input_mgmt_az2_tor1_peer_bgp_password)</f>
        <v>Value Missing</v>
      </c>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row>
    <row r="366" spans="5:37" s="2" customFormat="1" ht="20" customHeight="1" x14ac:dyDescent="0.2">
      <c r="E366" s="4" t="s">
        <v>171</v>
      </c>
      <c r="F366" s="337" t="str">
        <f>IF(ISBLANK('Configure Management Domain'!D389),"Value Missing",'Configure Management Domain'!D389)</f>
        <v>Value Missing</v>
      </c>
      <c r="G366" s="8"/>
      <c r="H366" s="379" t="s">
        <v>1583</v>
      </c>
      <c r="I366" s="381"/>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row>
    <row r="367" spans="5:37" s="2" customFormat="1" ht="20" customHeight="1" x14ac:dyDescent="0.2">
      <c r="E367" s="4" t="s">
        <v>172</v>
      </c>
      <c r="F367" s="337" t="str">
        <f>IF(ISBLANK('Configure Management Domain'!D392),"Value Missing",'Configure Management Domain'!D392)</f>
        <v>Value Missing</v>
      </c>
      <c r="G367" s="8"/>
      <c r="H367" s="11" t="s">
        <v>261</v>
      </c>
      <c r="I367" s="14" t="s">
        <v>1569</v>
      </c>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row>
    <row r="368" spans="5:37" s="2" customFormat="1" ht="20" customHeight="1" x14ac:dyDescent="0.2">
      <c r="E368" s="4" t="s">
        <v>173</v>
      </c>
      <c r="F368" s="337" t="str">
        <f>IF(ISBLANK('Configure Management Domain'!D393),"Value Missing",'Configure Management Domain'!D393)</f>
        <v>Value Missing</v>
      </c>
      <c r="G368" s="8"/>
      <c r="H368" s="4" t="s">
        <v>1025</v>
      </c>
      <c r="I368" s="337" t="str">
        <f>wld_en_asn</f>
        <v>Value Missing</v>
      </c>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row>
    <row r="369" spans="5:37" s="2" customFormat="1" ht="20" customHeight="1" x14ac:dyDescent="0.2">
      <c r="E369" s="7"/>
      <c r="F369" s="7"/>
      <c r="G369" s="8"/>
      <c r="H369" s="4" t="s">
        <v>168</v>
      </c>
      <c r="I369" s="337" t="str">
        <f>IF(ISBLANK('Configure Workload Domain'!D345),"Value Missing",'Configure Workload Domain'!D345)</f>
        <v>Value Missing</v>
      </c>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row>
    <row r="370" spans="5:37" s="2" customFormat="1" ht="20" customHeight="1" x14ac:dyDescent="0.2">
      <c r="E370" s="379" t="s">
        <v>1584</v>
      </c>
      <c r="F370" s="381"/>
      <c r="G370" s="8"/>
      <c r="H370" s="4" t="s">
        <v>169</v>
      </c>
      <c r="I370" s="337" t="str">
        <f>IF(ISBLANK('Configure Workload Domain'!D346),"Value Missing",'Configure Workload Domain'!D346)</f>
        <v>Value Missing</v>
      </c>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row>
    <row r="371" spans="5:37" s="2" customFormat="1" ht="20" customHeight="1" x14ac:dyDescent="0.2">
      <c r="E371" s="11" t="s">
        <v>261</v>
      </c>
      <c r="F371" s="14" t="s">
        <v>1573</v>
      </c>
      <c r="G371" s="24"/>
      <c r="H371" s="4" t="s">
        <v>170</v>
      </c>
      <c r="I371" s="337" t="str">
        <f>IF(ISBLANK('Configure Workload Domain'!D349),"Value Missing",'Configure Workload Domain'!D349)</f>
        <v>Value Missing</v>
      </c>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row>
    <row r="372" spans="5:37" s="2" customFormat="1" ht="20" customHeight="1" x14ac:dyDescent="0.2">
      <c r="E372" s="4" t="s">
        <v>1272</v>
      </c>
      <c r="F372" s="337"/>
      <c r="G372" s="8"/>
      <c r="H372" s="4" t="s">
        <v>171</v>
      </c>
      <c r="I372" s="337" t="str">
        <f>IF(ISBLANK('Configure Workload Domain'!D350),"Value Missing",'Configure Workload Domain'!D350)</f>
        <v>Value Missing</v>
      </c>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row>
    <row r="373" spans="5:37" s="2" customFormat="1" ht="20" customHeight="1" x14ac:dyDescent="0.2">
      <c r="E373" s="4" t="s">
        <v>1274</v>
      </c>
      <c r="F373" s="337" t="str">
        <f>IF('Value Reference Tables - MR'!$F111="Value Missing","Value Missing",CONCATENATE("az2_",'Value Reference Tables - MR'!$F111))</f>
        <v>Value Missing</v>
      </c>
      <c r="G373" s="8"/>
      <c r="H373" s="4" t="s">
        <v>172</v>
      </c>
      <c r="I373" s="337" t="str">
        <f>IF(ISBLANK('Configure Workload Domain'!D351),"Value Missing",'Configure Workload Domain'!D351)</f>
        <v>Value Missing</v>
      </c>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row>
    <row r="374" spans="5:37" s="2" customFormat="1" ht="20" customHeight="1" x14ac:dyDescent="0.2">
      <c r="E374" s="4" t="s">
        <v>251</v>
      </c>
      <c r="F374" s="337" t="str">
        <f>IF('Value Reference Tables - MR'!$F112="Value Missing","Value Missing",CONCATENATE("az2_",'Value Reference Tables - MR'!$F112))</f>
        <v>Value Missing</v>
      </c>
      <c r="G374" s="8"/>
      <c r="H374" s="4" t="s">
        <v>173</v>
      </c>
      <c r="I374" s="337" t="str">
        <f>IF(ISBLANK('Configure Workload Domain'!D354),"Value Missing",'Configure Workload Domain'!D354)</f>
        <v>Value Missing</v>
      </c>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row>
    <row r="375" spans="5:37" s="2" customFormat="1" ht="20" customHeight="1" x14ac:dyDescent="0.2">
      <c r="E375" s="4" t="s">
        <v>257</v>
      </c>
      <c r="F375" s="337" t="str">
        <f>IF('Value Reference Tables - MR'!$F113="Value Missing","Value Missing",CONCATENATE("az2_",'Value Reference Tables - MR'!$F113))</f>
        <v>Value Missing</v>
      </c>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row>
    <row r="376" spans="5:37" s="2" customFormat="1" ht="20" customHeight="1" x14ac:dyDescent="0.2">
      <c r="E376" s="4" t="s">
        <v>1278</v>
      </c>
      <c r="F376" s="337" t="str">
        <f>mgmt_az1_host_overlay_pg</f>
        <v>N/A</v>
      </c>
      <c r="G376" s="8"/>
      <c r="H376" s="379" t="s">
        <v>1585</v>
      </c>
      <c r="I376" s="381"/>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row>
    <row r="377" spans="5:37" s="2" customFormat="1" ht="20" customHeight="1" x14ac:dyDescent="0.2">
      <c r="E377" s="4" t="s">
        <v>1291</v>
      </c>
      <c r="F377" s="337"/>
      <c r="G377" s="8"/>
      <c r="H377" s="11" t="s">
        <v>261</v>
      </c>
      <c r="I377" s="14" t="s">
        <v>1573</v>
      </c>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row>
    <row r="378" spans="5:37" s="2" customFormat="1" ht="20" customHeight="1" x14ac:dyDescent="0.2">
      <c r="E378" s="4" t="s">
        <v>1283</v>
      </c>
      <c r="F378" s="337" t="str">
        <f>mgmt_cl01_az1_uplink01_pg</f>
        <v>Value Missing</v>
      </c>
      <c r="G378" s="24"/>
      <c r="H378" s="4" t="s">
        <v>1272</v>
      </c>
      <c r="I378" s="31"/>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row>
    <row r="379" spans="5:37" s="2" customFormat="1" ht="20" customHeight="1" x14ac:dyDescent="0.2">
      <c r="E379" s="4" t="s">
        <v>1285</v>
      </c>
      <c r="F379" s="337" t="str">
        <f>mgmt_cl01_az1_uplink02_pg</f>
        <v>Value Missing</v>
      </c>
      <c r="G379" s="24"/>
      <c r="H379" s="4" t="s">
        <v>1274</v>
      </c>
      <c r="I379" s="337" t="str">
        <f>IF('Value Reference Tables - MR'!$I111="Value Missing","Value Missing",CONCATENATE("az2_",'Value Reference Tables - MR'!$I111))</f>
        <v>Value Missing</v>
      </c>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row>
    <row r="380" spans="5:37" s="2" customFormat="1" ht="20" customHeight="1" x14ac:dyDescent="0.2">
      <c r="E380" s="17" t="s">
        <v>1287</v>
      </c>
      <c r="F380" s="337" t="str">
        <f>mgmt_az1_edge_overlay_pg</f>
        <v>N/A</v>
      </c>
      <c r="G380" s="8"/>
      <c r="H380" s="4" t="s">
        <v>251</v>
      </c>
      <c r="I380" s="337" t="str">
        <f>IF('Value Reference Tables - MR'!$I112="Value Missing","Value Missing",CONCATENATE("az2_",'Value Reference Tables - MR'!$I112))</f>
        <v>Value Missing</v>
      </c>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row>
    <row r="381" spans="5:37" s="2" customFormat="1" ht="20" customHeight="1" x14ac:dyDescent="0.2">
      <c r="E381" s="4" t="s">
        <v>1382</v>
      </c>
      <c r="F381" s="337" t="str">
        <f>mgmt_az1_rtep_overlay_pg</f>
        <v>N/A</v>
      </c>
      <c r="G381" s="8"/>
      <c r="H381" s="4" t="s">
        <v>257</v>
      </c>
      <c r="I381" s="337" t="str">
        <f>IF('Value Reference Tables - MR'!$I113="Value Missing","Value Missing",CONCATENATE("az2_",'Value Reference Tables - MR'!$I113))</f>
        <v>Value Missing</v>
      </c>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row>
    <row r="382" spans="5:37" s="2" customFormat="1" ht="20" customHeight="1" x14ac:dyDescent="0.2">
      <c r="G382" s="8"/>
      <c r="H382" s="4" t="s">
        <v>1278</v>
      </c>
      <c r="I382" s="337" t="str">
        <f>mgmt_az2_host_overlay_pg</f>
        <v>N/A</v>
      </c>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row>
    <row r="383" spans="5:37" s="2" customFormat="1" ht="20" customHeight="1" x14ac:dyDescent="0.2">
      <c r="E383" s="20" t="s">
        <v>1586</v>
      </c>
      <c r="F383" s="381"/>
      <c r="G383" s="8"/>
      <c r="H383" s="4" t="s">
        <v>1291</v>
      </c>
      <c r="I383" s="337"/>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row>
    <row r="384" spans="5:37" s="2" customFormat="1" ht="20" customHeight="1" x14ac:dyDescent="0.2">
      <c r="E384" s="11" t="s">
        <v>261</v>
      </c>
      <c r="F384" s="14" t="s">
        <v>1573</v>
      </c>
      <c r="G384" s="8"/>
      <c r="H384" s="4" t="s">
        <v>1283</v>
      </c>
      <c r="I384" s="337" t="str">
        <f>wld_cl01_az1_uplink01_pg</f>
        <v>Value Missing</v>
      </c>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row>
    <row r="385" spans="2:37" s="2" customFormat="1" ht="20" customHeight="1" x14ac:dyDescent="0.2">
      <c r="B385" s="8"/>
      <c r="C385" s="8"/>
      <c r="E385" s="361" t="s">
        <v>1417</v>
      </c>
      <c r="F385" s="337" t="str">
        <f>IF(ISBLANK('Configure Management Domain'!D257),"Value Missing",'Configure Management Domain'!D257)</f>
        <v>Value Missing</v>
      </c>
      <c r="G385" s="8"/>
      <c r="H385" s="4" t="s">
        <v>1285</v>
      </c>
      <c r="I385" s="337" t="str">
        <f>wld_cl01_az1_uplink02_pg</f>
        <v>Value Missing</v>
      </c>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row>
    <row r="386" spans="2:37" s="2" customFormat="1" ht="20" customHeight="1" x14ac:dyDescent="0.2">
      <c r="B386" s="8"/>
      <c r="C386" s="8"/>
      <c r="E386" s="361" t="s">
        <v>1418</v>
      </c>
      <c r="F386" s="337" t="str">
        <f>IF(ISBLANK('Configure Management Domain'!D258),"Value Missing",'Configure Management Domain'!D258)</f>
        <v>Value Missing</v>
      </c>
      <c r="G386" s="8"/>
      <c r="H386" s="17" t="s">
        <v>1287</v>
      </c>
      <c r="I386" s="337" t="str">
        <f>wld_az1_edge_overlay_pg</f>
        <v>N/A</v>
      </c>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row>
    <row r="387" spans="2:37" s="2" customFormat="1" ht="20" customHeight="1" x14ac:dyDescent="0.2">
      <c r="B387" s="8"/>
      <c r="C387" s="8"/>
      <c r="E387" s="361" t="s">
        <v>1419</v>
      </c>
      <c r="F387" s="337" t="str">
        <f>IF(ISBLANK('Configure Management Domain'!D265),"Value Missing",'Configure Management Domain'!D265)</f>
        <v>Value Missing</v>
      </c>
      <c r="G387" s="8"/>
      <c r="H387" s="4" t="s">
        <v>1382</v>
      </c>
      <c r="I387" s="337" t="str">
        <f>mgmt_az1_rtep_overlay_pg</f>
        <v>N/A</v>
      </c>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row>
    <row r="388" spans="2:37" s="2" customFormat="1" ht="20" customHeight="1" x14ac:dyDescent="0.2">
      <c r="B388" s="8"/>
      <c r="C388" s="8"/>
      <c r="E388" s="361" t="s">
        <v>1420</v>
      </c>
      <c r="F388" s="337" t="str">
        <f>IF(ISBLANK('Configure Management Domain'!D266),"Value Missing",'Configure Management Domain'!D266)</f>
        <v>Value Missing</v>
      </c>
      <c r="G388" s="24"/>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row>
    <row r="389" spans="2:37" s="2" customFormat="1" ht="20" customHeight="1" x14ac:dyDescent="0.2">
      <c r="B389" s="8"/>
      <c r="C389" s="8"/>
      <c r="E389" s="361" t="s">
        <v>1421</v>
      </c>
      <c r="F389" s="337" t="str">
        <f>IF(ISBLANK('Configure Management Domain'!D369),"Value Missing",'Configure Management Domain'!D369)</f>
        <v>Value Missing</v>
      </c>
      <c r="G389" s="8"/>
      <c r="H389" s="20" t="s">
        <v>1587</v>
      </c>
      <c r="I389" s="381"/>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row>
    <row r="390" spans="2:37" s="2" customFormat="1" ht="20" customHeight="1" x14ac:dyDescent="0.2">
      <c r="B390" s="8"/>
      <c r="C390" s="8"/>
      <c r="E390" s="361" t="s">
        <v>1422</v>
      </c>
      <c r="F390" s="337" t="str">
        <f>IF(ISBLANK('Configure Management Domain'!D370),"Value Missing",'Configure Management Domain'!D370)</f>
        <v>Value Missing</v>
      </c>
      <c r="G390" s="8"/>
      <c r="H390" s="11" t="s">
        <v>261</v>
      </c>
      <c r="I390" s="14" t="s">
        <v>1573</v>
      </c>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row>
    <row r="391" spans="2:37" s="2" customFormat="1" ht="20" customHeight="1" x14ac:dyDescent="0.2">
      <c r="B391" s="8"/>
      <c r="C391" s="8"/>
      <c r="E391" s="17" t="s">
        <v>1423</v>
      </c>
      <c r="F391" s="337" t="str">
        <f>IF(ISBLANK(input_mgmt_az2_secondary_storage_pool_start_ip),"Value Missing",input_mgmt_az2_secondary_storage_pool_start_ip)</f>
        <v>Value Missing</v>
      </c>
      <c r="G391" s="8"/>
      <c r="H391" s="361" t="s">
        <v>1417</v>
      </c>
      <c r="I391" s="337" t="str">
        <f>IF(ISBLANK(input_wld_az2_vmotion_pool_start_ip),"Value Missing",input_wld_az2_vmotion_pool_start_ip)</f>
        <v>Value Missing</v>
      </c>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row>
    <row r="392" spans="2:37" s="2" customFormat="1" ht="20" customHeight="1" x14ac:dyDescent="0.2">
      <c r="B392" s="8"/>
      <c r="C392" s="8"/>
      <c r="E392" s="22" t="s">
        <v>1424</v>
      </c>
      <c r="F392" s="337" t="str">
        <f>IF(ISBLANK(input_mgmt_az2_secondary_storage_pool_end_ip),"Value Missing",input_mgmt_az2_secondary_storage_pool_end_ip)</f>
        <v>Value Missing</v>
      </c>
      <c r="G392" s="8"/>
      <c r="H392" s="361" t="s">
        <v>1418</v>
      </c>
      <c r="I392" s="337" t="str">
        <f>IF(ISBLANK(input_wld_az2_vmotion_pool_end_ip),"Value Missing",input_wld_az2_vmotion_pool_end_ip)</f>
        <v>Value Missing</v>
      </c>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row>
    <row r="393" spans="2:37" s="2" customFormat="1" ht="20" customHeight="1" x14ac:dyDescent="0.2">
      <c r="B393" s="8"/>
      <c r="C393" s="8"/>
      <c r="E393" s="361" t="s">
        <v>1427</v>
      </c>
      <c r="F393" s="337"/>
      <c r="G393" s="8"/>
      <c r="H393" s="361" t="s">
        <v>1419</v>
      </c>
      <c r="I393" s="337" t="str">
        <f>IF(ISBLANK(input_wld_az2_principal_storage_pool_start_ip),"Value Missing",input_wld_az2_principal_storage_pool_start_ip)</f>
        <v>Value Missing</v>
      </c>
      <c r="J393" s="15"/>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row>
    <row r="394" spans="2:37" s="2" customFormat="1" ht="20" customHeight="1" x14ac:dyDescent="0.2">
      <c r="B394" s="8"/>
      <c r="C394" s="8"/>
      <c r="E394" s="361" t="s">
        <v>1428</v>
      </c>
      <c r="F394" s="337"/>
      <c r="G394" s="8"/>
      <c r="H394" s="361" t="s">
        <v>1420</v>
      </c>
      <c r="I394" s="337" t="str">
        <f>IF(ISBLANK(input_wld_az2_principal_storage_pool_end_ip),"Value Missing",input_wld_az2_principal_storage_pool_end_ip)</f>
        <v>Value Missing</v>
      </c>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row>
    <row r="395" spans="2:37" s="2" customFormat="1" ht="20" customHeight="1" x14ac:dyDescent="0.2">
      <c r="B395" s="8"/>
      <c r="C395" s="8"/>
      <c r="G395" s="8"/>
      <c r="H395" s="361" t="s">
        <v>1421</v>
      </c>
      <c r="I395" s="337" t="str">
        <f>IF(ISBLANK('Configure Workload Domain'!D327),"Value Missing",'Configure Workload Domain'!D327)</f>
        <v>Value Missing</v>
      </c>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row>
    <row r="396" spans="2:37" s="2" customFormat="1" ht="20" customHeight="1" x14ac:dyDescent="0.2">
      <c r="B396" s="8"/>
      <c r="C396" s="8"/>
      <c r="E396" s="20" t="s">
        <v>1588</v>
      </c>
      <c r="F396" s="381"/>
      <c r="G396" s="8"/>
      <c r="H396" s="361" t="s">
        <v>1422</v>
      </c>
      <c r="I396" s="337" t="str">
        <f>IF(ISBLANK('Configure Workload Domain'!D328),"Value Missing",'Configure Workload Domain'!D328)</f>
        <v>Value Missing</v>
      </c>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row>
    <row r="397" spans="2:37" s="2" customFormat="1" ht="20" customHeight="1" x14ac:dyDescent="0.2">
      <c r="B397" s="8"/>
      <c r="C397" s="8"/>
      <c r="E397" s="13" t="s">
        <v>261</v>
      </c>
      <c r="F397" s="14" t="s">
        <v>1573</v>
      </c>
      <c r="G397" s="8"/>
      <c r="H397" s="17" t="s">
        <v>1423</v>
      </c>
      <c r="I397" s="337" t="str">
        <f>IF(ISBLANK(input_wld_az2_secondary_storage_pool_start_ip),"Value Missing",input_wld_az2_secondary_storage_pool_start_ip)</f>
        <v>Value Missing</v>
      </c>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row>
    <row r="398" spans="2:37" s="2" customFormat="1" ht="20" customHeight="1" x14ac:dyDescent="0.2">
      <c r="B398" s="8"/>
      <c r="C398" s="8"/>
      <c r="E398" s="361" t="s">
        <v>1438</v>
      </c>
      <c r="F398" s="337" t="str">
        <f>IF(ISBLANK(input_mgmt_az2_pool_name),"Value Missing",input_mgmt_az2_pool_name)</f>
        <v>Value Missing</v>
      </c>
      <c r="G398" s="8"/>
      <c r="H398" s="22" t="s">
        <v>1424</v>
      </c>
      <c r="I398" s="337" t="str">
        <f>IF(ISBLANK(input_wld_az2_secondary_storage_pool_end_ip),"Value Missing",input_wld_az2_secondary_storage_pool_end_ip)</f>
        <v>Value Missing</v>
      </c>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row>
    <row r="399" spans="2:37" s="2" customFormat="1" ht="20" customHeight="1" x14ac:dyDescent="0.2">
      <c r="B399" s="8"/>
      <c r="C399" s="8"/>
      <c r="E399" s="361" t="s">
        <v>1439</v>
      </c>
      <c r="F399" s="337" t="str">
        <f>IF(ISBLANK(input_mgmt_az2_host_overlay_network_profile_name),"Value Missing",input_mgmt_az2_host_overlay_network_profile_name)</f>
        <v>Value Missing</v>
      </c>
      <c r="G399" s="8"/>
      <c r="H399" s="4" t="s">
        <v>805</v>
      </c>
      <c r="I399" s="337" t="str">
        <f>IF(ISBLANK(input_wld_az2_storage_cluster_pool_start_ip),"Value Missing",input_wld_az2_storage_cluster_pool_start_ip)</f>
        <v>Value Missing</v>
      </c>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row>
    <row r="400" spans="2:37" ht="20" customHeight="1" x14ac:dyDescent="0.2">
      <c r="E400" s="361" t="s">
        <v>1442</v>
      </c>
      <c r="F400" s="337" t="str">
        <f>IF(ISBLANK(input_mgmt_az2_host_overlay_network_pool_name),"Value Missing",input_mgmt_az2_host_overlay_network_pool_name)</f>
        <v>Value Missing</v>
      </c>
      <c r="H400" s="4" t="s">
        <v>805</v>
      </c>
      <c r="I400" s="337" t="str">
        <f>IF(ISBLANK(input_wld_az2_storage_cluster_pool_end_ip),"Value Missing",input_wld_az2_storage_cluster_pool_end_ip)</f>
        <v>Value Missing</v>
      </c>
    </row>
    <row r="401" spans="5:10" ht="20" customHeight="1" x14ac:dyDescent="0.2">
      <c r="E401" s="361" t="s">
        <v>1445</v>
      </c>
      <c r="F401" s="337" t="str">
        <f>IF(ISBLANK(input_mgmt_az2_host_overlay_uplink_profile_name),"Value Missing",input_mgmt_az2_host_overlay_uplink_profile_name)</f>
        <v>Value Missing</v>
      </c>
      <c r="H401" s="361" t="s">
        <v>1427</v>
      </c>
      <c r="I401" s="32"/>
    </row>
    <row r="402" spans="5:10" ht="20" customHeight="1" x14ac:dyDescent="0.2">
      <c r="E402" s="7"/>
      <c r="F402" s="7"/>
      <c r="H402" s="361" t="s">
        <v>1428</v>
      </c>
      <c r="I402" s="32"/>
    </row>
    <row r="403" spans="5:10" ht="20" customHeight="1" x14ac:dyDescent="0.2">
      <c r="E403" s="573" t="s">
        <v>1589</v>
      </c>
      <c r="F403" s="575"/>
    </row>
    <row r="404" spans="5:10" ht="20" customHeight="1" x14ac:dyDescent="0.2">
      <c r="E404" s="13" t="s">
        <v>261</v>
      </c>
      <c r="F404" s="14" t="s">
        <v>1573</v>
      </c>
      <c r="H404" s="20" t="s">
        <v>1590</v>
      </c>
      <c r="I404" s="381"/>
    </row>
    <row r="405" spans="5:10" ht="20" customHeight="1" x14ac:dyDescent="0.2">
      <c r="E405" s="4" t="s">
        <v>1455</v>
      </c>
      <c r="F405" s="356"/>
      <c r="H405" s="13" t="s">
        <v>261</v>
      </c>
      <c r="I405" s="14" t="s">
        <v>1573</v>
      </c>
    </row>
    <row r="406" spans="5:10" ht="20" customHeight="1" x14ac:dyDescent="0.2">
      <c r="E406" s="4" t="s">
        <v>1464</v>
      </c>
      <c r="F406" s="337"/>
      <c r="H406" s="361" t="s">
        <v>1438</v>
      </c>
      <c r="I406" s="337" t="str">
        <f>IF(ISBLANK(input_wld_az2_pool_name),"Value Missing",input_wld_az2_pool_name)</f>
        <v>Value Missing</v>
      </c>
    </row>
    <row r="407" spans="5:10" ht="20" customHeight="1" x14ac:dyDescent="0.2">
      <c r="E407" s="4" t="s">
        <v>1591</v>
      </c>
      <c r="F407" s="337"/>
      <c r="H407" s="361" t="s">
        <v>1439</v>
      </c>
      <c r="I407" s="337" t="str">
        <f>IF(ISBLANK(input_wld_az2_host_overlay_network_profile_name),"Value Missing",input_wld_az2_host_overlay_network_profile_name)</f>
        <v>Value Missing</v>
      </c>
    </row>
    <row r="408" spans="5:10" ht="20" customHeight="1" x14ac:dyDescent="0.2">
      <c r="E408" s="4" t="s">
        <v>1592</v>
      </c>
      <c r="F408" s="337"/>
      <c r="H408" s="361" t="s">
        <v>1442</v>
      </c>
      <c r="I408" s="337" t="str">
        <f>IF(ISBLANK(input_wld_az2_host_overlay_network_pool_name),"Value Missing",input_wld_az2_host_overlay_network_pool_name)</f>
        <v>Value Missing</v>
      </c>
    </row>
    <row r="409" spans="5:10" ht="20" customHeight="1" x14ac:dyDescent="0.2">
      <c r="E409" s="4" t="s">
        <v>1593</v>
      </c>
      <c r="F409" s="337"/>
      <c r="H409" s="361" t="s">
        <v>1445</v>
      </c>
      <c r="I409" s="337" t="str">
        <f>IF(ISBLANK(input_wld_az2_host_overlay_uplink_profile_name),"Value Missing",input_wld_az2_host_overlay_uplink_profile_name)</f>
        <v>Value Missing</v>
      </c>
    </row>
    <row r="410" spans="5:10" ht="20" customHeight="1" x14ac:dyDescent="0.2">
      <c r="E410" s="4" t="s">
        <v>1594</v>
      </c>
      <c r="F410" s="337"/>
    </row>
    <row r="411" spans="5:10" ht="20" customHeight="1" x14ac:dyDescent="0.2">
      <c r="E411" s="4" t="s">
        <v>1595</v>
      </c>
      <c r="F411" s="337"/>
      <c r="H411" s="573" t="s">
        <v>1596</v>
      </c>
      <c r="I411" s="575"/>
      <c r="J411" s="2"/>
    </row>
    <row r="412" spans="5:10" ht="20" customHeight="1" x14ac:dyDescent="0.2">
      <c r="E412" s="6"/>
      <c r="F412" s="6"/>
      <c r="H412" s="13" t="s">
        <v>261</v>
      </c>
      <c r="I412" s="14" t="s">
        <v>1573</v>
      </c>
      <c r="J412" s="15"/>
    </row>
    <row r="413" spans="5:10" ht="20" customHeight="1" x14ac:dyDescent="0.2">
      <c r="E413" s="20" t="s">
        <v>1597</v>
      </c>
      <c r="F413" s="381"/>
      <c r="G413" s="2"/>
      <c r="H413" s="4" t="s">
        <v>1455</v>
      </c>
      <c r="I413" s="356"/>
    </row>
    <row r="414" spans="5:10" ht="20" customHeight="1" x14ac:dyDescent="0.2">
      <c r="E414" s="13" t="s">
        <v>261</v>
      </c>
      <c r="F414" s="14" t="s">
        <v>1573</v>
      </c>
      <c r="G414" s="2"/>
      <c r="H414" s="4" t="s">
        <v>1464</v>
      </c>
      <c r="I414" s="337"/>
    </row>
    <row r="415" spans="5:10" ht="20" customHeight="1" x14ac:dyDescent="0.2">
      <c r="E415" s="4" t="s">
        <v>1481</v>
      </c>
      <c r="F415" s="337" t="str">
        <f>IF(ISBLANK(input_mgmt_az2_host1_mgmt_ip),"Value Missing",input_mgmt_az2_host1_mgmt_ip)</f>
        <v>Value Missing</v>
      </c>
      <c r="G415" s="2"/>
      <c r="H415" s="4" t="s">
        <v>1591</v>
      </c>
      <c r="I415" s="337"/>
    </row>
    <row r="416" spans="5:10" ht="20" customHeight="1" x14ac:dyDescent="0.2">
      <c r="E416" s="4" t="s">
        <v>1482</v>
      </c>
      <c r="F416" s="337" t="str">
        <f>IF(ISBLANK(input_mgmt_az2_host2_mgmt_ip),"Value Missing",input_mgmt_az2_host2_mgmt_ip)</f>
        <v>Value Missing</v>
      </c>
      <c r="G416" s="2"/>
      <c r="H416" s="4" t="s">
        <v>1592</v>
      </c>
      <c r="I416" s="337"/>
    </row>
    <row r="417" spans="5:9" ht="20" customHeight="1" x14ac:dyDescent="0.2">
      <c r="E417" s="4" t="s">
        <v>1483</v>
      </c>
      <c r="F417" s="337" t="str">
        <f>IF(ISBLANK(input_mgmt_az2_host3_mgmt_ip),"Value Missing",input_mgmt_az2_host3_mgmt_ip)</f>
        <v>Value Missing</v>
      </c>
      <c r="G417" s="2"/>
      <c r="H417" s="4" t="s">
        <v>1593</v>
      </c>
      <c r="I417" s="337"/>
    </row>
    <row r="418" spans="5:9" ht="20" customHeight="1" x14ac:dyDescent="0.2">
      <c r="E418" s="4" t="s">
        <v>1484</v>
      </c>
      <c r="F418" s="337" t="str">
        <f>IF(ISBLANK(input_mgmt_az2_host4_mgmt_ip),"Value Missing",input_mgmt_az2_host4_mgmt_ip)</f>
        <v>Value Missing</v>
      </c>
      <c r="G418" s="2"/>
      <c r="H418" s="4" t="s">
        <v>1594</v>
      </c>
      <c r="I418" s="337"/>
    </row>
    <row r="419" spans="5:9" ht="20" customHeight="1" x14ac:dyDescent="0.2">
      <c r="E419" s="4" t="s">
        <v>1485</v>
      </c>
      <c r="F419" s="337" t="str">
        <f>IF(ISBLANK(input_mgmt_az2_host5_mgmt_ip),"Value Missing",input_mgmt_az2_host5_mgmt_ip)</f>
        <v>Value Missing</v>
      </c>
      <c r="G419" s="2"/>
      <c r="H419" s="4" t="s">
        <v>1595</v>
      </c>
      <c r="I419" s="337"/>
    </row>
    <row r="420" spans="5:9" ht="20" customHeight="1" x14ac:dyDescent="0.2">
      <c r="E420" s="4" t="s">
        <v>1486</v>
      </c>
      <c r="F420" s="337" t="str">
        <f>IF(ISBLANK(input_mgmt_az2_host6_mgmt_ip),"Value Missing",input_mgmt_az2_host6_mgmt_ip)</f>
        <v>Value Missing</v>
      </c>
      <c r="G420" s="2"/>
      <c r="H420" s="6"/>
      <c r="I420" s="6"/>
    </row>
    <row r="421" spans="5:9" ht="20" customHeight="1" x14ac:dyDescent="0.2">
      <c r="E421" s="4" t="s">
        <v>1487</v>
      </c>
      <c r="F421" s="337" t="str">
        <f>IF(ISBLANK(input_mgmt_az2_host7_mgmt_ip),"Value Missing",input_mgmt_az2_host7_mgmt_ip)</f>
        <v>Value Missing</v>
      </c>
      <c r="G421" s="2"/>
      <c r="H421" s="20" t="s">
        <v>1598</v>
      </c>
      <c r="I421" s="381"/>
    </row>
    <row r="422" spans="5:9" ht="20" customHeight="1" x14ac:dyDescent="0.2">
      <c r="E422" s="4" t="s">
        <v>1488</v>
      </c>
      <c r="F422" s="337" t="str">
        <f>IF(ISBLANK(input_mgmt_az2_host8_mgmt_ip),"Value Missing",input_mgmt_az2_host8_mgmt_ip)</f>
        <v>Value Missing</v>
      </c>
      <c r="G422" s="2"/>
      <c r="H422" s="13" t="s">
        <v>261</v>
      </c>
      <c r="I422" s="14" t="s">
        <v>1573</v>
      </c>
    </row>
    <row r="423" spans="5:9" ht="20" customHeight="1" x14ac:dyDescent="0.2">
      <c r="E423" s="4" t="s">
        <v>1489</v>
      </c>
      <c r="F423" s="337" t="str">
        <f>IF(ISBLANK(input_mgmt_az2_host9_mgmt_ip),"Value Missing",input_mgmt_az2_host9_mgmt_ip)</f>
        <v>Value Missing</v>
      </c>
      <c r="G423" s="15"/>
      <c r="H423" s="4" t="s">
        <v>1481</v>
      </c>
      <c r="I423" s="337" t="str">
        <f>IF(ISBLANK('Configure Workload Domain'!D174),"Value Missing",'Configure Workload Domain'!D174)</f>
        <v>Value Missing</v>
      </c>
    </row>
    <row r="424" spans="5:9" ht="20" customHeight="1" x14ac:dyDescent="0.2">
      <c r="E424" s="4" t="s">
        <v>1490</v>
      </c>
      <c r="F424" s="337" t="str">
        <f>IF(ISBLANK(input_mgmt_az2_host10_mgmt_ip),"Value Missing",input_mgmt_az2_host10_mgmt_ip)</f>
        <v>Value Missing</v>
      </c>
      <c r="G424" s="2"/>
      <c r="H424" s="4" t="s">
        <v>1482</v>
      </c>
      <c r="I424" s="337" t="str">
        <f>IF(ISBLANK('Configure Workload Domain'!D175),"Value Missing",'Configure Workload Domain'!D175)</f>
        <v>Value Missing</v>
      </c>
    </row>
    <row r="425" spans="5:9" ht="20" customHeight="1" x14ac:dyDescent="0.2">
      <c r="E425" s="4" t="s">
        <v>1491</v>
      </c>
      <c r="F425" s="337" t="str">
        <f>IF(ISBLANK(input_mgmt_az2_host11_mgmt_ip),"Value Missing",input_mgmt_az2_host11_mgmt_ip)</f>
        <v>Value Missing</v>
      </c>
      <c r="G425" s="2"/>
      <c r="H425" s="4" t="s">
        <v>1483</v>
      </c>
      <c r="I425" s="337" t="str">
        <f>IF(ISBLANK('Configure Workload Domain'!D176),"Value Missing",'Configure Workload Domain'!D176)</f>
        <v>Value Missing</v>
      </c>
    </row>
    <row r="426" spans="5:9" ht="20" customHeight="1" x14ac:dyDescent="0.2">
      <c r="E426" s="4" t="s">
        <v>1492</v>
      </c>
      <c r="F426" s="337" t="str">
        <f>IF(ISBLANK(input_mgmt_az2_host12_mgmt_ip),"Value Missing",input_mgmt_az2_host12_mgmt_ip)</f>
        <v>Value Missing</v>
      </c>
      <c r="G426" s="2"/>
      <c r="H426" s="4" t="s">
        <v>1484</v>
      </c>
      <c r="I426" s="337" t="str">
        <f>IF(ISBLANK('Configure Workload Domain'!D177),"Value Missing",'Configure Workload Domain'!D177)</f>
        <v>Value Missing</v>
      </c>
    </row>
    <row r="427" spans="5:9" ht="20" customHeight="1" x14ac:dyDescent="0.2">
      <c r="E427" s="4" t="s">
        <v>1493</v>
      </c>
      <c r="F427" s="337" t="str">
        <f>IF(ISBLANK(input_mgmt_az2_host13_mgmt_ip),"Value Missing",input_mgmt_az2_host13_mgmt_ip)</f>
        <v>Value Missing</v>
      </c>
      <c r="G427" s="2"/>
      <c r="H427" s="4" t="s">
        <v>1485</v>
      </c>
      <c r="I427" s="337" t="str">
        <f>IF(ISBLANK('Configure Workload Domain'!D178),"Value Missing",'Configure Workload Domain'!D178)</f>
        <v>Value Missing</v>
      </c>
    </row>
    <row r="428" spans="5:9" ht="20" customHeight="1" x14ac:dyDescent="0.2">
      <c r="E428" s="4" t="s">
        <v>1494</v>
      </c>
      <c r="F428" s="337" t="str">
        <f>IF(ISBLANK(input_mgmt_az2_host14_mgmt_ip),"Value Missing",input_mgmt_az2_host14_mgmt_ip)</f>
        <v>Value Missing</v>
      </c>
      <c r="G428" s="2"/>
      <c r="H428" s="4" t="s">
        <v>1486</v>
      </c>
      <c r="I428" s="337" t="str">
        <f>IF(ISBLANK('Configure Workload Domain'!D179),"Value Missing",'Configure Workload Domain'!D179)</f>
        <v>Value Missing</v>
      </c>
    </row>
    <row r="429" spans="5:9" ht="20" customHeight="1" x14ac:dyDescent="0.2">
      <c r="E429" s="4" t="s">
        <v>1495</v>
      </c>
      <c r="F429" s="337" t="str">
        <f>IF(ISBLANK(input_mgmt_az2_host15_mgmt_ip),"Value Missing",input_mgmt_az2_host15_mgmt_ip)</f>
        <v>Value Missing</v>
      </c>
      <c r="G429" s="2"/>
      <c r="H429" s="4" t="s">
        <v>1487</v>
      </c>
      <c r="I429" s="337" t="str">
        <f>IF(ISBLANK('Configure Workload Domain'!D180),"Value Missing",'Configure Workload Domain'!D180)</f>
        <v>Value Missing</v>
      </c>
    </row>
    <row r="430" spans="5:9" ht="20" customHeight="1" x14ac:dyDescent="0.2">
      <c r="E430" s="4" t="s">
        <v>1496</v>
      </c>
      <c r="F430" s="337" t="str">
        <f>IF(ISBLANK(input_mgmt_az2_host16_mgmt_ip),"Value Missing",input_mgmt_az2_host16_mgmt_ip)</f>
        <v>Value Missing</v>
      </c>
      <c r="G430" s="2"/>
      <c r="H430" s="4" t="s">
        <v>1488</v>
      </c>
      <c r="I430" s="337" t="str">
        <f>IF(ISBLANK('Configure Workload Domain'!D181),"Value Missing",'Configure Workload Domain'!D181)</f>
        <v>Value Missing</v>
      </c>
    </row>
    <row r="431" spans="5:9" ht="20" customHeight="1" x14ac:dyDescent="0.2">
      <c r="E431" s="4" t="s">
        <v>1497</v>
      </c>
      <c r="F431" s="337" t="str">
        <f>IF(ISBLANK('Site Protection &amp; DR'!D193),"Value Missing",'Site Protection &amp; DR'!D193)</f>
        <v>Value Missing</v>
      </c>
      <c r="G431" s="2"/>
      <c r="H431" s="4" t="s">
        <v>1489</v>
      </c>
      <c r="I431" s="337" t="str">
        <f>IF(ISBLANK('Configure Workload Domain'!D182),"Value Missing",'Configure Workload Domain'!D182)</f>
        <v>Value Missing</v>
      </c>
    </row>
    <row r="432" spans="5:9" ht="20" customHeight="1" x14ac:dyDescent="0.2">
      <c r="E432" s="4" t="s">
        <v>1498</v>
      </c>
      <c r="F432" s="337" t="str">
        <f>IF(ISBLANK('Site Protection &amp; DR'!D194),"Value Missing",'Site Protection &amp; DR'!D194)</f>
        <v>Value Missing</v>
      </c>
      <c r="G432" s="2"/>
      <c r="H432" s="4" t="s">
        <v>1490</v>
      </c>
      <c r="I432" s="337" t="str">
        <f>IF(ISBLANK('Configure Workload Domain'!D183),"Value Missing",'Configure Workload Domain'!D183)</f>
        <v>Value Missing</v>
      </c>
    </row>
    <row r="433" spans="5:9" ht="20" customHeight="1" x14ac:dyDescent="0.2">
      <c r="E433" s="4" t="s">
        <v>1506</v>
      </c>
      <c r="F433" s="337" t="str">
        <f>IF(ISBLANK('Site Protection &amp; DR'!D195),"Value Missing",'Site Protection &amp; DR'!D195)</f>
        <v>Value Missing</v>
      </c>
      <c r="G433" s="2"/>
      <c r="H433" s="4" t="s">
        <v>1491</v>
      </c>
      <c r="I433" s="337" t="str">
        <f>IF(ISBLANK('Configure Workload Domain'!D184),"Value Missing",'Configure Workload Domain'!D184)</f>
        <v>Value Missing</v>
      </c>
    </row>
    <row r="434" spans="5:9" ht="20" customHeight="1" x14ac:dyDescent="0.2">
      <c r="E434" s="4" t="s">
        <v>1507</v>
      </c>
      <c r="F434" s="337" t="str">
        <f>IF(ISBLANK('Site Protection &amp; DR'!D196),"Value Missing",'Site Protection &amp; DR'!D196)</f>
        <v>Value Missing</v>
      </c>
      <c r="G434" s="2"/>
      <c r="H434" s="4" t="s">
        <v>1492</v>
      </c>
      <c r="I434" s="337" t="str">
        <f>IF(ISBLANK('Configure Workload Domain'!D185),"Value Missing",'Configure Workload Domain'!D185)</f>
        <v>Value Missing</v>
      </c>
    </row>
    <row r="435" spans="5:9" ht="20" customHeight="1" x14ac:dyDescent="0.2">
      <c r="E435" s="4" t="s">
        <v>1509</v>
      </c>
      <c r="F435" s="337" t="str">
        <f>IF(ISBLANK('Site Protection &amp; DR'!D197),"Value Missing",'Site Protection &amp; DR'!D197)</f>
        <v>Value Missing</v>
      </c>
      <c r="G435" s="2"/>
      <c r="H435" s="4" t="s">
        <v>1493</v>
      </c>
      <c r="I435" s="337" t="str">
        <f>IF(ISBLANK('Configure Workload Domain'!D186),"Value Missing",'Configure Workload Domain'!D186)</f>
        <v>Value Missing</v>
      </c>
    </row>
    <row r="436" spans="5:9" ht="20" customHeight="1" x14ac:dyDescent="0.2">
      <c r="E436" s="4" t="s">
        <v>1511</v>
      </c>
      <c r="F436" s="337" t="str">
        <f>IF(ISBLANK('Site Protection &amp; DR'!D198),"Value Missing",'Site Protection &amp; DR'!D198)</f>
        <v>Value Missing</v>
      </c>
      <c r="G436" s="2"/>
      <c r="H436" s="4" t="s">
        <v>1494</v>
      </c>
      <c r="I436" s="337" t="str">
        <f>IF(ISBLANK('Configure Workload Domain'!D187),"Value Missing",'Configure Workload Domain'!D187)</f>
        <v>Value Missing</v>
      </c>
    </row>
    <row r="437" spans="5:9" ht="20" customHeight="1" x14ac:dyDescent="0.2">
      <c r="E437" s="4" t="s">
        <v>1513</v>
      </c>
      <c r="F437" s="337" t="str">
        <f>IF(ISBLANK('Site Protection &amp; DR'!D199),"Value Missing",'Site Protection &amp; DR'!D199)</f>
        <v>Value Missing</v>
      </c>
      <c r="G437" s="2"/>
      <c r="H437" s="4" t="s">
        <v>1495</v>
      </c>
      <c r="I437" s="337" t="str">
        <f>IF(ISBLANK('Configure Workload Domain'!D188),"Value Missing",'Configure Workload Domain'!D188)</f>
        <v>Value Missing</v>
      </c>
    </row>
    <row r="438" spans="5:9" ht="20" customHeight="1" x14ac:dyDescent="0.2">
      <c r="E438" s="4" t="s">
        <v>1515</v>
      </c>
      <c r="F438" s="337" t="str">
        <f>IF(ISBLANK('Site Protection &amp; DR'!D200),"Value Missing",'Site Protection &amp; DR'!D200)</f>
        <v>Value Missing</v>
      </c>
      <c r="G438" s="2"/>
      <c r="H438" s="4" t="s">
        <v>1496</v>
      </c>
      <c r="I438" s="337" t="str">
        <f>IF(ISBLANK('Configure Workload Domain'!D189),"Value Missing",'Configure Workload Domain'!D189)</f>
        <v>Value Missing</v>
      </c>
    </row>
    <row r="439" spans="5:9" ht="20" customHeight="1" x14ac:dyDescent="0.2">
      <c r="E439" s="4" t="s">
        <v>1517</v>
      </c>
      <c r="F439" s="337" t="str">
        <f>IF(ISBLANK('Site Protection &amp; DR'!D201),"Value Missing",'Site Protection &amp; DR'!D201)</f>
        <v>Value Missing</v>
      </c>
      <c r="G439" s="2"/>
      <c r="H439" s="4" t="s">
        <v>1497</v>
      </c>
      <c r="I439" s="337" t="str">
        <f>IF(ISBLANK('Dumping Ground'!D310),"Value Missing",'Dumping Ground'!D310)</f>
        <v>Value Missing</v>
      </c>
    </row>
    <row r="440" spans="5:9" ht="20" customHeight="1" x14ac:dyDescent="0.2">
      <c r="E440" s="4" t="s">
        <v>1519</v>
      </c>
      <c r="F440" s="337" t="str">
        <f>IF(ISBLANK('Site Protection &amp; DR'!D202),"Value Missing",'Site Protection &amp; DR'!D202)</f>
        <v>Value Missing</v>
      </c>
      <c r="G440" s="2"/>
      <c r="H440" s="4" t="s">
        <v>1498</v>
      </c>
      <c r="I440" s="337" t="str">
        <f>IF(ISBLANK('Dumping Ground'!D311),"Value Missing",'Dumping Ground'!D311)</f>
        <v>Value Missing</v>
      </c>
    </row>
    <row r="441" spans="5:9" ht="20" customHeight="1" x14ac:dyDescent="0.2">
      <c r="E441" s="4" t="s">
        <v>1521</v>
      </c>
      <c r="F441" s="337" t="str">
        <f>IF(ISBLANK('Site Protection &amp; DR'!D203),"Value Missing",'Site Protection &amp; DR'!D203)</f>
        <v>Value Missing</v>
      </c>
      <c r="G441" s="2"/>
      <c r="H441" s="4" t="s">
        <v>1506</v>
      </c>
      <c r="I441" s="337" t="str">
        <f>IF(ISBLANK('Dumping Ground'!D312),"Value Missing",'Dumping Ground'!D312)</f>
        <v>Value Missing</v>
      </c>
    </row>
    <row r="442" spans="5:9" ht="20" customHeight="1" x14ac:dyDescent="0.2">
      <c r="E442" s="4" t="s">
        <v>1523</v>
      </c>
      <c r="F442" s="337" t="str">
        <f>IF(ISBLANK('Site Protection &amp; DR'!D204),"Value Missing",'Site Protection &amp; DR'!D204)</f>
        <v>Value Missing</v>
      </c>
      <c r="G442" s="15"/>
      <c r="H442" s="4" t="s">
        <v>1507</v>
      </c>
      <c r="I442" s="337" t="str">
        <f>IF(ISBLANK('Dumping Ground'!D313),"Value Missing",'Dumping Ground'!D313)</f>
        <v>Value Missing</v>
      </c>
    </row>
    <row r="443" spans="5:9" ht="20" customHeight="1" x14ac:dyDescent="0.2">
      <c r="E443" s="4" t="s">
        <v>1525</v>
      </c>
      <c r="F443" s="337" t="str">
        <f>IF(ISBLANK('Site Protection &amp; DR'!D205),"Value Missing",'Site Protection &amp; DR'!D205)</f>
        <v>Value Missing</v>
      </c>
      <c r="G443" s="2"/>
      <c r="H443" s="4" t="s">
        <v>1509</v>
      </c>
      <c r="I443" s="337" t="str">
        <f>IF(ISBLANK('Dumping Ground'!D314),"Value Missing",'Dumping Ground'!D314)</f>
        <v>Value Missing</v>
      </c>
    </row>
    <row r="444" spans="5:9" ht="20" customHeight="1" x14ac:dyDescent="0.2">
      <c r="E444" s="4" t="s">
        <v>1527</v>
      </c>
      <c r="F444" s="337" t="str">
        <f>IF(ISBLANK('Site Protection &amp; DR'!D206),"Value Missing",'Site Protection &amp; DR'!D206)</f>
        <v>Value Missing</v>
      </c>
      <c r="G444" s="2"/>
      <c r="H444" s="4" t="s">
        <v>1511</v>
      </c>
      <c r="I444" s="337" t="str">
        <f>IF(ISBLANK('Dumping Ground'!D315),"Value Missing",'Dumping Ground'!D315)</f>
        <v>Value Missing</v>
      </c>
    </row>
    <row r="445" spans="5:9" ht="20" customHeight="1" x14ac:dyDescent="0.2">
      <c r="E445" s="4" t="s">
        <v>1529</v>
      </c>
      <c r="F445" s="337" t="str">
        <f>IF(ISBLANK('Site Protection &amp; DR'!D207),"Value Missing",'Site Protection &amp; DR'!D207)</f>
        <v>Value Missing</v>
      </c>
      <c r="G445" s="2"/>
      <c r="H445" s="4" t="s">
        <v>1513</v>
      </c>
      <c r="I445" s="337" t="str">
        <f>IF(ISBLANK('Dumping Ground'!D316),"Value Missing",'Dumping Ground'!D316)</f>
        <v>Value Missing</v>
      </c>
    </row>
    <row r="446" spans="5:9" ht="20" customHeight="1" x14ac:dyDescent="0.2">
      <c r="E446" s="4" t="s">
        <v>1531</v>
      </c>
      <c r="F446" s="337" t="str">
        <f>IF(ISBLANK('Site Protection &amp; DR'!D208),"Value Missing",'Site Protection &amp; DR'!D208)</f>
        <v>Value Missing</v>
      </c>
      <c r="G446" s="2"/>
      <c r="H446" s="4" t="s">
        <v>1515</v>
      </c>
      <c r="I446" s="337" t="str">
        <f>IF(ISBLANK('Dumping Ground'!D317),"Value Missing",'Dumping Ground'!D317)</f>
        <v>Value Missing</v>
      </c>
    </row>
    <row r="447" spans="5:9" ht="20" customHeight="1" x14ac:dyDescent="0.2">
      <c r="E447" s="2"/>
      <c r="F447" s="2"/>
      <c r="G447" s="2"/>
      <c r="H447" s="4" t="s">
        <v>1517</v>
      </c>
      <c r="I447" s="337" t="str">
        <f>IF(ISBLANK('Dumping Ground'!D318),"Value Missing",'Dumping Ground'!D318)</f>
        <v>Value Missing</v>
      </c>
    </row>
    <row r="448" spans="5:9" ht="20" customHeight="1" x14ac:dyDescent="0.2">
      <c r="E448" s="573" t="s">
        <v>1599</v>
      </c>
      <c r="F448" s="575"/>
      <c r="G448" s="2"/>
      <c r="H448" s="4" t="s">
        <v>1519</v>
      </c>
      <c r="I448" s="337" t="str">
        <f>IF(ISBLANK('Dumping Ground'!D319),"Value Missing",'Dumping Ground'!D319)</f>
        <v>Value Missing</v>
      </c>
    </row>
    <row r="449" spans="5:9" ht="20" customHeight="1" x14ac:dyDescent="0.2">
      <c r="E449" s="13" t="s">
        <v>261</v>
      </c>
      <c r="F449" s="14" t="s">
        <v>1573</v>
      </c>
      <c r="G449" s="2"/>
      <c r="H449" s="4" t="s">
        <v>1521</v>
      </c>
      <c r="I449" s="337" t="str">
        <f>IF(ISBLANK('Dumping Ground'!D320),"Value Missing",'Dumping Ground'!D320)</f>
        <v>Value Missing</v>
      </c>
    </row>
    <row r="450" spans="5:9" ht="20" customHeight="1" x14ac:dyDescent="0.2">
      <c r="E450" s="4" t="s">
        <v>1508</v>
      </c>
      <c r="F450" s="337" t="str">
        <f>IF(mgmt_az2_host1_fqdn="Value Missing",mgmt_az2_host1_fqdn,LEFT(mgmt_az2_host1_fqdn,FIND(".",mgmt_az2_host1_fqdn)-1))</f>
        <v>Value Missing</v>
      </c>
      <c r="G450" s="2"/>
      <c r="H450" s="4" t="s">
        <v>1523</v>
      </c>
      <c r="I450" s="337" t="str">
        <f>IF(ISBLANK('Dumping Ground'!D321),"Value Missing",'Dumping Ground'!D321)</f>
        <v>Value Missing</v>
      </c>
    </row>
    <row r="451" spans="5:9" ht="20" customHeight="1" x14ac:dyDescent="0.2">
      <c r="E451" s="4" t="s">
        <v>1510</v>
      </c>
      <c r="F451" s="337" t="str">
        <f>IF(mgmt_az2_host2_fqdn="Value Missing",mgmt_az2_host2_fqdn,LEFT(mgmt_az2_host2_fqdn,FIND(".",mgmt_az2_host2_fqdn)-1))</f>
        <v>Value Missing</v>
      </c>
      <c r="G451" s="2"/>
      <c r="H451" s="4" t="s">
        <v>1525</v>
      </c>
      <c r="I451" s="337" t="str">
        <f>IF(ISBLANK('Dumping Ground'!D322),"Value Missing",'Dumping Ground'!D322)</f>
        <v>Value Missing</v>
      </c>
    </row>
    <row r="452" spans="5:9" ht="20" customHeight="1" x14ac:dyDescent="0.2">
      <c r="E452" s="4" t="s">
        <v>1512</v>
      </c>
      <c r="F452" s="337" t="str">
        <f>IF(mgmt_az2_host3_fqdn="Value Missing",mgmt_az2_host3_fqdn,LEFT(mgmt_az2_host3_fqdn,FIND(".",mgmt_az2_host3_fqdn)-1))</f>
        <v>Value Missing</v>
      </c>
      <c r="G452" s="2"/>
      <c r="H452" s="4" t="s">
        <v>1527</v>
      </c>
      <c r="I452" s="337" t="str">
        <f>IF(ISBLANK('Dumping Ground'!D323),"Value Missing",'Dumping Ground'!D323)</f>
        <v>Value Missing</v>
      </c>
    </row>
    <row r="453" spans="5:9" ht="20" customHeight="1" x14ac:dyDescent="0.2">
      <c r="E453" s="4" t="s">
        <v>1514</v>
      </c>
      <c r="F453" s="337" t="str">
        <f>IF(mgmt_az2_host4_fqdn="Value Missing",mgmt_az2_host4_fqdn,LEFT(mgmt_az2_host4_fqdn,FIND(".",mgmt_az2_host4_fqdn)-1))</f>
        <v>Value Missing</v>
      </c>
      <c r="G453" s="2"/>
      <c r="H453" s="4" t="s">
        <v>1529</v>
      </c>
      <c r="I453" s="337" t="str">
        <f>IF(ISBLANK('Dumping Ground'!D324),"Value Missing",'Dumping Ground'!D324)</f>
        <v>Value Missing</v>
      </c>
    </row>
    <row r="454" spans="5:9" ht="20" customHeight="1" x14ac:dyDescent="0.2">
      <c r="E454" s="4" t="s">
        <v>1516</v>
      </c>
      <c r="F454" s="337" t="str">
        <f>IF(mgmt_az2_host5_fqdn="Value Missing",mgmt_az2_host5_fqdn,LEFT(mgmt_az2_host5_fqdn,FIND(".",mgmt_az2_host5_fqdn)-1))</f>
        <v>Value Missing</v>
      </c>
      <c r="G454" s="2"/>
      <c r="H454" s="4" t="s">
        <v>1531</v>
      </c>
      <c r="I454" s="337" t="str">
        <f>IF(ISBLANK('Dumping Ground'!D325),"Value Missing",'Dumping Ground'!D325)</f>
        <v>Value Missing</v>
      </c>
    </row>
    <row r="455" spans="5:9" ht="20" customHeight="1" x14ac:dyDescent="0.2">
      <c r="E455" s="4" t="s">
        <v>1518</v>
      </c>
      <c r="F455" s="337" t="str">
        <f>IF(mgmt_az2_host6_fqdn="Value Missing",mgmt_az2_host6_fqdn,LEFT(mgmt_az2_host6_fqdn,FIND(".",mgmt_az2_host6_fqdn)-1))</f>
        <v>Value Missing</v>
      </c>
      <c r="G455" s="2"/>
      <c r="I455" s="19"/>
    </row>
    <row r="456" spans="5:9" ht="20" customHeight="1" x14ac:dyDescent="0.2">
      <c r="E456" s="4" t="s">
        <v>1520</v>
      </c>
      <c r="F456" s="337" t="str">
        <f>IF(mgmt_az2_host7_fqdn="Value Missing",mgmt_az2_host7_fqdn,LEFT(mgmt_az2_host7_fqdn,FIND(".",mgmt_az2_host7_fqdn)-1))</f>
        <v>Value Missing</v>
      </c>
      <c r="G456" s="2"/>
      <c r="H456" s="573" t="s">
        <v>1600</v>
      </c>
      <c r="I456" s="575"/>
    </row>
    <row r="457" spans="5:9" ht="20" customHeight="1" x14ac:dyDescent="0.2">
      <c r="E457" s="4" t="s">
        <v>1522</v>
      </c>
      <c r="F457" s="337" t="str">
        <f>IF(mgmt_az2_host8_fqdn="Value Missing",mgmt_az2_host8_fqdn,LEFT(mgmt_az2_host8_fqdn,FIND(".",mgmt_az2_host8_fqdn)-1))</f>
        <v>Value Missing</v>
      </c>
      <c r="G457" s="2"/>
      <c r="H457" s="13" t="s">
        <v>261</v>
      </c>
      <c r="I457" s="14" t="s">
        <v>1573</v>
      </c>
    </row>
    <row r="458" spans="5:9" ht="20" customHeight="1" x14ac:dyDescent="0.2">
      <c r="E458" s="4" t="s">
        <v>1524</v>
      </c>
      <c r="F458" s="337" t="str">
        <f>IF(mgmt_az2_host9_fqdn="Value Missing",mgmt_az2_host9_fqdn,LEFT(mgmt_az2_host9_fqdn,FIND(".",mgmt_az2_host9_fqdn)-1))</f>
        <v>Value Missing</v>
      </c>
      <c r="G458" s="2"/>
      <c r="H458" s="4" t="s">
        <v>1508</v>
      </c>
      <c r="I458" s="337" t="str">
        <f>IF(wld_az2_host1_fqdn="Value Missing",wld_az2_host1_fqdn,LEFT(wld_az2_host1_fqdn,FIND(".",wld_az2_host1_fqdn)-1))</f>
        <v>Value Missing</v>
      </c>
    </row>
    <row r="459" spans="5:9" ht="20" customHeight="1" x14ac:dyDescent="0.2">
      <c r="E459" s="4" t="s">
        <v>1526</v>
      </c>
      <c r="F459" s="337" t="str">
        <f>IF(mgmt_az2_host10_fqdn="Value Missing",mgmt_az2_host10_fqdn,LEFT(mgmt_az2_host10_fqdn,FIND(".",mgmt_az2_host10_fqdn)-1))</f>
        <v>Value Missing</v>
      </c>
      <c r="H459" s="4" t="s">
        <v>1510</v>
      </c>
      <c r="I459" s="337" t="str">
        <f>IF(wld_az2_host2_fqdn="Value Missing",wld_az2_host2_fqdn,LEFT(wld_az2_host2_fqdn,FIND(".",wld_az2_host2_fqdn)-1))</f>
        <v>Value Missing</v>
      </c>
    </row>
    <row r="460" spans="5:9" ht="20" customHeight="1" x14ac:dyDescent="0.2">
      <c r="E460" s="4" t="s">
        <v>1528</v>
      </c>
      <c r="F460" s="337" t="str">
        <f>IF(mgmt_az2_host11_fqdn="Value Missing",mgmt_az2_host11_fqdn,LEFT(mgmt_az2_host11_fqdn,FIND(".",mgmt_az2_host11_fqdn)-1))</f>
        <v>Value Missing</v>
      </c>
      <c r="H460" s="4" t="s">
        <v>1512</v>
      </c>
      <c r="I460" s="337" t="str">
        <f>IF(wld_az2_host3_fqdn="Value Missing",wld_az2_host3_fqdn,LEFT(wld_az2_host3_fqdn,FIND(".",wld_az2_host3_fqdn)-1))</f>
        <v>Value Missing</v>
      </c>
    </row>
    <row r="461" spans="5:9" ht="20" customHeight="1" x14ac:dyDescent="0.2">
      <c r="E461" s="4" t="s">
        <v>1530</v>
      </c>
      <c r="F461" s="337" t="str">
        <f>IF(mgmt_az2_host12_fqdn="Value Missing",mgmt_az2_host12_fqdn,LEFT(mgmt_az2_host12_fqdn,FIND(".",mgmt_az2_host12_fqdn)-1))</f>
        <v>Value Missing</v>
      </c>
      <c r="H461" s="4" t="s">
        <v>1514</v>
      </c>
      <c r="I461" s="337" t="str">
        <f>IF(wld_az2_host4_fqdn="Value Missing",wld_az2_host4_fqdn,LEFT(wld_az2_host4_fqdn,FIND(".",wld_az2_host4_fqdn)-1))</f>
        <v>Value Missing</v>
      </c>
    </row>
    <row r="462" spans="5:9" ht="20" customHeight="1" x14ac:dyDescent="0.2">
      <c r="E462" s="4" t="s">
        <v>1532</v>
      </c>
      <c r="F462" s="337" t="str">
        <f>IF(mgmt_az2_host13_fqdn="Value Missing",mgmt_az2_host13_fqdn,LEFT(mgmt_az2_host13_fqdn,FIND(".",mgmt_az2_host13_fqdn)-1))</f>
        <v>Value Missing</v>
      </c>
      <c r="H462" s="4" t="s">
        <v>1516</v>
      </c>
      <c r="I462" s="337" t="str">
        <f>IF(wld_az2_host5_fqdn="Value Missing",wld_az2_host5_fqdn,LEFT(wld_az2_host5_fqdn,FIND(".",wld_az2_host5_fqdn)-1))</f>
        <v>Value Missing</v>
      </c>
    </row>
    <row r="463" spans="5:9" ht="20" customHeight="1" x14ac:dyDescent="0.2">
      <c r="E463" s="4" t="s">
        <v>1533</v>
      </c>
      <c r="F463" s="337" t="str">
        <f>IF(mgmt_az2_host14_fqdn="Value Missing",mgmt_az2_host14_fqdn,LEFT(mgmt_az2_host14_fqdn,FIND(".",mgmt_az2_host14_fqdn)-1))</f>
        <v>Value Missing</v>
      </c>
      <c r="H463" s="4" t="s">
        <v>1518</v>
      </c>
      <c r="I463" s="337" t="str">
        <f>IF(wld_az2_host6_fqdn="Value Missing",wld_az2_host6_fqdn,LEFT(wld_az2_host6_fqdn,FIND(".",wld_az2_host6_fqdn)-1))</f>
        <v>Value Missing</v>
      </c>
    </row>
    <row r="464" spans="5:9" ht="20" customHeight="1" x14ac:dyDescent="0.2">
      <c r="E464" s="4" t="s">
        <v>1536</v>
      </c>
      <c r="F464" s="337" t="str">
        <f>IF(mgmt_az2_host15_fqdn="Value Missing",mgmt_az2_host15_fqdn,LEFT(mgmt_az2_host15_fqdn,FIND(".",mgmt_az2_host15_fqdn)-1))</f>
        <v>Value Missing</v>
      </c>
      <c r="H464" s="4" t="s">
        <v>1520</v>
      </c>
      <c r="I464" s="337" t="str">
        <f>IF(wld_az2_host7_fqdn="Value Missing",wld_az2_host7_fqdn,LEFT(wld_az2_host7_fqdn,FIND(".",wld_az2_host7_fqdn)-1))</f>
        <v>Value Missing</v>
      </c>
    </row>
    <row r="465" spans="5:9" ht="20" customHeight="1" x14ac:dyDescent="0.2">
      <c r="E465" s="4" t="s">
        <v>1537</v>
      </c>
      <c r="F465" s="337" t="str">
        <f>IF(mgmt_az2_host16_fqdn="Value Missing",mgmt_az2_host16_fqdn,LEFT(mgmt_az2_host16_fqdn,FIND(".",mgmt_az2_host16_fqdn)-1))</f>
        <v>Value Missing</v>
      </c>
      <c r="H465" s="4" t="s">
        <v>1522</v>
      </c>
      <c r="I465" s="337" t="str">
        <f>IF(wld_az2_host8_fqdn="Value Missing",wld_az2_host8_fqdn,LEFT(wld_az2_host8_fqdn,FIND(".",wld_az2_host8_fqdn)-1))</f>
        <v>Value Missing</v>
      </c>
    </row>
    <row r="466" spans="5:9" ht="20" customHeight="1" x14ac:dyDescent="0.2">
      <c r="E466" s="2"/>
      <c r="F466" s="2"/>
      <c r="H466" s="4" t="s">
        <v>1524</v>
      </c>
      <c r="I466" s="337" t="str">
        <f>IF(wld_az2_host9_fqdn="Value Missing",wld_az2_host9_fqdn,LEFT(wld_az2_host9_fqdn,FIND(".",wld_az2_host9_fqdn)-1))</f>
        <v>Value Missing</v>
      </c>
    </row>
    <row r="467" spans="5:9" ht="20" customHeight="1" x14ac:dyDescent="0.2">
      <c r="E467" s="379" t="s">
        <v>1601</v>
      </c>
      <c r="F467" s="380"/>
      <c r="H467" s="4" t="s">
        <v>1526</v>
      </c>
      <c r="I467" s="337" t="str">
        <f>IF(wld_az2_host10_fqdn="Value Missing",wld_az2_host10_fqdn,LEFT(wld_az2_host10_fqdn,FIND(".",wld_az2_host10_fqdn)-1))</f>
        <v>Value Missing</v>
      </c>
    </row>
    <row r="468" spans="5:9" ht="20" customHeight="1" x14ac:dyDescent="0.2">
      <c r="E468" s="13" t="s">
        <v>261</v>
      </c>
      <c r="F468" s="14" t="s">
        <v>1573</v>
      </c>
      <c r="H468" s="4" t="s">
        <v>1528</v>
      </c>
      <c r="I468" s="337" t="str">
        <f>IF(wld_az2_host11_fqdn="Value Missing",wld_az2_host11_fqdn,LEFT(wld_az2_host11_fqdn,FIND(".",wld_az2_host11_fqdn)-1))</f>
        <v>Value Missing</v>
      </c>
    </row>
    <row r="469" spans="5:9" ht="20" customHeight="1" x14ac:dyDescent="0.2">
      <c r="E469" s="4" t="s">
        <v>1508</v>
      </c>
      <c r="F469" s="337" t="str">
        <f>IF(ISBLANK(input_mgmt_az2_host1_fqdn),"Value Missing",input_mgmt_az2_host1_fqdn)</f>
        <v>Value Missing</v>
      </c>
      <c r="H469" s="4" t="s">
        <v>1530</v>
      </c>
      <c r="I469" s="337" t="str">
        <f>IF(wld_az2_host12_fqdn="Value Missing",wld_az2_host12_fqdn,LEFT(wld_az2_host12_fqdn,FIND(".",wld_az2_host12_fqdn)-1))</f>
        <v>Value Missing</v>
      </c>
    </row>
    <row r="470" spans="5:9" ht="20" customHeight="1" x14ac:dyDescent="0.2">
      <c r="E470" s="4" t="s">
        <v>1510</v>
      </c>
      <c r="F470" s="337" t="str">
        <f>IF(ISBLANK(input_mgmt_az2_host2_fqdn),"Value Missing",input_mgmt_az2_host2_fqdn)</f>
        <v>Value Missing</v>
      </c>
      <c r="H470" s="4" t="s">
        <v>1532</v>
      </c>
      <c r="I470" s="337" t="str">
        <f>IF(wld_az2_host13_fqdn="Value Missing",wld_az2_host13_fqdn,LEFT(wld_az2_host13_fqdn,FIND(".",wld_az2_host13_fqdn)-1))</f>
        <v>Value Missing</v>
      </c>
    </row>
    <row r="471" spans="5:9" ht="20" customHeight="1" x14ac:dyDescent="0.2">
      <c r="E471" s="4" t="s">
        <v>1512</v>
      </c>
      <c r="F471" s="337" t="str">
        <f>IF(ISBLANK(input_mgmt_az2_host3_fqdn),"Value Missing",input_mgmt_az2_host3_fqdn)</f>
        <v>Value Missing</v>
      </c>
      <c r="H471" s="4" t="s">
        <v>1533</v>
      </c>
      <c r="I471" s="337" t="str">
        <f>IF(wld_az2_host14_fqdn="Value Missing",wld_az2_host14_fqdn,LEFT(wld_az2_host14_fqdn,FIND(".",wld_az2_host14_fqdn)-1))</f>
        <v>Value Missing</v>
      </c>
    </row>
    <row r="472" spans="5:9" ht="20" customHeight="1" x14ac:dyDescent="0.2">
      <c r="E472" s="4" t="s">
        <v>1514</v>
      </c>
      <c r="F472" s="337" t="str">
        <f>IF(ISBLANK(input_mgmt_az2_host4_fqdn),"Value Missing",input_mgmt_az2_host4_fqdn)</f>
        <v>Value Missing</v>
      </c>
      <c r="H472" s="4" t="s">
        <v>1536</v>
      </c>
      <c r="I472" s="337" t="str">
        <f>IF(wld_az2_host15_fqdn="Value Missing",wld_az2_host15_fqdn,LEFT(wld_az2_host15_fqdn,FIND(".",wld_az2_host15_fqdn)-1))</f>
        <v>Value Missing</v>
      </c>
    </row>
    <row r="473" spans="5:9" ht="20" customHeight="1" x14ac:dyDescent="0.2">
      <c r="E473" s="4" t="s">
        <v>1516</v>
      </c>
      <c r="F473" s="337" t="str">
        <f>IF(ISBLANK(input_mgmt_az2_host5_fqdn),"Value Missing",input_mgmt_az2_host5_fqdn)</f>
        <v>Value Missing</v>
      </c>
      <c r="H473" s="4" t="s">
        <v>1537</v>
      </c>
      <c r="I473" s="337" t="str">
        <f>IF(wld_az2_host16_fqdn="Value Missing",wld_az2_host16_fqdn,LEFT(wld_az2_host16_fqdn,FIND(".",wld_az2_host16_fqdn)-1))</f>
        <v>Value Missing</v>
      </c>
    </row>
    <row r="474" spans="5:9" ht="20" customHeight="1" x14ac:dyDescent="0.2">
      <c r="E474" s="4" t="s">
        <v>1518</v>
      </c>
      <c r="F474" s="337" t="str">
        <f>IF(ISBLANK(input_mgmt_az2_host6_fqdn),"Value Missing",input_mgmt_az2_host6_fqdn)</f>
        <v>Value Missing</v>
      </c>
      <c r="I474" s="19"/>
    </row>
    <row r="475" spans="5:9" ht="20" customHeight="1" x14ac:dyDescent="0.2">
      <c r="E475" s="4" t="s">
        <v>1520</v>
      </c>
      <c r="F475" s="337" t="str">
        <f>IF(ISBLANK(input_mgmt_az2_host7_fqdn),"Value Missing",input_mgmt_az2_host7_fqdn)</f>
        <v>Value Missing</v>
      </c>
      <c r="H475" s="379" t="s">
        <v>1546</v>
      </c>
      <c r="I475" s="380"/>
    </row>
    <row r="476" spans="5:9" ht="20" customHeight="1" x14ac:dyDescent="0.2">
      <c r="E476" s="4" t="s">
        <v>1522</v>
      </c>
      <c r="F476" s="337" t="str">
        <f>IF(ISBLANK(input_mgmt_az2_host8_fqdn),"Value Missing",input_mgmt_az2_host8_fqdn)</f>
        <v>Value Missing</v>
      </c>
      <c r="H476" s="13" t="s">
        <v>261</v>
      </c>
      <c r="I476" s="14" t="s">
        <v>1573</v>
      </c>
    </row>
    <row r="477" spans="5:9" ht="20" customHeight="1" x14ac:dyDescent="0.2">
      <c r="E477" s="4" t="s">
        <v>1524</v>
      </c>
      <c r="F477" s="337" t="str">
        <f>IF(ISBLANK(input_mgmt_az2_host9_fqdn),"Value Missing",input_mgmt_az2_host9_fqdn)</f>
        <v>Value Missing</v>
      </c>
      <c r="H477" s="4" t="s">
        <v>1508</v>
      </c>
      <c r="I477" s="337" t="str">
        <f>IF(ISBLANK(input_wld_az2_host1_fqdn),"Value Missing",input_wld_az2_host1_fqdn)</f>
        <v>Value Missing</v>
      </c>
    </row>
    <row r="478" spans="5:9" ht="20" customHeight="1" x14ac:dyDescent="0.2">
      <c r="E478" s="4" t="s">
        <v>1526</v>
      </c>
      <c r="F478" s="337" t="str">
        <f>IF(ISBLANK(input_mgmt_az2_host10_fqdn),"Value Missing",input_mgmt_az2_host10_fqdn)</f>
        <v>Value Missing</v>
      </c>
      <c r="H478" s="4" t="s">
        <v>1510</v>
      </c>
      <c r="I478" s="337" t="str">
        <f>IF(ISBLANK(input_wld_az2_host2_fqdn),"Value Missing",input_wld_az2_host2_fqdn)</f>
        <v>Value Missing</v>
      </c>
    </row>
    <row r="479" spans="5:9" ht="20" customHeight="1" x14ac:dyDescent="0.2">
      <c r="E479" s="4" t="s">
        <v>1528</v>
      </c>
      <c r="F479" s="337" t="str">
        <f>IF(ISBLANK(input_mgmt_az2_host11_fqdn),"Value Missing",input_mgmt_az2_host11_fqdn)</f>
        <v>Value Missing</v>
      </c>
      <c r="H479" s="4" t="s">
        <v>1512</v>
      </c>
      <c r="I479" s="337" t="str">
        <f>IF(ISBLANK(input_wld_az2_host3_fqdn),"Value Missing",input_wld_az2_host3_fqdn)</f>
        <v>Value Missing</v>
      </c>
    </row>
    <row r="480" spans="5:9" ht="20" customHeight="1" x14ac:dyDescent="0.2">
      <c r="E480" s="4" t="s">
        <v>1530</v>
      </c>
      <c r="F480" s="337" t="str">
        <f>IF(ISBLANK(input_mgmt_az2_host12_fqdn),"Value Missing",input_mgmt_az2_host12_fqdn)</f>
        <v>Value Missing</v>
      </c>
      <c r="H480" s="4" t="s">
        <v>1514</v>
      </c>
      <c r="I480" s="337" t="str">
        <f>IF(ISBLANK(input_wld_az2_host4_fqdn),"Value Missing",input_wld_az2_host4_fqdn)</f>
        <v>Value Missing</v>
      </c>
    </row>
    <row r="481" spans="5:9" ht="20" customHeight="1" x14ac:dyDescent="0.2">
      <c r="E481" s="4" t="s">
        <v>1532</v>
      </c>
      <c r="F481" s="337" t="str">
        <f>IF(ISBLANK(input_mgmt_az2_host13_fqdn),"Value Missing",input_mgmt_az2_host13_fqdn)</f>
        <v>Value Missing</v>
      </c>
      <c r="H481" s="4" t="s">
        <v>1516</v>
      </c>
      <c r="I481" s="337" t="str">
        <f>IF(ISBLANK(input_wld_az2_host5_fqdn),"Value Missing",input_wld_az2_host5_fqdn)</f>
        <v>Value Missing</v>
      </c>
    </row>
    <row r="482" spans="5:9" ht="20" customHeight="1" x14ac:dyDescent="0.2">
      <c r="E482" s="4" t="s">
        <v>1533</v>
      </c>
      <c r="F482" s="337" t="str">
        <f>IF(ISBLANK(input_mgmt_az2_host14_fqdn),"Value Missing",input_mgmt_az2_host14_fqdn)</f>
        <v>Value Missing</v>
      </c>
      <c r="H482" s="4" t="s">
        <v>1518</v>
      </c>
      <c r="I482" s="337" t="str">
        <f>IF(ISBLANK(input_wld_az2_host6_fqdn),"Value Missing",input_wld_az2_host6_fqdn)</f>
        <v>Value Missing</v>
      </c>
    </row>
    <row r="483" spans="5:9" ht="20" customHeight="1" x14ac:dyDescent="0.2">
      <c r="E483" s="4" t="s">
        <v>1536</v>
      </c>
      <c r="F483" s="337" t="str">
        <f>IF(ISBLANK(input_mgmt_az2_host15_fqdn),"Value Missing",input_mgmt_az2_host15_fqdn)</f>
        <v>Value Missing</v>
      </c>
      <c r="H483" s="4" t="s">
        <v>1520</v>
      </c>
      <c r="I483" s="337" t="str">
        <f>IF(ISBLANK(input_wld_az2_host7_fqdn),"Value Missing",input_wld_az2_host7_fqdn)</f>
        <v>Value Missing</v>
      </c>
    </row>
    <row r="484" spans="5:9" ht="20" customHeight="1" x14ac:dyDescent="0.2">
      <c r="E484" s="4" t="s">
        <v>1537</v>
      </c>
      <c r="F484" s="337" t="str">
        <f>IF(ISBLANK(input_mgmt_az2_host16_fqdn),"Value Missing",input_mgmt_az2_host16_fqdn)</f>
        <v>Value Missing</v>
      </c>
      <c r="H484" s="4" t="s">
        <v>1522</v>
      </c>
      <c r="I484" s="337" t="str">
        <f>IF(ISBLANK(input_wld_az2_host8_fqdn),"Value Missing",input_wld_az2_host8_fqdn)</f>
        <v>Value Missing</v>
      </c>
    </row>
    <row r="485" spans="5:9" ht="20" customHeight="1" x14ac:dyDescent="0.2">
      <c r="E485" s="2"/>
      <c r="F485" s="2"/>
      <c r="H485" s="4" t="s">
        <v>1524</v>
      </c>
      <c r="I485" s="337" t="str">
        <f>IF(ISBLANK(input_wld_az2_host9_fqdn),"Value Missing",input_wld_az2_host9_fqdn)</f>
        <v>Value Missing</v>
      </c>
    </row>
    <row r="486" spans="5:9" ht="20" customHeight="1" x14ac:dyDescent="0.2">
      <c r="H486" s="4" t="s">
        <v>1526</v>
      </c>
      <c r="I486" s="337" t="str">
        <f>IF(ISBLANK(input_wld_az2_host10_fqdn),"Value Missing",input_wld_az2_host10_fqdn)</f>
        <v>Value Missing</v>
      </c>
    </row>
    <row r="487" spans="5:9" ht="20" customHeight="1" x14ac:dyDescent="0.2">
      <c r="H487" s="4" t="s">
        <v>1528</v>
      </c>
      <c r="I487" s="337" t="str">
        <f>IF(ISBLANK(input_wld_az2_host11_fqdn),"Value Missing",input_wld_az2_host11_fqdn)</f>
        <v>Value Missing</v>
      </c>
    </row>
    <row r="488" spans="5:9" ht="20" customHeight="1" x14ac:dyDescent="0.2">
      <c r="H488" s="4" t="s">
        <v>1530</v>
      </c>
      <c r="I488" s="337" t="str">
        <f>IF(ISBLANK(input_wld_az2_host12_fqdn),"Value Missing",input_wld_az2_host12_fqdn)</f>
        <v>Value Missing</v>
      </c>
    </row>
    <row r="489" spans="5:9" ht="20" customHeight="1" x14ac:dyDescent="0.2">
      <c r="H489" s="4" t="s">
        <v>1532</v>
      </c>
      <c r="I489" s="337" t="str">
        <f>IF(ISBLANK(input_wld_az2_host13_fqdn),"Value Missing",input_wld_az2_host13_fqdn)</f>
        <v>Value Missing</v>
      </c>
    </row>
    <row r="490" spans="5:9" ht="20" customHeight="1" x14ac:dyDescent="0.2">
      <c r="H490" s="4" t="s">
        <v>1533</v>
      </c>
      <c r="I490" s="337" t="str">
        <f>IF(ISBLANK(input_wld_az2_host14_fqdn),"Value Missing",input_wld_az2_host14_fqdn)</f>
        <v>Value Missing</v>
      </c>
    </row>
    <row r="491" spans="5:9" ht="20" customHeight="1" x14ac:dyDescent="0.2">
      <c r="H491" s="4" t="s">
        <v>1536</v>
      </c>
      <c r="I491" s="337" t="str">
        <f>IF(ISBLANK(input_wld_az2_host15_fqdn),"Value Missing",input_wld_az2_host15_fqdn)</f>
        <v>Value Missing</v>
      </c>
    </row>
    <row r="492" spans="5:9" ht="20" customHeight="1" x14ac:dyDescent="0.2">
      <c r="H492" s="4" t="s">
        <v>1537</v>
      </c>
      <c r="I492" s="337" t="str">
        <f>IF(ISBLANK(input_wld_az2_host16_fqdn),"Value Missing",input_wld_az2_host16_fqdn)</f>
        <v>Value Missing</v>
      </c>
    </row>
    <row r="493" spans="5:9" ht="20" customHeight="1" x14ac:dyDescent="0.2">
      <c r="I493" s="19"/>
    </row>
  </sheetData>
  <sheetProtection algorithmName="SHA-512" hashValue="Omj1QT3WMgJ0efOK2aQrtvSrjMHTkpxujRCr44xAK0RcH0J2NlFPpSRt+O3qlms6hZjpn5/L+2rL7U2XYguswQ==" saltValue="rz7OLh/EUOT0NzNMPcy7Uw==" spinCount="100000" sheet="1" objects="1" scenarios="1"/>
  <mergeCells count="33">
    <mergeCell ref="B43:C43"/>
    <mergeCell ref="B51:C51"/>
    <mergeCell ref="B59:C59"/>
    <mergeCell ref="E2:M2"/>
    <mergeCell ref="E3:M3"/>
    <mergeCell ref="B6:C6"/>
    <mergeCell ref="B21:C21"/>
    <mergeCell ref="B31:C31"/>
    <mergeCell ref="E6:F6"/>
    <mergeCell ref="E216:F216"/>
    <mergeCell ref="E448:F448"/>
    <mergeCell ref="H456:I456"/>
    <mergeCell ref="H176:I176"/>
    <mergeCell ref="H216:I216"/>
    <mergeCell ref="E403:F403"/>
    <mergeCell ref="H411:I411"/>
    <mergeCell ref="E176:F176"/>
    <mergeCell ref="N200:O200"/>
    <mergeCell ref="K200:L200"/>
    <mergeCell ref="Q200:R200"/>
    <mergeCell ref="Z200:AA200"/>
    <mergeCell ref="AC200:AD200"/>
    <mergeCell ref="T200:U200"/>
    <mergeCell ref="W200:X200"/>
    <mergeCell ref="AG6:AH6"/>
    <mergeCell ref="AG17:AH17"/>
    <mergeCell ref="Z176:AA176"/>
    <mergeCell ref="AC176:AD176"/>
    <mergeCell ref="K176:L176"/>
    <mergeCell ref="N176:O176"/>
    <mergeCell ref="Q176:R176"/>
    <mergeCell ref="T176:U176"/>
    <mergeCell ref="W176:X176"/>
  </mergeCells>
  <conditionalFormatting sqref="C8:C19 C34:C36 C38:C41 C45:C49 C53:C57 C61">
    <cfRule type="notContainsBlanks" dxfId="1353" priority="300">
      <formula>LEN(TRIM(C8))&gt;0</formula>
    </cfRule>
  </conditionalFormatting>
  <conditionalFormatting sqref="C23:C29">
    <cfRule type="notContainsBlanks" dxfId="1348" priority="254">
      <formula>LEN(TRIM(C23))&gt;0</formula>
    </cfRule>
  </conditionalFormatting>
  <conditionalFormatting sqref="F120">
    <cfRule type="expression" dxfId="1344" priority="69">
      <formula>mgmt_domain_existing_vcf_operations_chosen="Selected"</formula>
    </cfRule>
    <cfRule type="notContainsBlanks" dxfId="1343" priority="71">
      <formula>LEN(TRIM(F120))&gt;0</formula>
    </cfRule>
    <cfRule type="containsBlanks" dxfId="1342" priority="72">
      <formula>LEN(TRIM(F120))=0</formula>
    </cfRule>
  </conditionalFormatting>
  <conditionalFormatting sqref="F134:F135">
    <cfRule type="expression" dxfId="1341" priority="77">
      <formula>mgmt_domain_existing_vcf_operations_chosen="Selected"</formula>
    </cfRule>
    <cfRule type="notContainsBlanks" dxfId="1339" priority="79">
      <formula>LEN(TRIM(F134))&gt;0</formula>
    </cfRule>
    <cfRule type="containsBlanks" dxfId="1338" priority="80">
      <formula>LEN(TRIM(F134))=0</formula>
    </cfRule>
  </conditionalFormatting>
  <conditionalFormatting sqref="F145">
    <cfRule type="expression" dxfId="1337" priority="73">
      <formula>mgmt_domain_existing_vcf_operations_chosen="Selected"</formula>
    </cfRule>
    <cfRule type="notContainsBlanks" dxfId="1335" priority="75">
      <formula>LEN(TRIM(F145))&gt;0</formula>
    </cfRule>
    <cfRule type="containsBlanks" dxfId="1334" priority="76">
      <formula>LEN(TRIM(F145))=0</formula>
    </cfRule>
  </conditionalFormatting>
  <conditionalFormatting sqref="F170">
    <cfRule type="expression" dxfId="1330" priority="229">
      <formula>(VROPS_Result="Excluded")</formula>
    </cfRule>
    <cfRule type="containsBlanks" dxfId="1329" priority="228">
      <formula>LEN(TRIM(F170))=0</formula>
    </cfRule>
    <cfRule type="notContainsBlanks" dxfId="1328" priority="227">
      <formula>LEN(TRIM(F170))&gt;0</formula>
    </cfRule>
    <cfRule type="expression" dxfId="1326" priority="225">
      <formula>mgmt_domain_existing_vcf_operations_chosen="Selected"</formula>
    </cfRule>
    <cfRule type="expression" dxfId="1323" priority="246">
      <formula>AND((VRLI_Result="Excluded"),(VROPS_Result="Excluded"),(VRA_Result="Excluded"))</formula>
    </cfRule>
    <cfRule type="expression" dxfId="1319" priority="234">
      <formula>AND((VRLI_Result="Excluded"),(VROPS_Result="Excluded"),(VRA_Result="Excluded"))</formula>
    </cfRule>
    <cfRule type="expression" dxfId="1316" priority="237">
      <formula>mgmt_domain_existing_vcf_operations_chosen="Selected"</formula>
    </cfRule>
    <cfRule type="notContainsBlanks" dxfId="1314" priority="239">
      <formula>LEN(TRIM(F170))&gt;0</formula>
    </cfRule>
    <cfRule type="containsBlanks" dxfId="1313" priority="240">
      <formula>LEN(TRIM(F170))=0</formula>
    </cfRule>
    <cfRule type="expression" dxfId="1312" priority="241">
      <formula>(VROPS_Result="Excluded")</formula>
    </cfRule>
  </conditionalFormatting>
  <conditionalFormatting sqref="I140">
    <cfRule type="expression" dxfId="1304" priority="61">
      <formula>(VROPS_Result="Excluded")</formula>
    </cfRule>
    <cfRule type="expression" dxfId="1300" priority="66">
      <formula>AND((VRLI_Result="Excluded"),(VROPS_Result="Excluded"),(VRA_Result="Excluded"))</formula>
    </cfRule>
    <cfRule type="expression" dxfId="1297" priority="57">
      <formula>mgmt_domain_existing_vcf_operations_chosen="Selected"</formula>
    </cfRule>
    <cfRule type="notContainsBlanks" dxfId="1295" priority="59">
      <formula>LEN(TRIM(I140))&gt;0</formula>
    </cfRule>
    <cfRule type="containsBlanks" dxfId="1294" priority="60">
      <formula>LEN(TRIM(I140))=0</formula>
    </cfRule>
  </conditionalFormatting>
  <conditionalFormatting sqref="L260 N260 P260">
    <cfRule type="containsBlanks" dxfId="1286" priority="56">
      <formula>LEN(TRIM(L260))=0</formula>
    </cfRule>
    <cfRule type="notContainsBlanks" dxfId="1285" priority="55" stopIfTrue="1">
      <formula>LEN(TRIM(L260))&gt;0</formula>
    </cfRule>
  </conditionalFormatting>
  <conditionalFormatting sqref="L261 N261 P261">
    <cfRule type="containsBlanks" dxfId="1284" priority="49">
      <formula>LEN(TRIM(L261))=0</formula>
    </cfRule>
    <cfRule type="notContainsBlanks" dxfId="1283" priority="48" stopIfTrue="1">
      <formula>LEN(TRIM(L261))&gt;0</formula>
    </cfRule>
  </conditionalFormatting>
  <conditionalFormatting sqref="L262 N262 P262">
    <cfRule type="containsBlanks" dxfId="1282" priority="42">
      <formula>LEN(TRIM(L262))=0</formula>
    </cfRule>
    <cfRule type="notContainsBlanks" dxfId="1281" priority="41" stopIfTrue="1">
      <formula>LEN(TRIM(L262))&gt;0</formula>
    </cfRule>
  </conditionalFormatting>
  <conditionalFormatting sqref="L263 N263 P263">
    <cfRule type="notContainsBlanks" dxfId="1280" priority="34" stopIfTrue="1">
      <formula>LEN(TRIM(L263))&gt;0</formula>
    </cfRule>
    <cfRule type="containsBlanks" dxfId="1279" priority="35">
      <formula>LEN(TRIM(L263))=0</formula>
    </cfRule>
  </conditionalFormatting>
  <conditionalFormatting sqref="L264 N264 P264">
    <cfRule type="containsBlanks" dxfId="1278" priority="28">
      <formula>LEN(TRIM(L264))=0</formula>
    </cfRule>
    <cfRule type="notContainsBlanks" dxfId="1277" priority="27" stopIfTrue="1">
      <formula>LEN(TRIM(L264))&gt;0</formula>
    </cfRule>
  </conditionalFormatting>
  <conditionalFormatting sqref="L265 N265 P265">
    <cfRule type="containsBlanks" dxfId="1276" priority="21">
      <formula>LEN(TRIM(L265))=0</formula>
    </cfRule>
    <cfRule type="notContainsBlanks" dxfId="1275" priority="20" stopIfTrue="1">
      <formula>LEN(TRIM(L265))&gt;0</formula>
    </cfRule>
  </conditionalFormatting>
  <conditionalFormatting sqref="M255 K260:L260 N260:R260">
    <cfRule type="expression" dxfId="1274" priority="52">
      <formula>wld_multi_rack_count_chosen&lt;2</formula>
    </cfRule>
  </conditionalFormatting>
  <conditionalFormatting sqref="M255:M260 K260:L265 N260:R265">
    <cfRule type="expression" dxfId="1273" priority="15">
      <formula>OR(wld_domain_result="Excluded",wld_multirack_result="Excluded")</formula>
    </cfRule>
    <cfRule type="expression" dxfId="1272" priority="16">
      <formula>wld_multi_rack_count_chosen="Exclude"</formula>
    </cfRule>
  </conditionalFormatting>
  <conditionalFormatting sqref="M256 K261:L261 N261:R261">
    <cfRule type="expression" dxfId="1271" priority="45">
      <formula>wld_multi_rack_count_chosen&lt;3</formula>
    </cfRule>
  </conditionalFormatting>
  <conditionalFormatting sqref="M257 K262:L262 N262:R262">
    <cfRule type="expression" dxfId="1270" priority="38">
      <formula>wld_multi_rack_count_chosen&lt;4</formula>
    </cfRule>
  </conditionalFormatting>
  <conditionalFormatting sqref="M258 K263:L263 N263:R263">
    <cfRule type="expression" dxfId="1269" priority="31">
      <formula>wld_multi_rack_count_chosen&lt;5</formula>
    </cfRule>
  </conditionalFormatting>
  <conditionalFormatting sqref="M259 K264:L264 N264:R264">
    <cfRule type="expression" dxfId="1268" priority="24">
      <formula>wld_multi_rack_count_chosen&lt;6</formula>
    </cfRule>
  </conditionalFormatting>
  <conditionalFormatting sqref="M260 K265:L265 N265:R265">
    <cfRule type="expression" dxfId="1267" priority="17">
      <formula>wld_multi_rack_count_chosen&lt;7</formula>
    </cfRule>
  </conditionalFormatting>
  <conditionalFormatting sqref="R260">
    <cfRule type="containsBlanks" dxfId="1254" priority="54" stopIfTrue="1">
      <formula>LEN(TRIM(R260))=0</formula>
    </cfRule>
    <cfRule type="notContainsBlanks" dxfId="1253" priority="53" stopIfTrue="1">
      <formula>LEN(TRIM(R260))&gt;0</formula>
    </cfRule>
  </conditionalFormatting>
  <conditionalFormatting sqref="R261">
    <cfRule type="notContainsBlanks" dxfId="1252" priority="46" stopIfTrue="1">
      <formula>LEN(TRIM(R261))&gt;0</formula>
    </cfRule>
    <cfRule type="containsBlanks" dxfId="1251" priority="47" stopIfTrue="1">
      <formula>LEN(TRIM(R261))=0</formula>
    </cfRule>
  </conditionalFormatting>
  <conditionalFormatting sqref="R262">
    <cfRule type="notContainsBlanks" dxfId="1250" priority="39" stopIfTrue="1">
      <formula>LEN(TRIM(R262))&gt;0</formula>
    </cfRule>
    <cfRule type="containsBlanks" dxfId="1249" priority="40" stopIfTrue="1">
      <formula>LEN(TRIM(R262))=0</formula>
    </cfRule>
  </conditionalFormatting>
  <conditionalFormatting sqref="R263">
    <cfRule type="containsBlanks" dxfId="1248" priority="33" stopIfTrue="1">
      <formula>LEN(TRIM(R263))=0</formula>
    </cfRule>
    <cfRule type="notContainsBlanks" dxfId="1247" priority="32" stopIfTrue="1">
      <formula>LEN(TRIM(R263))&gt;0</formula>
    </cfRule>
  </conditionalFormatting>
  <conditionalFormatting sqref="R264">
    <cfRule type="notContainsBlanks" dxfId="1246" priority="25" stopIfTrue="1">
      <formula>LEN(TRIM(R264))&gt;0</formula>
    </cfRule>
    <cfRule type="containsBlanks" dxfId="1245" priority="26" stopIfTrue="1">
      <formula>LEN(TRIM(R264))=0</formula>
    </cfRule>
  </conditionalFormatting>
  <conditionalFormatting sqref="R265">
    <cfRule type="containsBlanks" dxfId="1244" priority="19" stopIfTrue="1">
      <formula>LEN(TRIM(R265))=0</formula>
    </cfRule>
    <cfRule type="notContainsBlanks" dxfId="1243" priority="18" stopIfTrue="1">
      <formula>LEN(TRIM(R265))&gt;0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96" operator="containsText" id="{A65C3405-968D-A649-AF5B-232123F01C80}">
            <xm:f>NOT(ISERROR(SEARCH("Not Required",C8)))</xm:f>
            <xm:f>"Not Required"</xm:f>
            <x14:dxf>
              <font>
                <color theme="0"/>
              </font>
              <fill>
                <patternFill>
                  <bgColor rgb="FF4F5F69"/>
                </patternFill>
              </fill>
            </x14:dxf>
          </x14:cfRule>
          <x14:cfRule type="containsText" priority="295" operator="containsText" id="{30A3F409-3375-C04B-96F9-B67835A3D38B}">
            <xm:f>NOT(ISERROR(SEARCH("Value Missing",C8)))</xm:f>
            <xm:f>"Value Missing"</xm:f>
            <x14:dxf>
              <font>
                <color theme="1"/>
              </font>
              <fill>
                <patternFill>
                  <bgColor rgb="FFFFBE29"/>
                </patternFill>
              </fill>
            </x14:dxf>
          </x14:cfRule>
          <xm:sqref>C8:C19 C34:C36 C38:C41 C45:C49 C53:C57 C61</xm:sqref>
        </x14:conditionalFormatting>
        <x14:conditionalFormatting xmlns:xm="http://schemas.microsoft.com/office/excel/2006/main">
          <x14:cfRule type="containsText" priority="252" operator="containsText" id="{2E06A456-9CFD-394A-87AD-D2A057EC4C00}">
            <xm:f>NOT(ISERROR(SEARCH("Value Missing",C23)))</xm:f>
            <xm:f>"Value Missing"</xm:f>
            <x14:dxf>
              <font>
                <color theme="1"/>
              </font>
              <fill>
                <patternFill>
                  <bgColor rgb="FFFFBE29"/>
                </patternFill>
              </fill>
            </x14:dxf>
          </x14:cfRule>
          <x14:cfRule type="containsText" priority="253" operator="containsText" id="{04254876-DA6D-6442-90ED-5779B82C483F}">
            <xm:f>NOT(ISERROR(SEARCH("Not Required",C23)))</xm:f>
            <xm:f>"Not Required"</xm:f>
            <x14:dxf>
              <font>
                <color theme="0"/>
              </font>
              <fill>
                <patternFill>
                  <bgColor rgb="FF4F5F69"/>
                </patternFill>
              </fill>
            </x14:dxf>
          </x14:cfRule>
          <xm:sqref>C23:C29</xm:sqref>
        </x14:conditionalFormatting>
        <x14:conditionalFormatting xmlns:xm="http://schemas.microsoft.com/office/excel/2006/main">
          <x14:cfRule type="notContainsText" priority="285" operator="notContains" id="{E2FC6685-011A-7D40-B36E-2F6CD984D011}">
            <xm:f>ISERROR(SEARCH("Value Missing",F38))</xm:f>
            <xm:f>"Value Missing"</xm:f>
            <x14:dxf>
              <font>
                <color theme="1"/>
              </font>
              <fill>
                <patternFill>
                  <bgColor rgb="FFEFFDE3"/>
                </patternFill>
              </fill>
            </x14:dxf>
          </x14:cfRule>
          <xm:sqref>F38:F49 I38:I49 L39:L47 O39:O47 R39:R47 F53:F64 I53:I64 L53:L64 O53:O64 R53:R64 U53:U64 X53:X64 AA53:AA64 AD53:AD64 I120 I124:I135 I139 I141:I144 I255:I262 F255:F263 I323:I334</xm:sqref>
        </x14:conditionalFormatting>
        <x14:conditionalFormatting xmlns:xm="http://schemas.microsoft.com/office/excel/2006/main">
          <x14:cfRule type="containsText" priority="284" operator="containsText" id="{45CAB6F9-A76E-F144-8161-CEFD98D62362}">
            <xm:f>NOT(ISERROR(SEARCH("Not Required",F38)))</xm:f>
            <xm:f>"Not Required"</xm:f>
            <x14:dxf>
              <font>
                <color theme="0"/>
              </font>
              <fill>
                <patternFill>
                  <bgColor rgb="FF506069"/>
                </patternFill>
              </fill>
            </x14:dxf>
          </x14:cfRule>
          <xm:sqref>F38:F49 I38:I49 L39:L47 O39:O47 R39:R47 F53:F64 I53:I64 L53:L64 O53:O64 R53:R64 U53:U64 X53:X64 AA53:AA64 AD53:AD64 I120 I124:I135 I139 I141:I144 I323:I334 I255:I262 F255:F263</xm:sqref>
        </x14:conditionalFormatting>
        <x14:conditionalFormatting xmlns:xm="http://schemas.microsoft.com/office/excel/2006/main">
          <x14:cfRule type="containsText" priority="70" stopIfTrue="1" operator="containsText" id="{5BF1A790-0B4D-5048-9ABD-D5312BB43F39}">
            <xm:f>NOT(ISERROR(SEARCH("Value Missing",F120)))</xm:f>
            <xm:f>"Value Missing"</xm:f>
            <x14:dxf>
              <font>
                <color rgb="FF0E223A"/>
              </font>
              <fill>
                <patternFill>
                  <bgColor rgb="FFFFBE29"/>
                </patternFill>
              </fill>
            </x14:dxf>
          </x14:cfRule>
          <xm:sqref>F120</xm:sqref>
        </x14:conditionalFormatting>
        <x14:conditionalFormatting xmlns:xm="http://schemas.microsoft.com/office/excel/2006/main">
          <x14:cfRule type="containsText" priority="78" stopIfTrue="1" operator="containsText" id="{2025EE07-F0D2-5C4D-ADE3-0DD692DE1F78}">
            <xm:f>NOT(ISERROR(SEARCH("Value Missing",F134)))</xm:f>
            <xm:f>"Value Missing"</xm:f>
            <x14:dxf>
              <font>
                <color rgb="FF0E223A"/>
              </font>
              <fill>
                <patternFill>
                  <bgColor rgb="FFFFBE29"/>
                </patternFill>
              </fill>
            </x14:dxf>
          </x14:cfRule>
          <xm:sqref>F134:F135</xm:sqref>
        </x14:conditionalFormatting>
        <x14:conditionalFormatting xmlns:xm="http://schemas.microsoft.com/office/excel/2006/main">
          <x14:cfRule type="containsText" priority="74" stopIfTrue="1" operator="containsText" id="{2A22471B-5133-3C49-A30A-0F63C483BDB5}">
            <xm:f>NOT(ISERROR(SEARCH("Value Missing",F145)))</xm:f>
            <xm:f>"Value Missing"</xm:f>
            <x14:dxf>
              <font>
                <color rgb="FF0E223A"/>
              </font>
              <fill>
                <patternFill>
                  <bgColor rgb="FFFFBE29"/>
                </patternFill>
              </fill>
            </x14:dxf>
          </x14:cfRule>
          <xm:sqref>F145</xm:sqref>
        </x14:conditionalFormatting>
        <x14:conditionalFormatting xmlns:xm="http://schemas.microsoft.com/office/excel/2006/main">
          <x14:cfRule type="containsText" priority="243" operator="containsText" id="{C9672E1A-1695-594B-9F42-DB874E6191EC}">
            <xm:f>NOT(ISERROR(SEARCH("Value Missing",F170)))</xm:f>
            <xm:f>"Value Missing"</xm:f>
            <x14:dxf>
              <font>
                <color rgb="FF9C0006"/>
              </font>
              <fill>
                <patternFill>
                  <bgColor rgb="FFFFC7CE"/>
                </patternFill>
              </fill>
            </x14:dxf>
          </x14:cfRule>
          <x14:cfRule type="containsText" priority="231" operator="containsText" id="{90CAD925-3107-4146-B9BB-526E697276DF}">
            <xm:f>NOT(ISERROR(SEARCH("Value Missing",F170)))</xm:f>
            <xm:f>"Value Missing"</xm:f>
            <x14:dxf>
              <font>
                <color rgb="FF9C0006"/>
              </font>
              <fill>
                <patternFill>
                  <bgColor rgb="FFFFC7CE"/>
                </patternFill>
              </fill>
            </x14:dxf>
          </x14:cfRule>
          <x14:cfRule type="notContainsText" priority="232" operator="notContains" id="{A64DB7C4-5E87-5A48-BE1E-79C5A5200141}">
            <xm:f>ISERROR(SEARCH("Value Missing",F170))</xm:f>
            <xm:f>"Value Missing"</xm:f>
            <x14:dxf>
              <font>
                <color rgb="FF006100"/>
              </font>
              <fill>
                <patternFill>
                  <bgColor rgb="FFC6EFCE"/>
                </patternFill>
              </fill>
            </x14:dxf>
          </x14:cfRule>
          <x14:cfRule type="containsText" priority="226" stopIfTrue="1" operator="containsText" id="{7D4DEBEB-A173-7F4F-9C79-8ECC19831809}">
            <xm:f>NOT(ISERROR(SEARCH("Value Missing",F170)))</xm:f>
            <xm:f>"Value Missing"</xm:f>
            <x14:dxf>
              <font>
                <color rgb="FF0E223A"/>
              </font>
              <fill>
                <patternFill>
                  <bgColor rgb="FFFFBE29"/>
                </patternFill>
              </fill>
            </x14:dxf>
          </x14:cfRule>
          <x14:cfRule type="notContainsText" priority="244" operator="notContains" id="{C6A2A1FE-59E8-BB4C-8B10-B1342F266A20}">
            <xm:f>ISERROR(SEARCH("Value Missing",F170))</xm:f>
            <xm:f>"Value Missing"</xm:f>
            <x14:dxf>
              <font>
                <color rgb="FF006100"/>
              </font>
              <fill>
                <patternFill>
                  <bgColor rgb="FFC6EFCE"/>
                </patternFill>
              </fill>
            </x14:dxf>
          </x14:cfRule>
          <x14:cfRule type="containsText" priority="245" operator="containsText" id="{C16983BC-AF16-2841-9EA9-792057041EFE}">
            <xm:f>NOT(ISERROR(SEARCH("Value Missing",F170)))</xm:f>
            <xm:f>"Value Missing"</xm:f>
            <x14:dxf>
              <font>
                <color rgb="FF9C0006"/>
              </font>
              <fill>
                <patternFill>
                  <bgColor rgb="FFFFC7CE"/>
                </patternFill>
              </fill>
            </x14:dxf>
          </x14:cfRule>
          <x14:cfRule type="notContainsText" priority="247" operator="notContains" id="{5429F24B-9BF7-8141-9CCF-1F7920CF0406}">
            <xm:f>ISERROR(SEARCH("Value Missing",F170))</xm:f>
            <xm:f>"Value Missing"</xm:f>
            <x14:dxf>
              <font>
                <color rgb="FF006100"/>
              </font>
              <fill>
                <patternFill>
                  <bgColor rgb="FFC6EFCE"/>
                </patternFill>
              </fill>
            </x14:dxf>
          </x14:cfRule>
          <x14:cfRule type="containsText" priority="248" operator="containsText" id="{E627FF7E-80A3-9940-8316-1E369D6157AB}">
            <xm:f>NOT(ISERROR(SEARCH("Value Missing",F170)))</xm:f>
            <xm:f>"Value Missing"</xm:f>
            <x14:dxf>
              <font>
                <color rgb="FF9C0006"/>
              </font>
              <fill>
                <patternFill>
                  <bgColor rgb="FFFFC7CE"/>
                </patternFill>
              </fill>
            </x14:dxf>
          </x14:cfRule>
          <x14:cfRule type="containsText" priority="233" operator="containsText" id="{51D9070B-BE64-774E-9D04-DFDE224AE899}">
            <xm:f>NOT(ISERROR(SEARCH("Value Missing",F170)))</xm:f>
            <xm:f>"Value Missing"</xm:f>
            <x14:dxf>
              <font>
                <color rgb="FF9C0006"/>
              </font>
              <fill>
                <patternFill>
                  <bgColor rgb="FFFFC7CE"/>
                </patternFill>
              </fill>
            </x14:dxf>
          </x14:cfRule>
          <x14:cfRule type="notContainsText" priority="235" operator="notContains" id="{B7E4B134-1375-4741-ADC9-3D565C12F2AB}">
            <xm:f>ISERROR(SEARCH("Value Missing",F170))</xm:f>
            <xm:f>"Value Missing"</xm:f>
            <x14:dxf>
              <font>
                <color rgb="FF006100"/>
              </font>
              <fill>
                <patternFill>
                  <bgColor rgb="FFC6EFCE"/>
                </patternFill>
              </fill>
            </x14:dxf>
          </x14:cfRule>
          <x14:cfRule type="containsText" priority="236" operator="containsText" id="{3787AAFD-DADB-D94F-91BA-2E8FECD7C597}">
            <xm:f>NOT(ISERROR(SEARCH("Value Missing",F170)))</xm:f>
            <xm:f>"Value Missing"</xm:f>
            <x14:dxf>
              <font>
                <color rgb="FF9C0006"/>
              </font>
              <fill>
                <patternFill>
                  <bgColor rgb="FFFFC7CE"/>
                </patternFill>
              </fill>
            </x14:dxf>
          </x14:cfRule>
          <x14:cfRule type="containsText" priority="238" stopIfTrue="1" operator="containsText" id="{784E68FA-8023-794C-BD87-0A9D011C4959}">
            <xm:f>NOT(ISERROR(SEARCH("Value Missing",F170)))</xm:f>
            <xm:f>"Value Missing"</xm:f>
            <x14:dxf>
              <font>
                <color rgb="FF0E223A"/>
              </font>
              <fill>
                <patternFill>
                  <bgColor rgb="FFFFBE29"/>
                </patternFill>
              </fill>
            </x14:dxf>
          </x14:cfRule>
          <x14:cfRule type="notContainsText" priority="242" operator="notContains" id="{11FFCF3C-8326-444A-90E8-517EEE7E55A2}">
            <xm:f>ISERROR(SEARCH("Value Missing",F170))</xm:f>
            <xm:f>"Value Missing"</xm:f>
            <x14:dxf>
              <font>
                <color rgb="FF006100"/>
              </font>
              <fill>
                <patternFill>
                  <bgColor rgb="FFC6EFCE"/>
                </patternFill>
              </fill>
            </x14:dxf>
          </x14:cfRule>
          <x14:cfRule type="notContainsText" priority="230" operator="notContains" id="{60CD5978-8FB8-FF43-85E9-364702C0CAA9}">
            <xm:f>ISERROR(SEARCH("Value Missing",F170))</xm:f>
            <xm:f>"Value Missing"</xm:f>
            <x14:dxf>
              <font>
                <color rgb="FF006100"/>
              </font>
              <fill>
                <patternFill>
                  <bgColor rgb="FFC6EFCE"/>
                </patternFill>
              </fill>
            </x14:dxf>
          </x14:cfRule>
          <xm:sqref>F170</xm:sqref>
        </x14:conditionalFormatting>
        <x14:conditionalFormatting xmlns:xm="http://schemas.microsoft.com/office/excel/2006/main">
          <x14:cfRule type="containsText" priority="261" operator="containsText" id="{72CC92B6-7065-824D-B6B6-B08AC16DCD08}">
            <xm:f>NOT(ISERROR(SEARCH("Value Missing",F320)))</xm:f>
            <xm:f>"Value Missing"</xm:f>
            <x14:dxf>
              <font>
                <color theme="1"/>
              </font>
              <fill>
                <patternFill>
                  <bgColor rgb="FFFFBD29"/>
                </patternFill>
              </fill>
            </x14:dxf>
          </x14:cfRule>
          <x14:cfRule type="containsText" priority="262" operator="containsText" id="{28E521F9-4BBC-064B-BD7C-1DBEC7C58D3D}">
            <xm:f>NOT(ISERROR(SEARCH("Not Required",F320)))</xm:f>
            <xm:f>"Not Required"</xm:f>
            <x14:dxf>
              <font>
                <color theme="0"/>
              </font>
              <fill>
                <patternFill>
                  <bgColor rgb="FF506069"/>
                </patternFill>
              </fill>
            </x14:dxf>
          </x14:cfRule>
          <x14:cfRule type="notContainsText" priority="263" operator="notContains" id="{875F1B01-BDE0-FB4E-ACFA-043A2FD7BB3E}">
            <xm:f>ISERROR(SEARCH("Value Missing",F320))</xm:f>
            <xm:f>"Value Missing"</xm:f>
            <x14:dxf>
              <font>
                <color theme="1"/>
              </font>
              <fill>
                <patternFill>
                  <bgColor rgb="FFEFFDE3"/>
                </patternFill>
              </fill>
            </x14:dxf>
          </x14:cfRule>
          <xm:sqref>F320:F330</xm:sqref>
        </x14:conditionalFormatting>
        <x14:conditionalFormatting xmlns:xm="http://schemas.microsoft.com/office/excel/2006/main">
          <x14:cfRule type="containsText" priority="298" operator="containsText" id="{6FEEEEE0-7416-1E4F-A814-0143DEF4CFF3}">
            <xm:f>NOT(ISERROR(SEARCH("Value Missing",F8)))</xm:f>
            <xm:f>"Value Missing"</xm:f>
            <x14:dxf>
              <font>
                <color theme="1"/>
              </font>
              <fill>
                <patternFill>
                  <bgColor rgb="FFFFBD29"/>
                </patternFill>
              </fill>
            </x14:dxf>
          </x14:cfRule>
          <xm:sqref>I53:I54 I110:I120 I255:I262 F255:F263 F166:F174 AA8:AA14 F8:F19 I8:I19 L8:L19 O8:O19 R8:R19 U8:U19 X8:X19 AD8:AD19 AA16:AA19 F23:F34 I23:I34 L23:L34 O23:O34 R23:R34 U23:U34 X23:X34 AA23:AA34 AD23:AD34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F124:F133 F139:F144 F149:F162 I149:I162 L149:L162 O149:O162 R149:R162 U149:U162 X149:X162 AA149:AA162 AD149:AD162 I166:I174 L166:L174 O166:O174 R166:R174 U166:U174 X166:X174 AA166:AA174 AD166:AD174 F178:F179 L178:L179 O178:O179 R178:R179 U178:U179 X178:X179 AA178:AA179 AD178:AD179 L183:L198 O183:O198 R183:R198 U183:U198 X183:X198 AA183:AA198 AD183:AD198 F183:F214 I183:I214 L202:L217 O202:O217 R202:R217 U202:U217 X202:X217 AA202:AA217 AD202:AD217 F218:F233 I218:I233 L221:L236 O221:O236 R221:R236 U221:U236 X221:X236 AA221:AA236 AD221:AD236 F237:F252 I237:I252 L239:L245 O239:O245 R239:R245 U239:U245 X239:X245 AA239:AA245 AD239:AD245 F278:F288 I278:I289 F292:F302 I293:I304 F306:F316 I308:I319 F334:F344 I338:I349 F348:F358 I353:I364 F362:F368 I368:I374 F372:F381 I378:I387 F385:F394 I391:I402 F398:F401 F405:F411 I406:I409 I413:I419 F415:F446 I423:I454 F450:F465 I458:I473 F469:F484 I477:I492</xm:sqref>
        </x14:conditionalFormatting>
        <x14:conditionalFormatting xmlns:xm="http://schemas.microsoft.com/office/excel/2006/main">
          <x14:cfRule type="containsText" priority="58" stopIfTrue="1" operator="containsText" id="{9759BC04-AE11-A04C-9051-0EE5A6AFA6F6}">
            <xm:f>NOT(ISERROR(SEARCH("Value Missing",I140)))</xm:f>
            <xm:f>"Value Missing"</xm:f>
            <x14:dxf>
              <font>
                <color rgb="FF0E223A"/>
              </font>
              <fill>
                <patternFill>
                  <bgColor rgb="FFFFBE29"/>
                </patternFill>
              </fill>
            </x14:dxf>
          </x14:cfRule>
          <x14:cfRule type="containsText" priority="63" operator="containsText" id="{384E719D-3162-724D-998F-C2AFEB798E9B}">
            <xm:f>NOT(ISERROR(SEARCH("Value Missing",I140)))</xm:f>
            <xm:f>"Value Missing"</xm:f>
            <x14:dxf>
              <font>
                <color rgb="FF9C0006"/>
              </font>
              <fill>
                <patternFill>
                  <bgColor rgb="FFFFC7CE"/>
                </patternFill>
              </fill>
            </x14:dxf>
          </x14:cfRule>
          <x14:cfRule type="notContainsText" priority="64" operator="notContains" id="{7A9F70AB-ECF5-234E-8681-CE2C9CE3407E}">
            <xm:f>ISERROR(SEARCH("Value Missing",I140))</xm:f>
            <xm:f>"Value Missing"</xm:f>
            <x14:dxf>
              <font>
                <color rgb="FF006100"/>
              </font>
              <fill>
                <patternFill>
                  <bgColor rgb="FFC6EFCE"/>
                </patternFill>
              </fill>
            </x14:dxf>
          </x14:cfRule>
          <x14:cfRule type="containsText" priority="65" operator="containsText" id="{987F56E2-7209-B149-9C87-C9C45C9B4568}">
            <xm:f>NOT(ISERROR(SEARCH("Value Missing",I140)))</xm:f>
            <xm:f>"Value Missing"</xm:f>
            <x14:dxf>
              <font>
                <color rgb="FF9C0006"/>
              </font>
              <fill>
                <patternFill>
                  <bgColor rgb="FFFFC7CE"/>
                </patternFill>
              </fill>
            </x14:dxf>
          </x14:cfRule>
          <x14:cfRule type="notContainsText" priority="67" operator="notContains" id="{21325923-C720-2E46-B08D-2D3513622B6F}">
            <xm:f>ISERROR(SEARCH("Value Missing",I140))</xm:f>
            <xm:f>"Value Missing"</xm:f>
            <x14:dxf>
              <font>
                <color rgb="FF006100"/>
              </font>
              <fill>
                <patternFill>
                  <bgColor rgb="FFC6EFCE"/>
                </patternFill>
              </fill>
            </x14:dxf>
          </x14:cfRule>
          <x14:cfRule type="containsText" priority="68" operator="containsText" id="{AF373FEF-4402-CE4E-A610-DC924B237CAD}">
            <xm:f>NOT(ISERROR(SEARCH("Value Missing",I140)))</xm:f>
            <xm:f>"Value Missing"</xm:f>
            <x14:dxf>
              <font>
                <color rgb="FF9C0006"/>
              </font>
              <fill>
                <patternFill>
                  <bgColor rgb="FFFFC7CE"/>
                </patternFill>
              </fill>
            </x14:dxf>
          </x14:cfRule>
          <x14:cfRule type="notContainsText" priority="62" operator="notContains" id="{F95AF1BF-1E3B-DB42-8F14-E4A053285F43}">
            <xm:f>ISERROR(SEARCH("Value Missing",I140))</xm:f>
            <xm:f>"Value Missing"</xm:f>
            <x14:dxf>
              <font>
                <color rgb="FF006100"/>
              </font>
              <fill>
                <patternFill>
                  <bgColor rgb="FFC6EFCE"/>
                </patternFill>
              </fill>
            </x14:dxf>
          </x14:cfRule>
          <xm:sqref>I140</xm:sqref>
        </x14:conditionalFormatting>
        <x14:conditionalFormatting xmlns:xm="http://schemas.microsoft.com/office/excel/2006/main">
          <x14:cfRule type="containsText" priority="81" operator="containsText" id="{5F832D67-6A2D-A34C-846A-8F4C462BB1CB}">
            <xm:f>NOT(ISERROR(SEARCH("Value Missing",F266)))</xm:f>
            <xm:f>"Value Missing"</xm:f>
            <x14:dxf>
              <font>
                <color theme="1"/>
              </font>
              <fill>
                <patternFill>
                  <bgColor rgb="FFFFBD29"/>
                </patternFill>
              </fill>
            </x14:dxf>
          </x14:cfRule>
          <x14:cfRule type="containsText" priority="82" operator="containsText" id="{8AB44DFE-2B82-3A4F-8965-5EFA08AAFB75}">
            <xm:f>NOT(ISERROR(SEARCH("Not Required",F266)))</xm:f>
            <xm:f>"Not Required"</xm:f>
            <x14:dxf>
              <font>
                <color theme="0"/>
              </font>
              <fill>
                <patternFill>
                  <bgColor rgb="FF506069"/>
                </patternFill>
              </fill>
            </x14:dxf>
          </x14:cfRule>
          <x14:cfRule type="notContainsText" priority="83" operator="notContains" id="{B6806F62-6D54-2F48-9524-C1F1483CA2C6}">
            <xm:f>ISERROR(SEARCH("Value Missing",F266))</xm:f>
            <xm:f>"Value Missing"</xm:f>
            <x14:dxf>
              <font>
                <color theme="1"/>
              </font>
              <fill>
                <patternFill>
                  <bgColor rgb="FFEFFDE3"/>
                </patternFill>
              </fill>
            </x14:dxf>
          </x14:cfRule>
          <xm:sqref>I266:I273 F266:F274</xm:sqref>
        </x14:conditionalFormatting>
        <x14:conditionalFormatting xmlns:xm="http://schemas.microsoft.com/office/excel/2006/main">
          <x14:cfRule type="notContainsText" priority="224" operator="notContains" id="{7870F5D3-3AB6-3A4E-B049-A189076E98D1}">
            <xm:f>ISERROR(SEARCH("Value Missing",L53))</xm:f>
            <xm:f>"Value Missing"</xm:f>
            <x14:dxf>
              <font>
                <color theme="1"/>
              </font>
              <fill>
                <patternFill>
                  <bgColor rgb="FFEFFDE3"/>
                </patternFill>
              </fill>
            </x14:dxf>
          </x14:cfRule>
          <x14:cfRule type="containsText" priority="223" operator="containsText" id="{69F56B06-F737-F745-92B3-A1BA6CF53FC1}">
            <xm:f>NOT(ISERROR(SEARCH("Not Required",L53)))</xm:f>
            <xm:f>"Not Required"</xm:f>
            <x14:dxf>
              <font>
                <color theme="0"/>
              </font>
              <fill>
                <patternFill>
                  <bgColor rgb="FF506069"/>
                </patternFill>
              </fill>
            </x14:dxf>
          </x14:cfRule>
          <x14:cfRule type="containsText" priority="222" operator="containsText" id="{6224CAFD-AB38-1F46-A927-8B474B6B96C8}">
            <xm:f>NOT(ISERROR(SEARCH("Value Missing",L53)))</xm:f>
            <xm:f>"Value Missing"</xm:f>
            <x14:dxf>
              <font>
                <color theme="1"/>
              </font>
              <fill>
                <patternFill>
                  <bgColor rgb="FFFFBD29"/>
                </patternFill>
              </fill>
            </x14:dxf>
          </x14:cfRule>
          <xm:sqref>L53:L56</xm:sqref>
        </x14:conditionalFormatting>
        <x14:conditionalFormatting xmlns:xm="http://schemas.microsoft.com/office/excel/2006/main">
          <x14:cfRule type="containsText" priority="283"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L39:L47 O39:O47 R39:R47 F53:F64 I53:I64 I120 I124:I135 I139 I141:I144 I323:I334</xm:sqref>
        </x14:conditionalFormatting>
        <x14:conditionalFormatting xmlns:xm="http://schemas.microsoft.com/office/excel/2006/main">
          <x14:cfRule type="notContainsText" priority="182" operator="notContains" id="{E4DF8E44-677B-5044-90B7-70A29E7D9546}">
            <xm:f>ISERROR(SEARCH("Value Missing",O53))</xm:f>
            <xm:f>"Value Missing"</xm:f>
            <x14:dxf>
              <font>
                <color theme="1"/>
              </font>
              <fill>
                <patternFill>
                  <bgColor rgb="FFEFFDE3"/>
                </patternFill>
              </fill>
            </x14:dxf>
          </x14:cfRule>
          <x14:cfRule type="containsText" priority="181" operator="containsText" id="{B4FF0D6C-6C46-394E-BD50-67E1D251040A}">
            <xm:f>NOT(ISERROR(SEARCH("Not Required",O53)))</xm:f>
            <xm:f>"Not Required"</xm:f>
            <x14:dxf>
              <font>
                <color theme="0"/>
              </font>
              <fill>
                <patternFill>
                  <bgColor rgb="FF506069"/>
                </patternFill>
              </fill>
            </x14:dxf>
          </x14:cfRule>
          <x14:cfRule type="containsText" priority="180" operator="containsText" id="{3484D9B2-8390-8D49-84C4-1BB762F411BD}">
            <xm:f>NOT(ISERROR(SEARCH("Value Missing",O53)))</xm:f>
            <xm:f>"Value Missing"</xm:f>
            <x14:dxf>
              <font>
                <color theme="1"/>
              </font>
              <fill>
                <patternFill>
                  <bgColor rgb="FFFFBD29"/>
                </patternFill>
              </fill>
            </x14:dxf>
          </x14:cfRule>
          <xm:sqref>O53:O56</xm:sqref>
        </x14:conditionalFormatting>
        <x14:conditionalFormatting xmlns:xm="http://schemas.microsoft.com/office/excel/2006/main">
          <x14:cfRule type="containsText" priority="144" operator="containsText" id="{BE046617-BB68-A248-B205-0BA04B74BC03}">
            <xm:f>NOT(ISERROR(SEARCH("Value Missing",O56)))</xm:f>
            <xm:f>"Value Missing"</xm:f>
            <x14:dxf>
              <font>
                <color theme="1"/>
              </font>
              <fill>
                <patternFill>
                  <bgColor rgb="FFFFBD29"/>
                </patternFill>
              </fill>
            </x14:dxf>
          </x14:cfRule>
          <x14:cfRule type="notContainsText" priority="146" operator="notContains" id="{F314583A-4DC4-6B46-B96E-2AAA05DE3F83}">
            <xm:f>ISERROR(SEARCH("Value Missing",O56))</xm:f>
            <xm:f>"Value Missing"</xm:f>
            <x14:dxf>
              <font>
                <color theme="1"/>
              </font>
              <fill>
                <patternFill>
                  <bgColor rgb="FFEFFDE3"/>
                </patternFill>
              </fill>
            </x14:dxf>
          </x14:cfRule>
          <x14:cfRule type="containsText" priority="145" operator="containsText" id="{47D8B146-5634-DD49-8B63-DF06CDE5E18A}">
            <xm:f>NOT(ISERROR(SEARCH("Not Required",O56)))</xm:f>
            <xm:f>"Not Required"</xm:f>
            <x14:dxf>
              <font>
                <color theme="0"/>
              </font>
              <fill>
                <patternFill>
                  <bgColor rgb="FF506069"/>
                </patternFill>
              </fill>
            </x14:dxf>
          </x14:cfRule>
          <xm:sqref>O56</xm:sqref>
        </x14:conditionalFormatting>
        <x14:conditionalFormatting xmlns:xm="http://schemas.microsoft.com/office/excel/2006/main">
          <x14:cfRule type="notContainsText" priority="176" operator="notContains" id="{98CD919A-1892-B144-9FD2-E20F738B8462}">
            <xm:f>ISERROR(SEARCH("Value Missing",R53))</xm:f>
            <xm:f>"Value Missing"</xm:f>
            <x14:dxf>
              <font>
                <color theme="1"/>
              </font>
              <fill>
                <patternFill>
                  <bgColor rgb="FFEFFDE3"/>
                </patternFill>
              </fill>
            </x14:dxf>
          </x14:cfRule>
          <x14:cfRule type="containsText" priority="175" operator="containsText" id="{73C225FC-2EA3-ED4E-8798-D772148AC61F}">
            <xm:f>NOT(ISERROR(SEARCH("Not Required",R53)))</xm:f>
            <xm:f>"Not Required"</xm:f>
            <x14:dxf>
              <font>
                <color theme="0"/>
              </font>
              <fill>
                <patternFill>
                  <bgColor rgb="FF506069"/>
                </patternFill>
              </fill>
            </x14:dxf>
          </x14:cfRule>
          <x14:cfRule type="containsText" priority="174" operator="containsText" id="{4DB5BF19-7549-2D4D-9F00-53662934B3EA}">
            <xm:f>NOT(ISERROR(SEARCH("Value Missing",R53)))</xm:f>
            <xm:f>"Value Missing"</xm:f>
            <x14:dxf>
              <font>
                <color theme="1"/>
              </font>
              <fill>
                <patternFill>
                  <bgColor rgb="FFFFBD29"/>
                </patternFill>
              </fill>
            </x14:dxf>
          </x14:cfRule>
          <xm:sqref>R53:R56</xm:sqref>
        </x14:conditionalFormatting>
        <x14:conditionalFormatting xmlns:xm="http://schemas.microsoft.com/office/excel/2006/main">
          <x14:cfRule type="notContainsText" priority="143" operator="notContains" id="{6B12F593-4614-044E-B315-C3C241E7ED5A}">
            <xm:f>ISERROR(SEARCH("Value Missing",R56))</xm:f>
            <xm:f>"Value Missing"</xm:f>
            <x14:dxf>
              <font>
                <color theme="1"/>
              </font>
              <fill>
                <patternFill>
                  <bgColor rgb="FFEFFDE3"/>
                </patternFill>
              </fill>
            </x14:dxf>
          </x14:cfRule>
          <x14:cfRule type="containsText" priority="141" operator="containsText" id="{CF58F867-FF0B-1D42-8BDB-FEA6BC35ED7F}">
            <xm:f>NOT(ISERROR(SEARCH("Value Missing",R56)))</xm:f>
            <xm:f>"Value Missing"</xm:f>
            <x14:dxf>
              <font>
                <color theme="1"/>
              </font>
              <fill>
                <patternFill>
                  <bgColor rgb="FFFFBD29"/>
                </patternFill>
              </fill>
            </x14:dxf>
          </x14:cfRule>
          <x14:cfRule type="containsText" priority="142" operator="containsText" id="{675D5EFB-839D-C44D-9960-0B8483B9E49C}">
            <xm:f>NOT(ISERROR(SEARCH("Not Required",R56)))</xm:f>
            <xm:f>"Not Required"</xm:f>
            <x14:dxf>
              <font>
                <color theme="0"/>
              </font>
              <fill>
                <patternFill>
                  <bgColor rgb="FF506069"/>
                </patternFill>
              </fill>
            </x14:dxf>
          </x14:cfRule>
          <xm:sqref>R56</xm:sqref>
        </x14:conditionalFormatting>
        <x14:conditionalFormatting xmlns:xm="http://schemas.microsoft.com/office/excel/2006/main">
          <x14:cfRule type="containsText" priority="11" operator="containsText" id="{20F2DFD4-A7DF-D947-9DC9-9516120AE4E3}">
            <xm:f>NOT(ISERROR(SEARCH("Not Required",U39)))</xm:f>
            <xm:f>"Not Required"</xm:f>
            <x14:dxf>
              <font>
                <color theme="0"/>
              </font>
              <fill>
                <patternFill>
                  <bgColor rgb="FF506069"/>
                </patternFill>
              </fill>
            </x14:dxf>
          </x14:cfRule>
          <x14:cfRule type="notContainsText" priority="12" operator="notContains" id="{D11A1D73-B207-C841-A84D-918A99DCD697}">
            <xm:f>ISERROR(SEARCH("Value Missing",U39))</xm:f>
            <xm:f>"Value Missing"</xm:f>
            <x14:dxf>
              <font>
                <color theme="1"/>
              </font>
              <fill>
                <patternFill>
                  <bgColor rgb="FFEFFDE3"/>
                </patternFill>
              </fill>
            </x14:dxf>
          </x14:cfRule>
          <x14:cfRule type="containsText" priority="10" operator="containsText" id="{B79EBB3B-EC11-884C-B779-815769F0BA83}">
            <xm:f>NOT(ISERROR(SEARCH("Value Missing",U39)))</xm:f>
            <xm:f>"Value Missing"</xm:f>
            <x14:dxf>
              <font>
                <color theme="1"/>
              </font>
              <fill>
                <patternFill>
                  <bgColor rgb="FFFFBD29"/>
                </patternFill>
              </fill>
            </x14:dxf>
          </x14:cfRule>
          <xm:sqref>U39:U47</xm:sqref>
        </x14:conditionalFormatting>
        <x14:conditionalFormatting xmlns:xm="http://schemas.microsoft.com/office/excel/2006/main">
          <x14:cfRule type="containsText" priority="169" operator="containsText" id="{806AF8E0-6D97-EC41-968B-57478A38AD6C}">
            <xm:f>NOT(ISERROR(SEARCH("Not Required",U53)))</xm:f>
            <xm:f>"Not Required"</xm:f>
            <x14:dxf>
              <font>
                <color theme="0"/>
              </font>
              <fill>
                <patternFill>
                  <bgColor rgb="FF506069"/>
                </patternFill>
              </fill>
            </x14:dxf>
          </x14:cfRule>
          <x14:cfRule type="notContainsText" priority="170" operator="notContains" id="{2563BE9A-6184-354D-B78B-4DF4EB2B9741}">
            <xm:f>ISERROR(SEARCH("Value Missing",U53))</xm:f>
            <xm:f>"Value Missing"</xm:f>
            <x14:dxf>
              <font>
                <color theme="1"/>
              </font>
              <fill>
                <patternFill>
                  <bgColor rgb="FFEFFDE3"/>
                </patternFill>
              </fill>
            </x14:dxf>
          </x14:cfRule>
          <x14:cfRule type="containsText" priority="168" operator="containsText" id="{9017B3EB-7DBE-9745-80C7-2EA0322DBD9D}">
            <xm:f>NOT(ISERROR(SEARCH("Value Missing",U53)))</xm:f>
            <xm:f>"Value Missing"</xm:f>
            <x14:dxf>
              <font>
                <color theme="1"/>
              </font>
              <fill>
                <patternFill>
                  <bgColor rgb="FFFFBD29"/>
                </patternFill>
              </fill>
            </x14:dxf>
          </x14:cfRule>
          <xm:sqref>U53:U56</xm:sqref>
        </x14:conditionalFormatting>
        <x14:conditionalFormatting xmlns:xm="http://schemas.microsoft.com/office/excel/2006/main">
          <x14:cfRule type="notContainsText" priority="140" operator="notContains" id="{7A999857-3F31-DC42-986B-784B462399DB}">
            <xm:f>ISERROR(SEARCH("Value Missing",U56))</xm:f>
            <xm:f>"Value Missing"</xm:f>
            <x14:dxf>
              <font>
                <color theme="1"/>
              </font>
              <fill>
                <patternFill>
                  <bgColor rgb="FFEFFDE3"/>
                </patternFill>
              </fill>
            </x14:dxf>
          </x14:cfRule>
          <x14:cfRule type="containsText" priority="139" operator="containsText" id="{0A17DF85-0295-4845-B39F-3EB7492CEB3A}">
            <xm:f>NOT(ISERROR(SEARCH("Not Required",U56)))</xm:f>
            <xm:f>"Not Required"</xm:f>
            <x14:dxf>
              <font>
                <color theme="0"/>
              </font>
              <fill>
                <patternFill>
                  <bgColor rgb="FF506069"/>
                </patternFill>
              </fill>
            </x14:dxf>
          </x14:cfRule>
          <x14:cfRule type="containsText" priority="138" operator="containsText" id="{C1B279C3-DA18-8442-B1B8-B06229D29315}">
            <xm:f>NOT(ISERROR(SEARCH("Value Missing",U56)))</xm:f>
            <xm:f>"Value Missing"</xm:f>
            <x14:dxf>
              <font>
                <color theme="1"/>
              </font>
              <fill>
                <patternFill>
                  <bgColor rgb="FFFFBD29"/>
                </patternFill>
              </fill>
            </x14:dxf>
          </x14:cfRule>
          <xm:sqref>U56</xm:sqref>
        </x14:conditionalFormatting>
        <x14:conditionalFormatting xmlns:xm="http://schemas.microsoft.com/office/excel/2006/main">
          <x14:cfRule type="notContainsText" priority="9" operator="notContains" id="{9A552E01-4760-3448-8FD6-6F3234371C4D}">
            <xm:f>ISERROR(SEARCH("Value Missing",X39))</xm:f>
            <xm:f>"Value Missing"</xm:f>
            <x14:dxf>
              <font>
                <color theme="1"/>
              </font>
              <fill>
                <patternFill>
                  <bgColor rgb="FFEFFDE3"/>
                </patternFill>
              </fill>
            </x14:dxf>
          </x14:cfRule>
          <x14:cfRule type="containsText" priority="8" operator="containsText" id="{67C5E1C7-827A-2247-9770-41F1AEFE3765}">
            <xm:f>NOT(ISERROR(SEARCH("Not Required",X39)))</xm:f>
            <xm:f>"Not Required"</xm:f>
            <x14:dxf>
              <font>
                <color theme="0"/>
              </font>
              <fill>
                <patternFill>
                  <bgColor rgb="FF506069"/>
                </patternFill>
              </fill>
            </x14:dxf>
          </x14:cfRule>
          <x14:cfRule type="containsText" priority="7" operator="containsText" id="{7CCE0CF7-BAB2-0344-98D6-21BF6CFCEEEF}">
            <xm:f>NOT(ISERROR(SEARCH("Value Missing",X39)))</xm:f>
            <xm:f>"Value Missing"</xm:f>
            <x14:dxf>
              <font>
                <color theme="1"/>
              </font>
              <fill>
                <patternFill>
                  <bgColor rgb="FFFFBD29"/>
                </patternFill>
              </fill>
            </x14:dxf>
          </x14:cfRule>
          <xm:sqref>X39:X47</xm:sqref>
        </x14:conditionalFormatting>
        <x14:conditionalFormatting xmlns:xm="http://schemas.microsoft.com/office/excel/2006/main">
          <x14:cfRule type="notContainsText" priority="164" operator="notContains" id="{AA6925D0-91F1-8449-983B-B5EE70C7F44D}">
            <xm:f>ISERROR(SEARCH("Value Missing",X53))</xm:f>
            <xm:f>"Value Missing"</xm:f>
            <x14:dxf>
              <font>
                <color theme="1"/>
              </font>
              <fill>
                <patternFill>
                  <bgColor rgb="FFEFFDE3"/>
                </patternFill>
              </fill>
            </x14:dxf>
          </x14:cfRule>
          <x14:cfRule type="containsText" priority="163" operator="containsText" id="{A847CD3B-37FA-4146-AAE3-6DA7692BE6D6}">
            <xm:f>NOT(ISERROR(SEARCH("Not Required",X53)))</xm:f>
            <xm:f>"Not Required"</xm:f>
            <x14:dxf>
              <font>
                <color theme="0"/>
              </font>
              <fill>
                <patternFill>
                  <bgColor rgb="FF506069"/>
                </patternFill>
              </fill>
            </x14:dxf>
          </x14:cfRule>
          <x14:cfRule type="containsText" priority="162" operator="containsText" id="{A798AA75-439F-4A46-AB83-7E4358A88D66}">
            <xm:f>NOT(ISERROR(SEARCH("Value Missing",X53)))</xm:f>
            <xm:f>"Value Missing"</xm:f>
            <x14:dxf>
              <font>
                <color theme="1"/>
              </font>
              <fill>
                <patternFill>
                  <bgColor rgb="FFFFBD29"/>
                </patternFill>
              </fill>
            </x14:dxf>
          </x14:cfRule>
          <xm:sqref>X53:X56</xm:sqref>
        </x14:conditionalFormatting>
        <x14:conditionalFormatting xmlns:xm="http://schemas.microsoft.com/office/excel/2006/main">
          <x14:cfRule type="notContainsText" priority="137" operator="notContains" id="{ED8BDAB0-934B-E348-A096-D1CFEC970647}">
            <xm:f>ISERROR(SEARCH("Value Missing",X56))</xm:f>
            <xm:f>"Value Missing"</xm:f>
            <x14:dxf>
              <font>
                <color theme="1"/>
              </font>
              <fill>
                <patternFill>
                  <bgColor rgb="FFEFFDE3"/>
                </patternFill>
              </fill>
            </x14:dxf>
          </x14:cfRule>
          <x14:cfRule type="containsText" priority="136" operator="containsText" id="{6542A7B2-8630-7B40-8349-79CED9462BD1}">
            <xm:f>NOT(ISERROR(SEARCH("Not Required",X56)))</xm:f>
            <xm:f>"Not Required"</xm:f>
            <x14:dxf>
              <font>
                <color theme="0"/>
              </font>
              <fill>
                <patternFill>
                  <bgColor rgb="FF506069"/>
                </patternFill>
              </fill>
            </x14:dxf>
          </x14:cfRule>
          <x14:cfRule type="containsText" priority="135" operator="containsText" id="{D3FD3035-29E9-C741-95F9-7E63301A762E}">
            <xm:f>NOT(ISERROR(SEARCH("Value Missing",X56)))</xm:f>
            <xm:f>"Value Missing"</xm:f>
            <x14:dxf>
              <font>
                <color theme="1"/>
              </font>
              <fill>
                <patternFill>
                  <bgColor rgb="FFFFBD29"/>
                </patternFill>
              </fill>
            </x14:dxf>
          </x14:cfRule>
          <xm:sqref>X56</xm:sqref>
        </x14:conditionalFormatting>
        <x14:conditionalFormatting xmlns:xm="http://schemas.microsoft.com/office/excel/2006/main">
          <x14:cfRule type="notContainsText" priority="301" operator="notContains" id="{06767BDF-1E13-B344-B0F5-AC2964A2B7BB}">
            <xm:f>ISERROR(SEARCH("Value Missing",F8))</xm:f>
            <xm:f>"Value Missing"</xm:f>
            <x14:dxf>
              <font>
                <color theme="1"/>
              </font>
              <fill>
                <patternFill>
                  <bgColor rgb="FFEFFDE3"/>
                </patternFill>
              </fill>
            </x14:dxf>
          </x14:cfRule>
          <x14:cfRule type="containsText" priority="299" operator="containsText" id="{8BE8EA82-7A72-C646-8E99-CF9839909AD6}">
            <xm:f>NOT(ISERROR(SEARCH("Not Required",F8)))</xm:f>
            <xm:f>"Not Required"</xm:f>
            <x14:dxf>
              <font>
                <color theme="0"/>
              </font>
              <fill>
                <patternFill>
                  <bgColor rgb="FF506069"/>
                </patternFill>
              </fill>
            </x14:dxf>
          </x14:cfRule>
          <xm:sqref>AA8:AA14 F8:F19 I8:I19 L8:L19 O8:O19 R8:R19 U8:U19 X8:X19 AD8:AD19 AA16:AA19 F23:F34 I23:I34 L23:L34 O23:O34 R23:R34 U23:U34 X23:X34 AA23:AA34 AD23:AD34 I53:I54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I110:I120 F124:F133 F139:F144 F149:F162 I149:I162 L149:L162 O149:O162 R149:R162 U149:U162 X149:X162 AA149:AA162 AD149:AD162 F166:F174 I166:I174 L166:L174 O166:O174 R166:R174 U166:U174 X166:X174 AA166:AA174 AD166:AD174 F178:F179 L178:L179 O178:O179 R178:R179 U178:U179 X178:X179 AA178:AA179 AD178:AD179 L183:L198 O183:O198 R183:R198 U183:U198 X183:X198 AA183:AA198 AD183:AD198 F183:F214 I183:I214 L202:L217 O202:O217 R202:R217 U202:U217 X202:X217 AA202:AA217 AD202:AD217 F218:F233 I218:I233 L221:L236 O221:O236 R221:R236 U221:U236 X221:X236 AA221:AA236 AD221:AD236 F237:F252 I237:I252 L239:L245 O239:O245 R239:R245 U239:U245 X239:X245 AA239:AA245 AD239:AD245 F278:F288 I278:I289 F292:F302 I293:I304 F306:F316 I308:I319 F334:F344 I338:I349 F348:F358 I353:I364 F362:F368 I368:I374 F372:F381 I378:I387 F385:F394 I391:I402 F398:F401 F405:F411 I406:I409 I413:I419 F415:F446 I423:I454 F450:F465 I458:I473 F469:F484 I477:I492</xm:sqref>
        </x14:conditionalFormatting>
        <x14:conditionalFormatting xmlns:xm="http://schemas.microsoft.com/office/excel/2006/main">
          <x14:cfRule type="notContainsText" priority="6" operator="notContains" id="{A3EC2F0D-66A9-364C-97A9-ABB9D8CE96B4}">
            <xm:f>ISERROR(SEARCH("Value Missing",AA39))</xm:f>
            <xm:f>"Value Missing"</xm:f>
            <x14:dxf>
              <font>
                <color theme="1"/>
              </font>
              <fill>
                <patternFill>
                  <bgColor rgb="FFEFFDE3"/>
                </patternFill>
              </fill>
            </x14:dxf>
          </x14:cfRule>
          <x14:cfRule type="containsText" priority="5" operator="containsText" id="{2F7B9298-6F2D-CF46-B59A-DE3D41A821A2}">
            <xm:f>NOT(ISERROR(SEARCH("Not Required",AA39)))</xm:f>
            <xm:f>"Not Required"</xm:f>
            <x14:dxf>
              <font>
                <color theme="0"/>
              </font>
              <fill>
                <patternFill>
                  <bgColor rgb="FF506069"/>
                </patternFill>
              </fill>
            </x14:dxf>
          </x14:cfRule>
          <x14:cfRule type="containsText" priority="4" operator="containsText" id="{C3226025-96A7-174E-B18F-7DE4FD2C4806}">
            <xm:f>NOT(ISERROR(SEARCH("Value Missing",AA39)))</xm:f>
            <xm:f>"Value Missing"</xm:f>
            <x14:dxf>
              <font>
                <color theme="1"/>
              </font>
              <fill>
                <patternFill>
                  <bgColor rgb="FFFFBD29"/>
                </patternFill>
              </fill>
            </x14:dxf>
          </x14:cfRule>
          <xm:sqref>AA39:AA47</xm:sqref>
        </x14:conditionalFormatting>
        <x14:conditionalFormatting xmlns:xm="http://schemas.microsoft.com/office/excel/2006/main">
          <x14:cfRule type="notContainsText" priority="158" operator="notContains" id="{A9F6D0D6-42C0-8C44-B9E0-4DE4789AED56}">
            <xm:f>ISERROR(SEARCH("Value Missing",AA53))</xm:f>
            <xm:f>"Value Missing"</xm:f>
            <x14:dxf>
              <font>
                <color theme="1"/>
              </font>
              <fill>
                <patternFill>
                  <bgColor rgb="FFEFFDE3"/>
                </patternFill>
              </fill>
            </x14:dxf>
          </x14:cfRule>
          <x14:cfRule type="containsText" priority="156" operator="containsText" id="{B46CA4F9-3C6E-9142-9DCB-973E2E3893CE}">
            <xm:f>NOT(ISERROR(SEARCH("Value Missing",AA53)))</xm:f>
            <xm:f>"Value Missing"</xm:f>
            <x14:dxf>
              <font>
                <color theme="1"/>
              </font>
              <fill>
                <patternFill>
                  <bgColor rgb="FFFFBD29"/>
                </patternFill>
              </fill>
            </x14:dxf>
          </x14:cfRule>
          <x14:cfRule type="containsText" priority="157" operator="containsText" id="{3073A76A-73E6-2645-98F0-C7A0F9003A9B}">
            <xm:f>NOT(ISERROR(SEARCH("Not Required",AA53)))</xm:f>
            <xm:f>"Not Required"</xm:f>
            <x14:dxf>
              <font>
                <color theme="0"/>
              </font>
              <fill>
                <patternFill>
                  <bgColor rgb="FF506069"/>
                </patternFill>
              </fill>
            </x14:dxf>
          </x14:cfRule>
          <xm:sqref>AA53:AA56</xm:sqref>
        </x14:conditionalFormatting>
        <x14:conditionalFormatting xmlns:xm="http://schemas.microsoft.com/office/excel/2006/main">
          <x14:cfRule type="containsText" priority="133" operator="containsText" id="{75F873D6-B9D9-3341-8652-F67C103EA278}">
            <xm:f>NOT(ISERROR(SEARCH("Not Required",AA56)))</xm:f>
            <xm:f>"Not Required"</xm:f>
            <x14:dxf>
              <font>
                <color theme="0"/>
              </font>
              <fill>
                <patternFill>
                  <bgColor rgb="FF506069"/>
                </patternFill>
              </fill>
            </x14:dxf>
          </x14:cfRule>
          <x14:cfRule type="notContainsText" priority="134" operator="notContains" id="{7EF64B70-5424-4E41-B8D8-C26C3A9F41BE}">
            <xm:f>ISERROR(SEARCH("Value Missing",AA56))</xm:f>
            <xm:f>"Value Missing"</xm:f>
            <x14:dxf>
              <font>
                <color theme="1"/>
              </font>
              <fill>
                <patternFill>
                  <bgColor rgb="FFEFFDE3"/>
                </patternFill>
              </fill>
            </x14:dxf>
          </x14:cfRule>
          <x14:cfRule type="containsText" priority="132" operator="containsText" id="{B01DAB95-54B5-2A48-9E42-698AE8EAB2B5}">
            <xm:f>NOT(ISERROR(SEARCH("Value Missing",AA56)))</xm:f>
            <xm:f>"Value Missing"</xm:f>
            <x14:dxf>
              <font>
                <color theme="1"/>
              </font>
              <fill>
                <patternFill>
                  <bgColor rgb="FFFFBD29"/>
                </patternFill>
              </fill>
            </x14:dxf>
          </x14:cfRule>
          <xm:sqref>AA56</xm:sqref>
        </x14:conditionalFormatting>
        <x14:conditionalFormatting xmlns:xm="http://schemas.microsoft.com/office/excel/2006/main">
          <x14:cfRule type="containsText" priority="2" operator="containsText" id="{353681F6-113B-A245-BAE3-7878FC3CF345}">
            <xm:f>NOT(ISERROR(SEARCH("Not Required",AD39)))</xm:f>
            <xm:f>"Not Required"</xm:f>
            <x14:dxf>
              <font>
                <color theme="0"/>
              </font>
              <fill>
                <patternFill>
                  <bgColor rgb="FF506069"/>
                </patternFill>
              </fill>
            </x14:dxf>
          </x14:cfRule>
          <x14:cfRule type="notContainsText" priority="3" operator="notContains" id="{D515E712-91F5-FC40-B227-DD5FE835B161}">
            <xm:f>ISERROR(SEARCH("Value Missing",AD39))</xm:f>
            <xm:f>"Value Missing"</xm:f>
            <x14:dxf>
              <font>
                <color theme="1"/>
              </font>
              <fill>
                <patternFill>
                  <bgColor rgb="FFEFFDE3"/>
                </patternFill>
              </fill>
            </x14:dxf>
          </x14:cfRule>
          <x14:cfRule type="containsText" priority="1" operator="containsText" id="{2AC29FE5-D98A-2143-A3B7-B8F397FE8DD4}">
            <xm:f>NOT(ISERROR(SEARCH("Value Missing",AD39)))</xm:f>
            <xm:f>"Value Missing"</xm:f>
            <x14:dxf>
              <font>
                <color theme="1"/>
              </font>
              <fill>
                <patternFill>
                  <bgColor rgb="FFFFBD29"/>
                </patternFill>
              </fill>
            </x14:dxf>
          </x14:cfRule>
          <xm:sqref>AD39:AD47</xm:sqref>
        </x14:conditionalFormatting>
        <x14:conditionalFormatting xmlns:xm="http://schemas.microsoft.com/office/excel/2006/main">
          <x14:cfRule type="notContainsText" priority="152" operator="notContains" id="{6B88948E-0E39-3548-A8DD-6AF259181EC7}">
            <xm:f>ISERROR(SEARCH("Value Missing",AD53))</xm:f>
            <xm:f>"Value Missing"</xm:f>
            <x14:dxf>
              <font>
                <color theme="1"/>
              </font>
              <fill>
                <patternFill>
                  <bgColor rgb="FFEFFDE3"/>
                </patternFill>
              </fill>
            </x14:dxf>
          </x14:cfRule>
          <x14:cfRule type="containsText" priority="151" operator="containsText" id="{3CAFDB47-63D3-8A49-874F-B7F36B085F1D}">
            <xm:f>NOT(ISERROR(SEARCH("Not Required",AD53)))</xm:f>
            <xm:f>"Not Required"</xm:f>
            <x14:dxf>
              <font>
                <color theme="0"/>
              </font>
              <fill>
                <patternFill>
                  <bgColor rgb="FF506069"/>
                </patternFill>
              </fill>
            </x14:dxf>
          </x14:cfRule>
          <x14:cfRule type="containsText" priority="150" operator="containsText" id="{905D31CE-3E0A-864C-9F1B-D63656711729}">
            <xm:f>NOT(ISERROR(SEARCH("Value Missing",AD53)))</xm:f>
            <xm:f>"Value Missing"</xm:f>
            <x14:dxf>
              <font>
                <color theme="1"/>
              </font>
              <fill>
                <patternFill>
                  <bgColor rgb="FFFFBD29"/>
                </patternFill>
              </fill>
            </x14:dxf>
          </x14:cfRule>
          <xm:sqref>AD53:AD56</xm:sqref>
        </x14:conditionalFormatting>
        <x14:conditionalFormatting xmlns:xm="http://schemas.microsoft.com/office/excel/2006/main">
          <x14:cfRule type="containsText" priority="130" operator="containsText" id="{157796BB-CFBB-3B4D-A417-32FFDAA88E68}">
            <xm:f>NOT(ISERROR(SEARCH("Not Required",AD56)))</xm:f>
            <xm:f>"Not Required"</xm:f>
            <x14:dxf>
              <font>
                <color theme="0"/>
              </font>
              <fill>
                <patternFill>
                  <bgColor rgb="FF506069"/>
                </patternFill>
              </fill>
            </x14:dxf>
          </x14:cfRule>
          <x14:cfRule type="containsText" priority="129" operator="containsText" id="{CB44C791-709B-FE4B-BC8E-877B39027780}">
            <xm:f>NOT(ISERROR(SEARCH("Value Missing",AD56)))</xm:f>
            <xm:f>"Value Missing"</xm:f>
            <x14:dxf>
              <font>
                <color theme="1"/>
              </font>
              <fill>
                <patternFill>
                  <bgColor rgb="FFFFBD29"/>
                </patternFill>
              </fill>
            </x14:dxf>
          </x14:cfRule>
          <x14:cfRule type="notContainsText" priority="131" operator="notContains" id="{7DFC07FF-0C18-784A-844A-D8E074C7A5AA}">
            <xm:f>ISERROR(SEARCH("Value Missing",AD56))</xm:f>
            <xm:f>"Value Missing"</xm:f>
            <x14:dxf>
              <font>
                <color theme="1"/>
              </font>
              <fill>
                <patternFill>
                  <bgColor rgb="FFEFFDE3"/>
                </patternFill>
              </fill>
            </x14:dxf>
          </x14:cfRule>
          <xm:sqref>AD56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F365"/>
  <sheetViews>
    <sheetView showGridLines="0" topLeftCell="B1" zoomScaleNormal="100" workbookViewId="0">
      <pane ySplit="4" topLeftCell="A5" activePane="bottomLeft" state="frozen"/>
      <selection pane="bottomLeft" activeCell="F54" sqref="F54"/>
    </sheetView>
  </sheetViews>
  <sheetFormatPr baseColWidth="10" defaultColWidth="11" defaultRowHeight="20" customHeight="1" x14ac:dyDescent="0.2"/>
  <cols>
    <col min="1" max="1" width="2.83203125" style="8" customWidth="1"/>
    <col min="2" max="2" width="57" style="8" customWidth="1"/>
    <col min="3" max="3" width="44.83203125" style="8" bestFit="1" customWidth="1"/>
    <col min="4" max="4" width="2.83203125" style="8" customWidth="1"/>
    <col min="5" max="5" width="73.6640625" style="8" bestFit="1" customWidth="1"/>
    <col min="6" max="6" width="45.33203125" style="8" bestFit="1" customWidth="1"/>
    <col min="7" max="7" width="2.83203125" style="8" customWidth="1"/>
    <col min="8" max="8" width="58.33203125" style="8" bestFit="1" customWidth="1"/>
    <col min="9" max="9" width="41.83203125" style="8" bestFit="1" customWidth="1"/>
    <col min="10" max="10" width="2.83203125" style="8" customWidth="1"/>
    <col min="11" max="11" width="57.1640625" style="8" bestFit="1" customWidth="1"/>
    <col min="12" max="12" width="73.83203125" style="8" bestFit="1" customWidth="1"/>
    <col min="13" max="13" width="2.83203125" style="8" customWidth="1"/>
    <col min="14" max="14" width="73.83203125" style="8" bestFit="1" customWidth="1"/>
    <col min="15" max="15" width="50.83203125" style="8" customWidth="1"/>
    <col min="16" max="16" width="2.83203125" style="8" customWidth="1"/>
    <col min="17" max="17" width="71.83203125" style="8" bestFit="1" customWidth="1"/>
    <col min="18" max="18" width="57.6640625" style="8" bestFit="1" customWidth="1"/>
    <col min="19" max="19" width="2.83203125" style="8" customWidth="1"/>
    <col min="20" max="20" width="85.33203125" style="8" bestFit="1" customWidth="1"/>
    <col min="21" max="21" width="72.83203125" style="8" bestFit="1" customWidth="1"/>
    <col min="22" max="22" width="2.83203125" style="8" customWidth="1"/>
    <col min="23" max="23" width="69" style="8" bestFit="1" customWidth="1"/>
    <col min="24" max="24" width="59.33203125" style="8" bestFit="1" customWidth="1"/>
    <col min="25" max="25" width="2.83203125" style="8" customWidth="1"/>
    <col min="26" max="26" width="55.83203125" style="8" bestFit="1" customWidth="1"/>
    <col min="27" max="27" width="49.6640625" style="8" bestFit="1" customWidth="1"/>
    <col min="28" max="28" width="2.83203125" style="8" customWidth="1"/>
    <col min="29" max="29" width="49.6640625" style="8" bestFit="1" customWidth="1"/>
    <col min="30" max="31" width="19.1640625" style="8" bestFit="1" customWidth="1"/>
    <col min="32" max="32" width="2.83203125" style="8" customWidth="1"/>
    <col min="33" max="33" width="45.83203125" style="8" bestFit="1" customWidth="1"/>
    <col min="34" max="34" width="49.6640625" style="8" bestFit="1" customWidth="1"/>
    <col min="35" max="36" width="20.6640625" style="8" bestFit="1" customWidth="1"/>
    <col min="37" max="44" width="11" style="8" customWidth="1"/>
    <col min="45" max="16384" width="11" style="8"/>
  </cols>
  <sheetData>
    <row r="1" spans="1:31" s="2" customFormat="1" ht="16" customHeight="1" x14ac:dyDescent="0.2">
      <c r="A1" s="1"/>
      <c r="B1" s="1"/>
      <c r="C1" s="1"/>
      <c r="D1" s="1"/>
      <c r="E1" s="1"/>
      <c r="F1" s="1"/>
      <c r="G1" s="1"/>
      <c r="H1" s="8"/>
      <c r="I1" s="8"/>
      <c r="J1" s="1"/>
      <c r="K1" s="1"/>
      <c r="L1" s="1"/>
      <c r="M1" s="1"/>
      <c r="N1" s="1"/>
      <c r="O1" s="1"/>
      <c r="P1" s="1"/>
    </row>
    <row r="2" spans="1:31" s="2" customFormat="1" ht="54" customHeight="1" x14ac:dyDescent="0.2">
      <c r="H2" s="8"/>
      <c r="I2" s="8"/>
      <c r="Q2" s="590"/>
      <c r="R2" s="591"/>
      <c r="S2" s="388"/>
      <c r="T2" s="388"/>
      <c r="U2" s="388"/>
      <c r="V2" s="585"/>
      <c r="W2" s="585"/>
      <c r="X2" s="585"/>
      <c r="Y2" s="585"/>
      <c r="Z2" s="586"/>
    </row>
    <row r="3" spans="1:31" s="2" customFormat="1" ht="20" customHeight="1" x14ac:dyDescent="0.2">
      <c r="H3" s="8"/>
      <c r="I3" s="8"/>
      <c r="Q3" s="587" t="s">
        <v>1256</v>
      </c>
      <c r="R3" s="587"/>
      <c r="S3" s="587"/>
      <c r="T3" s="587"/>
      <c r="U3" s="587"/>
      <c r="V3" s="587"/>
      <c r="W3" s="587"/>
      <c r="X3" s="588"/>
      <c r="Y3" s="588"/>
      <c r="Z3" s="588"/>
    </row>
    <row r="4" spans="1:31" s="2" customFormat="1" ht="16" x14ac:dyDescent="0.2">
      <c r="H4" s="8"/>
      <c r="I4" s="8"/>
      <c r="V4" s="10"/>
      <c r="W4" s="3"/>
    </row>
    <row r="5" spans="1:31" s="2" customFormat="1" ht="16" x14ac:dyDescent="0.2">
      <c r="H5" s="8"/>
      <c r="I5" s="8"/>
      <c r="V5" s="10"/>
      <c r="W5" s="3"/>
    </row>
    <row r="6" spans="1:31" s="2" customFormat="1" ht="20" customHeight="1" x14ac:dyDescent="0.2">
      <c r="B6" s="391" t="s">
        <v>1602</v>
      </c>
      <c r="C6" s="391"/>
      <c r="E6" s="183" t="s">
        <v>1603</v>
      </c>
      <c r="F6" s="183"/>
      <c r="H6" s="391" t="s">
        <v>1604</v>
      </c>
      <c r="I6" s="391"/>
      <c r="K6" s="589" t="s">
        <v>1605</v>
      </c>
      <c r="L6" s="589"/>
      <c r="N6" s="387" t="s">
        <v>1606</v>
      </c>
      <c r="O6" s="387"/>
      <c r="Q6" s="595" t="s">
        <v>1607</v>
      </c>
      <c r="R6" s="596"/>
      <c r="T6" s="579" t="s">
        <v>1608</v>
      </c>
      <c r="U6" s="580"/>
      <c r="V6" s="10"/>
      <c r="W6" s="589" t="s">
        <v>1609</v>
      </c>
      <c r="X6" s="589"/>
      <c r="Z6" s="384" t="s">
        <v>1610</v>
      </c>
      <c r="AA6" s="389"/>
      <c r="AC6" s="579" t="s">
        <v>1611</v>
      </c>
      <c r="AD6" s="592"/>
      <c r="AE6" s="580"/>
    </row>
    <row r="7" spans="1:31" s="2" customFormat="1" ht="20" customHeight="1" x14ac:dyDescent="0.2">
      <c r="B7" s="4" t="s">
        <v>1612</v>
      </c>
      <c r="C7" s="337" t="str">
        <f>IF(ISBLANK(mgmt_vcf_installer_location_chosen),"Value Missing",mgmt_vcf_installer_location_chosen)</f>
        <v>Deployed on one of the hosts in the management domain</v>
      </c>
      <c r="E7" s="4" t="s">
        <v>1613</v>
      </c>
      <c r="F7" s="337">
        <v>1</v>
      </c>
      <c r="H7" s="336" t="s">
        <v>261</v>
      </c>
      <c r="I7" s="184" t="s">
        <v>19</v>
      </c>
      <c r="K7" s="166" t="s">
        <v>261</v>
      </c>
      <c r="L7" s="167" t="s">
        <v>19</v>
      </c>
      <c r="N7" s="166" t="s">
        <v>261</v>
      </c>
      <c r="O7" s="167" t="s">
        <v>19</v>
      </c>
      <c r="Q7" s="184" t="s">
        <v>261</v>
      </c>
      <c r="R7" s="184" t="s">
        <v>19</v>
      </c>
      <c r="T7" s="166" t="s">
        <v>261</v>
      </c>
      <c r="U7" s="167" t="s">
        <v>19</v>
      </c>
      <c r="W7" s="166" t="s">
        <v>261</v>
      </c>
      <c r="X7" s="167" t="s">
        <v>19</v>
      </c>
      <c r="Z7" s="166" t="s">
        <v>261</v>
      </c>
      <c r="AA7" s="167" t="s">
        <v>19</v>
      </c>
      <c r="AC7" s="166" t="s">
        <v>261</v>
      </c>
      <c r="AD7" s="167" t="s">
        <v>1269</v>
      </c>
      <c r="AE7" s="167" t="s">
        <v>1573</v>
      </c>
    </row>
    <row r="8" spans="1:31" s="2" customFormat="1" ht="20" customHeight="1" x14ac:dyDescent="0.2">
      <c r="B8" s="4" t="s">
        <v>1614</v>
      </c>
      <c r="C8" s="337" t="str">
        <f>CONCATENATE(this_instance,"-ins01.",sample_child_dns_zone)</f>
        <v>sfo-ins01.sfo.rainpole.io</v>
      </c>
      <c r="E8" s="4" t="s">
        <v>1615</v>
      </c>
      <c r="F8" s="337" t="str">
        <f>wld_compute_hosts_per_rack_chosen</f>
        <v>Exclude</v>
      </c>
      <c r="H8" s="4" t="s">
        <v>1616</v>
      </c>
      <c r="I8" s="337" t="s">
        <v>1617</v>
      </c>
      <c r="K8" s="4" t="s">
        <v>1618</v>
      </c>
      <c r="L8" s="337" t="str">
        <f>IF(ISBLANK(input_ca_administrator_username),"Value Missing",input_ca_administrator_username)</f>
        <v>Value Missing</v>
      </c>
      <c r="N8" s="4" t="s">
        <v>1619</v>
      </c>
      <c r="O8" s="337" t="str">
        <f>IF(ISBLANK(input_mgmt_sddc_domain),"Value Missing",input_mgmt_sddc_domain)</f>
        <v>Value Missing</v>
      </c>
      <c r="Q8" s="17" t="s">
        <v>1620</v>
      </c>
      <c r="R8" s="337" t="str">
        <f>IF(ISBLANK(input_xreg_vrslcm_ip),"Value Missing",input_xreg_vrslcm_ip)</f>
        <v>Value Missing</v>
      </c>
      <c r="T8" s="361" t="s">
        <v>1617</v>
      </c>
      <c r="U8" s="337" t="str">
        <f>IF(mgmt_consolidated_result="Included",mgmt_sddc_domain,wld_sddc_domain)</f>
        <v>Value Missing</v>
      </c>
      <c r="W8" s="4" t="s">
        <v>1621</v>
      </c>
      <c r="X8" s="337"/>
      <c r="Z8" s="4" t="s">
        <v>1622</v>
      </c>
      <c r="AA8" s="337"/>
      <c r="AC8" s="4" t="s">
        <v>1623</v>
      </c>
      <c r="AD8" s="337" t="str">
        <f>'Value Reference Tables - MR'!F9</f>
        <v>Value Missing</v>
      </c>
      <c r="AE8" s="337" t="str">
        <f>'Value Reference Tables - MR'!F279</f>
        <v>Value Missing</v>
      </c>
    </row>
    <row r="9" spans="1:31" s="2" customFormat="1" ht="20" customHeight="1" x14ac:dyDescent="0.2">
      <c r="B9" s="4" t="s">
        <v>1624</v>
      </c>
      <c r="C9" s="337" t="s">
        <v>1625</v>
      </c>
      <c r="E9" s="4" t="s">
        <v>1626</v>
      </c>
      <c r="F9" s="337">
        <f>IF(vcf_granular_option_chosen="Create Cluster",PRODUCT(cluster_compute_hosts_per_rack_chosen,wld_multi_rack_count_chosen),PRODUCT(wld_compute_hosts_per_rack,wld_multi_rack_count_chosen))</f>
        <v>0</v>
      </c>
      <c r="H9" s="4" t="s">
        <v>1627</v>
      </c>
      <c r="I9" s="337" t="str">
        <f>IF(ISBLANK(input_cluster_domain_name),"Value Missing",input_cluster_domain_name)</f>
        <v>Value Missing</v>
      </c>
      <c r="K9" s="4" t="s">
        <v>1628</v>
      </c>
      <c r="L9" s="337"/>
      <c r="N9" s="4" t="s">
        <v>1629</v>
      </c>
      <c r="O9" s="337"/>
      <c r="T9" s="361" t="s">
        <v>1630</v>
      </c>
      <c r="U9" s="337" t="str">
        <f>IF(mgmt_consolidated_result="Included",mgmt_vc_fqdn,wld_vc_fqdn)</f>
        <v>Value Missing</v>
      </c>
      <c r="W9" s="4" t="s">
        <v>1631</v>
      </c>
      <c r="X9" s="337"/>
      <c r="Z9" s="4" t="s">
        <v>1632</v>
      </c>
      <c r="AA9" s="337"/>
      <c r="AC9" s="4" t="s">
        <v>1633</v>
      </c>
      <c r="AD9" s="337"/>
      <c r="AE9" s="337"/>
    </row>
    <row r="10" spans="1:31" s="2" customFormat="1" ht="20" customHeight="1" x14ac:dyDescent="0.2">
      <c r="B10" s="337" t="s">
        <v>1634</v>
      </c>
      <c r="C10" s="337" t="str">
        <f>CONCATENATE(this_instance,".rainpole.io")</f>
        <v>sfo.rainpole.io</v>
      </c>
      <c r="E10" s="112" t="str">
        <f>IF(OR(wld_domain_chosen="Deploy Workload Domain with a Multi-Rack Layer 3 Cluster",cluster_chosen="Deploy a Multi-Rack Layer 3 Cluster",),"Include","Exclude")</f>
        <v>Exclude</v>
      </c>
      <c r="F10"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IF(wld_multirack_calc="Include","Included","Excluded"),"Excluded")))))</f>
        <v>Excluded</v>
      </c>
      <c r="H10" s="4" t="s">
        <v>763</v>
      </c>
      <c r="I10" s="337" t="str">
        <f>cluster_principal_storage_chosen</f>
        <v>vSAN-ESA</v>
      </c>
      <c r="N10" s="4" t="s">
        <v>1635</v>
      </c>
      <c r="O10" s="337" t="str">
        <f>IF(ISBLANK('Configure Management Domain'!D50),"Value Missing",'Configure Management Domain'!D50)</f>
        <v>Value Missing</v>
      </c>
      <c r="Q10" s="595" t="s">
        <v>1636</v>
      </c>
      <c r="R10" s="596"/>
      <c r="T10" s="361" t="s">
        <v>1637</v>
      </c>
      <c r="U10" s="337" t="str">
        <f>IF(mgmt_consolidated_result="Included",mgmt_datacenter,wld_datacenter)</f>
        <v>Value Missing</v>
      </c>
      <c r="X10" s="3"/>
      <c r="Z10" s="4" t="s">
        <v>1638</v>
      </c>
      <c r="AA10" s="337"/>
      <c r="AC10" s="4" t="s">
        <v>1639</v>
      </c>
      <c r="AD10" s="337"/>
      <c r="AE10" s="337"/>
    </row>
    <row r="11" spans="1:31" s="2" customFormat="1" ht="20" customHeight="1" x14ac:dyDescent="0.2">
      <c r="B11" s="2" t="s">
        <v>1640</v>
      </c>
      <c r="C11" s="2" t="str">
        <f t="array" aca="1" ref="C11" ca="1">INDIRECT("'Version History'!B8")</f>
        <v>v1.9.0.008</v>
      </c>
      <c r="H11" s="511" t="s">
        <v>213</v>
      </c>
      <c r="I11" s="513"/>
      <c r="K11" s="384" t="s">
        <v>1641</v>
      </c>
      <c r="L11" s="389"/>
      <c r="N11" s="4" t="s">
        <v>784</v>
      </c>
      <c r="O11" s="337" t="str">
        <f>'Management Domain Sizing'!D32</f>
        <v>Medium</v>
      </c>
      <c r="Q11" s="184" t="s">
        <v>261</v>
      </c>
      <c r="R11" s="184" t="s">
        <v>19</v>
      </c>
      <c r="T11" s="361" t="s">
        <v>1642</v>
      </c>
      <c r="U11" s="337" t="str">
        <f>IF(mgmt_consolidated_result="Included",mgmt_cl01_cluster,wld_cl01_cluster)</f>
        <v>Value Missing</v>
      </c>
      <c r="W11" s="579" t="s">
        <v>1643</v>
      </c>
      <c r="X11" s="592"/>
      <c r="Z11" s="4" t="s">
        <v>1644</v>
      </c>
      <c r="AA11" s="337"/>
    </row>
    <row r="12" spans="1:31" s="2" customFormat="1" ht="20" customHeight="1" x14ac:dyDescent="0.2">
      <c r="B12" s="391" t="s">
        <v>1645</v>
      </c>
      <c r="C12" s="391"/>
      <c r="E12" s="391" t="s">
        <v>1646</v>
      </c>
      <c r="F12" s="391"/>
      <c r="H12" s="4" t="s">
        <v>85</v>
      </c>
      <c r="I12" s="337" t="str">
        <f>IF(ISBLANK(input_cluster_az1_mgmt_vlan),"Value Missing",input_cluster_az1_mgmt_vlan)</f>
        <v>Value Missing</v>
      </c>
      <c r="K12" s="166" t="s">
        <v>261</v>
      </c>
      <c r="L12" s="167" t="s">
        <v>19</v>
      </c>
      <c r="N12" s="4" t="s">
        <v>1647</v>
      </c>
      <c r="O12" s="337" t="str">
        <f>'Management Domain Sizing'!F32</f>
        <v>Default</v>
      </c>
      <c r="Q12" s="17" t="s">
        <v>1620</v>
      </c>
      <c r="R12" s="337" t="str">
        <f>IF(xreg_vrslcm_fqdn="Value Missing",xreg_vrslcm_fqdn,LEFT(xreg_vrslcm_fqdn,FIND(".",xreg_vrslcm_fqdn)-1))</f>
        <v>Value Missing</v>
      </c>
      <c r="T12" s="361" t="s">
        <v>1648</v>
      </c>
      <c r="U12" s="337" t="str">
        <f>IF(mgmt_consolidated_result="Included",mgmt_cl01_vds01_name,wld_cl01_vds01_name)</f>
        <v>Value Missing</v>
      </c>
      <c r="W12" s="166" t="s">
        <v>261</v>
      </c>
      <c r="X12" s="167" t="s">
        <v>19</v>
      </c>
      <c r="Z12" s="4" t="s">
        <v>1649</v>
      </c>
      <c r="AA12" s="337"/>
      <c r="AC12" s="384" t="s">
        <v>1650</v>
      </c>
      <c r="AD12" s="389"/>
      <c r="AE12" s="389"/>
    </row>
    <row r="13" spans="1:31" s="2" customFormat="1" ht="20" customHeight="1" x14ac:dyDescent="0.2">
      <c r="B13" s="336" t="s">
        <v>261</v>
      </c>
      <c r="C13" s="184" t="s">
        <v>19</v>
      </c>
      <c r="E13" s="336" t="s">
        <v>261</v>
      </c>
      <c r="F13" s="184" t="s">
        <v>19</v>
      </c>
      <c r="H13" s="4" t="s">
        <v>187</v>
      </c>
      <c r="I13" s="337" t="str">
        <f>IF(ISBLANK(input_cluster_az1_mgmt_gateway_ip),"Value Missing",input_cluster_az1_mgmt_gateway_ip)</f>
        <v>Value Missing</v>
      </c>
      <c r="K13" s="4" t="s">
        <v>1651</v>
      </c>
      <c r="L13" s="337" t="str">
        <f>IF(ISBLANK(input_esxi_root_password),"Value Missing",input_esxi_root_password)</f>
        <v>Value Missing</v>
      </c>
      <c r="N13" s="4" t="s">
        <v>1652</v>
      </c>
      <c r="O13" s="337" t="str">
        <f>IF(ISBLANK(mgmt_ceip_status_chosen),"Value Missing",mgmt_ceip_status_chosen)</f>
        <v>Selected</v>
      </c>
      <c r="T13" s="4" t="s">
        <v>1653</v>
      </c>
      <c r="U13" s="337" t="str">
        <f>IF(mgmt_consolidated_result="Included",mgmt_cl01_vsan_datastore,wld_cl01_vsan_datastore)</f>
        <v>Value Missing</v>
      </c>
      <c r="W13" s="4" t="s">
        <v>1654</v>
      </c>
      <c r="X13" s="337"/>
      <c r="Z13" s="4" t="s">
        <v>1655</v>
      </c>
      <c r="AA13" s="337"/>
      <c r="AC13" s="166" t="s">
        <v>261</v>
      </c>
      <c r="AD13" s="167" t="s">
        <v>1269</v>
      </c>
      <c r="AE13" s="167" t="s">
        <v>1573</v>
      </c>
    </row>
    <row r="14" spans="1:31" s="2" customFormat="1" ht="20" customHeight="1" x14ac:dyDescent="0.2">
      <c r="B14" s="4" t="s">
        <v>1656</v>
      </c>
      <c r="C14" s="337" t="str">
        <f>IF(ISBLANK(input_vcf_installer_ip),"Value Missing",input_vcf_installer_ip)</f>
        <v>Value Missing</v>
      </c>
      <c r="E14" s="4" t="s">
        <v>1657</v>
      </c>
      <c r="F14" s="337" t="str">
        <f>IF(ISBLANK(input_wld_vc_ip),"Value Missing",input_wld_vc_ip)</f>
        <v>Value Missing</v>
      </c>
      <c r="H14" s="4" t="s">
        <v>188</v>
      </c>
      <c r="I14" s="337" t="str">
        <f>IF(ISBLANK(input_cluster_az1_mgmt_cidr),"Value Missing",input_cluster_az1_mgmt_cidr)</f>
        <v>Value Missing</v>
      </c>
      <c r="K14" s="17" t="s">
        <v>1658</v>
      </c>
      <c r="L14" s="337" t="str">
        <f>IF(ISBLANK(input_administrator_vsphere_local_password),"Value Missing",input_administrator_vsphere_local_password)</f>
        <v>Value Missing</v>
      </c>
      <c r="N14" s="4" t="s">
        <v>1659</v>
      </c>
      <c r="O14" s="337" t="str">
        <f>'Management Domain Sizing'!I32</f>
        <v>Medium</v>
      </c>
      <c r="Q14" s="595" t="s">
        <v>1660</v>
      </c>
      <c r="R14" s="596"/>
      <c r="T14" s="361" t="s">
        <v>1661</v>
      </c>
      <c r="U14" s="337" t="str">
        <f>IF(mgmt_consolidated_result="Included",mgmt_nsxt_vip_fqdn,wld_nsxt_vip_fqdn)</f>
        <v>Value Missing</v>
      </c>
      <c r="W14" s="4" t="s">
        <v>1662</v>
      </c>
      <c r="X14" s="337"/>
      <c r="Z14" s="4" t="s">
        <v>1663</v>
      </c>
      <c r="AA14" s="337"/>
    </row>
    <row r="15" spans="1:31" s="2" customFormat="1" ht="20" customHeight="1" x14ac:dyDescent="0.2">
      <c r="B15" s="4" t="s">
        <v>1664</v>
      </c>
      <c r="C15" s="337" t="str">
        <f>IF(ISBLANK('Deploy Management Domain'!L322),"Value Missing",'Deploy Management Domain'!L322)</f>
        <v>Value Missing</v>
      </c>
      <c r="E15" s="4" t="s">
        <v>1665</v>
      </c>
      <c r="F15" s="337" t="str">
        <f>IF(ISBLANK('Deploy Workload Domain'!D182),"Value Missing",'Deploy Workload Domain'!D182)</f>
        <v>Value Missing</v>
      </c>
      <c r="H15" s="4" t="s">
        <v>160</v>
      </c>
      <c r="I15" s="337" t="str">
        <f>IF(ISBLANK(input_cluster_az1_mgmt_mtu),"Value Missing",input_cluster_az1_mgmt_mtu)</f>
        <v>Value Missing</v>
      </c>
      <c r="K15" s="17" t="s">
        <v>1666</v>
      </c>
      <c r="L15" s="337" t="str">
        <f>IF(ISBLANK(input_vcenter_root_password),"Value Missing",input_vcenter_root_password)</f>
        <v>Value Missing</v>
      </c>
      <c r="N15" s="4" t="s">
        <v>1667</v>
      </c>
      <c r="O15" s="337" t="str">
        <f>IF(ISBLANK('Configure Management Domain'!D95),"Value Missing",'Configure Management Domain'!D95)</f>
        <v>Value Missing</v>
      </c>
      <c r="Q15" s="184" t="s">
        <v>261</v>
      </c>
      <c r="R15" s="184" t="s">
        <v>19</v>
      </c>
      <c r="T15" s="4" t="s">
        <v>1668</v>
      </c>
      <c r="U15" s="337"/>
      <c r="V15" s="3"/>
      <c r="Z15" s="4" t="s">
        <v>1669</v>
      </c>
      <c r="AA15" s="337"/>
      <c r="AC15" s="384" t="s">
        <v>1670</v>
      </c>
      <c r="AD15" s="389"/>
      <c r="AE15" s="389"/>
    </row>
    <row r="16" spans="1:31" s="2" customFormat="1" ht="20" customHeight="1" x14ac:dyDescent="0.2">
      <c r="B16" s="4" t="s">
        <v>1657</v>
      </c>
      <c r="C16" s="337" t="str">
        <f>IF(ISBLANK('Deploy Management Domain'!L323),"Value Missing",'Deploy Management Domain'!L323)</f>
        <v>Value Missing</v>
      </c>
      <c r="E16" s="4" t="s">
        <v>1671</v>
      </c>
      <c r="F16" s="337" t="str">
        <f>IF(ISBLANK('Deploy Workload Domain'!D176),"Value Missing",'Deploy Workload Domain'!D176)</f>
        <v>Value Missing</v>
      </c>
      <c r="H16" s="511" t="s">
        <v>1672</v>
      </c>
      <c r="I16" s="513"/>
      <c r="K16" s="17" t="s">
        <v>1673</v>
      </c>
      <c r="L16" s="337" t="str">
        <f>IF(ISBLANK(input_nsxt_lm_root_password),"Value Missing",input_nsxt_lm_root_password)</f>
        <v>Value Missing</v>
      </c>
      <c r="N16" s="4" t="s">
        <v>1674</v>
      </c>
      <c r="O16" s="337" t="str">
        <f>'Management Domain Sizing'!L32</f>
        <v>Excluded</v>
      </c>
      <c r="Q16" s="17" t="s">
        <v>1620</v>
      </c>
      <c r="R16" s="337" t="str">
        <f>IF(ISBLANK(input_xreg_vrslcm_fqdn),"Value Missing",input_xreg_vrslcm_fqdn)</f>
        <v>Value Missing</v>
      </c>
      <c r="T16" s="4" t="s">
        <v>1675</v>
      </c>
      <c r="U16" s="337" t="str">
        <f>IF(mgmt_consolidated_result="Included",mgmt_tier0_name,wld_tier0_name)</f>
        <v>Value Missing</v>
      </c>
      <c r="V16" s="3"/>
      <c r="W16" s="384" t="s">
        <v>1676</v>
      </c>
      <c r="X16" s="389"/>
      <c r="Z16" s="4" t="s">
        <v>1677</v>
      </c>
      <c r="AA16" s="337"/>
      <c r="AC16" s="166" t="s">
        <v>261</v>
      </c>
      <c r="AD16" s="167" t="s">
        <v>1269</v>
      </c>
      <c r="AE16" s="167" t="s">
        <v>1573</v>
      </c>
    </row>
    <row r="17" spans="2:31" s="2" customFormat="1" ht="20" customHeight="1" x14ac:dyDescent="0.2">
      <c r="B17" s="4" t="s">
        <v>1665</v>
      </c>
      <c r="C17" s="337" t="str">
        <f>IF(ISBLANK('Deploy Management Domain'!L325),"Value Missing",'Deploy Management Domain'!L325)</f>
        <v>Value Missing</v>
      </c>
      <c r="E17" s="4" t="s">
        <v>1678</v>
      </c>
      <c r="F17" s="337" t="str">
        <f>IF(ISBLANK('Deploy Workload Domain'!D178),"Value Missing",'Deploy Workload Domain'!D178)</f>
        <v>Value Missing</v>
      </c>
      <c r="H17" s="4" t="s">
        <v>85</v>
      </c>
      <c r="I17" s="337" t="str">
        <f>IF(ISBLANK(input_cluster_az1_vmotion_vlan),"Value Missing",input_cluster_az1_vmotion_vlan)</f>
        <v>Value Missing</v>
      </c>
      <c r="K17" s="17" t="s">
        <v>1679</v>
      </c>
      <c r="L17" s="337" t="str">
        <f>IF(ISBLANK(input_nsxt_lm_admin_password),"Value Missing",input_nsxt_lm_admin_password)</f>
        <v>Value Missing</v>
      </c>
      <c r="N17" s="4" t="s">
        <v>1680</v>
      </c>
      <c r="O17" s="337" t="str">
        <f>IF(ISBLANK('Configure Management Domain'!D153),"Value Missing",'Configure Management Domain'!D153)</f>
        <v>Value Missing</v>
      </c>
      <c r="T17" s="4" t="s">
        <v>1681</v>
      </c>
      <c r="U17" s="337" t="str">
        <f>IF(mgmt_consolidated_result="Included",CONCATENATE("overlay-tz-",mgmt_nsxt_hostname),CONCATENATE("overlay-tz-",wld_nsxt_hostname))</f>
        <v>overlay-tz-Value Missing</v>
      </c>
      <c r="V17" s="3"/>
      <c r="W17" s="166" t="s">
        <v>261</v>
      </c>
      <c r="X17" s="167" t="s">
        <v>19</v>
      </c>
      <c r="Z17" s="17" t="s">
        <v>1682</v>
      </c>
      <c r="AA17" s="337"/>
      <c r="AC17" s="4" t="s">
        <v>1623</v>
      </c>
      <c r="AD17" s="337" t="str">
        <f>'Value Reference Tables - MR'!F24</f>
        <v>Value Missing</v>
      </c>
      <c r="AE17" s="337" t="str">
        <f>'Value Reference Tables - MR'!F293</f>
        <v>Value Missing</v>
      </c>
    </row>
    <row r="18" spans="2:31" s="2" customFormat="1" ht="20" customHeight="1" x14ac:dyDescent="0.2">
      <c r="B18" s="4" t="s">
        <v>1671</v>
      </c>
      <c r="C18" s="337" t="str">
        <f>IF(ISBLANK('Deploy Management Domain'!L326),"Value Missing",'Deploy Management Domain'!L326)</f>
        <v>Value Missing</v>
      </c>
      <c r="E18" s="4" t="s">
        <v>1683</v>
      </c>
      <c r="F18" s="337" t="str">
        <f>IF(ISBLANK('Deploy Workload Domain'!D180),"Value Missing",'Deploy Workload Domain'!D180)</f>
        <v>Value Missing</v>
      </c>
      <c r="H18" s="4" t="s">
        <v>160</v>
      </c>
      <c r="I18" s="337" t="str">
        <f>IF(ISBLANK(input_cluster_az1_vmotion_mtu),"Value Missing",input_cluster_az1_vmotion_mtu)</f>
        <v>Value Missing</v>
      </c>
      <c r="K18" s="17" t="s">
        <v>1684</v>
      </c>
      <c r="L18" s="337" t="str">
        <f>IF(ISBLANK(input_nsxt_lm_audit_password),"Value Missing",input_nsxt_lm_audit_password)</f>
        <v>Value Missing</v>
      </c>
      <c r="N18" s="4" t="s">
        <v>1685</v>
      </c>
      <c r="O18" s="337" t="str">
        <f>IF(ISBLANK('Value Reference Tables'!U212),"Value Missing",'Value Reference Tables'!U212)</f>
        <v>Value Missing</v>
      </c>
      <c r="Q18" s="387" t="s">
        <v>1686</v>
      </c>
      <c r="R18" s="389"/>
      <c r="T18" s="4" t="s">
        <v>1687</v>
      </c>
      <c r="U18" s="337" t="str">
        <f>IF(ISBLANK('Private AI Ready Infrastructure'!D19),"Value Missing",'Private AI Ready Infrastructure'!D19)</f>
        <v>Value Missing</v>
      </c>
      <c r="W18" s="4" t="s">
        <v>1621</v>
      </c>
      <c r="X18" s="337"/>
      <c r="Z18" s="22" t="s">
        <v>1688</v>
      </c>
      <c r="AA18" s="337"/>
    </row>
    <row r="19" spans="2:31" s="2" customFormat="1" ht="20" customHeight="1" x14ac:dyDescent="0.2">
      <c r="B19" s="4" t="s">
        <v>1678</v>
      </c>
      <c r="C19" s="337" t="str">
        <f>IF(ISBLANK('Deploy Management Domain'!L327),"Value Missing",'Deploy Management Domain'!L327)</f>
        <v>Value Missing</v>
      </c>
      <c r="E19" s="4" t="s">
        <v>1689</v>
      </c>
      <c r="F19" s="337" t="str">
        <f>IF(ISBLANK('Configure Workload Domain'!D442),"Value Missing",'Configure Workload Domain'!D442)</f>
        <v>Value Missing</v>
      </c>
      <c r="H19" s="4" t="s">
        <v>252</v>
      </c>
      <c r="I19" s="337" t="str">
        <f>IF(ISBLANK(input_cluster_az1_vmotion_network),"Value Missing",input_cluster_az1_vmotion_network)</f>
        <v>Value Missing</v>
      </c>
      <c r="K19" s="17" t="s">
        <v>1690</v>
      </c>
      <c r="L19" s="337" t="str">
        <f>IF(ISBLANK(input_mgmt_nsxt_en_root_password),"Value Missing",input_mgmt_nsxt_en_root_password)</f>
        <v>Value Missing</v>
      </c>
      <c r="N19" s="4" t="s">
        <v>1691</v>
      </c>
      <c r="O19" s="337" t="str">
        <f>IF(ISBLANK(input_mgmt_nsxt_global_mgr_vmca_signed_thumbprint),"Value Missing",input_mgmt_nsxt_global_mgr_vmca_signed_thumbprint)</f>
        <v>Value Missing</v>
      </c>
      <c r="Q19" s="166" t="s">
        <v>261</v>
      </c>
      <c r="R19" s="167" t="s">
        <v>19</v>
      </c>
      <c r="T19" s="4" t="s">
        <v>1692</v>
      </c>
      <c r="U19" s="337" t="str">
        <f>IF(ISBLANK(input_k8s_ip_prefixlist),"Value Missing",input_k8s_ip_prefixlist)</f>
        <v>Value Missing</v>
      </c>
      <c r="W19" s="4" t="s">
        <v>1631</v>
      </c>
      <c r="X19" s="337"/>
      <c r="Z19" s="22" t="s">
        <v>1693</v>
      </c>
      <c r="AA19" s="337"/>
      <c r="AC19" s="384" t="s">
        <v>1694</v>
      </c>
      <c r="AD19" s="389"/>
      <c r="AE19" s="389"/>
    </row>
    <row r="20" spans="2:31" s="2" customFormat="1" ht="20" customHeight="1" x14ac:dyDescent="0.2">
      <c r="B20" s="4" t="s">
        <v>1683</v>
      </c>
      <c r="C20" s="337" t="str">
        <f>IF(ISBLANK('Deploy Management Domain'!L328),"Value Missing",'Deploy Management Domain'!L328)</f>
        <v>Value Missing</v>
      </c>
      <c r="E20" s="4" t="s">
        <v>1695</v>
      </c>
      <c r="F20" s="337" t="str">
        <f>IF(ISBLANK('Configure Workload Domain'!D371),"Value Missing",'Configure Workload Domain'!D371)</f>
        <v>Value Missing</v>
      </c>
      <c r="H20" s="4" t="s">
        <v>285</v>
      </c>
      <c r="I20" s="337" t="str">
        <f>IF(ISBLANK(input_cluster_az1_vmotion_mask),"Value Missing",input_cluster_az1_vmotion_mask)</f>
        <v>Value Missing</v>
      </c>
      <c r="K20" s="17" t="s">
        <v>1696</v>
      </c>
      <c r="L20" s="337" t="str">
        <f>IF(ISBLANK(input_mgmt_nsxt_en_admin_password),"Value Missing",input_mgmt_nsxt_en_admin_password)</f>
        <v>Value Missing</v>
      </c>
      <c r="N20" s="4" t="s">
        <v>1697</v>
      </c>
      <c r="O20" s="337" t="str">
        <f>IF(ISBLANK(input_mgmt_nsxt_global_mgr_cluster_id),"Value Missing",input_mgmt_nsxt_global_mgr_cluster_id)</f>
        <v>Value Missing</v>
      </c>
      <c r="Q20" s="4"/>
      <c r="R20" s="337"/>
      <c r="T20" s="17" t="s">
        <v>1698</v>
      </c>
      <c r="U20" s="337" t="str">
        <f>IF(ISBLANK(input_k8s_ip_routemap),"Value Missing",input_k8s_ip_routemap)</f>
        <v>Value Missing</v>
      </c>
      <c r="V20" s="3"/>
      <c r="Z20" s="22" t="s">
        <v>1699</v>
      </c>
      <c r="AA20" s="337"/>
      <c r="AC20" s="166" t="s">
        <v>261</v>
      </c>
      <c r="AD20" s="167" t="s">
        <v>1269</v>
      </c>
      <c r="AE20" s="167" t="s">
        <v>1573</v>
      </c>
    </row>
    <row r="21" spans="2:31" s="2" customFormat="1" ht="20" customHeight="1" x14ac:dyDescent="0.2">
      <c r="B21" s="4" t="s">
        <v>1689</v>
      </c>
      <c r="C21" s="337" t="str">
        <f>IF(ISBLANK('Configure Management Domain'!D475),"Value Missing",'Configure Management Domain'!D475)</f>
        <v>Value Missing</v>
      </c>
      <c r="E21" s="4" t="s">
        <v>1700</v>
      </c>
      <c r="F21" s="337" t="str">
        <f>IF(ISBLANK('Configure Workload Domain'!D388),"Value Missing",'Configure Workload Domain'!D388)</f>
        <v>Value Missing</v>
      </c>
      <c r="H21" s="4" t="s">
        <v>460</v>
      </c>
      <c r="I21" s="337" t="str">
        <f>IF(OR(cluster_az1_vmotion_network="Value Missing",cluster_az1_vmotion_mask="Value Missing"),"Value Missing",(CONCATENATE(cluster_az1_vmotion_network,"/",VLOOKUP(cluster_az1_vmotion_mask,table_mask_to_cidr,2,FALSE))))</f>
        <v>Value Missing</v>
      </c>
      <c r="K21" s="17" t="s">
        <v>1701</v>
      </c>
      <c r="L21" s="337" t="str">
        <f>IF(ISBLANK(input_nsxt_gm_root_password),"Value Missing",input_nsxt_gm_root_password)</f>
        <v>Value Missing</v>
      </c>
      <c r="N21" s="4" t="s">
        <v>1702</v>
      </c>
      <c r="O21" s="337" t="str">
        <f>IF(ISBLANK('Configure Management Domain'!D469),"Value Missing",'Configure Management Domain'!D469)</f>
        <v>Value Missing</v>
      </c>
      <c r="Q21" s="4"/>
      <c r="R21" s="337"/>
      <c r="T21" s="4" t="s">
        <v>88</v>
      </c>
      <c r="U21" s="337" t="str">
        <f>IF(mgmt_consolidated_result="Included",mgmt_ec_name,wld_ec_name)</f>
        <v>Value Missing</v>
      </c>
      <c r="V21" s="3"/>
      <c r="W21" s="384" t="s">
        <v>1703</v>
      </c>
      <c r="X21" s="389"/>
      <c r="Z21" s="22" t="s">
        <v>1704</v>
      </c>
      <c r="AA21" s="337"/>
      <c r="AC21" s="4" t="s">
        <v>1623</v>
      </c>
      <c r="AD21" s="337" t="str">
        <f>'Value Reference Tables - MR'!F86</f>
        <v>Value Missing</v>
      </c>
      <c r="AE21" s="337" t="str">
        <f>'Value Reference Tables - MR'!F335</f>
        <v>Value Missing</v>
      </c>
    </row>
    <row r="22" spans="2:31" s="2" customFormat="1" ht="20" customHeight="1" x14ac:dyDescent="0.2">
      <c r="B22" s="4" t="s">
        <v>1695</v>
      </c>
      <c r="C22" s="337" t="str">
        <f>IF(ISBLANK('Configure Management Domain'!D410),"Value Missing",'Configure Management Domain'!D410)</f>
        <v>Value Missing</v>
      </c>
      <c r="E22" s="4" t="s">
        <v>1705</v>
      </c>
      <c r="F22" s="337" t="str">
        <f>IF(ISBLANK('Configure Workload Domain'!D405),"Value Missing",'Configure Workload Domain'!D405)</f>
        <v>Value Missing</v>
      </c>
      <c r="H22" s="4" t="s">
        <v>187</v>
      </c>
      <c r="I22" s="337" t="str">
        <f>IF(ISBLANK(input_cluster_az1_vmotion_gateway_ip),"Value Missing",input_cluster_az1_vmotion_gateway_ip)</f>
        <v>Value Missing</v>
      </c>
      <c r="K22" s="17" t="s">
        <v>1706</v>
      </c>
      <c r="L22" s="337" t="str">
        <f>IF(ISBLANK(input_nsxt_gm_admin_password),"Value Missing",input_nsxt_gm_admin_password)</f>
        <v>Value Missing</v>
      </c>
      <c r="N22" s="4" t="s">
        <v>1707</v>
      </c>
      <c r="O22" s="337" t="str">
        <f>IF(ISBLANK('Configure Management Domain'!D481),"Value Missing",'Configure Management Domain'!D481)</f>
        <v>Value Missing</v>
      </c>
      <c r="Q22" s="4"/>
      <c r="R22" s="337"/>
      <c r="T22" s="17" t="s">
        <v>1708</v>
      </c>
      <c r="U22" s="337">
        <v>28</v>
      </c>
      <c r="V22" s="3"/>
      <c r="W22" s="166" t="s">
        <v>261</v>
      </c>
      <c r="X22" s="167" t="s">
        <v>19</v>
      </c>
      <c r="Z22" s="22" t="s">
        <v>1709</v>
      </c>
      <c r="AA22" s="337"/>
    </row>
    <row r="23" spans="2:31" s="2" customFormat="1" ht="20" customHeight="1" x14ac:dyDescent="0.2">
      <c r="B23" s="4" t="s">
        <v>1700</v>
      </c>
      <c r="C23" s="337" t="str">
        <f>IF(ISBLANK('Configure Management Domain'!D427),"Value Missing",'Configure Management Domain'!D427)</f>
        <v>Value Missing</v>
      </c>
      <c r="E23" s="4" t="s">
        <v>1710</v>
      </c>
      <c r="F23" s="337" t="str">
        <f>IF(ISBLANK('Configure Workload Domain'!D159),"Value Missing",'Configure Workload Domain'!D159)</f>
        <v>Value Missing</v>
      </c>
      <c r="H23" s="17" t="s">
        <v>255</v>
      </c>
      <c r="I23" s="337" t="str">
        <f>IF(ISBLANK(input_cluster_az1_vmotion_pool_start_ip),"Value Missing",input_cluster_az1_vmotion_pool_start_ip)</f>
        <v>Value Missing</v>
      </c>
      <c r="K23" s="17" t="s">
        <v>1711</v>
      </c>
      <c r="L23" s="337" t="str">
        <f>IF(ISBLANK(input_nsxt_gm_audit_password),"Value Missing",input_nsxt_gm_audit_password)</f>
        <v>Value Missing</v>
      </c>
      <c r="N23" s="4" t="s">
        <v>1712</v>
      </c>
      <c r="O23" s="337" t="str">
        <f>IF(ISBLANK('Configure Management Domain'!D498),"Value Missing",'Configure Management Domain'!D498)</f>
        <v>Value Missing</v>
      </c>
      <c r="Q23" s="4"/>
      <c r="R23" s="337"/>
      <c r="T23" s="17" t="s">
        <v>1713</v>
      </c>
      <c r="U23" s="337">
        <v>32</v>
      </c>
      <c r="V23" s="3"/>
      <c r="W23" s="4" t="s">
        <v>1621</v>
      </c>
      <c r="X23" s="337"/>
      <c r="Z23" s="22" t="s">
        <v>1714</v>
      </c>
      <c r="AA23" s="337"/>
      <c r="AC23" s="384" t="s">
        <v>1715</v>
      </c>
      <c r="AD23" s="389"/>
      <c r="AE23" s="389"/>
    </row>
    <row r="24" spans="2:31" s="2" customFormat="1" ht="20" customHeight="1" x14ac:dyDescent="0.2">
      <c r="B24" s="4" t="s">
        <v>1705</v>
      </c>
      <c r="C24" s="337" t="str">
        <f>IF(ISBLANK('Configure Management Domain'!D444),"Value Missing",'Configure Management Domain'!D444)</f>
        <v>Value Missing</v>
      </c>
      <c r="E24" s="4" t="s">
        <v>1716</v>
      </c>
      <c r="F24" s="337" t="str">
        <f>IF(ISBLANK(input_wld_avilb_mgra_ip),"Value Missing",input_wld_avilb_mgra_ip)</f>
        <v>Value Missing</v>
      </c>
      <c r="H24" s="17" t="s">
        <v>256</v>
      </c>
      <c r="I24" s="337" t="str">
        <f>IF(ISBLANK(input_cluster_az1_vmotion_pool_end_ip),"Value Missing",input_cluster_az1_vmotion_pool_end_ip)</f>
        <v>Value Missing</v>
      </c>
      <c r="K24" s="17" t="s">
        <v>1701</v>
      </c>
      <c r="L24" s="337" t="str">
        <f>IF(ISBLANK(input_wld_nsxt_gm_root_password),"Value Missing",input_wld_nsxt_gm_root_password)</f>
        <v>Value Missing</v>
      </c>
      <c r="N24" s="4" t="s">
        <v>1717</v>
      </c>
      <c r="O24" s="337" t="str">
        <f>IF(ISBLANK('Configure Management Domain'!D512),"Value Missing",'Configure Management Domain'!D512)</f>
        <v>Value Missing</v>
      </c>
      <c r="Q24" s="4"/>
      <c r="R24" s="337" t="str">
        <f>IF(ISBLANK('Private AI Ready Infrastructure'!D72),"Value Missing",'Private AI Ready Infrastructure'!D72)</f>
        <v>Value Missing</v>
      </c>
      <c r="T24" s="4" t="s">
        <v>1718</v>
      </c>
      <c r="U24" s="337" t="str">
        <f>IF(ISBLANK(input_k8s_vcenter_category),"Value Missing",input_k8s_vcenter_category)</f>
        <v>Value Missing</v>
      </c>
      <c r="V24" s="3"/>
      <c r="W24" s="4" t="s">
        <v>1631</v>
      </c>
      <c r="X24" s="337"/>
      <c r="Z24" s="22" t="s">
        <v>1719</v>
      </c>
      <c r="AA24" s="337"/>
      <c r="AC24" s="166" t="s">
        <v>261</v>
      </c>
      <c r="AD24" s="167" t="s">
        <v>1269</v>
      </c>
      <c r="AE24" s="167" t="s">
        <v>1573</v>
      </c>
    </row>
    <row r="25" spans="2:31" s="2" customFormat="1" ht="20" customHeight="1" x14ac:dyDescent="0.2">
      <c r="B25" s="4" t="s">
        <v>1710</v>
      </c>
      <c r="C25" s="337" t="str">
        <f>IF(ISBLANK('Configure Management Domain'!D216),"Value Missing",'Configure Management Domain'!D216)</f>
        <v>Value Missing</v>
      </c>
      <c r="E25" s="4" t="s">
        <v>1720</v>
      </c>
      <c r="F25" s="337" t="str">
        <f>IF(ISBLANK(input_wld_avilb_mgrb_ip),"Value Missing",input_wld_avilb_mgrb_ip)</f>
        <v>Value Missing</v>
      </c>
      <c r="H25" s="511" t="s">
        <v>265</v>
      </c>
      <c r="I25" s="513"/>
      <c r="K25" s="17" t="s">
        <v>1706</v>
      </c>
      <c r="L25" s="337" t="str">
        <f>IF(ISBLANK(input_wld_nsxt_gm_admin_password),"Value Missing",input_wld_nsxt_gm_admin_password)</f>
        <v>Value Missing</v>
      </c>
      <c r="N25" s="4" t="s">
        <v>1721</v>
      </c>
      <c r="O25" s="337" t="str">
        <f>IF(ISBLANK('Configure Management Domain'!D510),"Value Missing",'Configure Management Domain'!D510)</f>
        <v>Value Missing</v>
      </c>
      <c r="Q25" s="4"/>
      <c r="R25" s="337" t="str">
        <f>IF(ISBLANK('Private AI Ready Infrastructure'!D71),"Value Missing",'Private AI Ready Infrastructure'!D71)</f>
        <v>Value Missing</v>
      </c>
      <c r="T25" s="4" t="s">
        <v>1722</v>
      </c>
      <c r="U25" s="337" t="str">
        <f>IF(ISBLANK(input_k8s_vcenter_tag),"Value Missing",input_k8s_vcenter_tag)</f>
        <v>Value Missing</v>
      </c>
      <c r="V25" s="3"/>
      <c r="Z25" s="22" t="s">
        <v>1723</v>
      </c>
      <c r="AA25" s="337"/>
      <c r="AC25" s="4" t="s">
        <v>1623</v>
      </c>
      <c r="AD25" s="337" t="str">
        <f>'Value Reference Tables - MR'!F70</f>
        <v>Value Missing</v>
      </c>
      <c r="AE25" s="337" t="str">
        <f>'Value Reference Tables - MR'!F349</f>
        <v>Value Missing</v>
      </c>
    </row>
    <row r="26" spans="2:31" s="2" customFormat="1" ht="20" customHeight="1" x14ac:dyDescent="0.2">
      <c r="B26" s="4" t="s">
        <v>201</v>
      </c>
      <c r="C26" s="337" t="str">
        <f>IF(ISBLANK(input_mgmt_avilb_mgra_ip),"Value Missing",input_mgmt_avilb_mgra_ip)</f>
        <v>Value Missing</v>
      </c>
      <c r="E26" s="4" t="s">
        <v>1724</v>
      </c>
      <c r="F26" s="337" t="str">
        <f>IF(ISBLANK(input_wld_avilb_mgrc_ip),"Value Missing",input_wld_avilb_mgrc_ip)</f>
        <v>Value Missing</v>
      </c>
      <c r="H26" s="4" t="s">
        <v>85</v>
      </c>
      <c r="I26" s="337" t="str">
        <f>IF(ISBLANK(input_cluster_az1_principal_storage_vlan),"Value Missing",input_cluster_az1_principal_storage_vlan)</f>
        <v>Value Missing</v>
      </c>
      <c r="K26" s="17" t="s">
        <v>1711</v>
      </c>
      <c r="L26" s="337" t="str">
        <f>IF(ISBLANK(input_wld_nsxt_gm_audit_password),"Value Missing",input_wld_nsxt_gm_audit_password)</f>
        <v>Value Missing</v>
      </c>
      <c r="N26" s="4" t="s">
        <v>1725</v>
      </c>
      <c r="O26" s="337" t="str">
        <f>IF(ISBLANK('Configure Management Domain'!D501),"Value Missing",'Configure Management Domain'!D501)</f>
        <v>Value Missing</v>
      </c>
      <c r="Q26" s="6"/>
      <c r="R26" s="6"/>
      <c r="T26" s="4" t="s">
        <v>1726</v>
      </c>
      <c r="U26" s="337" t="str">
        <f>IF(ISBLANK(input_k8s_vcenter_storage_policy),"Value Missing",input_k8s_vcenter_storage_policy)</f>
        <v>Value Missing</v>
      </c>
      <c r="V26" s="3"/>
      <c r="W26" s="384" t="s">
        <v>1727</v>
      </c>
      <c r="X26" s="389"/>
      <c r="Z26" s="22" t="s">
        <v>1728</v>
      </c>
      <c r="AA26" s="337"/>
    </row>
    <row r="27" spans="2:31" s="2" customFormat="1" ht="20" customHeight="1" x14ac:dyDescent="0.2">
      <c r="B27" s="4" t="s">
        <v>203</v>
      </c>
      <c r="C27" s="337" t="str">
        <f>IF(ISBLANK(input_mgmt_avilb_mgrb_ip),"Value Missing",input_mgmt_avilb_mgrb_ip)</f>
        <v>Value Missing</v>
      </c>
      <c r="H27" s="4" t="s">
        <v>160</v>
      </c>
      <c r="I27" s="337" t="str">
        <f>IF(ISBLANK(input_cluster_az1_principal_storage_mtu),"Value Missing",input_cluster_az1_principal_storage_mtu)</f>
        <v>Value Missing</v>
      </c>
      <c r="K27" s="17" t="s">
        <v>1729</v>
      </c>
      <c r="L27" s="337" t="str">
        <f>IF(ISBLANK(input_sddc_mgr_root_password),"Value Missing",input_sddc_mgr_root_password)</f>
        <v>Value Missing</v>
      </c>
      <c r="N27" s="4" t="s">
        <v>1730</v>
      </c>
      <c r="O27" s="337" t="str">
        <f>IF(ISBLANK('Configure Management Domain'!D522),"Value Missing",'Configure Management Domain'!D522)</f>
        <v>Value Missing</v>
      </c>
      <c r="Q27" s="579" t="s">
        <v>1731</v>
      </c>
      <c r="R27" s="592"/>
      <c r="T27" s="4" t="s">
        <v>1732</v>
      </c>
      <c r="U27" s="337" t="str">
        <f>IF(ISBLANK(input_k8s_vcenter_content_library),"Value Missing",input_k8s_vcenter_content_library)</f>
        <v>Value Missing</v>
      </c>
      <c r="W27" s="166" t="s">
        <v>261</v>
      </c>
      <c r="X27" s="167" t="s">
        <v>19</v>
      </c>
      <c r="Z27" s="22" t="s">
        <v>1733</v>
      </c>
      <c r="AA27" s="337"/>
      <c r="AC27" s="384" t="s">
        <v>1734</v>
      </c>
      <c r="AD27" s="389"/>
      <c r="AE27" s="389"/>
    </row>
    <row r="28" spans="2:31" s="2" customFormat="1" ht="20" customHeight="1" x14ac:dyDescent="0.2">
      <c r="B28" s="4" t="s">
        <v>205</v>
      </c>
      <c r="C28" s="337" t="str">
        <f>IF(ISBLANK(input_mgmt_avilb_mgrc_ip),"Value Missing",input_mgmt_avilb_mgrc_ip)</f>
        <v>Value Missing</v>
      </c>
      <c r="E28" s="581" t="s">
        <v>1735</v>
      </c>
      <c r="F28" s="593"/>
      <c r="H28" s="4" t="s">
        <v>252</v>
      </c>
      <c r="I28" s="337" t="str">
        <f>IF(ISBLANK(input_cluster_az1_principal_storage_network),"Value Missing",input_cluster_az1_principal_storage_network)</f>
        <v>Value Missing</v>
      </c>
      <c r="K28" s="17" t="s">
        <v>1736</v>
      </c>
      <c r="L28" s="337" t="str">
        <f>IF(ISBLANK(input_sddc_mgr_vcf_password),"Value Missing",input_sddc_mgr_vcf_password)</f>
        <v>Value Missing</v>
      </c>
      <c r="N28" s="4" t="s">
        <v>1737</v>
      </c>
      <c r="O28" s="337"/>
      <c r="Q28" s="361" t="s">
        <v>1738</v>
      </c>
      <c r="R28" s="337"/>
      <c r="T28" s="4" t="s">
        <v>1739</v>
      </c>
      <c r="U28" s="337" t="s">
        <v>581</v>
      </c>
      <c r="W28" s="4" t="s">
        <v>1740</v>
      </c>
      <c r="X28" s="337" t="str">
        <f>IF(ISBLANK('Private AI Ready Infrastructure'!D19),"Value Missing",'Private AI Ready Infrastructure'!D19)</f>
        <v>Value Missing</v>
      </c>
      <c r="Z28" s="22" t="s">
        <v>1741</v>
      </c>
      <c r="AA28" s="337" t="s">
        <v>269</v>
      </c>
      <c r="AC28" s="166" t="s">
        <v>261</v>
      </c>
      <c r="AD28" s="167" t="s">
        <v>1269</v>
      </c>
      <c r="AE28" s="167" t="s">
        <v>1573</v>
      </c>
    </row>
    <row r="29" spans="2:31" s="2" customFormat="1" ht="20" customHeight="1" x14ac:dyDescent="0.2">
      <c r="B29" s="4" t="s">
        <v>1742</v>
      </c>
      <c r="C29" s="337" t="str">
        <f>IF(ISBLANK(input_flt_vidb_vip_ip),"Value Missing",input_flt_vidb_vip_ip)</f>
        <v>Value Missing</v>
      </c>
      <c r="E29" s="336" t="s">
        <v>261</v>
      </c>
      <c r="F29" s="184" t="s">
        <v>19</v>
      </c>
      <c r="H29" s="4" t="s">
        <v>285</v>
      </c>
      <c r="I29" s="337" t="str">
        <f>IF(ISBLANK(input_cluster_az1_principal_storage_mask),"Value Missing",input_cluster_az1_principal_storage_mask)</f>
        <v>Value Missing</v>
      </c>
      <c r="K29" s="17" t="s">
        <v>1743</v>
      </c>
      <c r="L29" s="337" t="str">
        <f>IF(ISBLANK(input_sddc_mgr_admin_local_password),"Value Missing",input_sddc_mgr_admin_local_password)</f>
        <v>Value Missing</v>
      </c>
      <c r="N29" s="4" t="s">
        <v>1744</v>
      </c>
      <c r="O29" s="337"/>
      <c r="Q29" s="6"/>
      <c r="R29" s="6"/>
      <c r="T29" s="4" t="s">
        <v>1745</v>
      </c>
      <c r="U29" s="337" t="s">
        <v>1746</v>
      </c>
      <c r="V29" s="3"/>
      <c r="Z29" s="4" t="s">
        <v>1747</v>
      </c>
      <c r="AA29" s="337"/>
      <c r="AC29" s="4" t="s">
        <v>1623</v>
      </c>
      <c r="AD29" s="337" t="str">
        <f>'Value Reference Tables - MR'!I9</f>
        <v>Value Missing</v>
      </c>
      <c r="AE29" s="337" t="str">
        <f>'Value Reference Tables - MR'!I279</f>
        <v>Value Missing</v>
      </c>
    </row>
    <row r="30" spans="2:31" s="2" customFormat="1" ht="20" customHeight="1" x14ac:dyDescent="0.2">
      <c r="B30" s="4" t="s">
        <v>1748</v>
      </c>
      <c r="C30" s="337" t="str">
        <f>IF(ISBLANK(input_flt_vidb_nodea_ip),"Value Missing",input_flt_vidb_nodea_ip)</f>
        <v>Value Missing</v>
      </c>
      <c r="E30" s="4" t="s">
        <v>1657</v>
      </c>
      <c r="F30" s="337" t="str">
        <f>IF(wld_vc_fqdn="Value Missing",wld_vc_fqdn,LEFT(wld_vc_fqdn,FIND(".",wld_vc_fqdn)-1))</f>
        <v>Value Missing</v>
      </c>
      <c r="H30" s="4" t="s">
        <v>460</v>
      </c>
      <c r="I30" s="337" t="str">
        <f>IF(OR(cluster_az1_principal_storage_network="Value Missing",cluster_az1_principal_storage_mask="Value Missing"),"Value Missing",(CONCATENATE(cluster_az1_principal_storage_network,"/",VLOOKUP(cluster_az1_principal_storage_mask,table_mask_to_cidr,2,FALSE))))</f>
        <v>Value Missing</v>
      </c>
      <c r="K30" s="17" t="s">
        <v>1749</v>
      </c>
      <c r="L30" s="337" t="str">
        <f>IF(ISBLANK(input_svc_my_vmware_password),"Value Missing",input_svc_my_vmware_password)</f>
        <v>Value Missing</v>
      </c>
      <c r="N30" s="4" t="s">
        <v>1750</v>
      </c>
      <c r="O30" s="337" t="str">
        <f>IF(ISBLANK(input_mgmt_avilb_cluster_name),"Value Missing",input_mgmt_avilb_cluster_name)</f>
        <v>Value Missing</v>
      </c>
      <c r="Q30" s="579" t="s">
        <v>1751</v>
      </c>
      <c r="R30" s="592"/>
      <c r="T30" s="4" t="s">
        <v>1752</v>
      </c>
      <c r="U30" s="337">
        <v>5</v>
      </c>
      <c r="V30" s="3"/>
      <c r="W30" s="384" t="s">
        <v>1753</v>
      </c>
      <c r="X30" s="389"/>
      <c r="Z30" s="4" t="s">
        <v>1754</v>
      </c>
      <c r="AA30" s="337" t="s">
        <v>1755</v>
      </c>
    </row>
    <row r="31" spans="2:31" s="2" customFormat="1" ht="20" customHeight="1" x14ac:dyDescent="0.2">
      <c r="B31" s="4" t="s">
        <v>1756</v>
      </c>
      <c r="C31" s="337" t="str">
        <f>IF(ISBLANK(input_flt_vidb_nodeb_ip),"Value Missing",input_flt_vidb_nodeb_ip)</f>
        <v>Value Missing</v>
      </c>
      <c r="E31" s="4" t="s">
        <v>1665</v>
      </c>
      <c r="F31" s="337" t="str">
        <f>IF(wld_nsxt_vip_fqdn="Value Missing",wld_nsxt_vip_fqdn,LEFT(wld_nsxt_vip_fqdn,FIND(".",wld_nsxt_vip_fqdn)-1))</f>
        <v>Value Missing</v>
      </c>
      <c r="H31" s="4" t="s">
        <v>187</v>
      </c>
      <c r="I31" s="337" t="str">
        <f>IF(ISBLANK(input_cluster_az1_principal_storage_gateway_ip),"Value Missing",input_cluster_az1_principal_storage_gateway_ip)</f>
        <v>Value Missing</v>
      </c>
      <c r="K31" s="17" t="s">
        <v>1618</v>
      </c>
      <c r="L31" s="337" t="str">
        <f>IF(ISBLANK(input_ca_administrator_password),"Value Missing",input_ca_administrator_password)</f>
        <v>Value Missing</v>
      </c>
      <c r="N31" s="4" t="s">
        <v>1757</v>
      </c>
      <c r="O31" s="337" t="str">
        <f>IF(ISBLANK(input_mgmt_avilb_cluster_version),"Value Missing",input_mgmt_avilb_cluster_version)</f>
        <v>Value Missing</v>
      </c>
      <c r="Q31" s="361" t="s">
        <v>1758</v>
      </c>
      <c r="R31" s="337"/>
      <c r="T31" s="361" t="s">
        <v>1759</v>
      </c>
      <c r="U31" s="337"/>
      <c r="V31" s="3"/>
      <c r="W31" s="166" t="s">
        <v>261</v>
      </c>
      <c r="X31" s="167" t="s">
        <v>19</v>
      </c>
      <c r="Z31" s="4" t="s">
        <v>1760</v>
      </c>
      <c r="AA31" s="337"/>
      <c r="AC31" s="384" t="s">
        <v>1761</v>
      </c>
      <c r="AD31" s="389"/>
      <c r="AE31" s="389"/>
    </row>
    <row r="32" spans="2:31" s="2" customFormat="1" ht="20" customHeight="1" x14ac:dyDescent="0.2">
      <c r="B32" s="4" t="s">
        <v>1762</v>
      </c>
      <c r="C32" s="337" t="str">
        <f>IF(ISBLANK(input_flt_vidb_nodec_ip),"Value Missing",input_flt_vidb_nodec_ip)</f>
        <v>Value Missing</v>
      </c>
      <c r="E32" s="4" t="s">
        <v>1671</v>
      </c>
      <c r="F32" s="337" t="str">
        <f>IF(wld_nsxt_mgra_fqdn="Value Missing",wld_nsxt_mgra_fqdn,LEFT(wld_nsxt_mgra_fqdn,FIND(".",wld_nsxt_mgra_fqdn)-1))</f>
        <v>Value Missing</v>
      </c>
      <c r="H32" s="17" t="s">
        <v>255</v>
      </c>
      <c r="I32" s="337" t="str">
        <f>IF(ISBLANK(input_cluster_az1_principal_storage_pool_start_ip),"Value Missing",input_cluster_az1_principal_storage_pool_start_ip)</f>
        <v>Value Missing</v>
      </c>
      <c r="K32" s="17" t="s">
        <v>1763</v>
      </c>
      <c r="L32" s="337" t="str">
        <f>IF(ISBLANK(input_avilb_root_password),"Value Missing",input_avilb_root_password)</f>
        <v>Value Missing</v>
      </c>
      <c r="N32" s="4" t="s">
        <v>175</v>
      </c>
      <c r="O32" s="337" t="str">
        <f>IF(ISBLANK(input_mgmt_vpc_ext_ip_blocks),"Value Missing",input_mgmt_vpc_ext_ip_blocks)</f>
        <v>Value Missing</v>
      </c>
      <c r="Q32" s="6"/>
      <c r="R32" s="6"/>
      <c r="T32" s="361" t="s">
        <v>1764</v>
      </c>
      <c r="U32" s="337"/>
      <c r="V32" s="3"/>
      <c r="W32" s="4" t="s">
        <v>280</v>
      </c>
      <c r="X32" s="337" t="str">
        <f>IF(ISBLANK(input_mgmt_witnessaz_mgmt_vlan),"Value Missing",input_mgmt_witnessaz_mgmt_vlan)</f>
        <v>Value Missing</v>
      </c>
      <c r="Z32" s="4" t="s">
        <v>1765</v>
      </c>
      <c r="AA32" s="337"/>
      <c r="AC32" s="166" t="s">
        <v>261</v>
      </c>
      <c r="AD32" s="167" t="s">
        <v>1269</v>
      </c>
      <c r="AE32" s="167" t="s">
        <v>1573</v>
      </c>
    </row>
    <row r="33" spans="2:31" s="2" customFormat="1" ht="20" customHeight="1" x14ac:dyDescent="0.2">
      <c r="B33" s="4" t="s">
        <v>1766</v>
      </c>
      <c r="C33" s="337" t="str">
        <f>IF(ISBLANK(input_flt_vidb_noded_ip),"Value Missing",input_flt_vidb_noded_ip)</f>
        <v>Value Missing</v>
      </c>
      <c r="E33" s="4" t="s">
        <v>1678</v>
      </c>
      <c r="F33" s="337" t="str">
        <f>IF(wld_nsxt_mgrb_fqdn="Value Missing",wld_nsxt_mgrb_fqdn,LEFT(wld_nsxt_mgrb_fqdn,FIND(".",wld_nsxt_mgrb_fqdn)-1))</f>
        <v>Value Missing</v>
      </c>
      <c r="H33" s="17" t="s">
        <v>256</v>
      </c>
      <c r="I33" s="337" t="str">
        <f>IF(ISBLANK(input_cluster_az1_principal_storage_pool_end_ip),"Value Missing",input_cluster_az1_principal_storage_pool_end_ip)</f>
        <v>Value Missing</v>
      </c>
      <c r="K33" s="17" t="s">
        <v>1767</v>
      </c>
      <c r="L33" s="337" t="str">
        <f>IF(ISBLANK(input_svc_vcf_bck_password),"Value Missing",input_svc_vcf_bck_password)</f>
        <v>Value Missing</v>
      </c>
      <c r="N33" s="4" t="s">
        <v>178</v>
      </c>
      <c r="O33" s="337" t="str">
        <f>IF(ISBLANK(input_mgmt_vpc_transit_gateway_ip_blocks),"Value Missing",input_mgmt_vpc_transit_gateway_ip_blocks)</f>
        <v>Value Missing</v>
      </c>
      <c r="Q33" s="579" t="s">
        <v>1768</v>
      </c>
      <c r="R33" s="592"/>
      <c r="T33" s="361" t="s">
        <v>1769</v>
      </c>
      <c r="U33" s="337" t="str">
        <f>IF(mgmt_consolidated_result="Included",CONCATENATE(mgmt_cl01_cluster,".",child_dns_zone),CONCATENATE(wld_cl01_cluster,".",child_dns_zone))</f>
        <v>Value Missing.Value Missing</v>
      </c>
      <c r="V33" s="3"/>
      <c r="AC33" s="4" t="s">
        <v>1623</v>
      </c>
      <c r="AD33" s="337" t="s">
        <v>1770</v>
      </c>
      <c r="AE33" s="337" t="str">
        <f>wld_cl01_az1_vm_pg</f>
        <v>VM Network</v>
      </c>
    </row>
    <row r="34" spans="2:31" s="2" customFormat="1" ht="20" customHeight="1" x14ac:dyDescent="0.2">
      <c r="E34" s="4" t="s">
        <v>1683</v>
      </c>
      <c r="F34" s="337" t="str">
        <f>IF(wld_nsxt_mgrc_fqdn="Value Missing",wld_nsxt_mgrc_fqdn,LEFT(wld_nsxt_mgrc_fqdn,FIND(".",wld_nsxt_mgrc_fqdn)-1))</f>
        <v>Value Missing</v>
      </c>
      <c r="H34" s="511" t="s">
        <v>1771</v>
      </c>
      <c r="I34" s="513"/>
      <c r="K34" s="17" t="s">
        <v>1772</v>
      </c>
      <c r="L34" s="337" t="str">
        <f t="array" ref="L34">IF(ISBLANK(input_mgmt_witness_root_password),"Value Missing",input_mgmt_witness_root_password)</f>
        <v>Value Missing</v>
      </c>
      <c r="N34" s="4" t="s">
        <v>1773</v>
      </c>
      <c r="O34" s="337" t="str">
        <f>IF(ISBLANK(input_mgmt_sddc_domain),"Value Missing",CONCATENATE(input_mgmt_sddc_domain,"-fd-mgmt"))</f>
        <v>Value Missing</v>
      </c>
      <c r="Q34" s="361" t="s">
        <v>1774</v>
      </c>
      <c r="R34" s="337"/>
      <c r="T34" s="361" t="s">
        <v>1775</v>
      </c>
      <c r="U34" s="337" t="str">
        <f>IF(ISBLANK(input_k8s_kubectl_path),"Value Missing",input_k8s_kubectl_path)</f>
        <v>Value Missing</v>
      </c>
      <c r="V34" s="3"/>
      <c r="W34" s="384" t="s">
        <v>1776</v>
      </c>
      <c r="X34" s="389"/>
      <c r="Z34" s="579" t="s">
        <v>1777</v>
      </c>
      <c r="AA34" s="592"/>
    </row>
    <row r="35" spans="2:31" s="2" customFormat="1" ht="20" customHeight="1" x14ac:dyDescent="0.2">
      <c r="B35" s="594" t="s">
        <v>1778</v>
      </c>
      <c r="C35" s="594"/>
      <c r="E35" s="4" t="s">
        <v>1689</v>
      </c>
      <c r="F35" s="337" t="str">
        <f>IF(wld_nsxt_gm_vip_fqdn="Value Missing",wld_nsxt_gm_vip_fqdn,LEFT(wld_nsxt_gm_vip_fqdn,FIND(".",wld_nsxt_gm_vip_fqdn)-1))</f>
        <v>Value Missing</v>
      </c>
      <c r="H35" s="4" t="s">
        <v>85</v>
      </c>
      <c r="I35" s="337" t="str">
        <f>IF(ISBLANK(input_cluster_az1_secondary_storage_vlan),"Value Missing",input_cluster_az1_secondary_storage_vlan)</f>
        <v>Value Missing</v>
      </c>
      <c r="K35" s="17" t="s">
        <v>1779</v>
      </c>
      <c r="L35" s="337" t="str">
        <f>IF(ISBLANK(input_wld_witness_root_password),"Value Missing",input_wld_witness_root_password)</f>
        <v>Value Missing</v>
      </c>
      <c r="N35" s="4" t="s">
        <v>1780</v>
      </c>
      <c r="O35" s="337" t="str">
        <f>IF(ISBLANK(input_mgmt_sddc_domain),"Value Missing",CONCATENATE(input_mgmt_sddc_domain,"-fd-nsx"))</f>
        <v>Value Missing</v>
      </c>
      <c r="Q35" s="6"/>
      <c r="R35" s="6"/>
      <c r="T35" s="361" t="s">
        <v>1781</v>
      </c>
      <c r="U35" s="337"/>
      <c r="V35" s="3"/>
      <c r="W35" s="166" t="s">
        <v>261</v>
      </c>
      <c r="X35" s="167" t="s">
        <v>19</v>
      </c>
      <c r="Z35" s="166" t="s">
        <v>261</v>
      </c>
      <c r="AA35" s="167" t="s">
        <v>19</v>
      </c>
      <c r="AC35" s="384" t="s">
        <v>1782</v>
      </c>
      <c r="AD35" s="389"/>
      <c r="AE35" s="389"/>
    </row>
    <row r="36" spans="2:31" s="2" customFormat="1" ht="20" customHeight="1" x14ac:dyDescent="0.2">
      <c r="B36" s="336" t="s">
        <v>261</v>
      </c>
      <c r="C36" s="336" t="s">
        <v>19</v>
      </c>
      <c r="E36" s="4" t="s">
        <v>1695</v>
      </c>
      <c r="F36" s="337" t="str">
        <f>IF(wld_nsxt_global_mgra_fqdn="Value Missing",wld_nsxt_global_mgra_fqdn,LEFT(wld_nsxt_global_mgra_fqdn,FIND(".",wld_nsxt_global_mgra_fqdn)-1))</f>
        <v>Value Missing</v>
      </c>
      <c r="H36" s="4" t="s">
        <v>160</v>
      </c>
      <c r="I36" s="337" t="str">
        <f>IF(ISBLANK(input_cluster_az1_secondary_storage_mtu),"Value Missing",input_cluster_az1_secondary_storage_mtu)</f>
        <v>Value Missing</v>
      </c>
      <c r="K36" s="4" t="s">
        <v>1628</v>
      </c>
      <c r="L36" s="337"/>
      <c r="N36" s="4" t="s">
        <v>1783</v>
      </c>
      <c r="O36" s="337" t="str">
        <f>IF(ISBLANK(input_mgmt_sddc_domain),"Value Missing",CONCATENATE(input_mgmt_sddc_domain,"-fd-edge"))</f>
        <v>Value Missing</v>
      </c>
      <c r="Q36" s="595" t="s">
        <v>1784</v>
      </c>
      <c r="R36" s="596"/>
      <c r="T36" s="361" t="s">
        <v>1785</v>
      </c>
      <c r="U36" s="337"/>
      <c r="V36" s="3"/>
      <c r="W36" s="4" t="s">
        <v>280</v>
      </c>
      <c r="X36" s="337" t="str">
        <f>IF(ISBLANK(input_mgmt_witness_mgmt_pg),"Value Missing",input_mgmt_witness_mgmt_pg)</f>
        <v>Value Missing</v>
      </c>
      <c r="Z36" s="4" t="s">
        <v>1786</v>
      </c>
      <c r="AA36" s="337" t="str">
        <f>IF(ISBLANK(input_mgmt_az1_mgmt_cidr),"Value Missing",VLOOKUP(INT(RIGHT(input_mgmt_az1_mgmt_cidr,LEN(input_mgmt_az1_mgmt_cidr)-FIND("/",input_mgmt_az1_mgmt_cidr))),table_cidr_to_mask,2,FALSE))</f>
        <v>Value Missing</v>
      </c>
      <c r="AC36" s="166" t="s">
        <v>261</v>
      </c>
      <c r="AD36" s="167" t="s">
        <v>1269</v>
      </c>
      <c r="AE36" s="167" t="s">
        <v>1573</v>
      </c>
    </row>
    <row r="37" spans="2:31" s="2" customFormat="1" ht="20" customHeight="1" x14ac:dyDescent="0.2">
      <c r="B37" s="4" t="s">
        <v>1656</v>
      </c>
      <c r="C37" s="337" t="str">
        <f>IF(vcf_installer_fqdn="Value Missing",vcf_installer_fqdn,LEFT(vcf_installer_fqdn,FIND(".",vcf_installer_fqdn)-1))</f>
        <v>Value Missing</v>
      </c>
      <c r="E37" s="4" t="s">
        <v>1700</v>
      </c>
      <c r="F37" s="337" t="str">
        <f>IF(wld_nsxt_global_mgrb_fqdn="Value Missing",wld_nsxt_global_mgrb_fqdn,LEFT(wld_nsxt_global_mgrb_fqdn,FIND(".",wld_nsxt_global_mgrb_fqdn)-1))</f>
        <v>Value Missing</v>
      </c>
      <c r="H37" s="4" t="s">
        <v>252</v>
      </c>
      <c r="I37" s="337" t="str">
        <f>IF(ISBLANK(input_cluster_az1_secondary_storage_network),"Value Missing",input_cluster_az1_secondary_storage_network)</f>
        <v>Value Missing</v>
      </c>
      <c r="K37" s="4" t="s">
        <v>1787</v>
      </c>
      <c r="L37" s="337" t="str">
        <f>IF(ISBLANK(input_mgmt_internet_proxy_email),"Value Missing",input_mgmt_internet_proxy_email)</f>
        <v>Value Missing</v>
      </c>
      <c r="N37" s="4" t="s">
        <v>47</v>
      </c>
      <c r="O37" s="337" t="str">
        <f>IF(ISBLANK('Configure Management Domain'!D45),"Value Missing",'Configure Management Domain'!D45)</f>
        <v>Value Missing</v>
      </c>
      <c r="Q37" s="184" t="s">
        <v>261</v>
      </c>
      <c r="R37" s="184" t="s">
        <v>19</v>
      </c>
      <c r="T37" s="361" t="s">
        <v>1788</v>
      </c>
      <c r="U37" s="337"/>
      <c r="V37" s="3"/>
      <c r="Z37" s="4" t="s">
        <v>1789</v>
      </c>
      <c r="AA37" s="337" t="str">
        <f>IF(ISBLANK(input_wld_witnessaz_mgmt_cidr),"Value Missing",VLOOKUP(INT(RIGHT(input_wld_witnessaz_mgmt_cidr,LEN(input_wld_witnessaz_mgmt_cidr)-FIND("/",input_wld_witnessaz_mgmt_cidr))),table_cidr_to_mask,2,FALSE))</f>
        <v>Value Missing</v>
      </c>
      <c r="AC37" s="4" t="s">
        <v>1623</v>
      </c>
      <c r="AD37" s="337" t="str">
        <f>'Value Reference Tables - MR'!I24</f>
        <v>Value Missing</v>
      </c>
      <c r="AE37" s="337" t="str">
        <f>'Value Reference Tables - MR'!I294</f>
        <v>Value Missing</v>
      </c>
    </row>
    <row r="38" spans="2:31" s="2" customFormat="1" ht="20" customHeight="1" x14ac:dyDescent="0.2">
      <c r="B38" s="4" t="s">
        <v>1664</v>
      </c>
      <c r="C38" s="337" t="str">
        <f>IF(sddc_mgr_fqdn="Value Missing",sddc_mgr_fqdn,LEFT(sddc_mgr_fqdn,FIND(".",sddc_mgr_fqdn)-1))</f>
        <v>Value Missing</v>
      </c>
      <c r="E38" s="4" t="s">
        <v>1705</v>
      </c>
      <c r="F38" s="337" t="str">
        <f>IF(wld_nsxt_global_mgrc_fqdn="Value Missing",wld_nsxt_global_mgrc_fqdn,LEFT(wld_nsxt_global_mgrc_fqdn,FIND(".",wld_nsxt_global_mgrc_fqdn)-1))</f>
        <v>Value Missing</v>
      </c>
      <c r="H38" s="4" t="s">
        <v>285</v>
      </c>
      <c r="I38" s="337" t="str">
        <f>IF(ISBLANK(input_cluster_az1_secondary_storage_mask),"Value Missing",input_cluster_az1_secondary_storage_mask)</f>
        <v>Value Missing</v>
      </c>
      <c r="K38" s="4" t="s">
        <v>1790</v>
      </c>
      <c r="L38" s="337" t="str">
        <f>IF(ISBLANK(input_mgmt_internet_proxy_password),"Value Missing",input_mgmt_internet_proxy_password)</f>
        <v>Value Missing</v>
      </c>
      <c r="N38" s="4" t="s">
        <v>62</v>
      </c>
      <c r="O38" s="337" t="str">
        <f>IF(ISBLANK('Configure Management Domain'!D61),"Value Missing",'Configure Management Domain'!D61)</f>
        <v>Value Missing</v>
      </c>
      <c r="Q38" s="17" t="s">
        <v>1791</v>
      </c>
      <c r="R38" s="337" t="str">
        <f>IF(ISBLANK('Deploy Management Domain'!L315),"Value Missing",'Deploy Management Domain'!L315)</f>
        <v>Value Missing</v>
      </c>
      <c r="T38" s="361" t="s">
        <v>1792</v>
      </c>
      <c r="U38" s="337" t="str">
        <f>IF(ISBLANK(input_k8s_vm_class),"Value Missing",input_k8s_vm_class)</f>
        <v>Value Missing</v>
      </c>
      <c r="V38" s="3"/>
      <c r="W38" s="384" t="s">
        <v>1793</v>
      </c>
      <c r="X38" s="389"/>
      <c r="Z38" s="4" t="s">
        <v>1794</v>
      </c>
      <c r="AA38" s="337" t="str">
        <f>IF(ISBLANK(input_mgmt_az1_uplink01_cidr),"Value Missing",VLOOKUP(INT(RIGHT(input_mgmt_az1_uplink01_cidr,LEN(input_mgmt_az1_uplink01_cidr)-FIND("/",input_mgmt_az1_uplink01_cidr))),table_cidr_to_mask,2,FALSE))</f>
        <v>Value Missing</v>
      </c>
      <c r="AC38" s="4" t="s">
        <v>1280</v>
      </c>
    </row>
    <row r="39" spans="2:31" s="2" customFormat="1" ht="20" customHeight="1" x14ac:dyDescent="0.2">
      <c r="B39" s="4" t="s">
        <v>1657</v>
      </c>
      <c r="C39" s="337" t="str">
        <f>IF(mgmt_vc_fqdn="Value Missing",mgmt_vc_fqdn,LEFT(mgmt_vc_fqdn,FIND(".",mgmt_vc_fqdn)-1))</f>
        <v>Value Missing</v>
      </c>
      <c r="E39" s="4" t="s">
        <v>1710</v>
      </c>
      <c r="F39" s="337" t="str">
        <f>IF(wld_avilb_fqdn="Value Missing",wld_avilb_fqdn,LEFT(wld_avilb_fqdn,FIND(".",wld_avilb_fqdn)-1))</f>
        <v>Value Missing</v>
      </c>
      <c r="H39" s="4" t="s">
        <v>460</v>
      </c>
      <c r="I39" s="337" t="str">
        <f>IF(OR(cluster_az1_secondary_storage_network="Value Missing",cluster_az1_secondary_storage_mask="Value Missing"),"Value Missing",(CONCATENATE(cluster_az1_secondary_storage_network,"/",VLOOKUP(cluster_az1_secondary_storage_mask,table_mask_to_cidr,2,FALSE))))</f>
        <v>Value Missing</v>
      </c>
      <c r="K39" s="4" t="s">
        <v>1795</v>
      </c>
      <c r="L39" s="337" t="str">
        <f>IF(ISBLANK(input_xreg_vrops_collector_root_password),"Value Missing",input_xreg_vrops_collector_root_password)</f>
        <v>Value Missing</v>
      </c>
      <c r="N39" s="4" t="s">
        <v>56</v>
      </c>
      <c r="O39" s="337" t="str">
        <f>IF(ISBLANK('Configure Management Domain'!D58),"Value Missing",'Configure Management Domain'!D58)</f>
        <v>Value Missing</v>
      </c>
      <c r="Q39" s="17" t="s">
        <v>1796</v>
      </c>
      <c r="R39" s="337" t="str">
        <f>IF(ISBLANK('Deploy Management Domain'!L80),"Value Missing",'Deploy Management Domain'!L80)</f>
        <v>Value Missing</v>
      </c>
      <c r="T39" s="361" t="s">
        <v>608</v>
      </c>
      <c r="U39" s="337" t="str">
        <f>CONCATENATE(IF(ISBLANK(input_region_dns1_ip),"Value Missing",region_dns1_ip),",",IF(ISBLANK(input_region_dns2_ip),"Value Missing",region_dns2_ip))</f>
        <v>Value Missing,Value Missing</v>
      </c>
      <c r="W39" s="166" t="s">
        <v>261</v>
      </c>
      <c r="X39" s="167" t="s">
        <v>19</v>
      </c>
      <c r="Z39" s="4" t="s">
        <v>1797</v>
      </c>
      <c r="AA39" s="337" t="str">
        <f>IF(ISBLANK(input_mgmt_az1_uplink02_cidr),"Value Missing",VLOOKUP(INT(RIGHT(input_mgmt_az1_uplink02_cidr,LEN(input_mgmt_az1_uplink02_cidr)-FIND("/",input_mgmt_az1_uplink02_cidr))),table_cidr_to_mask,2,FALSE))</f>
        <v>Value Missing</v>
      </c>
    </row>
    <row r="40" spans="2:31" s="2" customFormat="1" ht="20" customHeight="1" x14ac:dyDescent="0.2">
      <c r="B40" s="4" t="s">
        <v>1665</v>
      </c>
      <c r="C40" s="337" t="str">
        <f>IF(mgmt_nsxt_vip_fqdn="Value Missing",mgmt_nsxt_vip_fqdn,LEFT(mgmt_nsxt_vip_fqdn,FIND(".",mgmt_nsxt_vip_fqdn)-1))</f>
        <v>Value Missing</v>
      </c>
      <c r="H40" s="4" t="s">
        <v>187</v>
      </c>
      <c r="I40" s="337" t="str">
        <f>IF(ISBLANK(input_cluster_az1_secondary_storage_gateway_ip),"Value Missing",input_cluster_az1_secondary_storage_gateway_ip)</f>
        <v>Value Missing</v>
      </c>
      <c r="K40" s="4" t="s">
        <v>1798</v>
      </c>
      <c r="L40" s="337" t="str">
        <f>IF(ISBLANK(input_wld_esx_root_username),"Value Missing",input_wld_esx_root_username)</f>
        <v>Value Missing</v>
      </c>
      <c r="N40" s="4" t="s">
        <v>70</v>
      </c>
      <c r="O40" s="337" t="str">
        <f>IF(ISBLANK('Configure Management Domain'!D65),"Value Missing",'Configure Management Domain'!D65)</f>
        <v>Value Missing</v>
      </c>
      <c r="Q40" s="17" t="s">
        <v>1799</v>
      </c>
      <c r="R40" s="337" t="str">
        <f>IF(ISBLANK('Deploy Management Domain'!L81),"Value Missing",'Deploy Management Domain'!L81)</f>
        <v>Value Missing</v>
      </c>
      <c r="T40" s="361" t="s">
        <v>299</v>
      </c>
      <c r="U40" s="337" t="str">
        <f>IF(AND((NOT(ISBLANK(region_ntp2_server))),(region_ntp2_server &lt;&gt; "n/a"),(region_ntp2_server &lt;&gt; "")),CONCATENATE(region_ntp1_server,",",region_ntp2_server),region_ntp1_server)</f>
        <v>Value Missing,Value Missing</v>
      </c>
      <c r="W40" s="4" t="s">
        <v>280</v>
      </c>
      <c r="X40" s="337" t="str">
        <f>IF(ISBLANK(input_mgmt_witnessaz_mgmt_cidr),"Value Missing",input_mgmt_witnessaz_mgmt_cidr)</f>
        <v>Value Missing</v>
      </c>
      <c r="Z40" s="4" t="s">
        <v>1800</v>
      </c>
      <c r="AA40" s="337"/>
      <c r="AC40" s="384" t="s">
        <v>1801</v>
      </c>
      <c r="AD40" s="389"/>
      <c r="AE40" s="389"/>
    </row>
    <row r="41" spans="2:31" s="2" customFormat="1" ht="20" customHeight="1" x14ac:dyDescent="0.2">
      <c r="B41" s="4" t="s">
        <v>1671</v>
      </c>
      <c r="C41" s="337" t="str">
        <f>IF(mgmt_nsxt_mgra_fqdn="Value Missing",mgmt_nsxt_mgra_fqdn,LEFT(mgmt_nsxt_mgra_fqdn,FIND(".",mgmt_nsxt_mgra_fqdn)-1))</f>
        <v>Value Missing</v>
      </c>
      <c r="E41" s="581" t="s">
        <v>1802</v>
      </c>
      <c r="F41" s="582"/>
      <c r="H41" s="17" t="s">
        <v>255</v>
      </c>
      <c r="I41" s="337" t="str">
        <f>IF(ISBLANK(input_cluster_az1_secondary_storage_pool_start_ip),"Value Missing",input_cluster_az1_secondary_storage_pool_start_ip)</f>
        <v>Value Missing</v>
      </c>
      <c r="N41" s="4" t="s">
        <v>1747</v>
      </c>
      <c r="O41" s="337" t="str">
        <f>IF(ISBLANK(input_ca_email_address),"Value Missing",input_ca_email_address)</f>
        <v>Value Missing</v>
      </c>
      <c r="Q41" s="17" t="s">
        <v>1803</v>
      </c>
      <c r="R41" s="337" t="str">
        <f>IF(ISBLANK('Deploy Management Domain'!L82),"Value Missing",'Deploy Management Domain'!L82)</f>
        <v>Value Missing</v>
      </c>
      <c r="V41" s="3"/>
      <c r="Z41" s="4" t="s">
        <v>1804</v>
      </c>
      <c r="AA41" s="337"/>
      <c r="AC41" s="166" t="s">
        <v>261</v>
      </c>
      <c r="AD41" s="167" t="s">
        <v>1269</v>
      </c>
      <c r="AE41" s="167" t="s">
        <v>1573</v>
      </c>
    </row>
    <row r="42" spans="2:31" s="2" customFormat="1" ht="20" customHeight="1" x14ac:dyDescent="0.2">
      <c r="B42" s="4" t="s">
        <v>1678</v>
      </c>
      <c r="C42" s="337" t="str">
        <f>IF(mgmt_nsxt_mgrb_fqdn="Value Missing",mgmt_nsxt_mgrb_fqdn,LEFT(mgmt_nsxt_mgrb_fqdn,FIND(".",mgmt_nsxt_mgrb_fqdn)-1))</f>
        <v>Value Missing</v>
      </c>
      <c r="E42" s="336" t="s">
        <v>261</v>
      </c>
      <c r="F42" s="184" t="s">
        <v>19</v>
      </c>
      <c r="H42" s="17" t="s">
        <v>256</v>
      </c>
      <c r="I42" s="337" t="str">
        <f>IF(ISBLANK(input_cluster_az1_secondary_storage_pool_end_ip),"Value Missing",input_cluster_az1_secondary_storage_pool_end_ip)</f>
        <v>Value Missing</v>
      </c>
      <c r="K42" s="387" t="s">
        <v>1805</v>
      </c>
      <c r="L42" s="387"/>
      <c r="N42" s="4" t="s">
        <v>66</v>
      </c>
      <c r="O42" s="337" t="str">
        <f>IF(ISBLANK('Configure Management Domain'!D63),"Value Missing",'Configure Management Domain'!D63)</f>
        <v>Value Missing</v>
      </c>
      <c r="Q42" s="17" t="s">
        <v>1806</v>
      </c>
      <c r="R42" s="337" t="str">
        <f>IF(ISBLANK('Deploy Management Domain'!L83),"Value Missing",'Deploy Management Domain'!L83)</f>
        <v>Value Missing</v>
      </c>
      <c r="T42" s="579" t="s">
        <v>1807</v>
      </c>
      <c r="U42" s="580"/>
      <c r="V42" s="3"/>
      <c r="W42" s="384" t="s">
        <v>1808</v>
      </c>
      <c r="X42" s="389"/>
      <c r="Z42" s="4" t="s">
        <v>1809</v>
      </c>
      <c r="AA42" s="337" t="str">
        <f>IF(ISBLANK(input_wld_az1_mgmt_cidr),"Value Missing",VLOOKUP(INT(RIGHT(input_wld_az1_mgmt_cidr,LEN(input_wld_az1_mgmt_cidr)-FIND("/",input_wld_az1_mgmt_cidr))),table_cidr_to_mask,2,FALSE))</f>
        <v>Value Missing</v>
      </c>
      <c r="AC42" s="4" t="s">
        <v>1623</v>
      </c>
      <c r="AD42" s="337" t="str">
        <f>'Value Reference Tables - MR'!I86</f>
        <v>Value Missing</v>
      </c>
      <c r="AE42" s="337" t="str">
        <f>'Value Reference Tables - MR'!I339</f>
        <v>Value Missing</v>
      </c>
    </row>
    <row r="43" spans="2:31" s="2" customFormat="1" ht="20" customHeight="1" x14ac:dyDescent="0.2">
      <c r="B43" s="4" t="s">
        <v>1683</v>
      </c>
      <c r="C43" s="337" t="str">
        <f>IF(mgmt_nsxt_mgrc_fqdn="Value Missing",mgmt_nsxt_mgrc_fqdn,LEFT(mgmt_nsxt_mgrc_fqdn,FIND(".",mgmt_nsxt_mgrc_fqdn)-1))</f>
        <v>Value Missing</v>
      </c>
      <c r="E43" s="4" t="s">
        <v>1657</v>
      </c>
      <c r="F43" s="337" t="str">
        <f>IF(ISBLANK(input_wld_vc_fqdn),"Value Missing",input_wld_vc_fqdn)</f>
        <v>Value Missing</v>
      </c>
      <c r="H43" s="511" t="s">
        <v>805</v>
      </c>
      <c r="I43" s="513"/>
      <c r="K43" s="166" t="s">
        <v>261</v>
      </c>
      <c r="L43" s="167" t="s">
        <v>19</v>
      </c>
      <c r="N43" s="4" t="s">
        <v>58</v>
      </c>
      <c r="O43" s="337" t="str">
        <f>IF(ISBLANK('Configure Management Domain'!D60),"Value Missing",'Configure Management Domain'!D60)</f>
        <v>Value Missing</v>
      </c>
      <c r="Q43" s="17" t="s">
        <v>629</v>
      </c>
      <c r="R43" s="337" t="str">
        <f>xreg_vra_k8s_cluster_cidr_chosen</f>
        <v>198.18.0.0/15</v>
      </c>
      <c r="T43" s="166" t="s">
        <v>261</v>
      </c>
      <c r="U43" s="167" t="s">
        <v>19</v>
      </c>
      <c r="V43" s="3"/>
      <c r="W43" s="166" t="s">
        <v>261</v>
      </c>
      <c r="X43" s="167" t="s">
        <v>19</v>
      </c>
      <c r="Z43" s="4" t="s">
        <v>1810</v>
      </c>
      <c r="AA43" s="337" t="str">
        <f>IF(ISBLANK(input_wld_witnessaz_mgmt_cidr),"Value Missing",VLOOKUP(INT(RIGHT(input_wld_witnessaz_mgmt_cidr,LEN(input_wld_witnessaz_mgmt_cidr)-FIND("/",input_wld_witnessaz_mgmt_cidr))),table_cidr_to_mask,2,FALSE))</f>
        <v>Value Missing</v>
      </c>
      <c r="AC43" s="4" t="s">
        <v>1280</v>
      </c>
      <c r="AE43" s="337" t="str">
        <f>IF(input_wld_az2_host_overlay_gateway_ip="DHCP","",IF(ISBLANK('Configure Workload Domain'!D217),"Value Missing",'Configure Workload Domain'!D217))</f>
        <v>Value Missing</v>
      </c>
    </row>
    <row r="44" spans="2:31" s="2" customFormat="1" ht="20" customHeight="1" x14ac:dyDescent="0.2">
      <c r="B44" s="4" t="s">
        <v>1689</v>
      </c>
      <c r="C44" s="337" t="str">
        <f>IF(mgmt_nsxt_gm_vip_fqdn="Value Missing",mgmt_nsxt_gm_vip_fqdn,LEFT(mgmt_nsxt_gm_vip_fqdn,FIND(".",mgmt_nsxt_gm_vip_fqdn)-1))</f>
        <v>Value Missing</v>
      </c>
      <c r="E44" s="4" t="s">
        <v>1665</v>
      </c>
      <c r="F44" s="337" t="str">
        <f>IF(ISBLANK(input_wld_nsxt_vip_fqdn),"Value Missing",input_wld_nsxt_vip_fqdn)</f>
        <v>Value Missing</v>
      </c>
      <c r="H44" s="4" t="s">
        <v>85</v>
      </c>
      <c r="I44" s="337" t="str">
        <f>IF(ISBLANK(input_cluster_az1_storage_cluster_vlan),"Value Missing",input_cluster_az1_storage_cluster_vlan)</f>
        <v>Value Missing</v>
      </c>
      <c r="K44" s="4" t="s">
        <v>1811</v>
      </c>
      <c r="L44" s="337" t="str">
        <f>IF(ISBLANK(input_region_ntp1_server),"Value Missing",input_region_ntp1_server)</f>
        <v>Value Missing</v>
      </c>
      <c r="N44" s="4" t="s">
        <v>1812</v>
      </c>
      <c r="O44" s="337" t="str">
        <f>IF(ISBLANK('Configure Management Domain'!D59),"Value Missing",'Configure Management Domain'!D59)</f>
        <v>Value Missing</v>
      </c>
      <c r="T44" s="361" t="s">
        <v>1813</v>
      </c>
      <c r="U44" s="337" t="str">
        <f>IF(ISBLANK(input_air_license),"Value Missing",input_air_license)</f>
        <v>Value Missing</v>
      </c>
      <c r="V44" s="3"/>
      <c r="W44" s="4" t="s">
        <v>280</v>
      </c>
      <c r="X44" s="337" t="str">
        <f>IF(ISBLANK(input_mgmt_witnessaz_mgmt_gateway_ip),"Value Missing",input_mgmt_witnessaz_mgmt_gateway_ip)</f>
        <v>Value Missing</v>
      </c>
      <c r="Z44" s="4" t="s">
        <v>1814</v>
      </c>
      <c r="AA44" s="337"/>
    </row>
    <row r="45" spans="2:31" s="2" customFormat="1" ht="20" customHeight="1" x14ac:dyDescent="0.2">
      <c r="B45" s="4" t="s">
        <v>1695</v>
      </c>
      <c r="C45" s="337" t="str">
        <f>IF(mgmt_nsxt_global_mgra_fqdn="Value Missing",mgmt_nsxt_global_mgra_fqdn,LEFT(mgmt_nsxt_global_mgra_fqdn,FIND(".",mgmt_nsxt_global_mgra_fqdn)-1))</f>
        <v>Value Missing</v>
      </c>
      <c r="E45" s="4" t="s">
        <v>1671</v>
      </c>
      <c r="F45" s="337" t="str">
        <f>IF(ISBLANK(input_wld_nsxt_mgra_fqdn),"Value Missing",input_wld_nsxt_mgra_fqdn)</f>
        <v>Value Missing</v>
      </c>
      <c r="H45" s="4" t="s">
        <v>160</v>
      </c>
      <c r="I45" s="337" t="str">
        <f>IF(ISBLANK(input_cluster_az1_storage_cluster_mtu),"Value Missing",input_cluster_az1_storage_cluster_mtu)</f>
        <v>Value Missing</v>
      </c>
      <c r="K45" s="4" t="s">
        <v>1815</v>
      </c>
      <c r="L45" s="337" t="str">
        <f>IF(ISBLANK(input_region_ntp2_server),"Value Missing",input_region_ntp2_server)</f>
        <v>Value Missing</v>
      </c>
      <c r="N45" s="4" t="s">
        <v>64</v>
      </c>
      <c r="O45" s="337" t="str">
        <f>IF(ISBLANK('Configure Management Domain'!D62),"Value Missing",'Configure Management Domain'!D62)</f>
        <v>Value Missing</v>
      </c>
      <c r="T45" s="4" t="s">
        <v>1816</v>
      </c>
      <c r="U45" s="337" t="str">
        <f>IF(ISBLANK(input_air_GPU_VM_class),"Value Missing",input_air_GPU_VM_class)</f>
        <v>Value Missing</v>
      </c>
      <c r="V45" s="3"/>
      <c r="Z45" s="4" t="s">
        <v>1817</v>
      </c>
      <c r="AA45" s="337"/>
      <c r="AC45" s="384" t="s">
        <v>1818</v>
      </c>
      <c r="AD45" s="389"/>
      <c r="AE45" s="389"/>
    </row>
    <row r="46" spans="2:31" s="2" customFormat="1" ht="20" customHeight="1" x14ac:dyDescent="0.2">
      <c r="B46" s="4" t="s">
        <v>1700</v>
      </c>
      <c r="C46" s="337" t="str">
        <f>IF(mgmt_nsxt_global_mgrb_fqdn="Value Missing",mgmt_nsxt_global_mgrb_fqdn,LEFT(mgmt_nsxt_global_mgrb_fqdn,FIND(".",mgmt_nsxt_global_mgrb_fqdn)-1))</f>
        <v>Value Missing</v>
      </c>
      <c r="E46" s="4" t="s">
        <v>1678</v>
      </c>
      <c r="F46" s="337" t="str">
        <f>IF(ISBLANK(input_wld_nsxt_mgrb_fqdn),"Value Missing",input_wld_nsxt_mgrb_fqdn)</f>
        <v>Value Missing</v>
      </c>
      <c r="H46" s="4" t="s">
        <v>252</v>
      </c>
      <c r="I46" s="337" t="str">
        <f>IF(ISBLANK(input_cluster_az1_storage_cluster_network),"Value Missing",input_cluster_az1_storage_cluster_network)</f>
        <v>Value Missing</v>
      </c>
      <c r="K46" s="4" t="s">
        <v>1819</v>
      </c>
      <c r="L46" s="337"/>
      <c r="N46" s="4" t="s">
        <v>24</v>
      </c>
      <c r="O46" s="337" t="str">
        <f>IF(ISBLANK('Configure Management Domain'!D22),"Value Missing",'Configure Management Domain'!D22)</f>
        <v>Value Missing</v>
      </c>
      <c r="Q46" s="595" t="s">
        <v>1820</v>
      </c>
      <c r="R46" s="596"/>
      <c r="T46" s="17" t="s">
        <v>1821</v>
      </c>
      <c r="U46" s="337" t="str">
        <f>IF(ISBLANK(input_air_GPU_operator_namespace),"Value Missing",input_air_GPU_operator_namespace)</f>
        <v>Value Missing</v>
      </c>
      <c r="V46" s="3"/>
      <c r="W46" s="384" t="s">
        <v>1822</v>
      </c>
      <c r="X46" s="389"/>
      <c r="Z46" s="4" t="s">
        <v>1823</v>
      </c>
      <c r="AA46" s="337" t="str">
        <f>IF(ISBLANK(input_wld_az1_uplink01_cidr),"Value Missing",VLOOKUP(INT(RIGHT(input_wld_az1_uplink01_cidr,LEN(input_wld_az1_uplink01_cidr)-FIND("/",input_wld_az1_uplink01_cidr))),table_cidr_to_mask,2,FALSE))</f>
        <v>Value Missing</v>
      </c>
      <c r="AC46" s="166" t="s">
        <v>261</v>
      </c>
      <c r="AD46" s="167" t="s">
        <v>1269</v>
      </c>
      <c r="AE46" s="167" t="s">
        <v>1573</v>
      </c>
    </row>
    <row r="47" spans="2:31" s="2" customFormat="1" ht="20" customHeight="1" x14ac:dyDescent="0.2">
      <c r="B47" s="4" t="s">
        <v>1705</v>
      </c>
      <c r="C47" s="337" t="str">
        <f>IF(mgmt_nsxt_global_mgrc_fqdn="Value Missing",mgmt_nsxt_global_mgrc_fqdn,LEFT(mgmt_nsxt_global_mgrc_fqdn,FIND(".",mgmt_nsxt_global_mgrc_fqdn)-1))</f>
        <v>Value Missing</v>
      </c>
      <c r="E47" s="4" t="s">
        <v>1683</v>
      </c>
      <c r="F47" s="337" t="str">
        <f>IF(ISBLANK(input_wld_nsxt_mgrc_fqdn),"Value Missing",input_wld_nsxt_mgrc_fqdn)</f>
        <v>Value Missing</v>
      </c>
      <c r="H47" s="4" t="s">
        <v>285</v>
      </c>
      <c r="I47" s="337" t="str">
        <f>IF(ISBLANK(input_cluster_az1_storage_cluster_mask),"Value Missing",input_cluster_az1_storage_cluster_mask)</f>
        <v>Value Missing</v>
      </c>
      <c r="K47" s="4" t="s">
        <v>1824</v>
      </c>
      <c r="L47" s="337" t="str">
        <f>IF(ISBLANK(input_xregion_ntp1_server),"Value Missing",input_xregion_ntp1_server)</f>
        <v>Value Missing</v>
      </c>
      <c r="N47" s="4" t="s">
        <v>1279</v>
      </c>
      <c r="O47" s="337" t="str">
        <f>IF(ISBLANK('Configure Management Domain'!D23),"Value Missing",'Configure Management Domain'!D23)</f>
        <v>Value Missing</v>
      </c>
      <c r="Q47" s="184" t="s">
        <v>261</v>
      </c>
      <c r="R47" s="184" t="s">
        <v>19</v>
      </c>
      <c r="T47" s="4" t="s">
        <v>1825</v>
      </c>
      <c r="U47" s="337" t="str">
        <f>IF(ISBLANK(input_air_GPU_network_operator_namespace),"Value Missing",input_air_GPU_network_operator_namespace)</f>
        <v>Value Missing</v>
      </c>
      <c r="V47" s="3"/>
      <c r="W47" s="166" t="s">
        <v>261</v>
      </c>
      <c r="X47" s="167" t="s">
        <v>19</v>
      </c>
      <c r="Z47" s="4" t="s">
        <v>1826</v>
      </c>
      <c r="AA47" s="337" t="str">
        <f>IF(ISBLANK(input_wld_az1_uplink02_cidr),"Value Missing",VLOOKUP(INT(RIGHT(input_wld_az1_uplink02_cidr,LEN(input_wld_az1_uplink02_cidr)-FIND("/",input_wld_az1_uplink02_cidr))),table_cidr_to_mask,2,FALSE))</f>
        <v>Value Missing</v>
      </c>
      <c r="AC47" s="4" t="s">
        <v>1623</v>
      </c>
      <c r="AD47" s="337" t="str">
        <f>'Value Reference Tables - MR'!I70</f>
        <v>Value Missing</v>
      </c>
      <c r="AE47" s="337" t="str">
        <f>'Value Reference Tables - MR'!I354</f>
        <v>Value Missing</v>
      </c>
    </row>
    <row r="48" spans="2:31" s="2" customFormat="1" ht="20" customHeight="1" x14ac:dyDescent="0.2">
      <c r="B48" s="4" t="s">
        <v>1710</v>
      </c>
      <c r="C48" s="337" t="str">
        <f>IF(mgmt_avilb_fqdn="Value Missing",mgmt_avilb_fqdn,LEFT(mgmt_avilb_fqdn,FIND(".",mgmt_avilb_fqdn)-1))</f>
        <v>Value Missing</v>
      </c>
      <c r="E48" s="4" t="s">
        <v>1689</v>
      </c>
      <c r="F48" s="337" t="str">
        <f>IF(ISBLANK(input_wld_nsxt_gm_vip_fqdn),"Value Missing",input_wld_nsxt_gm_vip_fqdn)</f>
        <v>Value Missing</v>
      </c>
      <c r="H48" s="4" t="s">
        <v>460</v>
      </c>
      <c r="I48" s="337" t="str">
        <f>IF(OR(cluster_az1_storage_cluster_network="Value Missing",cluster_az1_storage_cluster_mask="Value Missing"),"Value Missing",(CONCATENATE(cluster_az1_storage_cluster_network,"/",VLOOKUP(cluster_az1_storage_cluster_mask,table_mask_to_cidr,2,FALSE))))</f>
        <v>Value Missing</v>
      </c>
      <c r="K48" s="4" t="s">
        <v>1827</v>
      </c>
      <c r="L48" s="337" t="str">
        <f>IF(AND((OR((spr_chosen="Management Only"),(spr_chosen="Management &amp; VI Workload"))),(ISBLANK(input_xregion_ntp2_server))),"Value Missing",IF(ISBLANK(input_xregion_ntp2_server),"",input_xregion_ntp2_server))</f>
        <v/>
      </c>
      <c r="N48" s="4" t="s">
        <v>1828</v>
      </c>
      <c r="O48" s="337" t="str">
        <f>IF(ISBLANK('Configure Management Domain'!D24),"Value Missing",'Configure Management Domain'!D24)</f>
        <v>Value Missing</v>
      </c>
      <c r="Q48" s="17" t="s">
        <v>1791</v>
      </c>
      <c r="R48" s="337" t="str">
        <f>IF(xreg_vra_virtual_fqdn="Value Missing",xreg_vra_virtual_fqdn,LEFT(xreg_vra_virtual_fqdn,FIND(".",xreg_vra_virtual_fqdn)-1))</f>
        <v>Value Missing</v>
      </c>
      <c r="V48" s="3"/>
      <c r="W48" s="4" t="s">
        <v>280</v>
      </c>
      <c r="X48" s="337" t="str">
        <f>IF(ISBLANK(input_mgmt_witnessaz_mgmt_mtu),"Value Missing",input_mgmt_witnessaz_mgmt_mtu)</f>
        <v>Value Missing</v>
      </c>
      <c r="Z48" s="4" t="s">
        <v>1740</v>
      </c>
      <c r="AA48" s="337"/>
    </row>
    <row r="49" spans="2:27" s="2" customFormat="1" ht="20" customHeight="1" x14ac:dyDescent="0.2">
      <c r="B49" s="4" t="s">
        <v>1829</v>
      </c>
      <c r="C49" s="337" t="str">
        <f>IF(flt_vidb_vip_fqdn="Value Missing",flt_vidb_vip_fqdn,LEFT(flt_vidb_vip_fqdn,FIND(".",flt_vidb_vip_fqdn)-1))</f>
        <v>Value Missing</v>
      </c>
      <c r="E49" s="4" t="s">
        <v>1695</v>
      </c>
      <c r="F49" s="337" t="str">
        <f>IF(ISBLANK(input_wld_nsxt_global_mgra_fqdn),"Value Missing",input_wld_nsxt_global_mgra_fqdn)</f>
        <v>Value Missing</v>
      </c>
      <c r="H49" s="4" t="s">
        <v>187</v>
      </c>
      <c r="I49" s="337" t="str">
        <f>IF(ISBLANK(input_cluster_az1_storage_cluster_gateway_ip),"Value Missing",input_cluster_az1_storage_cluster_gateway_ip)</f>
        <v>Value Missing</v>
      </c>
      <c r="K49" s="4" t="s">
        <v>1830</v>
      </c>
      <c r="L49" s="337" t="str">
        <f>IF(ISBLANK('Configure Management Domain'!D326),"Value Missing",'Configure Management Domain'!D326)</f>
        <v>Value Missing</v>
      </c>
      <c r="N49" s="4" t="s">
        <v>31</v>
      </c>
      <c r="O49" s="337" t="str">
        <f>IF(ISBLANK('Configure Management Domain'!D26),"Value Missing",'Configure Management Domain'!D26)</f>
        <v>Value Missing</v>
      </c>
      <c r="V49" s="3"/>
      <c r="Z49" s="4" t="s">
        <v>1831</v>
      </c>
      <c r="AA49" s="337"/>
    </row>
    <row r="50" spans="2:27" s="2" customFormat="1" ht="20" customHeight="1" x14ac:dyDescent="0.2">
      <c r="E50" s="4" t="s">
        <v>1700</v>
      </c>
      <c r="F50" s="337" t="str">
        <f t="array" ref="F50">IF(ISBLANK(input_wld_nsxt_global_mgrb_fqdn),"Value Missing",input_wld_nsxt_global_mgrb_fqdn)</f>
        <v>Value Missing</v>
      </c>
      <c r="H50" s="17" t="s">
        <v>255</v>
      </c>
      <c r="I50" s="337" t="str">
        <f>IF(ISBLANK(input_cluster_az1_storage_cluster_pool_start_ip),"Value Missing",input_cluster_az1_storage_cluster_pool_start_ip)</f>
        <v>Value Missing</v>
      </c>
      <c r="K50" s="4" t="s">
        <v>1830</v>
      </c>
      <c r="L50" s="337" t="str">
        <f>IF(ISBLANK('Configure Management Domain'!D327),"Value Missing",'Configure Management Domain'!D327)</f>
        <v>Value Missing</v>
      </c>
      <c r="N50" s="4" t="s">
        <v>1832</v>
      </c>
      <c r="O50" s="337" t="str">
        <f>IF(ISBLANK('Configure Management Domain'!D27),"Value Missing",'Configure Management Domain'!D27)</f>
        <v>Value Missing</v>
      </c>
      <c r="Q50" s="595" t="s">
        <v>1833</v>
      </c>
      <c r="R50" s="596"/>
      <c r="T50" s="579" t="s">
        <v>1834</v>
      </c>
      <c r="U50" s="580"/>
      <c r="V50" s="3"/>
      <c r="W50" s="384" t="s">
        <v>1835</v>
      </c>
      <c r="X50" s="389"/>
      <c r="Z50" s="4" t="s">
        <v>1836</v>
      </c>
      <c r="AA50" s="337" t="str">
        <f>IF(ISBLANK(input_wld_az1_vrms_cidr),"Value Missing",VLOOKUP(INT(RIGHT(input_wld_az1_vrms_cidr,LEN(input_wld_az1_vrms_cidr)-FIND("/",input_wld_az1_vrms_cidr))),table_cidr_to_mask,2,FALSE))</f>
        <v>Value Missing</v>
      </c>
    </row>
    <row r="51" spans="2:27" s="2" customFormat="1" ht="20" customHeight="1" x14ac:dyDescent="0.2">
      <c r="B51" s="385" t="s">
        <v>1837</v>
      </c>
      <c r="C51" s="386"/>
      <c r="E51" s="4" t="s">
        <v>1705</v>
      </c>
      <c r="F51" s="337" t="str">
        <f>IF(ISBLANK(input_wld_nsxt_global_mgrc_fqdn),"Value Missing",input_wld_nsxt_global_mgrc_fqdn)</f>
        <v>Value Missing</v>
      </c>
      <c r="H51" s="17" t="s">
        <v>256</v>
      </c>
      <c r="I51" s="337" t="str">
        <f>IF(ISBLANK(input_cluster_az1_storage_cluster_pool_end_ip),"Value Missing",input_cluster_az1_storage_cluster_pool_end_ip)</f>
        <v>Value Missing</v>
      </c>
      <c r="K51" s="4" t="s">
        <v>1838</v>
      </c>
      <c r="L51" s="337" t="str">
        <f>IF(ISBLANK(input_region_dns1_ip),"Value Missing",input_region_dns1_ip)</f>
        <v>Value Missing</v>
      </c>
      <c r="N51" s="4" t="s">
        <v>35</v>
      </c>
      <c r="O51" s="337" t="str">
        <f>IF(ISBLANK('Configure Management Domain'!D28),"Value Missing",'Configure Management Domain'!D28)</f>
        <v>Value Missing</v>
      </c>
      <c r="Q51" s="184" t="s">
        <v>261</v>
      </c>
      <c r="R51" s="184" t="s">
        <v>19</v>
      </c>
      <c r="T51" s="166" t="s">
        <v>261</v>
      </c>
      <c r="U51" s="167" t="s">
        <v>19</v>
      </c>
      <c r="W51" s="166" t="s">
        <v>261</v>
      </c>
      <c r="X51" s="167" t="s">
        <v>19</v>
      </c>
      <c r="Z51" s="4" t="s">
        <v>1839</v>
      </c>
    </row>
    <row r="52" spans="2:27" s="2" customFormat="1" ht="20" customHeight="1" x14ac:dyDescent="0.2">
      <c r="B52" s="336" t="s">
        <v>261</v>
      </c>
      <c r="C52" s="336" t="s">
        <v>19</v>
      </c>
      <c r="E52" s="4" t="s">
        <v>1840</v>
      </c>
      <c r="F52" s="337" t="str">
        <f>IF(ISBLANK(input_wld_az1_en1_fqdn),"Value Missing",input_wld_az1_en1_fqdn)</f>
        <v>Value Missing</v>
      </c>
      <c r="H52" s="511" t="s">
        <v>1841</v>
      </c>
      <c r="I52" s="513"/>
      <c r="K52" s="4" t="s">
        <v>1842</v>
      </c>
      <c r="L52" s="337" t="str">
        <f>IF(ISBLANK(input_region_dns2_ip),"Value Missing",input_region_dns2_ip)</f>
        <v>Value Missing</v>
      </c>
      <c r="N52" s="17" t="s">
        <v>1843</v>
      </c>
      <c r="O52" s="337" t="s">
        <v>1844</v>
      </c>
      <c r="Q52" s="17" t="s">
        <v>1791</v>
      </c>
      <c r="R52" s="337" t="str">
        <f>IF(ISBLANK(input_xreg_vra_virtual_fqdn),"Value Missing",input_xreg_vra_virtual_fqdn)</f>
        <v>Value Missing</v>
      </c>
      <c r="T52" s="4" t="s">
        <v>1845</v>
      </c>
      <c r="U52" s="337" t="str">
        <f>IF(ISBLANK(input_mgmt_srm_recovery_sddc_manager_fqdn),"Value Missing",input_mgmt_srm_recovery_sddc_manager_fqdn)</f>
        <v>Value Missing</v>
      </c>
      <c r="W52" s="4" t="s">
        <v>280</v>
      </c>
      <c r="X52" s="337" t="str">
        <f>IF(ISBLANK(input_wld_witnessaz_mgmt_vlan),"Value Missing",input_wld_witnessaz_mgmt_vlan)</f>
        <v>Value Missing</v>
      </c>
      <c r="Z52" s="4" t="s">
        <v>1846</v>
      </c>
    </row>
    <row r="53" spans="2:27" s="2" customFormat="1" ht="20" customHeight="1" x14ac:dyDescent="0.2">
      <c r="B53" s="4" t="s">
        <v>1656</v>
      </c>
      <c r="C53" s="337" t="str">
        <f>IF(ISBLANK(input_vcf_installer_fqdn),"Value Missing",input_vcf_installer_fqdn)</f>
        <v>Value Missing</v>
      </c>
      <c r="E53" s="4" t="s">
        <v>1847</v>
      </c>
      <c r="F53" s="337" t="str">
        <f>IF(ISBLANK(input_wld_az1_en2_fqdn),"Value Missing",input_wld_az1_en2_fqdn)</f>
        <v>Value Missing</v>
      </c>
      <c r="H53" s="17" t="s">
        <v>215</v>
      </c>
      <c r="I53" s="337" t="str">
        <f>IF(ISBLANK(input_cluster_az1_host1_mgmt_ip),"Value Missing",input_cluster_az1_host1_mgmt_ip)</f>
        <v>Value Missing</v>
      </c>
      <c r="K53" s="4" t="s">
        <v>1848</v>
      </c>
      <c r="L53" s="337" t="str">
        <f>IF(ISBLANK(Arkham!C13),"Value Missing",Arkham!C13)</f>
        <v>Value Missing</v>
      </c>
      <c r="N53" s="17" t="s">
        <v>1849</v>
      </c>
      <c r="O53" s="337" t="str">
        <f>CONCATENATE(mgmt_cl01_cluster,"_primary-az-vmgroup")</f>
        <v>Value Missing_primary-az-vmgroup</v>
      </c>
      <c r="T53" s="4" t="s">
        <v>1850</v>
      </c>
      <c r="U53" s="337" t="str">
        <f>IF(ISBLANK(input_mgmt_srm_recovery_sddc_manager_username),"Value Missing",input_mgmt_srm_recovery_sddc_manager_username)</f>
        <v>Value Missing</v>
      </c>
      <c r="V53" s="3"/>
      <c r="Z53" s="4" t="s">
        <v>1851</v>
      </c>
    </row>
    <row r="54" spans="2:27" s="2" customFormat="1" ht="20" customHeight="1" x14ac:dyDescent="0.2">
      <c r="B54" s="4" t="s">
        <v>1664</v>
      </c>
      <c r="C54" s="337" t="str">
        <f>IF(ISBLANK(input_sddc_mgr_fqdn),"Value Missing",input_sddc_mgr_fqdn)</f>
        <v>Value Missing</v>
      </c>
      <c r="E54" s="4" t="s">
        <v>1710</v>
      </c>
      <c r="F54" s="337" t="str">
        <f>IF(ISBLANK(input_wld_avilb_fqdn),"Value Missing",input_wld_avilb_fqdn)</f>
        <v>Value Missing</v>
      </c>
      <c r="H54" s="17" t="s">
        <v>217</v>
      </c>
      <c r="I54" s="337" t="str">
        <f>IF(ISBLANK(input_cluster_az1_host2_mgmt_ip),"Value Missing",input_cluster_az1_host2_mgmt_ip)</f>
        <v>Value Missing</v>
      </c>
      <c r="K54" s="4" t="s">
        <v>1852</v>
      </c>
      <c r="L54" s="337" t="str">
        <f>IF(ISBLANK(Arkham!C14),"Value Missing",Arkham!C14)</f>
        <v>Value Missing</v>
      </c>
      <c r="N54" s="4" t="s">
        <v>1853</v>
      </c>
      <c r="O54" s="337" t="str">
        <f>IF(ISBLANK(mgmt_internet_proxy_type_chosen),"Value Missing",mgmt_internet_proxy_type_chosen)</f>
        <v>HTTPS</v>
      </c>
      <c r="Q54" s="387" t="s">
        <v>1854</v>
      </c>
      <c r="R54" s="389"/>
      <c r="T54" s="4" t="s">
        <v>1855</v>
      </c>
      <c r="U54" s="337" t="str">
        <f>IF(ISBLANK(input_mgmt_srm_recovery_sddc_manager_password),"Value Missing",input_mgmt_srm_recovery_sddc_manager_password)</f>
        <v>Value Missing</v>
      </c>
      <c r="V54" s="3"/>
      <c r="W54" s="387" t="s">
        <v>1856</v>
      </c>
      <c r="X54" s="387"/>
      <c r="Z54" s="4" t="s">
        <v>1857</v>
      </c>
    </row>
    <row r="55" spans="2:27" s="2" customFormat="1" ht="20" customHeight="1" x14ac:dyDescent="0.2">
      <c r="B55" s="4" t="s">
        <v>1657</v>
      </c>
      <c r="C55" s="337" t="str">
        <f>IF(ISBLANK(input_mgmt_vc_fqdn),"Value Missing",input_mgmt_vc_fqdn)</f>
        <v>Value Missing</v>
      </c>
      <c r="H55" s="17" t="s">
        <v>219</v>
      </c>
      <c r="I55" s="337" t="str">
        <f>IF(ISBLANK(input_cluster_az1_host3_mgmt_ip),"Value Missing",input_cluster_az1_host3_mgmt_ip)</f>
        <v>Value Missing</v>
      </c>
      <c r="K55" s="4" t="s">
        <v>1858</v>
      </c>
      <c r="L55" s="337" t="str">
        <f>IF(ISBLANK('Configure Management Domain'!D324),"Value Missing",'Configure Management Domain'!D324)</f>
        <v>Value Missing</v>
      </c>
      <c r="N55" s="4" t="s">
        <v>1282</v>
      </c>
      <c r="O55" s="337" t="str">
        <f>IF(ISBLANK(input_mgmt_internet_proxy_address),"Value Missing",input_mgmt_internet_proxy_address)</f>
        <v>Value Missing</v>
      </c>
      <c r="Q55" s="166" t="s">
        <v>261</v>
      </c>
      <c r="R55" s="167" t="s">
        <v>19</v>
      </c>
      <c r="T55" s="4" t="s">
        <v>1859</v>
      </c>
      <c r="U55" s="337" t="s">
        <v>538</v>
      </c>
      <c r="V55" s="3"/>
      <c r="W55" s="166" t="s">
        <v>261</v>
      </c>
      <c r="X55" s="167" t="s">
        <v>19</v>
      </c>
    </row>
    <row r="56" spans="2:27" s="2" customFormat="1" ht="20" customHeight="1" x14ac:dyDescent="0.2">
      <c r="B56" s="4" t="s">
        <v>1665</v>
      </c>
      <c r="C56" s="337" t="str">
        <f>IF(ISBLANK(input_mgmt_nsxt_vip_fqdn),"Value Missing",input_mgmt_nsxt_vip_fqdn)</f>
        <v>Value Missing</v>
      </c>
      <c r="E56" s="385" t="s">
        <v>1860</v>
      </c>
      <c r="F56" s="386"/>
      <c r="H56" s="17" t="s">
        <v>221</v>
      </c>
      <c r="I56" s="337" t="str">
        <f>IF(ISBLANK(input_cluster_az1_host4_mgmt_ip),"Value Missing",input_cluster_az1_host4_mgmt_ip)</f>
        <v>Value Missing</v>
      </c>
      <c r="K56" s="4" t="s">
        <v>1861</v>
      </c>
      <c r="L56" s="337" t="str">
        <f>IF(ISBLANK('Configure Management Domain'!D325),"Value Missing",'Configure Management Domain'!D325)</f>
        <v>Value Missing</v>
      </c>
      <c r="N56" s="4" t="s">
        <v>1862</v>
      </c>
      <c r="O56" s="337" t="str">
        <f>IF(ISBLANK(input_mgmt_internet_proxy_port),"Value Missing",input_mgmt_internet_proxy_port)</f>
        <v>Value Missing</v>
      </c>
      <c r="Q56" s="17" t="s">
        <v>1863</v>
      </c>
      <c r="R56" s="337"/>
      <c r="T56" s="4" t="s">
        <v>1864</v>
      </c>
      <c r="U56" s="337" t="s">
        <v>538</v>
      </c>
      <c r="V56" s="3"/>
      <c r="W56" s="4" t="s">
        <v>280</v>
      </c>
      <c r="X56" s="337" t="str">
        <f>IF(ISBLANK('Configure Workload Domain'!D271),"Value Missing",'Configure Workload Domain'!D271)</f>
        <v>Value Missing</v>
      </c>
      <c r="Z56" s="579" t="s">
        <v>1267</v>
      </c>
      <c r="AA56" s="580"/>
    </row>
    <row r="57" spans="2:27" s="2" customFormat="1" ht="20" customHeight="1" x14ac:dyDescent="0.2">
      <c r="B57" s="4" t="s">
        <v>1671</v>
      </c>
      <c r="C57" s="337" t="str">
        <f>IF(ISBLANK(input_mgmt_nsxt_mgra_fqdn),"Value Missing",input_mgmt_nsxt_mgra_fqdn)</f>
        <v>Value Missing</v>
      </c>
      <c r="E57" s="336" t="s">
        <v>261</v>
      </c>
      <c r="F57" s="184" t="s">
        <v>19</v>
      </c>
      <c r="H57" s="17" t="s">
        <v>223</v>
      </c>
      <c r="I57" s="337" t="str">
        <f>IF(ISBLANK(input_cluster_az1_host5_mgmt_ip),"Value Missing",input_cluster_az1_host5_mgmt_ip)</f>
        <v>Value Missing</v>
      </c>
      <c r="K57" s="4" t="s">
        <v>1865</v>
      </c>
      <c r="L57" s="337" t="str">
        <f>IF(ISBLANK(Arkham!C15),"Value Missing",Arkham!C15)</f>
        <v>Value Missing</v>
      </c>
      <c r="N57" s="4" t="s">
        <v>1286</v>
      </c>
      <c r="O57" s="337" t="str">
        <f>mgmt_internet_proxy_auth_chosen</f>
        <v>Unselected</v>
      </c>
      <c r="Q57" s="17" t="s">
        <v>1866</v>
      </c>
      <c r="R57" s="337"/>
      <c r="T57" s="4" t="s">
        <v>1867</v>
      </c>
      <c r="U57" s="337" t="str">
        <f>IF(ISBLANK(input_xreg_vrops_vrms_sso_username),"Value Missing",input_xreg_vrops_vrms_sso_username)</f>
        <v>Value Missing</v>
      </c>
      <c r="V57" s="3"/>
      <c r="Z57" s="166" t="s">
        <v>261</v>
      </c>
      <c r="AA57" s="167" t="s">
        <v>19</v>
      </c>
    </row>
    <row r="58" spans="2:27" s="2" customFormat="1" ht="20" customHeight="1" x14ac:dyDescent="0.2">
      <c r="B58" s="4" t="s">
        <v>1678</v>
      </c>
      <c r="C58" s="337" t="str">
        <f>IF(ISBLANK(input_mgmt_nsxt_mgrb_fqdn),"Value Missing",input_mgmt_nsxt_mgrb_fqdn)</f>
        <v>Value Missing</v>
      </c>
      <c r="E58" s="361" t="s">
        <v>1657</v>
      </c>
      <c r="F58" s="337" t="str">
        <f>(CONCATENATE('Value Reference Tables'!F106,".",(IF(ISBLANK(Arkham!C$11),"Value Missing",Arkham!C$11))))</f>
        <v>Value Missing.Value Missing</v>
      </c>
      <c r="H58" s="17" t="s">
        <v>225</v>
      </c>
      <c r="I58" s="337" t="str">
        <f>IF(ISBLANK(input_cluster_az1_host6_mgmt_ip),"Value Missing",input_cluster_az1_host6_mgmt_ip)</f>
        <v>Value Missing</v>
      </c>
      <c r="K58" s="4" t="s">
        <v>1868</v>
      </c>
      <c r="L58" s="337" t="str">
        <f>IF(ISBLANK('Configure Management Domain'!D33),"Value Missing",'Configure Management Domain'!D33)</f>
        <v>Value Missing</v>
      </c>
      <c r="N58" s="4" t="s">
        <v>1869</v>
      </c>
      <c r="O58" s="337" t="str">
        <f>IF(ISBLANK(input_mgmt_offline_depot_fqdn),"Value Missing",input_mgmt_offline_depot_fqdn)</f>
        <v>Value Missing</v>
      </c>
      <c r="Q58" s="17" t="s">
        <v>1870</v>
      </c>
      <c r="R58" s="337"/>
      <c r="T58" s="4" t="s">
        <v>1871</v>
      </c>
      <c r="U58" s="337" t="str">
        <f>IF(ISBLANK(input_xreg_vrops_vrms_sso_password),"Value Missing",input_xreg_vrops_vrms_sso_password)</f>
        <v>Value Missing</v>
      </c>
      <c r="V58" s="3"/>
      <c r="W58" s="387" t="s">
        <v>1872</v>
      </c>
      <c r="X58" s="387"/>
      <c r="Z58" s="4"/>
    </row>
    <row r="59" spans="2:27" s="2" customFormat="1" ht="20" customHeight="1" x14ac:dyDescent="0.2">
      <c r="B59" s="4" t="s">
        <v>1683</v>
      </c>
      <c r="C59" s="337" t="str">
        <f>IF(ISBLANK(input_mgmt_nsxt_mgrc_fqdn),"Value Missing",input_mgmt_nsxt_mgrc_fqdn)</f>
        <v>Value Missing</v>
      </c>
      <c r="E59" s="361" t="s">
        <v>278</v>
      </c>
      <c r="F59" s="337" t="str">
        <f>IF(ISBLANK(input_wld_witness_fqdn),"Value Missing",input_wld_witness_fqdn)</f>
        <v>Value Missing</v>
      </c>
      <c r="H59" s="17" t="s">
        <v>227</v>
      </c>
      <c r="I59" s="337" t="str">
        <f>IF(ISBLANK(input_cluster_az1_host7_mgmt_ip),"Value Missing",input_cluster_az1_host7_mgmt_ip)</f>
        <v>Value Missing</v>
      </c>
      <c r="K59" s="4" t="s">
        <v>1873</v>
      </c>
      <c r="L59" s="337" t="str">
        <f>IF(ISBLANK('Configure Management Domain'!D67),"Value Missing",'Configure Management Domain'!D67)</f>
        <v>Value Missing</v>
      </c>
      <c r="N59" s="4" t="s">
        <v>1874</v>
      </c>
      <c r="O59" s="337" t="str">
        <f t="array" ref="O59">IF(ISBLANK(input_mgmt_offline_depot_port),"Value Missing",input_mgmt_offline_depot_port)</f>
        <v>Value Missing</v>
      </c>
      <c r="Q59" s="17" t="s">
        <v>1875</v>
      </c>
      <c r="R59" s="337"/>
      <c r="T59" s="4" t="s">
        <v>1876</v>
      </c>
      <c r="U59" s="337" t="str">
        <f>IF(ISBLANK(input_xreg_vrops_srm_sso_username),"Value Missing",input_xreg_vrops_srm_sso_username)</f>
        <v>Value Missing</v>
      </c>
      <c r="V59" s="3"/>
      <c r="W59" s="166" t="s">
        <v>261</v>
      </c>
      <c r="X59" s="167" t="s">
        <v>19</v>
      </c>
      <c r="Z59" s="4" t="s">
        <v>1877</v>
      </c>
      <c r="AA59" s="337" t="str">
        <f>IF(mgmt_domain_chosen="First Instance","sfo","lax")</f>
        <v>sfo</v>
      </c>
    </row>
    <row r="60" spans="2:27" s="2" customFormat="1" ht="20" customHeight="1" x14ac:dyDescent="0.2">
      <c r="B60" s="4" t="s">
        <v>1689</v>
      </c>
      <c r="C60" s="337" t="str">
        <f>IF(ISBLANK(input_mgmt_nsxt_gm_vip_fqdn),"Value Missing",input_mgmt_nsxt_gm_vip_fqdn)</f>
        <v>Value Missing</v>
      </c>
      <c r="H60" s="17" t="s">
        <v>229</v>
      </c>
      <c r="I60" s="337" t="str">
        <f>IF(ISBLANK(input_cluster_az1_host8_mgmt_ip),"Value Missing",input_cluster_az1_host8_mgmt_ip)</f>
        <v>Value Missing</v>
      </c>
      <c r="K60" s="4" t="s">
        <v>1878</v>
      </c>
      <c r="L60" s="337" t="str">
        <f>IF(ISBLANK('Configure Management Domain'!D21),"Value Missing",'Configure Management Domain'!D21)</f>
        <v>Value Missing</v>
      </c>
      <c r="R60" s="3"/>
      <c r="T60" s="4" t="s">
        <v>1879</v>
      </c>
      <c r="U60" s="337" t="str">
        <f>IF(ISBLANK(input_xreg_vrops_srm_sso_password),"Value Missing",input_xreg_vrops_srm_sso_password)</f>
        <v>Value Missing</v>
      </c>
      <c r="V60" s="3"/>
      <c r="W60" s="4" t="s">
        <v>280</v>
      </c>
      <c r="X60" s="337" t="str">
        <f>IF(ISBLANK(input_wld_witnessaz_mgmt_cidr),"Value Missing",input_wld_witnessaz_mgmt_cidr)</f>
        <v>Value Missing</v>
      </c>
      <c r="Z60" s="4" t="s">
        <v>1880</v>
      </c>
      <c r="AA60" s="337" t="str">
        <f>IF(this_instance="sfo","lax","sfo")</f>
        <v>lax</v>
      </c>
    </row>
    <row r="61" spans="2:27" s="2" customFormat="1" ht="20" customHeight="1" x14ac:dyDescent="0.2">
      <c r="B61" s="4" t="s">
        <v>1695</v>
      </c>
      <c r="C61" s="337" t="str">
        <f>IF(ISBLANK(input_mgmt_nsxt_global_mgra_fqdn),"Value Missing",input_mgmt_nsxt_global_mgra_fqdn)</f>
        <v>Value Missing</v>
      </c>
      <c r="E61" s="385" t="s">
        <v>1881</v>
      </c>
      <c r="F61" s="386"/>
      <c r="H61" s="17" t="s">
        <v>231</v>
      </c>
      <c r="I61" s="337" t="str">
        <f>IF(ISBLANK(input_cluster_az1_host9_mgmt_ip),"Value Missing",input_cluster_az1_host9_mgmt_ip)</f>
        <v>Value Missing</v>
      </c>
      <c r="K61" s="4" t="s">
        <v>980</v>
      </c>
      <c r="L61" s="337" t="str">
        <f>IF(ISBLANK(Arkham!C16),"Value Missing",Arkham!C16)</f>
        <v>Value Missing</v>
      </c>
      <c r="N61" s="387" t="s">
        <v>1882</v>
      </c>
      <c r="O61" s="387"/>
      <c r="Q61" s="387" t="s">
        <v>1883</v>
      </c>
      <c r="R61" s="387"/>
      <c r="V61" s="3"/>
      <c r="Z61" s="4" t="s">
        <v>1884</v>
      </c>
      <c r="AA61" s="337" t="str">
        <f>IF(mgmt_consolidated_result="Included","m01",CONCATENATE("w0",wld_domain_number_chosen))</f>
        <v>w01</v>
      </c>
    </row>
    <row r="62" spans="2:27" s="2" customFormat="1" ht="20" customHeight="1" x14ac:dyDescent="0.2">
      <c r="B62" s="4" t="s">
        <v>1700</v>
      </c>
      <c r="C62" s="337" t="str">
        <f>IF(ISBLANK(input_mgmt_nsxt_global_mgrb_fqdn),"Value Missing",input_mgmt_nsxt_global_mgrb_fqdn)</f>
        <v>Value Missing</v>
      </c>
      <c r="E62" s="336" t="s">
        <v>261</v>
      </c>
      <c r="F62" s="184" t="s">
        <v>19</v>
      </c>
      <c r="H62" s="17" t="s">
        <v>233</v>
      </c>
      <c r="I62" s="337" t="str">
        <f>IF(ISBLANK(input_cluster_az1_host10_mgmt_ip),"Value Missing",input_cluster_az1_host10_mgmt_ip)</f>
        <v>Value Missing</v>
      </c>
      <c r="K62" s="4" t="s">
        <v>983</v>
      </c>
      <c r="L62" s="337" t="str">
        <f>IF(ISBLANK(Arkham!C17),"Value Missing",Arkham!C17)</f>
        <v>Value Missing</v>
      </c>
      <c r="N62" s="166" t="s">
        <v>261</v>
      </c>
      <c r="O62" s="167" t="s">
        <v>19</v>
      </c>
      <c r="Q62" s="166" t="s">
        <v>261</v>
      </c>
      <c r="R62" s="167" t="s">
        <v>19</v>
      </c>
      <c r="T62" s="387" t="s">
        <v>1885</v>
      </c>
      <c r="U62" s="387"/>
      <c r="V62" s="3"/>
      <c r="W62" s="387" t="s">
        <v>1886</v>
      </c>
      <c r="X62" s="387"/>
      <c r="Z62" s="4" t="s">
        <v>1887</v>
      </c>
      <c r="AA62" s="337" t="str">
        <f>IF(this_instance="sfo","11","21")</f>
        <v>11</v>
      </c>
    </row>
    <row r="63" spans="2:27" s="2" customFormat="1" ht="20" customHeight="1" x14ac:dyDescent="0.2">
      <c r="B63" s="4" t="s">
        <v>1705</v>
      </c>
      <c r="C63" s="337" t="str">
        <f>IF(ISBLANK(input_mgmt_nsxt_global_mgrc_fqdn),"Value Missing",input_mgmt_nsxt_global_mgrc_fqdn)</f>
        <v>Value Missing</v>
      </c>
      <c r="E63" s="4" t="s">
        <v>1888</v>
      </c>
      <c r="F63" s="337" t="str">
        <f>IF(ISBLANK('Deploy Workload Domain'!D163),"Value Missing",'Deploy Workload Domain'!D163)</f>
        <v>Value Missing</v>
      </c>
      <c r="H63" s="17" t="s">
        <v>235</v>
      </c>
      <c r="I63" s="337" t="str">
        <f>IF(ISBLANK(input_cluster_az1_host11_mgmt_ip),"Value Missing",input_cluster_az1_host11_mgmt_ip)</f>
        <v>Value Missing</v>
      </c>
      <c r="N63" s="4" t="s">
        <v>1889</v>
      </c>
      <c r="O63" s="337" t="str">
        <f>IF(ISBLANK('Deploy Workload Domain'!D148),"Value Missing",'Deploy Workload Domain'!D148)</f>
        <v>Value Missing</v>
      </c>
      <c r="Q63" s="17" t="s">
        <v>1863</v>
      </c>
      <c r="R63" s="337"/>
      <c r="T63" s="166" t="s">
        <v>261</v>
      </c>
      <c r="U63" s="167" t="s">
        <v>19</v>
      </c>
      <c r="W63" s="166" t="s">
        <v>261</v>
      </c>
      <c r="X63" s="167" t="s">
        <v>19</v>
      </c>
      <c r="Z63" s="4" t="s">
        <v>1890</v>
      </c>
      <c r="AA63" s="337" t="str">
        <f>IF(this_instance="sfo","10.11.","10.21.")</f>
        <v>10.11.</v>
      </c>
    </row>
    <row r="64" spans="2:27" s="2" customFormat="1" ht="20" customHeight="1" x14ac:dyDescent="0.2">
      <c r="B64" s="4" t="s">
        <v>1840</v>
      </c>
      <c r="C64" s="337" t="str">
        <f>IF(ISBLANK(input_mgmt_az1_en1_fqdn),"Value Missing",input_mgmt_az1_en1_fqdn)</f>
        <v>Value Missing</v>
      </c>
      <c r="E64" s="4" t="s">
        <v>1891</v>
      </c>
      <c r="F64" s="337" t="str">
        <f>IF(ISBLANK(input_wld_cl01_evc_mode),"Value Missing",input_wld_cl01_evc_mode)</f>
        <v>Value Missing</v>
      </c>
      <c r="H64" s="17" t="s">
        <v>237</v>
      </c>
      <c r="I64" s="337" t="str">
        <f>IF(ISBLANK(input_cluster_az1_host12_mgmt_ip),"Value Missing",input_cluster_az1_host12_mgmt_ip)</f>
        <v>Value Missing</v>
      </c>
      <c r="K64" s="579" t="s">
        <v>1892</v>
      </c>
      <c r="L64" s="592"/>
      <c r="N64" s="4" t="s">
        <v>75</v>
      </c>
      <c r="O64" s="337"/>
      <c r="Q64" s="17" t="s">
        <v>1866</v>
      </c>
      <c r="R64" s="337"/>
      <c r="T64" s="4" t="s">
        <v>1893</v>
      </c>
      <c r="U64" s="337" t="str">
        <f>IF(ISBLANK(input_mgmt_recovery_lb_creation_method),"Value Missing",input_mgmt_recovery_lb_creation_method)</f>
        <v>Value Missing</v>
      </c>
      <c r="W64" s="4" t="s">
        <v>280</v>
      </c>
      <c r="X64" s="337" t="str">
        <f>IF(ISBLANK(input_wld_witnessaz_mgmt_gateway_ip),"Value Missing",input_wld_witnessaz_mgmt_gateway_ip)</f>
        <v>Value Missing</v>
      </c>
      <c r="Z64" s="4" t="s">
        <v>1894</v>
      </c>
      <c r="AA64" s="337" t="str">
        <f>IF(this_instance="sfo","12","22")</f>
        <v>12</v>
      </c>
    </row>
    <row r="65" spans="2:27" s="2" customFormat="1" ht="20" customHeight="1" x14ac:dyDescent="0.2">
      <c r="B65" s="4" t="s">
        <v>1847</v>
      </c>
      <c r="C65" s="337" t="str">
        <f>IF(ISBLANK(input_mgmt_az1_en2_fqdn),"Value Missing",input_mgmt_az1_en2_fqdn)</f>
        <v>Value Missing</v>
      </c>
      <c r="H65" s="17" t="s">
        <v>239</v>
      </c>
      <c r="I65" s="337" t="str">
        <f>IF(ISBLANK(input_cluster_az1_host13_mgmt_ip),"Value Missing",input_cluster_az1_host13_mgmt_ip)</f>
        <v>Value Missing</v>
      </c>
      <c r="K65" s="166" t="s">
        <v>261</v>
      </c>
      <c r="L65" s="167" t="s">
        <v>19</v>
      </c>
      <c r="N65" s="4" t="s">
        <v>1895</v>
      </c>
      <c r="O65" s="337" t="str">
        <f>IF(ISBLANK('Configure Workload Domain'!D332),"Value Missing",'Configure Workload Domain'!D332)</f>
        <v>Value Missing</v>
      </c>
      <c r="Q65" s="17" t="s">
        <v>1870</v>
      </c>
      <c r="R65" s="337"/>
      <c r="T65" s="4" t="s">
        <v>1896</v>
      </c>
      <c r="U65" s="337" t="str">
        <f>IF(ISBLANK(input_mgmt_vrms_vm_folder),"Value Missing",input_mgmt_vrms_vm_folder)</f>
        <v>Value Missing</v>
      </c>
      <c r="V65" s="3"/>
      <c r="Z65" s="4" t="s">
        <v>1897</v>
      </c>
      <c r="AA65" s="337" t="str">
        <f>IF(this_instance="sfo","10.12.","10.22.")</f>
        <v>10.12.</v>
      </c>
    </row>
    <row r="66" spans="2:27" s="2" customFormat="1" ht="20" customHeight="1" x14ac:dyDescent="0.2">
      <c r="B66" s="4" t="s">
        <v>1710</v>
      </c>
      <c r="C66" s="337" t="str">
        <f>IF(ISBLANK(input_mgmt_avilb_fqdn),"Value Missing",input_mgmt_avilb_fqdn)</f>
        <v>Value Missing</v>
      </c>
      <c r="E66" s="581" t="s">
        <v>1898</v>
      </c>
      <c r="F66" s="593"/>
      <c r="H66" s="17" t="s">
        <v>241</v>
      </c>
      <c r="I66" s="337" t="str">
        <f>IF(ISBLANK(input_cluster_az1_host14_mgmt_ip),"Value Missing",input_cluster_az1_host14_mgmt_ip)</f>
        <v>Value Missing</v>
      </c>
      <c r="K66" s="4" t="s">
        <v>1899</v>
      </c>
      <c r="L66" s="337" t="str">
        <f>IF(ISBLANK(input_parent_dns_zone),"Value Missing",input_parent_dns_zone)</f>
        <v>Value Missing</v>
      </c>
      <c r="N66" s="4" t="s">
        <v>1900</v>
      </c>
      <c r="O66" s="337" t="str">
        <f>IF(ISBLANK('Deploy Workload Domain'!D239),"Value Missing",'Deploy Workload Domain'!D239)</f>
        <v>Value Missing</v>
      </c>
      <c r="Q66" s="17" t="s">
        <v>1875</v>
      </c>
      <c r="R66" s="337"/>
      <c r="T66" s="4" t="s">
        <v>1901</v>
      </c>
      <c r="U66" s="337" t="str">
        <f>IF(ISBLANK(input_mgmt_vrms_root_password),"Value Missing",input_mgmt_vrms_root_password)</f>
        <v>Value Missing</v>
      </c>
      <c r="V66" s="3"/>
      <c r="W66" s="387" t="s">
        <v>1902</v>
      </c>
      <c r="X66" s="387"/>
      <c r="Z66" s="4" t="s">
        <v>1903</v>
      </c>
      <c r="AA66" s="337"/>
    </row>
    <row r="67" spans="2:27" s="2" customFormat="1" ht="20" customHeight="1" x14ac:dyDescent="0.2">
      <c r="B67" s="4" t="s">
        <v>1829</v>
      </c>
      <c r="C67" s="337" t="str">
        <f>IF(ISBLANK(input_flt_vidb_vip_fqdn),"Value Missing",input_flt_vidb_vip_fqdn)</f>
        <v>Value Missing</v>
      </c>
      <c r="E67" s="336" t="s">
        <v>261</v>
      </c>
      <c r="F67" s="336" t="s">
        <v>1904</v>
      </c>
      <c r="H67" s="17" t="s">
        <v>243</v>
      </c>
      <c r="I67" s="337" t="str">
        <f>IF(ISBLANK(input_cluster_az1_host15_mgmt_ip),"Value Missing",input_cluster_az1_host15_mgmt_ip)</f>
        <v>Value Missing</v>
      </c>
      <c r="K67" s="4" t="s">
        <v>1905</v>
      </c>
      <c r="L67" s="337" t="str">
        <f>IF(ISBLANK(input_child_dns_zone),"Value Missing",input_child_dns_zone)</f>
        <v>Value Missing</v>
      </c>
      <c r="N67" s="4" t="s">
        <v>1667</v>
      </c>
      <c r="O67" s="337" t="str">
        <f>IF(ISBLANK('Configure Workload Domain'!D38),"Value Missing",'Configure Workload Domain'!D38)</f>
        <v>Value Missing</v>
      </c>
      <c r="R67" s="3"/>
      <c r="T67" s="4" t="s">
        <v>1906</v>
      </c>
      <c r="U67" s="337" t="str">
        <f>IF(ISBLANK(input_mgmt_vrms_admin_password),"Value Missing",input_mgmt_vrms_admin_password)</f>
        <v>Value Missing</v>
      </c>
      <c r="V67" s="3"/>
      <c r="W67" s="166" t="s">
        <v>261</v>
      </c>
      <c r="X67" s="167" t="s">
        <v>19</v>
      </c>
      <c r="Z67" s="4" t="s">
        <v>1907</v>
      </c>
      <c r="AA67" s="337"/>
    </row>
    <row r="68" spans="2:27" s="2" customFormat="1" ht="20" customHeight="1" x14ac:dyDescent="0.2">
      <c r="E68" s="4" t="s">
        <v>1908</v>
      </c>
      <c r="F68" s="337" t="str">
        <f>IF(ISBLANK(wld_cl01_vds_profile_chosen),"Value Missing",wld_cl01_vds_profile_chosen)</f>
        <v>Default</v>
      </c>
      <c r="H68" s="17" t="s">
        <v>245</v>
      </c>
      <c r="I68" s="337" t="str">
        <f>IF(ISBLANK(input_cluster_az1_host16_mgmt_ip),"Value Missing",input_cluster_az1_host16_mgmt_ip)</f>
        <v>Value Missing</v>
      </c>
      <c r="K68" s="4" t="s">
        <v>1909</v>
      </c>
      <c r="L68" s="337" t="str">
        <f>IF(ISBLANK(input_witness_dns_zone),"Value Missing",input_witness_dns_zone)</f>
        <v>Value Missing</v>
      </c>
      <c r="N68" s="4" t="s">
        <v>1910</v>
      </c>
      <c r="O68" s="337" t="str">
        <f>IF(ISBLANK('Configure Workload Domain'!D40),"Value Missing",'Configure Workload Domain'!D40)</f>
        <v>Large</v>
      </c>
      <c r="Q68" s="387" t="s">
        <v>1911</v>
      </c>
      <c r="R68" s="387"/>
      <c r="T68" s="4" t="s">
        <v>1912</v>
      </c>
      <c r="U68" s="337" t="str">
        <f>IF(ISBLANK(input_mgmt_vrms_site_name),"Value Missing",input_mgmt_vrms_site_name)</f>
        <v>Value Missing</v>
      </c>
      <c r="W68" s="4" t="s">
        <v>280</v>
      </c>
      <c r="X68" s="337" t="str">
        <f>IF(ISBLANK(input_wld_witnessaz_mgmt_mtu),"Value Missing",input_wld_witnessaz_mgmt_mtu)</f>
        <v>Value Missing</v>
      </c>
      <c r="Z68" s="4" t="s">
        <v>1913</v>
      </c>
      <c r="AA68" s="337" t="str">
        <f>IF(this_instance="sfo","192.168.31","192.168.32")</f>
        <v>192.168.31</v>
      </c>
    </row>
    <row r="69" spans="2:27" s="2" customFormat="1" ht="20" customHeight="1" x14ac:dyDescent="0.2">
      <c r="B69" s="385" t="s">
        <v>1914</v>
      </c>
      <c r="C69" s="386"/>
      <c r="E69" s="336" t="s">
        <v>857</v>
      </c>
      <c r="F69" s="336" t="s">
        <v>19</v>
      </c>
      <c r="H69" s="17" t="s">
        <v>250</v>
      </c>
      <c r="I69" s="337" t="str">
        <f>IF(ISBLANK(input_cluster_az1_pool_name),"Value Missing",input_cluster_az1_pool_name)</f>
        <v>Value Missing</v>
      </c>
      <c r="N69" s="4" t="s">
        <v>1915</v>
      </c>
      <c r="O69" s="337" t="str">
        <f>IF(ISBLANK('Configure Workload Domain'!D96),"Value Missing",'Configure Workload Domain'!D96)</f>
        <v>Value Missing</v>
      </c>
      <c r="Q69" s="166" t="s">
        <v>261</v>
      </c>
      <c r="R69" s="167" t="s">
        <v>19</v>
      </c>
      <c r="T69" s="4" t="s">
        <v>1916</v>
      </c>
      <c r="U69" s="337" t="str">
        <f>IF(ISBLANK(input_mgmt_vrms_admin_email),"Value Missing",input_mgmt_vrms_admin_email)</f>
        <v>Value Missing</v>
      </c>
      <c r="Z69" s="4" t="s">
        <v>1917</v>
      </c>
      <c r="AA69" s="337" t="str">
        <f>IF(this_instance="sfo","192.168.11","192.168.12")</f>
        <v>192.168.11</v>
      </c>
    </row>
    <row r="70" spans="2:27" s="2" customFormat="1" ht="20" customHeight="1" x14ac:dyDescent="0.2">
      <c r="B70" s="336" t="s">
        <v>261</v>
      </c>
      <c r="C70" s="336" t="s">
        <v>19</v>
      </c>
      <c r="E70" s="4" t="s">
        <v>1918</v>
      </c>
      <c r="F70" s="337" t="str">
        <f>IF(ISBLANK(input_wld_cl01_vds01_name),"Value Missing",input_wld_cl01_vds01_name)</f>
        <v>Value Missing</v>
      </c>
      <c r="H70" s="336" t="s">
        <v>1919</v>
      </c>
      <c r="I70" s="336"/>
      <c r="K70" s="387" t="s">
        <v>1920</v>
      </c>
      <c r="L70" s="387"/>
      <c r="N70" s="4" t="s">
        <v>1921</v>
      </c>
      <c r="O70" s="337"/>
      <c r="Q70" s="17" t="s">
        <v>1863</v>
      </c>
      <c r="R70" s="337" t="str">
        <f>(CONCATENATE('Value Reference Tables'!R63,".",(IF(ISBLANK(Arkham!C$11),"Value Missing",Arkham!C$11))))</f>
        <v>.Value Missing</v>
      </c>
      <c r="T70" s="4" t="s">
        <v>1922</v>
      </c>
      <c r="U70" s="337" t="str">
        <f>IF(ISBLANK(input_mgmt_vrms_pg),"Value Missing",input_mgmt_vrms_pg)</f>
        <v>Value Missing</v>
      </c>
      <c r="V70" s="3"/>
      <c r="Z70" s="4" t="s">
        <v>1923</v>
      </c>
      <c r="AA70" s="337" t="str">
        <f>IF(this_instance="sfo","21","11")</f>
        <v>21</v>
      </c>
    </row>
    <row r="71" spans="2:27" s="2" customFormat="1" ht="20" customHeight="1" x14ac:dyDescent="0.2">
      <c r="B71" s="361" t="s">
        <v>1657</v>
      </c>
      <c r="C71" s="337" t="str">
        <f>(CONCATENATE('Value Reference Tables'!C192,".",(IF(ISBLANK(Arkham!C$11),"Value Missing",Arkham!C$11))))</f>
        <v>Value Missing.Value Missing</v>
      </c>
      <c r="E71" s="185" t="s">
        <v>1924</v>
      </c>
      <c r="F71" s="337" t="str">
        <f>IF(ISBLANK(input_wld_cl01_vds01_pnics),"Value Missing",input_wld_cl01_vds01_pnics)</f>
        <v>Value Missing</v>
      </c>
      <c r="H71" s="17" t="s">
        <v>215</v>
      </c>
      <c r="I71" s="337" t="str">
        <f>IF(ISBLANK(input_cluster_az1_host1_fqdn),"Value Missing",input_cluster_az1_host1_fqdn)</f>
        <v>Value Missing</v>
      </c>
      <c r="K71" s="166" t="s">
        <v>261</v>
      </c>
      <c r="L71" s="167" t="s">
        <v>19</v>
      </c>
      <c r="N71" s="4" t="s">
        <v>175</v>
      </c>
      <c r="O71" s="337" t="str">
        <f>IF(ISBLANK(input_wld_vpc_ext_ip_blocks),"Value Missing",input_wld_vpc_ext_ip_blocks)</f>
        <v>Value Missing</v>
      </c>
      <c r="Q71" s="17" t="s">
        <v>1866</v>
      </c>
      <c r="R71" s="337" t="str">
        <f>(CONCATENATE('Value Reference Tables'!R64,".",(IF(ISBLANK(Arkham!C$11),"Value Missing",Arkham!C$11))))</f>
        <v>.Value Missing</v>
      </c>
      <c r="T71" s="4" t="s">
        <v>1925</v>
      </c>
      <c r="U71" s="337" t="str">
        <f>IF(ISBLANK(input_mgmt_vrms_p12_password),"Value Missing",input_mgmt_vrms_p12_password)</f>
        <v>Value Missing</v>
      </c>
      <c r="V71" s="3"/>
      <c r="Z71" s="4" t="s">
        <v>1926</v>
      </c>
      <c r="AA71" s="337" t="str">
        <f>IF(this_instance="sfo","10.21.","10.11.")</f>
        <v>10.21.</v>
      </c>
    </row>
    <row r="72" spans="2:27" s="2" customFormat="1" ht="20" customHeight="1" x14ac:dyDescent="0.2">
      <c r="B72" s="361" t="s">
        <v>278</v>
      </c>
      <c r="C72" s="337" t="str">
        <f>IF(ISBLANK(input_mgmt_witness_fqdn),"Value Missing",input_mgmt_witness_fqdn)</f>
        <v>Value Missing</v>
      </c>
      <c r="E72" s="4" t="s">
        <v>1927</v>
      </c>
      <c r="F72" s="337" t="str">
        <f>IF(ISBLANK(input_wld_cl01_vds01_uplink_count),"Value Missing",input_wld_cl01_vds01_uplink_count)</f>
        <v>Value Missing</v>
      </c>
      <c r="H72" s="17" t="s">
        <v>217</v>
      </c>
      <c r="I72" s="337" t="str">
        <f>IF(ISBLANK(input_cluster_az1_host2_fqdn),"Value Missing",input_cluster_az1_host2_fqdn)</f>
        <v>Value Missing</v>
      </c>
      <c r="K72" s="4" t="s">
        <v>1928</v>
      </c>
      <c r="L72" s="337" t="str">
        <f>IF(ISBLANK('Active Directory Inputs'!E8),"Value Missing",'Active Directory Inputs'!E8)</f>
        <v>Value Missing</v>
      </c>
      <c r="N72" s="4" t="s">
        <v>178</v>
      </c>
      <c r="O72" s="337" t="str">
        <f>IF(ISBLANK(input_wld_vpc_transit_gateway_ip_blocks),"Value Missing",input_wld_vpc_transit_gateway_ip_blocks)</f>
        <v>Value Missing</v>
      </c>
      <c r="Q72" s="17" t="s">
        <v>1870</v>
      </c>
      <c r="R72" s="337" t="str">
        <f>(CONCATENATE('Value Reference Tables'!R65,".",(IF(ISBLANK(Arkham!C$11),"Value Missing",Arkham!C$11))))</f>
        <v>.Value Missing</v>
      </c>
      <c r="T72" s="4" t="s">
        <v>1929</v>
      </c>
      <c r="U72" s="337"/>
      <c r="V72" s="3"/>
      <c r="Z72" s="4" t="s">
        <v>1930</v>
      </c>
      <c r="AA72" s="337" t="str">
        <f>IF(mgmt_domain_chosen="First Domain","6500","6502")</f>
        <v>6502</v>
      </c>
    </row>
    <row r="73" spans="2:27" s="2" customFormat="1" ht="20" customHeight="1" x14ac:dyDescent="0.2">
      <c r="E73" s="4" t="s">
        <v>1931</v>
      </c>
      <c r="F73" s="337" t="str">
        <f t="array" ref="F73">IF(ISBLANK(input_wld_cl01_vds01_mtu),"Value Missing",input_wld_cl01_vds01_mtu)</f>
        <v>Value Missing</v>
      </c>
      <c r="H73" s="17" t="s">
        <v>219</v>
      </c>
      <c r="I73" s="337" t="str">
        <f>IF(ISBLANK(input_cluster_az1_host3_fqdn),"Value Missing",input_cluster_az1_host3_fqdn)</f>
        <v>Value Missing</v>
      </c>
      <c r="K73" s="4" t="s">
        <v>1932</v>
      </c>
      <c r="L73" s="337" t="str">
        <f>IF(ISBLANK('Active Directory Inputs'!E9),"Value Missing",'Active Directory Inputs'!E9)</f>
        <v>Value Missing</v>
      </c>
      <c r="N73" s="4" t="s">
        <v>1750</v>
      </c>
      <c r="O73" s="337" t="str">
        <f t="array" ref="O73">IF(ISBLANK(input_wld_avilb_cluster_name),"Value Missing",input_wld_avilb_cluster_name)</f>
        <v>Value Missing</v>
      </c>
      <c r="Q73" s="17" t="s">
        <v>1875</v>
      </c>
      <c r="R73" s="337" t="str">
        <f>(CONCATENATE('Value Reference Tables'!R66,".",(IF(ISBLANK(Arkham!C$11),"Value Missing",Arkham!C$11))))</f>
        <v>.Value Missing</v>
      </c>
      <c r="T73" s="4" t="s">
        <v>1933</v>
      </c>
      <c r="U73" s="337" t="str">
        <f>IF(ISBLANK(input_mgmt_srm_vm_folder),"Value Missing",input_mgmt_srm_vm_folder)</f>
        <v>Value Missing</v>
      </c>
      <c r="V73" s="3"/>
      <c r="Z73" s="4" t="s">
        <v>1934</v>
      </c>
      <c r="AA73" s="337">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74" spans="2:27" s="2" customFormat="1" ht="20" customHeight="1" x14ac:dyDescent="0.2">
      <c r="B74" s="581" t="s">
        <v>1935</v>
      </c>
      <c r="C74" s="582"/>
      <c r="E74" s="4" t="s">
        <v>1936</v>
      </c>
      <c r="F74" s="337" t="str">
        <f>IF(wld_cl01_vds_profile_chosen&lt;&gt;"Custom","Route Based on Physicial Nic Load","Value Missing")</f>
        <v>Route Based on Physicial Nic Load</v>
      </c>
      <c r="H74" s="17" t="s">
        <v>221</v>
      </c>
      <c r="I74" s="337" t="str">
        <f>IF(ISBLANK(input_cluster_az1_host4_fqdn),"Value Missing",input_cluster_az1_host4_fqdn)</f>
        <v>Value Missing</v>
      </c>
      <c r="N74" s="4" t="s">
        <v>1937</v>
      </c>
      <c r="O74" s="337" t="str">
        <f>IF(ISBLANK(input_wld_avilb_cluster_version),"Value Missing",input_wld_avilb_cluster_version)</f>
        <v>Value Missing</v>
      </c>
      <c r="Q74" s="8"/>
      <c r="R74" s="8"/>
      <c r="T74" s="4" t="s">
        <v>1938</v>
      </c>
      <c r="U74" s="337" t="str">
        <f>IF(ISBLANK(input_mgmt_srm_root_password),"Value Missing",input_mgmt_srm_root_password)</f>
        <v>Value Missing</v>
      </c>
      <c r="Z74" s="4" t="s">
        <v>1939</v>
      </c>
      <c r="AA74" s="337"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10.13.</v>
      </c>
    </row>
    <row r="75" spans="2:27" s="2" customFormat="1" ht="20" customHeight="1" x14ac:dyDescent="0.2">
      <c r="B75" s="336" t="s">
        <v>261</v>
      </c>
      <c r="C75" s="336" t="s">
        <v>19</v>
      </c>
      <c r="E75" s="4" t="s">
        <v>1940</v>
      </c>
      <c r="F75" s="337" t="str">
        <f>IF(wld_cl01_vds_profile_chosen="Default",CONCATENATE("Management ","vMotion ",IF(wld_principal_storage_chosen="NFSv3","NFS ",IF(wld_principal_storage_chosen="VMFS on Fibre Channel (FC)","","vSAN ")),"NSX-Overlay"),
IF(wld_cl01_vds_profile_chosen="Storage Traffic Separation","Management, vMotion, NSX-Overlay",
IF(wld_cl01_vds_profile_chosen="NSX Traffic Separation",CONCATENATE("Management ","vMotion ",IF(wld_principal_storage_chosen="NFSv3","NFS",IF(wld_principal_storage_chosen="VMFS on Fibre Channel (FC)","","vSAN"))),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vSAN NSX-Overlay</v>
      </c>
      <c r="H75" s="17" t="s">
        <v>223</v>
      </c>
      <c r="I75" s="337" t="str">
        <f>IF(ISBLANK(input_cluster_az1_host5_fqdn),"Value Missing",input_cluster_az1_host5_fqdn)</f>
        <v>Value Missing</v>
      </c>
      <c r="K75" s="387" t="s">
        <v>1941</v>
      </c>
      <c r="L75" s="387"/>
      <c r="N75" s="4" t="s">
        <v>1691</v>
      </c>
      <c r="O75" s="337" t="str">
        <f>IF(ISBLANK(input_wld_nsxt_global_mgr_vmca_signed_thumbprint),"Value Missing",input_wld_nsxt_global_mgr_vmca_signed_thumbprint)</f>
        <v>Value Missing</v>
      </c>
      <c r="Q75" s="595" t="s">
        <v>1942</v>
      </c>
      <c r="R75" s="596"/>
      <c r="T75" s="4" t="s">
        <v>1943</v>
      </c>
      <c r="U75" s="337" t="str">
        <f>IF(ISBLANK(input_mgmt_srm_admin_password),"Value Missing",input_mgmt_srm_admin_password)</f>
        <v>Value Missing</v>
      </c>
      <c r="Z75" s="4" t="s">
        <v>1944</v>
      </c>
      <c r="AA75" s="337"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76" spans="2:27" s="2" customFormat="1" ht="20" customHeight="1" x14ac:dyDescent="0.2">
      <c r="B76" s="4" t="s">
        <v>1945</v>
      </c>
      <c r="C76" s="337" t="str">
        <f>IF(ISBLANK(input_mgmt_datacenter),"Value Missing",input_mgmt_datacenter)</f>
        <v>Value Missing</v>
      </c>
      <c r="E76" s="4" t="s">
        <v>1946</v>
      </c>
      <c r="F76" s="337" t="str">
        <f>IF(ISBLANK(input_wld_cl01_vds01_lag_name),"Value Missing",input_wld_cl01_vds01_lag_name)</f>
        <v>Value Missing</v>
      </c>
      <c r="H76" s="17" t="s">
        <v>225</v>
      </c>
      <c r="I76" s="337" t="str">
        <f>IF(ISBLANK(input_cluster_az1_host6_fqdn),"Value Missing",input_cluster_az1_host6_fqdn)</f>
        <v>Value Missing</v>
      </c>
      <c r="K76" s="166" t="s">
        <v>261</v>
      </c>
      <c r="L76" s="167" t="s">
        <v>19</v>
      </c>
      <c r="N76" s="4" t="s">
        <v>1697</v>
      </c>
      <c r="O76" s="337" t="str">
        <f>IF(ISBLANK(input_wld_nsxt_global_mgr_cluster_id),"Value Missing",input_wld_nsxt_global_mgr_cluster_id)</f>
        <v>Value Missing</v>
      </c>
      <c r="Q76" s="184" t="s">
        <v>261</v>
      </c>
      <c r="R76" s="184" t="s">
        <v>19</v>
      </c>
      <c r="T76" s="4" t="s">
        <v>1947</v>
      </c>
      <c r="U76" s="337" t="str">
        <f>IF(ISBLANK(input_mgmt_srm_database_password),"Value Missing",input_mgmt_srm_database_password)</f>
        <v>Value Missing</v>
      </c>
      <c r="V76" s="3"/>
      <c r="Z76" s="4" t="s">
        <v>1948</v>
      </c>
      <c r="AA76" s="337">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77" spans="2:27" s="2" customFormat="1" ht="20" customHeight="1" x14ac:dyDescent="0.2">
      <c r="B77" s="4" t="s">
        <v>1949</v>
      </c>
      <c r="C77" s="337" t="str">
        <f>IF(ISBLANK(input_mgmt_cl01_cluster),"Value Missing",input_mgmt_cl01_cluster)</f>
        <v>Value Missing</v>
      </c>
      <c r="E77" s="336" t="s">
        <v>873</v>
      </c>
      <c r="F77" s="336" t="s">
        <v>19</v>
      </c>
      <c r="H77" s="17" t="s">
        <v>227</v>
      </c>
      <c r="I77" s="337" t="str">
        <f>IF(ISBLANK(input_cluster_az1_host7_fqdn),"Value Missing",input_cluster_az1_host7_fqdn)</f>
        <v>Value Missing</v>
      </c>
      <c r="K77" s="4" t="s">
        <v>1928</v>
      </c>
      <c r="L77" s="337" t="str">
        <f>IF(ISBLANK('Active Directory Inputs'!G8),"Value Missing",'Active Directory Inputs'!G8)</f>
        <v>Value Missing</v>
      </c>
      <c r="N77" s="4" t="s">
        <v>1702</v>
      </c>
      <c r="O77" s="337" t="str">
        <f>IF(ISBLANK('Configure Workload Domain'!D434),"Value Missing",'Configure Workload Domain'!D434)</f>
        <v>Value Missing</v>
      </c>
      <c r="Q77" s="17" t="s">
        <v>1950</v>
      </c>
      <c r="R77" s="337" t="str">
        <f>IF(ISBLANK(input_xreg_vrops_virtual_ip),"Value Missing",input_xreg_vrops_virtual_ip)</f>
        <v>Value Missing</v>
      </c>
      <c r="T77" s="4" t="s">
        <v>1951</v>
      </c>
      <c r="U77" s="337" t="str">
        <f>IF(ISBLANK(input_mgmt_srm_site_name),"Value Missing",input_mgmt_srm_site_name)</f>
        <v>Value Missing</v>
      </c>
      <c r="V77" s="3"/>
      <c r="Z77" s="4" t="s">
        <v>1952</v>
      </c>
      <c r="AA77" s="337"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10.14.</v>
      </c>
    </row>
    <row r="78" spans="2:27" s="2" customFormat="1" ht="20" customHeight="1" x14ac:dyDescent="0.2">
      <c r="B78" s="4" t="s">
        <v>1953</v>
      </c>
      <c r="C78" s="337" t="str">
        <f>IF(ISBLANK('Deploy Management Domain'!M349),"Value Missing",'Deploy Management Domain'!M349)</f>
        <v>N/A</v>
      </c>
      <c r="E78" s="4" t="s">
        <v>1954</v>
      </c>
      <c r="F78" s="337" t="str">
        <f>IF(ISBLANK(input_wld_cl01_vds02_name),"Value Missing",input_wld_cl01_vds02_name)</f>
        <v>Value Missing</v>
      </c>
      <c r="H78" s="17" t="s">
        <v>229</v>
      </c>
      <c r="I78" s="337" t="str">
        <f>IF(ISBLANK(input_cluster_az1_host8_fqdn),"Value Missing",input_cluster_az1_host8_fqdn)</f>
        <v>Value Missing</v>
      </c>
      <c r="K78" s="4" t="s">
        <v>1932</v>
      </c>
      <c r="L78" s="337" t="str">
        <f>IF(ISBLANK('Active Directory Inputs'!G9),"Value Missing",'Active Directory Inputs'!G9)</f>
        <v>Value Missing</v>
      </c>
      <c r="N78" s="4" t="s">
        <v>1707</v>
      </c>
      <c r="O78" s="337" t="str">
        <f>IF(ISBLANK('Configure Workload Domain'!D452),"Value Missing",'Configure Workload Domain'!D452)</f>
        <v>Value Missing</v>
      </c>
      <c r="Q78" s="17" t="s">
        <v>1955</v>
      </c>
      <c r="R78" s="337" t="str">
        <f>IF(ISBLANK(input_xreg_vrops_nodea_ip),"Value Missing",input_xreg_vrops_nodea_ip)</f>
        <v>Value Missing</v>
      </c>
      <c r="T78" s="4" t="s">
        <v>1956</v>
      </c>
      <c r="U78" s="337" t="str">
        <f>IF(ISBLANK(input_mgmt_srm_admin_email),"Value Missing",input_mgmt_srm_admin_email)</f>
        <v>Value Missing</v>
      </c>
      <c r="V78" s="3"/>
      <c r="Z78" s="4" t="s">
        <v>1957</v>
      </c>
      <c r="AA78" s="337"/>
    </row>
    <row r="79" spans="2:27" s="2" customFormat="1" ht="20" customHeight="1" x14ac:dyDescent="0.2">
      <c r="B79" s="4" t="s">
        <v>1958</v>
      </c>
      <c r="C79" s="337" t="str">
        <f>IF(ISBLANK('Deploy Management Domain'!M350),"Value Missing",'Deploy Management Domain'!M350)</f>
        <v>Value Missing</v>
      </c>
      <c r="E79" s="185" t="s">
        <v>1959</v>
      </c>
      <c r="F79" s="337" t="str">
        <f>IF(input_wld_cl01_vds02_pnics="","Value Missing",input_wld_cl01_vds02_pnics)</f>
        <v>Value Missing</v>
      </c>
      <c r="H79" s="17" t="s">
        <v>231</v>
      </c>
      <c r="I79" s="337" t="str">
        <f>IF(ISBLANK(input_cluster_az1_host9_fqdn),"Value Missing",input_cluster_az1_host9_fqdn)</f>
        <v>Value Missing</v>
      </c>
      <c r="N79" s="4" t="s">
        <v>1960</v>
      </c>
      <c r="O79" s="337" t="str">
        <f>IF(ISBLANK(input_wld_az1_rtep_ip_pool_name),"Value Missing",input_wld_az1_rtep_ip_pool_name)</f>
        <v>Value Missing</v>
      </c>
      <c r="Q79" s="17" t="s">
        <v>1961</v>
      </c>
      <c r="R79" s="337" t="str">
        <f>IF(ISBLANK(input_xreg_vrops_nodeb_ip),"Value Missing",input_xreg_vrops_nodeb_ip)</f>
        <v>Value Missing</v>
      </c>
      <c r="T79" s="4" t="s">
        <v>1962</v>
      </c>
      <c r="U79" s="337" t="str">
        <f>IF(ISBLANK(input_mgmt_srm_p12_password),"Value Missing",input_mgmt_srm_p12_password)</f>
        <v>Value Missing</v>
      </c>
      <c r="V79" s="3"/>
      <c r="Z79" s="4" t="s">
        <v>1963</v>
      </c>
      <c r="AA79" s="337"/>
    </row>
    <row r="80" spans="2:27" s="2" customFormat="1" ht="20" customHeight="1" x14ac:dyDescent="0.2">
      <c r="B80" s="4" t="s">
        <v>1964</v>
      </c>
      <c r="C80" s="337" t="str">
        <f>IF(ISBLANK('Deploy Management Domain'!M351),"Value Missing",'Deploy Management Domain'!M351)</f>
        <v>Value Missing</v>
      </c>
      <c r="E80" s="4" t="s">
        <v>1965</v>
      </c>
      <c r="F80" s="337" t="str">
        <f t="array" ref="F80">IF(ISBLANK(input_wld_cl01_vds02_uplink_count),"Value Missing",input_wld_cl01_vds02_uplink_count)</f>
        <v>Value Missing</v>
      </c>
      <c r="H80" s="17" t="s">
        <v>233</v>
      </c>
      <c r="I80" s="337" t="str">
        <f>IF(ISBLANK(input_cluster_az1_host10_fqdn),"Value Missing",input_cluster_az1_host10_fqdn)</f>
        <v>Value Missing</v>
      </c>
      <c r="K80" s="387" t="s">
        <v>1966</v>
      </c>
      <c r="L80" s="387"/>
      <c r="N80" s="4" t="s">
        <v>1712</v>
      </c>
      <c r="O80" s="337" t="str">
        <f>IF(ISBLANK(input_wld_nsxt_federation_global_manager_name),"Value Missing",input_wld_nsxt_federation_global_manager_name)</f>
        <v>Value Missing</v>
      </c>
      <c r="Q80" s="17" t="s">
        <v>1967</v>
      </c>
      <c r="R80" s="337" t="str">
        <f>IF(ISBLANK(input_xreg_vrops_nodec_ip),"Value Missing",input_xreg_vrops_nodec_ip)</f>
        <v>Value Missing</v>
      </c>
      <c r="T80" s="4" t="s">
        <v>1968</v>
      </c>
      <c r="U80" s="337" t="str">
        <f>mgmt_srm_vm_size_chosen</f>
        <v>Standard</v>
      </c>
      <c r="V80" s="3"/>
      <c r="Z80" s="4" t="s">
        <v>1969</v>
      </c>
      <c r="AA80" s="337" t="str">
        <f>IF(this_instance="sfo","21","11")</f>
        <v>21</v>
      </c>
    </row>
    <row r="81" spans="2:27" s="2" customFormat="1" ht="20" customHeight="1" x14ac:dyDescent="0.2">
      <c r="B81" s="4" t="s">
        <v>1970</v>
      </c>
      <c r="C81" s="337" t="str">
        <f>IF(ISBLANK('Deploy Management Domain'!M352),"Value Missing",'Deploy Management Domain'!M352)</f>
        <v>Value Missing</v>
      </c>
      <c r="E81" s="4" t="s">
        <v>1971</v>
      </c>
      <c r="F81" s="337" t="str">
        <f>IF(input_wld_cl01_vds02_mtu="","Value Missing",input_wld_cl01_vds02_mtu)</f>
        <v>Value Missing</v>
      </c>
      <c r="H81" s="17" t="s">
        <v>235</v>
      </c>
      <c r="I81" s="337" t="str">
        <f>IF(ISBLANK(input_cluster_az1_host11_fqdn),"Value Missing",input_cluster_az1_host11_fqdn)</f>
        <v>Value Missing</v>
      </c>
      <c r="K81" s="166" t="s">
        <v>261</v>
      </c>
      <c r="L81" s="167" t="s">
        <v>19</v>
      </c>
      <c r="N81" s="4" t="s">
        <v>1717</v>
      </c>
      <c r="O81" s="337" t="str">
        <f>IF(ISBLANK('Configure Workload Domain'!D493),"Value Missing",'Configure Workload Domain'!D493)</f>
        <v>Value Missing</v>
      </c>
      <c r="Q81" s="17" t="s">
        <v>1972</v>
      </c>
      <c r="R81" s="337" t="str">
        <f>IF(ISBLANK(input_xreg_vrops_collector_ip),"Value Missing",input_xreg_vrops_collector_ip)</f>
        <v>Value Missing</v>
      </c>
      <c r="T81" s="4" t="s">
        <v>1973</v>
      </c>
      <c r="U81" s="337" t="str">
        <f>IF(ISBLANK(input_mgmt_srm_rpo),"Value Missing",input_mgmt_srm_rpo)</f>
        <v>Value Missing</v>
      </c>
      <c r="V81" s="3"/>
      <c r="Z81" s="4" t="s">
        <v>1974</v>
      </c>
      <c r="AA81" s="337" t="str">
        <f>IF(this_instance="sfo","10.21.","10.11.")</f>
        <v>10.21.</v>
      </c>
    </row>
    <row r="82" spans="2:27" s="2" customFormat="1" ht="20" customHeight="1" x14ac:dyDescent="0.2">
      <c r="B82" s="4" t="s">
        <v>1975</v>
      </c>
      <c r="C82" s="337" t="str">
        <f>IF(ISBLANK('Deploy Management Domain'!M353),"Value Missing",'Deploy Management Domain'!M353)</f>
        <v>Value Missing</v>
      </c>
      <c r="E82" s="4" t="s">
        <v>1976</v>
      </c>
      <c r="F82" s="337" t="str">
        <f>IF(wld_cl01_vds_profile_chosen="Default","Value Missing",IF(wld_cl01_vds_profile_chosen&lt;&gt;"Custom","Route Based on Physical Nic Load","Value Missing"))</f>
        <v>Value Missing</v>
      </c>
      <c r="H82" s="17" t="s">
        <v>237</v>
      </c>
      <c r="I82" s="337" t="str">
        <f>IF(ISBLANK(input_cluster_az1_host12_fqdn),"Value Missing",input_cluster_az1_host12_fqdn)</f>
        <v>Value Missing</v>
      </c>
      <c r="K82" s="4" t="s">
        <v>1928</v>
      </c>
      <c r="L82" s="337" t="str">
        <f>IF(ISBLANK('Active Directory Inputs'!E10),"Value Missing",'Active Directory Inputs'!E10)</f>
        <v>Value Missing</v>
      </c>
      <c r="N82" s="4" t="s">
        <v>1977</v>
      </c>
      <c r="O82" s="337" t="str">
        <f>IF(ISBLANK('Configure Workload Domain'!D491),"Value Missing",'Configure Workload Domain'!D491)</f>
        <v>Value Missing</v>
      </c>
      <c r="Q82" s="6"/>
      <c r="T82" s="4" t="s">
        <v>1978</v>
      </c>
      <c r="U82" s="337" t="str">
        <f>IF(ISBLANK(input_mgmt_srm_instances_per_day),"Value Missing",input_mgmt_srm_instances_per_day)</f>
        <v>Value Missing</v>
      </c>
      <c r="V82" s="3"/>
      <c r="Z82" s="4" t="s">
        <v>1979</v>
      </c>
      <c r="AA82" s="337" t="str">
        <f>IF(mgmt_domain_chosen="First Domain","6501","6503")</f>
        <v>6503</v>
      </c>
    </row>
    <row r="83" spans="2:27" s="2" customFormat="1" ht="20" customHeight="1" x14ac:dyDescent="0.2">
      <c r="B83" s="4" t="s">
        <v>1980</v>
      </c>
      <c r="C83" s="337"/>
      <c r="E83" s="4" t="s">
        <v>1981</v>
      </c>
      <c r="F83" s="337" t="str">
        <f>IF(wld_cl01_vds_profile_chosen="Default","Value Missing",
IF(wld_cl01_vds_profile_chosen="Storage Traffic Separation",IF(wld_principal_storage_chosen="NFSv3","NFS","vSAN"),
IF(wld_cl01_vds_profile_chosen="NSX Traffic Separation","NSX-Overlay",
IF(wld_cl01_vds_profile_chosen="Storage Traffic and NSX Traffic Separation",IF(wld_principal_storage_chosen="NFSv3","NFS","vSAN"),
IF(wld_cl01_vds_profile_chosen="Storage Traffic and NSX Traffic Separation","Management, vMotion",
IF(wld_cl01_vds_profile_chosen="vSAN Max Storage Traffic Separation","vSAN",
IF(wld_cl01_vds_profile_chosen="vSAN Max Storage Traffic and NSX Traffic Separation","vSAN","Value Missing")))))))</f>
        <v>Value Missing</v>
      </c>
      <c r="H83" s="17" t="s">
        <v>239</v>
      </c>
      <c r="I83" s="337" t="str">
        <f>IF(ISBLANK(input_cluster_az1_host13_fqdn),"Value Missing",input_cluster_az1_host13_fqdn)</f>
        <v>Value Missing</v>
      </c>
      <c r="K83" s="4" t="s">
        <v>1932</v>
      </c>
      <c r="L83" s="337" t="str">
        <f>IF(ISBLANK('Active Directory Inputs'!E11),"Value Missing",'Active Directory Inputs'!E11)</f>
        <v>Value Missing</v>
      </c>
      <c r="N83" s="4" t="s">
        <v>1982</v>
      </c>
      <c r="O83" s="337" t="str">
        <f>IF(ISBLANK('Configure Workload Domain'!D480),"Value Missing",'Configure Workload Domain'!D480)</f>
        <v>Value Missing</v>
      </c>
      <c r="Q83" s="595" t="s">
        <v>1983</v>
      </c>
      <c r="R83" s="596"/>
      <c r="T83" s="4" t="s">
        <v>1984</v>
      </c>
      <c r="U83" s="337" t="str">
        <f>IF(ISBLANK(input_mgmt_srm_days),"Value Missing",input_mgmt_srm_days)</f>
        <v>Value Missing</v>
      </c>
      <c r="V83" s="3"/>
      <c r="Z83" s="4" t="s">
        <v>1985</v>
      </c>
      <c r="AA83" s="337" t="str">
        <f>IF(this_instance="sfo","192.168.2","192.168.4")</f>
        <v>192.168.2</v>
      </c>
    </row>
    <row r="84" spans="2:27" s="2" customFormat="1" ht="20" customHeight="1" x14ac:dyDescent="0.2">
      <c r="B84" s="337" t="s">
        <v>1986</v>
      </c>
      <c r="C84" s="337" t="str">
        <f>IF(ISBLANK(input_mgmt_sso_domain),"Value Missing",input_mgmt_sso_domain)</f>
        <v>Value Missing</v>
      </c>
      <c r="E84" s="4" t="s">
        <v>1946</v>
      </c>
      <c r="F84" s="337" t="str">
        <f t="array" ref="F84">IF(ISBLANK(input_wld_cl01_vds02_lag_name),"Value Missing",input_wld_cl01_vds02_lag_name)</f>
        <v>Value Missing</v>
      </c>
      <c r="H84" s="17" t="s">
        <v>241</v>
      </c>
      <c r="I84" s="337" t="str">
        <f>IF(ISBLANK(input_cluster_az1_host14_fqdn),"Value Missing",input_cluster_az1_host14_fqdn)</f>
        <v>Value Missing</v>
      </c>
      <c r="N84" s="4" t="s">
        <v>1730</v>
      </c>
      <c r="O84" s="337" t="str">
        <f>IF(ISBLANK('Configure Workload Domain'!D505),"Value Missing",'Configure Workload Domain'!D505)</f>
        <v>Value Missing</v>
      </c>
      <c r="Q84" s="184" t="s">
        <v>261</v>
      </c>
      <c r="R84" s="184" t="s">
        <v>19</v>
      </c>
      <c r="T84" s="4" t="s">
        <v>1987</v>
      </c>
      <c r="U84" s="337" t="str">
        <f>IF(ISBLANK(input_mgmt_srm_vrslcm_wsa_pg),"Value Missing",input_mgmt_srm_vrslcm_wsa_pg)</f>
        <v>Value Missing</v>
      </c>
      <c r="V84" s="3"/>
      <c r="Z84" s="4" t="s">
        <v>1988</v>
      </c>
      <c r="AA84" s="337" t="str">
        <f>IF(this_instance="sfo","10.21.","10.11.")</f>
        <v>10.21.</v>
      </c>
    </row>
    <row r="85" spans="2:27" s="2" customFormat="1" ht="20" customHeight="1" x14ac:dyDescent="0.2">
      <c r="B85" s="337" t="s">
        <v>1989</v>
      </c>
      <c r="C85" s="337" t="str">
        <f>IF(ISBLANK(input_mgmt_sso_domain_username),"Value Missing",input_mgmt_sso_domain_username)</f>
        <v>Value Missing</v>
      </c>
      <c r="E85" s="336" t="s">
        <v>876</v>
      </c>
      <c r="F85" s="336" t="s">
        <v>19</v>
      </c>
      <c r="H85" s="17" t="s">
        <v>243</v>
      </c>
      <c r="I85" s="337" t="str">
        <f>IF(ISBLANK(input_cluster_az1_host15_fqdn),"Value Missing",input_cluster_az1_host15_fqdn)</f>
        <v>Value Missing</v>
      </c>
      <c r="K85" s="387" t="s">
        <v>1990</v>
      </c>
      <c r="L85" s="387"/>
      <c r="N85" s="4" t="s">
        <v>1737</v>
      </c>
      <c r="O85" s="337" t="str">
        <f>IF(ISBLANK('Configure Workload Domain'!D512),"Value Missing",'Configure Workload Domain'!D512)</f>
        <v>Value Missing</v>
      </c>
      <c r="Q85" s="17" t="s">
        <v>1950</v>
      </c>
      <c r="R85" s="337" t="str">
        <f>IF(xreg_vrops_virtual_fqdn="Value Missing",xreg_vrops_virtual_fqdn,LEFT(xreg_vrops_virtual_fqdn,FIND(".",xreg_vrops_virtual_fqdn)-1))</f>
        <v>Value Missing</v>
      </c>
      <c r="T85" s="4" t="s">
        <v>1991</v>
      </c>
      <c r="U85" s="337" t="str">
        <f>IF(ISBLANK(input_mgmt_srm_vrslcm_wsa_rp),"Value Missing",input_mgmt_srm_vrslcm_wsa_rp)</f>
        <v>Value Missing</v>
      </c>
      <c r="V85" s="3"/>
      <c r="Z85" s="4" t="s">
        <v>1992</v>
      </c>
      <c r="AA85" s="337" t="s">
        <v>1993</v>
      </c>
    </row>
    <row r="86" spans="2:27" s="2" customFormat="1" ht="20" customHeight="1" x14ac:dyDescent="0.2">
      <c r="B86" s="4" t="s">
        <v>1994</v>
      </c>
      <c r="C86" s="337" t="str">
        <f>IF(ISBLANK(input_vcf_instance_name),"Value Missing",input_vcf_instance_name)</f>
        <v>Value Missing</v>
      </c>
      <c r="E86" s="4" t="s">
        <v>1995</v>
      </c>
      <c r="F86" s="337" t="str">
        <f>IF(ISBLANK(input_wld_cl01_vds03_name),"Value Missing",input_wld_cl01_vds03_name)</f>
        <v>Value Missing</v>
      </c>
      <c r="H86" s="17" t="s">
        <v>245</v>
      </c>
      <c r="I86" s="337" t="str">
        <f>IF(ISBLANK(input_cluster_az1_host16_fqdn),"Value Missing",input_cluster_az1_host16_fqdn)</f>
        <v>Value Missing</v>
      </c>
      <c r="K86" s="166" t="s">
        <v>261</v>
      </c>
      <c r="L86" s="167" t="s">
        <v>19</v>
      </c>
      <c r="N86" s="4" t="s">
        <v>1744</v>
      </c>
      <c r="O86" s="337" t="str">
        <f>IF(ISBLANK(input_wld_existing_cross_instance_t0_name),"Value Missing",input_wld_existing_cross_instance_t0_name)</f>
        <v>Value Missing</v>
      </c>
      <c r="Q86" s="17" t="s">
        <v>1955</v>
      </c>
      <c r="R86" s="337" t="str">
        <f>IF(xreg_vrops_nodea_fqdn="Value Missing",xreg_vrops_nodea_fqdn,LEFT(xreg_vrops_nodea_fqdn,FIND(".",xreg_vrops_nodea_fqdn)-1))</f>
        <v>Value Missing</v>
      </c>
      <c r="T86" s="4" t="s">
        <v>1996</v>
      </c>
      <c r="U86" s="337" t="str">
        <f>IF(ISBLANK(input_mgmt_srm_vrops_pg),"Value Missing",input_mgmt_srm_vrops_pg)</f>
        <v>Value Missing</v>
      </c>
      <c r="V86" s="3"/>
      <c r="Z86" s="4" t="s">
        <v>1997</v>
      </c>
      <c r="AA86" s="337"/>
    </row>
    <row r="87" spans="2:27" s="2" customFormat="1" ht="20" customHeight="1" x14ac:dyDescent="0.2">
      <c r="E87" s="4" t="s">
        <v>1998</v>
      </c>
      <c r="F87" s="337" t="str">
        <f>IF(input_wld_cl01_vds03_mtu="","Value Missing",input_wld_cl01_vds03_mtu)</f>
        <v>Value Missing</v>
      </c>
      <c r="H87" s="17" t="s">
        <v>264</v>
      </c>
      <c r="I87" s="337" t="str">
        <f>cluster_principal_storage_chosen</f>
        <v>vSAN-ESA</v>
      </c>
      <c r="K87" s="4" t="s">
        <v>1928</v>
      </c>
      <c r="L87" s="337" t="str">
        <f>IF(ISBLANK('Active Directory Inputs'!G10),"Value Missing",'Active Directory Inputs'!G10)</f>
        <v>Value Missing</v>
      </c>
      <c r="N87" s="4" t="s">
        <v>1441</v>
      </c>
      <c r="O87" s="337"/>
      <c r="Q87" s="17" t="s">
        <v>1999</v>
      </c>
      <c r="R87" s="337" t="str">
        <f>IF(xreg_vrops_nodeb_fqdn="Value Missing",xreg_vrops_nodeb_fqdn,LEFT(xreg_vrops_nodeb_fqdn,FIND(".",xreg_vrops_nodeb_fqdn)-1))</f>
        <v>Value Missing</v>
      </c>
      <c r="T87" s="4" t="s">
        <v>2000</v>
      </c>
      <c r="U87" s="337" t="str">
        <f>IF(ISBLANK(input_mgmt_srm_vrops_rp),"Value Missing",input_mgmt_srm_vrops_rp)</f>
        <v>Value Missing</v>
      </c>
      <c r="V87" s="3"/>
      <c r="Z87" s="4" t="s">
        <v>2001</v>
      </c>
      <c r="AA87" s="337"/>
    </row>
    <row r="88" spans="2:27" s="2" customFormat="1" ht="20" customHeight="1" x14ac:dyDescent="0.2">
      <c r="B88" s="581" t="s">
        <v>2002</v>
      </c>
      <c r="C88" s="582"/>
      <c r="E88" s="4" t="s">
        <v>2003</v>
      </c>
      <c r="F88" s="337" t="str">
        <f>IF(input_wld_cl01_vds03_pnics="","Value Missing",input_wld_cl01_vds03_pnics)</f>
        <v>Value Missing</v>
      </c>
      <c r="H88" s="17" t="s">
        <v>266</v>
      </c>
      <c r="I88" s="337"/>
      <c r="K88" s="4" t="s">
        <v>1932</v>
      </c>
      <c r="L88" s="337" t="str">
        <f>IF(ISBLANK('Active Directory Inputs'!G11),"Value Missing",'Active Directory Inputs'!G11)</f>
        <v>Value Missing</v>
      </c>
      <c r="N88" s="4" t="s">
        <v>1945</v>
      </c>
      <c r="O88" s="337" t="str">
        <f>IF(ISBLANK(input_wld_datacenter),"Value Missing",input_wld_datacenter)</f>
        <v>Value Missing</v>
      </c>
      <c r="Q88" s="17" t="s">
        <v>2004</v>
      </c>
      <c r="R88" s="337" t="str">
        <f>IF(xreg_vrops_nodec_fqdn="Value Missing",xreg_vrops_nodec_fqdn,LEFT(xreg_vrops_nodec_fqdn,FIND(".",xreg_vrops_nodec_fqdn)-1))</f>
        <v>Value Missing</v>
      </c>
      <c r="T88" s="4" t="s">
        <v>2005</v>
      </c>
      <c r="U88" s="337" t="str">
        <f>IF(ISBLANK(input_mgmt_srm_vra_pg),"Value Missing",input_mgmt_srm_vra_pg)</f>
        <v>Value Missing</v>
      </c>
      <c r="V88" s="3"/>
      <c r="Z88" s="4" t="s">
        <v>2006</v>
      </c>
      <c r="AA88" s="337" t="str">
        <f>IF(this_instance="sfo","10.11.99","10.21.99")</f>
        <v>10.11.99</v>
      </c>
    </row>
    <row r="89" spans="2:27" s="2" customFormat="1" ht="20" customHeight="1" x14ac:dyDescent="0.2">
      <c r="B89" s="336" t="s">
        <v>261</v>
      </c>
      <c r="C89" s="336" t="s">
        <v>1904</v>
      </c>
      <c r="E89" s="4" t="s">
        <v>2007</v>
      </c>
      <c r="F89" s="337" t="str">
        <f t="array" ref="F89">IF(ISBLANK(input_wld_cl01_vds03_uplink_count),"Value Missing",input_wld_cl01_vds03_uplink_count)</f>
        <v>Value Missing</v>
      </c>
      <c r="H89" s="17" t="s">
        <v>268</v>
      </c>
      <c r="I89" s="337"/>
      <c r="N89" s="4" t="s">
        <v>2008</v>
      </c>
      <c r="O89" s="337" t="str">
        <f>IF(ISBLANK('Private AI Ready Infrastructure'!D15),"Value Missing",'Private AI Ready Infrastructure'!D15)</f>
        <v>Value Missing</v>
      </c>
      <c r="Q89" s="17" t="s">
        <v>1972</v>
      </c>
      <c r="R89" s="337" t="str">
        <f>IF(xreg_vrops_collector_fqdn="Value Missing",xreg_vrops_collector_fqdn,LEFT(xreg_vrops_collector_fqdn,FIND(".",xreg_vrops_collector_fqdn)-1))</f>
        <v>Value Missing</v>
      </c>
      <c r="T89" s="4" t="s">
        <v>2009</v>
      </c>
      <c r="U89" s="337" t="str">
        <f>IF(ISBLANK(input_mgmt_srm_vra_rp),"Value Missing",input_mgmt_srm_vra_rp)</f>
        <v>Value Missing</v>
      </c>
      <c r="V89" s="3"/>
      <c r="Z89" s="4"/>
      <c r="AA89" s="337"/>
    </row>
    <row r="90" spans="2:27" s="2" customFormat="1" ht="20" customHeight="1" x14ac:dyDescent="0.2">
      <c r="B90" s="4" t="s">
        <v>2010</v>
      </c>
      <c r="C90" s="337" t="str">
        <f>IF(ISBLANK(mgmt_cl01_vds_profile_chosen),"Value Missing",mgmt_cl01_vds_profile_chosen)</f>
        <v>Default</v>
      </c>
      <c r="E90" s="4" t="s">
        <v>2011</v>
      </c>
      <c r="F90" s="337" t="str">
        <f>IF(wld_cl01_vds_profile_chosen&lt;&gt;"Storage Traffic and NSX Traffic Separation","Value Missing","Route Based on Physical Nic Load")</f>
        <v>Value Missing</v>
      </c>
      <c r="H90" s="17" t="s">
        <v>2012</v>
      </c>
      <c r="I90" s="337"/>
      <c r="K90" s="387" t="s">
        <v>2013</v>
      </c>
      <c r="L90" s="387"/>
      <c r="N90" s="4" t="s">
        <v>2014</v>
      </c>
      <c r="O90" s="337" t="str">
        <f>CONCATENATE(wld_sddc_domain,"-",wld_vc_hostname,"-",wld_cl01_cluster,"-vds01-management")</f>
        <v>Value Missing-Value Missing-Value Missing-vds01-management</v>
      </c>
      <c r="Q90" s="8"/>
      <c r="R90" s="8"/>
      <c r="T90" s="4" t="s">
        <v>2015</v>
      </c>
      <c r="U90" s="337" t="str">
        <f>IF(ISBLANK(input_mgmt_srm_recovery_vcenter_fqdn),"Value Missing",input_mgmt_srm_recovery_vcenter_fqdn)</f>
        <v>Value Missing</v>
      </c>
      <c r="V90" s="3"/>
      <c r="Z90" s="6"/>
    </row>
    <row r="91" spans="2:27" s="2" customFormat="1" ht="20" customHeight="1" x14ac:dyDescent="0.2">
      <c r="B91" s="336" t="s">
        <v>857</v>
      </c>
      <c r="C91" s="336" t="s">
        <v>19</v>
      </c>
      <c r="E91" s="4" t="s">
        <v>2016</v>
      </c>
      <c r="F91" s="337"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91" s="17" t="s">
        <v>46</v>
      </c>
      <c r="I91" s="337" t="str">
        <f>IF(ISBLANK(input_cluster_esx_root_username),"Value Missing",input_cluster_esx_root_username)</f>
        <v>Value Missing</v>
      </c>
      <c r="K91" s="166" t="s">
        <v>261</v>
      </c>
      <c r="L91" s="167" t="s">
        <v>19</v>
      </c>
      <c r="Q91" s="595" t="s">
        <v>2017</v>
      </c>
      <c r="R91" s="596"/>
      <c r="T91" s="4" t="s">
        <v>2018</v>
      </c>
      <c r="U91" s="337" t="str">
        <f>IF(ISBLANK(input_mgmt_srm_recovery_vcenter_username),"Value Missing",input_mgmt_srm_recovery_vcenter_username)</f>
        <v>Value Missing</v>
      </c>
      <c r="V91" s="3"/>
    </row>
    <row r="92" spans="2:27" s="2" customFormat="1" ht="20" customHeight="1" x14ac:dyDescent="0.2">
      <c r="B92" s="4" t="s">
        <v>1918</v>
      </c>
      <c r="C92" s="337" t="str">
        <f>IF(ISBLANK('Deploy Management Domain'!L188),"Value Missing",'Deploy Management Domain'!L188)</f>
        <v>Value Missing</v>
      </c>
      <c r="E92" s="4" t="s">
        <v>1946</v>
      </c>
      <c r="F92" s="2" t="str">
        <f t="array" ref="F92">IF(ISBLANK(input_wld_cl01_vds03_lag_name),"Value Missing",input_wld_cl01_vds03_lag_name)</f>
        <v>Value Missing</v>
      </c>
      <c r="H92" s="17" t="s">
        <v>29</v>
      </c>
      <c r="I92" s="337" t="str">
        <f>IF(ISBLANK(input_cluster_esx_root_password),"Value Missing",input_cluster_esx_root_password)</f>
        <v>Value Missing</v>
      </c>
      <c r="K92" s="4" t="s">
        <v>1928</v>
      </c>
      <c r="L92" s="337"/>
      <c r="N92" s="583" t="s">
        <v>2019</v>
      </c>
      <c r="O92" s="584"/>
      <c r="Q92" s="184" t="s">
        <v>261</v>
      </c>
      <c r="R92" s="184" t="s">
        <v>19</v>
      </c>
      <c r="T92" s="4" t="s">
        <v>2020</v>
      </c>
      <c r="U92" s="337" t="str">
        <f>IF(ISBLANK(input_mgmt_srm_recovery_vcenter_password),"Value Missing",input_mgmt_srm_recovery_vcenter_password)</f>
        <v>Value Missing</v>
      </c>
      <c r="V92" s="3"/>
      <c r="Z92" s="384" t="s">
        <v>2021</v>
      </c>
      <c r="AA92" s="389"/>
    </row>
    <row r="93" spans="2:27" s="2" customFormat="1" ht="20" customHeight="1" x14ac:dyDescent="0.2">
      <c r="B93" s="4" t="s">
        <v>2022</v>
      </c>
      <c r="C93" s="337" t="str">
        <f>IF(ISBLANK(input_mgmt_cl01_vds01_uplink1),"Value Missing",input_mgmt_cl01_vds01_uplink1)</f>
        <v>Value Missing</v>
      </c>
      <c r="E93" s="8"/>
      <c r="F93" s="8"/>
      <c r="H93" s="17" t="s">
        <v>2023</v>
      </c>
      <c r="I93" s="337" t="str">
        <f>IF(ISBLANK(input_cluster_name),"Value Missing",input_cluster_name)</f>
        <v>Value Missing</v>
      </c>
      <c r="K93" s="4" t="s">
        <v>1932</v>
      </c>
      <c r="L93" s="337"/>
      <c r="N93" s="4" t="s">
        <v>1326</v>
      </c>
      <c r="O93" s="337" t="str">
        <f>IF(ISBLANK(input_vvs_dr_ntp1_server),"Value Missing",input_vvs_dr_ntp1_server)</f>
        <v>Value Missing</v>
      </c>
      <c r="Q93" s="17" t="s">
        <v>1950</v>
      </c>
      <c r="R93" s="337" t="str">
        <f>IF(ISBLANK(input_xreg_vrops_virtual_fqdn),"Value Missing",input_xreg_vrops_virtual_fqdn)</f>
        <v>Value Missing</v>
      </c>
      <c r="T93" s="4" t="s">
        <v>2024</v>
      </c>
      <c r="U93" s="337" t="str">
        <f>IF(ISBLANK(input_mgmt_srm_recovery_sddc_manager_domain),"Value Missing",input_mgmt_srm_recovery_sddc_manager_domain)</f>
        <v>Value Missing</v>
      </c>
      <c r="V93" s="3"/>
      <c r="Z93" s="166" t="s">
        <v>261</v>
      </c>
      <c r="AA93" s="167" t="s">
        <v>1904</v>
      </c>
    </row>
    <row r="94" spans="2:27" s="2" customFormat="1" ht="20" customHeight="1" x14ac:dyDescent="0.2">
      <c r="B94" s="4" t="s">
        <v>2025</v>
      </c>
      <c r="C94" s="337" t="str">
        <f>IF(ISBLANK(input_mgmt_cl01_vds01_uplink2),"Value Missing",input_mgmt_cl01_vds01_uplink2)</f>
        <v>Value Missing</v>
      </c>
      <c r="E94" s="384" t="s">
        <v>2026</v>
      </c>
      <c r="F94" s="389"/>
      <c r="H94" s="17" t="s">
        <v>2027</v>
      </c>
      <c r="I94" s="337" t="str">
        <f>IF(ISBLANK(input_cluster_image_name),"Value Missing",input_cluster_image_name)</f>
        <v>Value Missing</v>
      </c>
      <c r="N94" s="4" t="s">
        <v>2028</v>
      </c>
      <c r="O94" s="337" t="str">
        <f>IF(ISBLANK(input_vvs_dr_dns1_ip),"Value Missing",input_vvs_dr_dns1_ip)</f>
        <v>Value Missing</v>
      </c>
      <c r="Q94" s="17" t="s">
        <v>1955</v>
      </c>
      <c r="R94" s="337" t="str">
        <f>IF(ISBLANK(input_xreg_vrops_nodea_fqdn),"Value Missing",input_xreg_vrops_nodea_fqdn)</f>
        <v>Value Missing</v>
      </c>
      <c r="T94" s="4" t="s">
        <v>2029</v>
      </c>
      <c r="U94" s="337" t="str">
        <f>IF(ISBLANK(input_mgmt_srm_recovery_nsx_location),"Value Missing",input_mgmt_srm_recovery_nsx_location)</f>
        <v>Value Missing</v>
      </c>
      <c r="V94" s="3"/>
      <c r="Z94" s="4" t="s">
        <v>2030</v>
      </c>
      <c r="AA94" s="337" t="str">
        <f>IF(AND((spr_chosen="Management Only"),(spr_result="Included")),"True","False")</f>
        <v>False</v>
      </c>
    </row>
    <row r="95" spans="2:27" s="2" customFormat="1" ht="20" customHeight="1" x14ac:dyDescent="0.2">
      <c r="B95" s="4" t="s">
        <v>1927</v>
      </c>
      <c r="C95" s="337" t="str">
        <f>IF(ISBLANK(input_mgmt_cl01_vds01_uplink_count),"Value Missing",input_mgmt_cl01_vds01_uplink_count)</f>
        <v>Value Missing</v>
      </c>
      <c r="E95" s="166" t="s">
        <v>261</v>
      </c>
      <c r="F95" s="167" t="s">
        <v>1904</v>
      </c>
      <c r="H95" s="17" t="s">
        <v>838</v>
      </c>
      <c r="I95" s="337"/>
      <c r="K95" s="387" t="s">
        <v>2031</v>
      </c>
      <c r="L95" s="387"/>
      <c r="N95" s="4" t="s">
        <v>2032</v>
      </c>
      <c r="O95" s="337" t="str">
        <f>IF(ISBLANK(input_vvs_dr_dns2_ip),"Value Missing",input_vvs_dr_dns2_ip)</f>
        <v>Value Missing</v>
      </c>
      <c r="Q95" s="17" t="s">
        <v>1961</v>
      </c>
      <c r="R95" s="337" t="str">
        <f>IF(ISBLANK(input_xreg_vrops_nodeb_fqdn),"Value Missing",input_xreg_vrops_nodeb_fqdn)</f>
        <v>Value Missing</v>
      </c>
      <c r="T95" s="4" t="s">
        <v>2033</v>
      </c>
      <c r="U95" s="337" t="str">
        <f>IF(ISBLANK(input_mgmt_srm_recovery_nsx_ec_name),"Value Missing",input_mgmt_srm_recovery_nsx_ec_name)</f>
        <v>Value Missing</v>
      </c>
      <c r="V95" s="3"/>
      <c r="Z95" s="4" t="s">
        <v>2034</v>
      </c>
      <c r="AA95" s="337" t="str">
        <f>IF(AND((spr_chosen="VI Workload Only"),(spr_result="Included")),"True","False")</f>
        <v>False</v>
      </c>
    </row>
    <row r="96" spans="2:27" s="2" customFormat="1" ht="20" customHeight="1" x14ac:dyDescent="0.2">
      <c r="B96" s="4" t="s">
        <v>1931</v>
      </c>
      <c r="C96" s="337" t="str">
        <f>IF(ISBLANK(input_mgmt_cl01_vds01_mtu),"Value Missing",input_mgmt_cl01_vds01_mtu)</f>
        <v>Value Missing</v>
      </c>
      <c r="E96" s="4" t="s">
        <v>2035</v>
      </c>
      <c r="F96" s="337" t="str">
        <f>IF(ISBLANK(input_wld_cl01_vsan_datastore),"Value Missing",input_wld_cl01_vsan_datastore)</f>
        <v>Value Missing</v>
      </c>
      <c r="H96" s="22" t="s">
        <v>1170</v>
      </c>
      <c r="I96" s="337" t="str">
        <f>IF(ISBLANK(input_cluster_storage_cluster_name),"Value Missing",input_cluster_storage_cluster_name)</f>
        <v>Value Missing</v>
      </c>
      <c r="K96" s="166" t="s">
        <v>261</v>
      </c>
      <c r="L96" s="167" t="s">
        <v>19</v>
      </c>
      <c r="N96" s="4" t="s">
        <v>2036</v>
      </c>
      <c r="O96" s="337" t="str">
        <f>IF(ISBLANK(input_vvs_dr_parent_dns_zone),"Value Missing",input_vvs_dr_parent_dns_zone)</f>
        <v>Value Missing</v>
      </c>
      <c r="Q96" s="17" t="s">
        <v>1967</v>
      </c>
      <c r="R96" s="337" t="str">
        <f>IF(ISBLANK(input_xreg_vrops_nodec_fqdn),"Value Missing",input_xreg_vrops_nodec_fqdn)</f>
        <v>Value Missing</v>
      </c>
      <c r="T96" s="4" t="s">
        <v>2037</v>
      </c>
      <c r="U96" s="337" t="str">
        <f>IF(ISBLANK(input_mgmt_srm_recovery_cluster),"Value Missing",input_mgmt_srm_recovery_cluster)</f>
        <v>Value Missing</v>
      </c>
      <c r="V96" s="3"/>
      <c r="Z96" s="4" t="s">
        <v>2038</v>
      </c>
      <c r="AA96" s="337" t="str">
        <f>IF(spr_chosen="Management &amp; VI Workload","True","False")</f>
        <v>False</v>
      </c>
    </row>
    <row r="97" spans="2:27" s="2" customFormat="1" ht="20" customHeight="1" x14ac:dyDescent="0.2">
      <c r="B97" s="4" t="s">
        <v>1946</v>
      </c>
      <c r="C97" s="337" t="str">
        <f>IF(ISBLANK(input_mgmt_cl01_vds01_lag_name),"Value Missing",input_mgmt_cl01_vds01_lag_name)</f>
        <v>Value Missing</v>
      </c>
      <c r="E97" s="4" t="s">
        <v>2039</v>
      </c>
      <c r="F97" s="337" t="str">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97" s="22" t="s">
        <v>279</v>
      </c>
      <c r="I97" s="337" t="str">
        <f>IF(ISBLANK(input_cluster_vsan_datastore),"Value Missing",input_cluster_vsan_datastore)</f>
        <v>Value Missing</v>
      </c>
      <c r="K97" s="4" t="s">
        <v>2040</v>
      </c>
      <c r="L97" s="337" t="s">
        <v>1844</v>
      </c>
      <c r="N97" s="4" t="s">
        <v>2041</v>
      </c>
      <c r="O97" s="337" t="str">
        <f>IF(ISBLANK(input_vvs_dr_flt_fleet_manager_fqdn),"Value Missing",input_vvs_dr_flt_fleet_manager_fqdn)</f>
        <v>Value Missing</v>
      </c>
      <c r="Q97" s="17" t="s">
        <v>1972</v>
      </c>
      <c r="R97" s="337" t="str">
        <f>IF(ISBLANK(input_xreg_vrops_collector_fqdn),"Value Missing",input_xreg_vrops_collector_fqdn)</f>
        <v>Value Missing</v>
      </c>
      <c r="T97" s="4" t="s">
        <v>2042</v>
      </c>
      <c r="U97" s="337" t="str">
        <f>IF(ISBLANK(input_mgmt_srm_recovery_datastore),"Value Missing",input_mgmt_srm_recovery_datastore)</f>
        <v>Value Missing</v>
      </c>
      <c r="V97" s="3"/>
      <c r="Z97" s="4" t="s">
        <v>2043</v>
      </c>
      <c r="AA97" s="337" t="str">
        <f>IF(AND((mgmt_domain_chosen="Deploy a new VCF fleet"),(OR((spr_mo_result="True"),(spr_mw_result="True")))),"True","False")</f>
        <v>False</v>
      </c>
    </row>
    <row r="98" spans="2:27" s="2" customFormat="1" ht="20" customHeight="1" x14ac:dyDescent="0.2">
      <c r="B98" s="336" t="s">
        <v>873</v>
      </c>
      <c r="C98" s="336" t="s">
        <v>19</v>
      </c>
      <c r="E98" s="4" t="s">
        <v>843</v>
      </c>
      <c r="F98" s="337" t="str">
        <f>IF(ISBLANK('Deploy Workload Domain'!D204),"Value Missing",'Deploy Workload Domain'!D204)</f>
        <v>Unselected</v>
      </c>
      <c r="H98" s="22" t="s">
        <v>841</v>
      </c>
      <c r="I98" s="337"/>
      <c r="K98" s="4" t="s">
        <v>2044</v>
      </c>
      <c r="L98" s="337" t="s">
        <v>1844</v>
      </c>
      <c r="N98" s="4" t="s">
        <v>2045</v>
      </c>
      <c r="O98" s="337" t="str">
        <f>IF(ISBLANK(input_vvs_dr_flt_ops_nodea_fqdn),"Value Missing",input_vvs_dr_flt_ops_nodea_fqdn)</f>
        <v>Value Missing</v>
      </c>
      <c r="Q98" s="8"/>
      <c r="R98" s="8"/>
      <c r="T98" s="4" t="s">
        <v>2046</v>
      </c>
      <c r="U98" s="337" t="str">
        <f>IF(ISBLANK(input_mgmt_vrms_recovery_replication_cidr),"Value Missing",input_mgmt_vrms_recovery_replication_cidr)</f>
        <v>Value Missing</v>
      </c>
      <c r="V98" s="3"/>
      <c r="Z98" s="4" t="s">
        <v>2047</v>
      </c>
      <c r="AA98" s="337" t="str">
        <f>IF(AND((mgmt_domain_chosen&lt;&gt;"First Domain"),(OR((spr_mo_result="True"),(spr_mw_result="True")))),"True","False")</f>
        <v>False</v>
      </c>
    </row>
    <row r="99" spans="2:27" s="2" customFormat="1" ht="20" customHeight="1" x14ac:dyDescent="0.2">
      <c r="B99" s="4" t="s">
        <v>1954</v>
      </c>
      <c r="C99" s="337" t="str">
        <f>IF(ISBLANK(input_mgmt_cl01_vds02_name),"Value Missing",input_mgmt_cl01_vds02_name)</f>
        <v>Value Missing</v>
      </c>
      <c r="E99" s="4" t="s">
        <v>844</v>
      </c>
      <c r="F99" s="337" t="str">
        <f>IF(ISBLANK(input_wld_cl01_vmfs_datastore_name),"Value Missing",input_wld_cl01_vmfs_datastore_name)</f>
        <v>Value Missing</v>
      </c>
      <c r="H99" s="22" t="s">
        <v>2048</v>
      </c>
      <c r="I99" s="337" t="str">
        <f>IF(ISBLANK(cluster_vsan_ftt_chosen),"Value Missing",cluster_vsan_ftt_chosen)</f>
        <v>1</v>
      </c>
      <c r="K99" s="4" t="s">
        <v>2049</v>
      </c>
      <c r="L99" s="337" t="s">
        <v>431</v>
      </c>
      <c r="N99" s="4" t="s">
        <v>2050</v>
      </c>
      <c r="O99" s="337" t="str">
        <f t="array" ref="O99">IF(ISBLANK(input_vvs_dr_flt_ops_nodeb_fqdn),"Value Missing",input_vvs_dr_flt_ops_nodeb_fqdn)</f>
        <v>Value Missing</v>
      </c>
      <c r="Q99" s="387" t="s">
        <v>2051</v>
      </c>
      <c r="R99" s="387"/>
      <c r="T99" s="4" t="s">
        <v>2052</v>
      </c>
      <c r="U99" s="337" t="str">
        <f>IF(ISBLANK(input_mgmt_srm_sso_domain_membership),"Value Missing",input_mgmt_srm_sso_domain_membership)</f>
        <v>Value Missing</v>
      </c>
      <c r="V99" s="3"/>
      <c r="Z99" s="4" t="s">
        <v>2053</v>
      </c>
      <c r="AA99" s="337" t="str">
        <f>IF(AND((mgmt_domain_chosen="First Domain"),(OR((spr_wo_result="True"),(spr_mw_result="True")))),"True","False")</f>
        <v>False</v>
      </c>
    </row>
    <row r="100" spans="2:27" s="2" customFormat="1" ht="20" customHeight="1" x14ac:dyDescent="0.2">
      <c r="B100" s="4" t="s">
        <v>2054</v>
      </c>
      <c r="C100" s="337" t="str">
        <f>IF(ISBLANK(input_mgmt_cl01_vds02_uplink1),"Value Missing",input_mgmt_cl01_vds02_uplink1)</f>
        <v>Value Missing</v>
      </c>
      <c r="E100" s="22" t="s">
        <v>845</v>
      </c>
      <c r="F100" s="337" t="str">
        <f>IF(ISBLANK('Deploy Workload Domain'!D206),"Value Missing",'Deploy Workload Domain'!D206)</f>
        <v>Value Missing</v>
      </c>
      <c r="H100" s="22" t="s">
        <v>843</v>
      </c>
      <c r="I100" s="337" t="str">
        <f>IF(ISBLANK(cluster_vsan_dedupe_compression_chosen),"Value Missing",cluster_vsan_dedupe_compression_chosen)</f>
        <v>Unselected</v>
      </c>
      <c r="K100" s="4" t="s">
        <v>2055</v>
      </c>
      <c r="L100" s="337" t="str">
        <f>IF(ISBLANK(input_svc_vrops_vra_user),"Value Missing",input_svc_vrops_vra_user)</f>
        <v>Value Missing</v>
      </c>
      <c r="N100" s="4" t="s">
        <v>2056</v>
      </c>
      <c r="O100" s="337" t="str">
        <f t="array" ref="O100">IF(ISBLANK(input_vvs_dr_flt_ops_nodec_fqdn),"Value Missing",input_vvs_dr_flt_ops_nodec_fqdn)</f>
        <v>Value Missing</v>
      </c>
      <c r="Q100" s="166" t="s">
        <v>261</v>
      </c>
      <c r="R100" s="167" t="s">
        <v>19</v>
      </c>
      <c r="T100" s="8"/>
      <c r="U100" s="8"/>
      <c r="V100" s="3"/>
      <c r="Z100" s="4" t="s">
        <v>2057</v>
      </c>
      <c r="AA100" s="337" t="str">
        <f>IF((mgmt_nsxt_federation_result="Included"),"True","False")</f>
        <v>False</v>
      </c>
    </row>
    <row r="101" spans="2:27" s="2" customFormat="1" ht="20" customHeight="1" x14ac:dyDescent="0.2">
      <c r="B101" s="4" t="s">
        <v>2058</v>
      </c>
      <c r="C101" s="337" t="str">
        <f>IF(ISBLANK(input_mgmt_cl01_vds02_uplink2),"Value Missing",input_mgmt_cl01_vds02_uplink2)</f>
        <v>Value Missing</v>
      </c>
      <c r="E101" s="22" t="s">
        <v>846</v>
      </c>
      <c r="F101" s="337" t="str">
        <f>IF(ISBLANK('Deploy Workload Domain'!D207),"Value Missing",'Deploy Workload Domain'!D207)</f>
        <v>Value Missing</v>
      </c>
      <c r="H101" s="22" t="s">
        <v>844</v>
      </c>
      <c r="I101" s="337" t="str">
        <f>IF(ISBLANK(input_cluster_vmfs_datastore_name),"Value Missing",input_cluster_vmfs_datastore_name)</f>
        <v>Value Missing</v>
      </c>
      <c r="K101" s="4" t="s">
        <v>2059</v>
      </c>
      <c r="L101" s="337" t="s">
        <v>431</v>
      </c>
      <c r="N101" s="4" t="s">
        <v>2060</v>
      </c>
      <c r="O101" s="337" t="str">
        <f>IF(ISBLANK(input_vvs_dr_flt_logs_nodea_fqdn),"Value Missing",input_vvs_dr_flt_logs_nodea_fqdn)</f>
        <v>Value Missing</v>
      </c>
      <c r="Q101" s="361" t="s">
        <v>2061</v>
      </c>
      <c r="R101" s="337" t="str">
        <f>IF(ISBLANK(input_mgmt_vrms_mgmt_ip),"Value Missing",input_mgmt_vrms_mgmt_ip)</f>
        <v>Value Missing</v>
      </c>
      <c r="T101" s="387" t="s">
        <v>2062</v>
      </c>
      <c r="U101" s="387"/>
      <c r="V101" s="3"/>
      <c r="Z101" s="4" t="s">
        <v>2063</v>
      </c>
      <c r="AA101" s="337" t="str">
        <f>IF(AND((mgmt_nsxt_federation_result="Included"),(wld_domain_result="Included")),"True","False")</f>
        <v>False</v>
      </c>
    </row>
    <row r="102" spans="2:27" s="2" customFormat="1" ht="20" customHeight="1" x14ac:dyDescent="0.2">
      <c r="B102" s="337" t="s">
        <v>1965</v>
      </c>
      <c r="C102" s="337" t="str">
        <f>IF(ISBLANK(input_mgmt_cl01_vds02_uplink_count),"Value Missing",input_mgmt_cl01_vds02_uplink_count)</f>
        <v>Value Missing</v>
      </c>
      <c r="E102" s="22" t="s">
        <v>847</v>
      </c>
      <c r="F102" s="337" t="str">
        <f>IF(ISBLANK('Deploy Workload Domain'!D208),"Value Missing",'Deploy Workload Domain'!D208)</f>
        <v>Value Missing</v>
      </c>
      <c r="H102" s="22" t="s">
        <v>845</v>
      </c>
      <c r="I102" s="337" t="str">
        <f>IF(ISBLANK(input_cluster_nfs_datastore_name),"Value Missing",input_cluster_nfs_datastore_name)</f>
        <v>Value Missing</v>
      </c>
      <c r="K102" s="4" t="s">
        <v>2064</v>
      </c>
      <c r="L102" s="337"/>
      <c r="N102" s="4" t="s">
        <v>2065</v>
      </c>
      <c r="O102" s="337" t="str">
        <f>IF(ISBLANK(input_vvs_dr_flt_logs_nodeb_fqdn),"Value Missing",input_vvs_dr_flt_logs_nodeb_fqdn)</f>
        <v>Value Missing</v>
      </c>
      <c r="Q102" s="361" t="s">
        <v>2066</v>
      </c>
      <c r="R102" s="337" t="str">
        <f>IF(ISBLANK(input_mgmt_vrms_vrms_ip),"Value Missing",input_mgmt_vrms_vrms_ip)</f>
        <v>Value Missing</v>
      </c>
      <c r="T102" s="166" t="s">
        <v>261</v>
      </c>
      <c r="U102" s="167" t="s">
        <v>19</v>
      </c>
      <c r="V102" s="3"/>
      <c r="Z102" s="4" t="s">
        <v>2067</v>
      </c>
      <c r="AA102" s="337" t="str">
        <f>IF(AND((mgmt_nsxt_federation_result="Included")),"True","False")</f>
        <v>False</v>
      </c>
    </row>
    <row r="103" spans="2:27" s="2" customFormat="1" ht="20" customHeight="1" x14ac:dyDescent="0.2">
      <c r="B103" s="4" t="s">
        <v>1971</v>
      </c>
      <c r="C103" s="337" t="str">
        <f>IF(ISBLANK(input_mgmt_cl01_vds02_mtu),"Value Missing",input_mgmt_cl01_vds02_mtu)</f>
        <v>Value Missing</v>
      </c>
      <c r="H103" s="22" t="s">
        <v>846</v>
      </c>
      <c r="I103" s="337" t="str">
        <f>IF(ISBLANK(input_cluster_nfs_share_path),"Value Missing",input_cluster_nfs_share_path)</f>
        <v>Value Missing</v>
      </c>
      <c r="K103" s="4" t="s">
        <v>2068</v>
      </c>
      <c r="L103" s="337" t="str">
        <f>IF(ISBLANK('Active Directory Inputs'!E37),"Value Missing",'Active Directory Inputs'!E37)</f>
        <v>Value Missing</v>
      </c>
      <c r="N103" s="4" t="s">
        <v>2069</v>
      </c>
      <c r="O103" s="337" t="str">
        <f>IF(ISBLANK(input_vvs_dr_flt_logs_nodec_fqdn),"Value Missing",input_vvs_dr_flt_logs_nodec_fqdn)</f>
        <v>Value Missing</v>
      </c>
      <c r="Q103" s="361" t="s">
        <v>2070</v>
      </c>
      <c r="R103" s="337" t="str">
        <f>IF(ISBLANK(input_mgmt_srm_ip),"Value Missing",input_mgmt_srm_ip)</f>
        <v>Value Missing</v>
      </c>
      <c r="T103" s="4" t="s">
        <v>1896</v>
      </c>
      <c r="U103" s="337" t="str">
        <f>IF(ISBLANK(input_wld_vrms_vm_folder),"Value Missing",input_wld_vrms_vm_folder)</f>
        <v>Value Missing</v>
      </c>
      <c r="V103" s="3"/>
      <c r="Z103" s="4" t="s">
        <v>2071</v>
      </c>
      <c r="AA103" s="337" t="str">
        <f>IF(AND((mgmt_domain_chosen&lt;&gt;"First Domain"),(mgmt_nsxt_federation_result="Included"),(wld_domain_result="Included")),"True","False")</f>
        <v>False</v>
      </c>
    </row>
    <row r="104" spans="2:27" s="2" customFormat="1" ht="20" customHeight="1" x14ac:dyDescent="0.2">
      <c r="B104" s="4" t="s">
        <v>1946</v>
      </c>
      <c r="C104" s="337" t="str">
        <f>IF(ISBLANK(input_mgmt_cl01_vds02_lag_name),"Value Missing",input_mgmt_cl01_vds02_lag_name)</f>
        <v>Value Missing</v>
      </c>
      <c r="E104" s="387" t="s">
        <v>2072</v>
      </c>
      <c r="F104" s="387"/>
      <c r="H104" s="22" t="s">
        <v>847</v>
      </c>
      <c r="I104" s="337" t="str">
        <f>IF(ISBLANK(input_cluster_nfs_server_address),"Value Missing",input_cluster_nfs_server_address)</f>
        <v>Value Missing</v>
      </c>
      <c r="K104" s="4" t="s">
        <v>2073</v>
      </c>
      <c r="L104" s="337" t="str">
        <f>IF(ISBLANK('Active Directory Inputs'!E38),"Value Missing",'Active Directory Inputs'!E38)</f>
        <v>Value Missing</v>
      </c>
      <c r="N104" s="4" t="s">
        <v>2074</v>
      </c>
      <c r="O104" s="337" t="str">
        <f>IF(ISBLANK(input_vvs_dr_flt_net_nodea_fqdn),"Value Missing",input_vvs_dr_flt_net_nodea_fqdn)</f>
        <v>Value Missing</v>
      </c>
      <c r="Q104" s="361" t="s">
        <v>2075</v>
      </c>
      <c r="R104" s="337" t="str">
        <f>IF(ISBLANK(input_mgmt_srm_recovery_t1_si_ip),"Value Missing",input_mgmt_srm_recovery_t1_si_ip)</f>
        <v>Value Missing</v>
      </c>
      <c r="T104" s="4" t="s">
        <v>1901</v>
      </c>
      <c r="U104" s="337" t="str">
        <f>IF(ISBLANK(input_wld_vrms_root_password),"Value Missing",input_wld_vrms_root_password)</f>
        <v>Value Missing</v>
      </c>
      <c r="V104" s="3"/>
      <c r="Z104" s="4" t="s">
        <v>2076</v>
      </c>
      <c r="AA104" s="337" t="str">
        <f>IF(wld_domain_result="Included",IF(wld_domain_chosen="Create New SSO Domain","False","True"),"False")</f>
        <v>False</v>
      </c>
    </row>
    <row r="105" spans="2:27" s="2" customFormat="1" ht="20" customHeight="1" x14ac:dyDescent="0.2">
      <c r="B105" s="336" t="s">
        <v>876</v>
      </c>
      <c r="C105" s="336" t="s">
        <v>19</v>
      </c>
      <c r="E105" s="4" t="s">
        <v>261</v>
      </c>
      <c r="F105" s="4" t="s">
        <v>19</v>
      </c>
      <c r="H105" s="17" t="s">
        <v>2077</v>
      </c>
      <c r="I105" s="337" t="str">
        <f>IF(ISBLANK(cluster_vds_profile_chosen),"Value Missing",cluster_vds_profile_chosen)</f>
        <v>Default</v>
      </c>
      <c r="K105" s="4" t="s">
        <v>2078</v>
      </c>
      <c r="L105" s="337" t="str">
        <f>IF(ISBLANK('Active Directory Inputs'!E39),"Value Missing",'Active Directory Inputs'!E39)</f>
        <v>Value Missing</v>
      </c>
      <c r="N105" s="4" t="s">
        <v>2079</v>
      </c>
      <c r="O105" s="337" t="str">
        <f>IF(ISBLANK(input_vvs_dr_flt_net_nodeb_fqdn),"Value Missing",input_vvs_dr_flt_net_nodeb_fqdn)</f>
        <v>Value Missing</v>
      </c>
      <c r="Q105" s="8"/>
      <c r="R105" s="8"/>
      <c r="T105" s="4" t="s">
        <v>1906</v>
      </c>
      <c r="U105" s="337" t="str">
        <f>IF(ISBLANK(input_wld_vrms_admin_password),"Value Missing",input_wld_vrms_admin_password)</f>
        <v>Value Missing</v>
      </c>
      <c r="V105" s="3"/>
      <c r="Z105" s="4" t="s">
        <v>2080</v>
      </c>
      <c r="AA105" s="337">
        <f t="array" ref="AA105">SUM(IF('Management Domain Sizing'!C36:C59="VI Workload Domain",1,0))</f>
        <v>0</v>
      </c>
    </row>
    <row r="106" spans="2:27" s="2" customFormat="1" ht="20" customHeight="1" x14ac:dyDescent="0.2">
      <c r="B106" s="4" t="s">
        <v>1995</v>
      </c>
      <c r="C106" s="337" t="str">
        <f>IF(ISBLANK(input_mgmt_cl01_vds03_name),"Value Missing",input_mgmt_cl01_vds03_name)</f>
        <v>Value Missing</v>
      </c>
      <c r="E106" s="361" t="s">
        <v>1657</v>
      </c>
      <c r="F106" s="337" t="str">
        <f>IF(ISBLANK('Configure Workload Domain'!D265),"Value Missing",'Configure Workload Domain'!D265)</f>
        <v>Value Missing</v>
      </c>
      <c r="H106" s="17" t="s">
        <v>853</v>
      </c>
      <c r="I106" s="337"/>
      <c r="K106" s="4" t="s">
        <v>2081</v>
      </c>
      <c r="L106" s="337" t="str">
        <f>IF(ISBLANK('Active Directory Inputs'!E40),"Value Missing",'Active Directory Inputs'!E40)</f>
        <v>Value Missing</v>
      </c>
      <c r="N106" s="4" t="s">
        <v>2082</v>
      </c>
      <c r="O106" s="337" t="str">
        <f>IF(ISBLANK(input_vvs_dr_flt_net_nodec_fqdn),"Value Missing",input_vvs_dr_flt_net_nodec_fqdn)</f>
        <v>Value Missing</v>
      </c>
      <c r="Q106" s="387" t="s">
        <v>2083</v>
      </c>
      <c r="R106" s="387"/>
      <c r="T106" s="4" t="s">
        <v>1912</v>
      </c>
      <c r="U106" s="337" t="str">
        <f>IF(ISBLANK(input_wld_vrms_site_name),"Value Missing",input_wld_vrms_site_name)</f>
        <v>Value Missing</v>
      </c>
      <c r="V106" s="3"/>
      <c r="Z106" s="74" t="s">
        <v>2084</v>
      </c>
      <c r="AA106" s="186">
        <f t="array" ref="AA106">SUM(IF('Management Domain Sizing'!C36:C59="Isolated VI Workload Domain",1,0))</f>
        <v>0</v>
      </c>
    </row>
    <row r="107" spans="2:27" s="2" customFormat="1" ht="20" customHeight="1" x14ac:dyDescent="0.2">
      <c r="B107" s="4" t="s">
        <v>2085</v>
      </c>
      <c r="C107" s="337" t="str">
        <f>IF(ISBLANK(input_mgmt_cl01_vds03_uplink1),"Value Missing",input_mgmt_cl01_vds03_uplink1)</f>
        <v>Value Missing</v>
      </c>
      <c r="E107" s="361" t="s">
        <v>278</v>
      </c>
      <c r="F107" s="337" t="str">
        <f>IF(ISBLANK(input_wld_witness_hostname),"Value Missing",input_wld_witness_hostname)</f>
        <v>Value Missing</v>
      </c>
      <c r="H107" s="17" t="s">
        <v>857</v>
      </c>
      <c r="I107" s="337" t="str">
        <f>IF(ISBLANK(input_cluster_vds01_name),"Value Missing",input_cluster_vds01_name)</f>
        <v>Value Missing</v>
      </c>
      <c r="K107" s="4" t="s">
        <v>2086</v>
      </c>
      <c r="L107" s="337" t="str">
        <f>IF(ISBLANK('Active Directory Inputs'!E41),"Value Missing",'Active Directory Inputs'!E41)</f>
        <v>Value Missing</v>
      </c>
      <c r="N107" s="4" t="s">
        <v>2087</v>
      </c>
      <c r="O107" s="337" t="str">
        <f>IF(ISBLANK(input_vvs_dr_flt_auto_fqdn),"Value Missing",input_vvs_dr_flt_auto_fqdn)</f>
        <v>Value Missing</v>
      </c>
      <c r="Q107" s="166" t="s">
        <v>261</v>
      </c>
      <c r="R107" s="167" t="s">
        <v>19</v>
      </c>
      <c r="T107" s="4" t="s">
        <v>1916</v>
      </c>
      <c r="U107" s="337" t="str">
        <f>IF(ISBLANK(input_wld_vrms_admin_email),"Value Missing",input_wld_vrms_admin_email)</f>
        <v>Value Missing</v>
      </c>
      <c r="V107" s="3"/>
      <c r="Z107" s="187" t="s">
        <v>2088</v>
      </c>
      <c r="AA107" s="188" t="str">
        <f>IF(AND(OR(vcf_granular_option_chosen="Full Instance",vcf_granular_option_chosen="Additional VCF Instance"),(wld_domain_result="Excluded")),"Included","Excluded")</f>
        <v>Excluded</v>
      </c>
    </row>
    <row r="108" spans="2:27" s="2" customFormat="1" ht="20" customHeight="1" x14ac:dyDescent="0.2">
      <c r="B108" s="4" t="s">
        <v>2089</v>
      </c>
      <c r="C108" s="337" t="str">
        <f>IF(ISBLANK(input_mgmt_cl01_vds03_uplink2),"Value Missing",input_mgmt_cl01_vds03_uplink2)</f>
        <v>Value Missing</v>
      </c>
      <c r="H108" s="17" t="s">
        <v>160</v>
      </c>
      <c r="I108" s="337" t="str">
        <f>IF(ISBLANK(input_cluster_vds01_mtu),"Value Missing",input_cluster_vds01_mtu)</f>
        <v>Value Missing</v>
      </c>
      <c r="N108" s="4" t="s">
        <v>814</v>
      </c>
      <c r="O108" s="337" t="str">
        <f>IF(ISBLANK(input_vvs_dr_mgmt_vc_fqdn),"Value Missing",input_vvs_dr_mgmt_vc_fqdn)</f>
        <v>Value Missing</v>
      </c>
      <c r="Q108" s="361" t="s">
        <v>2061</v>
      </c>
      <c r="R108" s="337" t="str">
        <f>IF(ISBLANK(input_wld_vrms_mgmt_ip),"Value Missing",input_wld_vrms_mgmt_ip)</f>
        <v>Value Missing</v>
      </c>
      <c r="T108" s="4" t="s">
        <v>1922</v>
      </c>
      <c r="U108" s="337" t="str">
        <f>IF(ISBLANK(input_wld_vrms_pg),"Value Missing",input_wld_vrms_pg)</f>
        <v>Value Missing</v>
      </c>
      <c r="V108" s="3"/>
    </row>
    <row r="109" spans="2:27" s="2" customFormat="1" ht="20" customHeight="1" x14ac:dyDescent="0.2">
      <c r="B109" s="4" t="s">
        <v>2007</v>
      </c>
      <c r="C109" s="337" t="str">
        <f>IF(ISBLANK(input_mgmt_cl01_vds03_uplink_count),"Value Missing",input_mgmt_cl01_vds03_uplink_count)</f>
        <v>Value Missing</v>
      </c>
      <c r="E109" s="391" t="s">
        <v>2090</v>
      </c>
      <c r="F109" s="390"/>
      <c r="H109" s="4" t="s">
        <v>337</v>
      </c>
      <c r="I109" s="337" t="str">
        <f>IF(ISBLANK(input_cluster_az1_host_overlay_network_profile_name),"Value Missing",input_cluster_az1_host_overlay_network_profile_name)</f>
        <v>Value Missing</v>
      </c>
      <c r="K109" s="579" t="s">
        <v>2091</v>
      </c>
      <c r="L109" s="580"/>
      <c r="N109" s="4" t="s">
        <v>2092</v>
      </c>
      <c r="O109" s="337" t="str">
        <f>IF(ISBLANK(input_vvs_dr_mgmt_cl01_cluster),"Value Missing",input_vvs_dr_mgmt_cl01_cluster)</f>
        <v>Value Missing</v>
      </c>
      <c r="Q109" s="361" t="s">
        <v>2066</v>
      </c>
      <c r="R109" s="337" t="str">
        <f>IF(ISBLANK(input_wld_vrms_vrms_ip),"Value Missing",input_wld_vrms_vrms_ip)</f>
        <v>Value Missing</v>
      </c>
      <c r="T109" s="4" t="s">
        <v>1925</v>
      </c>
      <c r="U109" s="337" t="str">
        <f>IF(ISBLANK(input_wld_vrms_p12_password),"Value Missing",input_wld_vrms_p12_password)</f>
        <v>Value Missing</v>
      </c>
      <c r="V109" s="3"/>
    </row>
    <row r="110" spans="2:27" s="2" customFormat="1" ht="20" customHeight="1" x14ac:dyDescent="0.2">
      <c r="B110" s="4" t="s">
        <v>1998</v>
      </c>
      <c r="C110" s="337" t="str">
        <f>IF(ISBLANK(input_mgmt_cl01_vds03_mtu),"Value Missing",input_mgmt_cl01_vds03_mtu)</f>
        <v>Value Missing</v>
      </c>
      <c r="E110" s="336" t="s">
        <v>261</v>
      </c>
      <c r="F110" s="184" t="s">
        <v>19</v>
      </c>
      <c r="H110" s="22" t="s">
        <v>867</v>
      </c>
      <c r="I110" s="337" t="str">
        <f>IF(ISBLANK(input_cluster_vds01_uplink_count),"Value Missing",input_cluster_vds01_uplink_count)</f>
        <v>Value Missing</v>
      </c>
      <c r="K110" s="166" t="s">
        <v>261</v>
      </c>
      <c r="L110" s="167" t="s">
        <v>19</v>
      </c>
      <c r="N110" s="4" t="s">
        <v>2093</v>
      </c>
      <c r="O110" s="337" t="str">
        <f>IF(ISBLANK(input_vvs_mgmt_dr_vlr_fqdn),"Value Missing",input_vvs_mgmt_dr_vlr_fqdn)</f>
        <v>Value Missing</v>
      </c>
      <c r="Q110" s="361" t="s">
        <v>2070</v>
      </c>
      <c r="R110" s="337" t="str">
        <f>IF(ISBLANK(input_wld_srm_ip),"Value Missing",input_wld_srm_ip)</f>
        <v>Value Missing</v>
      </c>
      <c r="T110" s="4" t="s">
        <v>1933</v>
      </c>
      <c r="U110" s="337" t="str">
        <f>IF(ISBLANK(input_wld_srm_vm_folder),"Value Missing",input_wld_srm_vm_folder)</f>
        <v>Value Missing</v>
      </c>
      <c r="V110" s="3"/>
    </row>
    <row r="111" spans="2:27" s="2" customFormat="1" ht="20" customHeight="1" x14ac:dyDescent="0.2">
      <c r="B111" s="4" t="s">
        <v>1946</v>
      </c>
      <c r="C111" s="337" t="str">
        <f t="array" ref="C111">IF(ISBLANK(input_mgmt_cl01_vds03_lag_name),"Value Missing",input_mgmt_cl01_vds03_lag_name)</f>
        <v>Value Missing</v>
      </c>
      <c r="E111" s="4" t="s">
        <v>2094</v>
      </c>
      <c r="F111" s="337" t="str">
        <f>IF(ISBLANK('Configure Workload Domain'!D303),"Value Missing",'Configure Workload Domain'!D303)</f>
        <v>Value Missing</v>
      </c>
      <c r="H111" s="17" t="s">
        <v>868</v>
      </c>
      <c r="I111" s="337" t="str">
        <f>IF(ISBLANK(input_cluster_vds01_pnics),"Value Missing",input_cluster_vds01_pnics)</f>
        <v>Value Missing</v>
      </c>
      <c r="K111" s="4" t="s">
        <v>2095</v>
      </c>
      <c r="L111" s="337" t="str">
        <f>IF(ISBLANK(input_child_svc_vsphere_ad_password),"Value Missing",input_child_svc_vsphere_ad_password)</f>
        <v>Value Missing</v>
      </c>
      <c r="N111" s="4" t="s">
        <v>2096</v>
      </c>
      <c r="O111" s="337" t="str">
        <f>IF(ISBLANK(input_vvs_dr_sso_domain),"Value Missing",input_vvs_dr_sso_domain)</f>
        <v>Value Missing</v>
      </c>
      <c r="T111" s="4" t="s">
        <v>1938</v>
      </c>
      <c r="U111" s="337" t="str">
        <f>IF(ISBLANK(input_wld_srm_root_password),"Value Missing",input_wld_srm_root_password)</f>
        <v>Value Missing</v>
      </c>
      <c r="V111" s="3"/>
    </row>
    <row r="112" spans="2:27" s="2" customFormat="1" ht="20" customHeight="1" x14ac:dyDescent="0.2">
      <c r="B112" s="6"/>
      <c r="E112" s="4" t="s">
        <v>2097</v>
      </c>
      <c r="F112" s="337" t="str">
        <f>IF(ISBLANK('Configure Workload Domain'!D304),"Value Missing",'Configure Workload Domain'!D304)</f>
        <v>Value Missing</v>
      </c>
      <c r="H112" s="17" t="s">
        <v>870</v>
      </c>
      <c r="I112" s="337" t="str">
        <f>IF(cluster_vds_profile_chosen="Default",CONCATENATE("Management ", "vMotion ",IF(cluster_principal_storage_chosen="NFSv3","NFS ",IF(cluster_principal_storage_chosen="VMFS on Fibre Channel (FC)","","vSAN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K112" s="4" t="s">
        <v>2098</v>
      </c>
      <c r="L112" s="337" t="str">
        <f>IF(ISBLANK(input_child_svc_nsx_ad_password),"Value Missing",input_child_svc_nsx_ad_password)</f>
        <v>Value Missing</v>
      </c>
      <c r="N112" s="4" t="s">
        <v>2099</v>
      </c>
      <c r="O112" s="337" t="str">
        <f>IF(vvs_dr_flt_fleet_manager_fqdn="Value Missing",vvs_dr_flt_fleet_manager_fqdn,LEFT(vvs_dr_flt_fleet_manager_fqdn,FIND(".",vvs_dr_flt_fleet_manager_fqdn)-1))</f>
        <v>Value Missing</v>
      </c>
      <c r="Q112" s="387" t="s">
        <v>2100</v>
      </c>
      <c r="R112" s="387"/>
      <c r="T112" s="4" t="s">
        <v>1943</v>
      </c>
      <c r="U112" s="337" t="str">
        <f>IF(ISBLANK(input_wld_srm_admin_password),"Value Missing",input_wld_srm_admin_password)</f>
        <v>Value Missing</v>
      </c>
      <c r="V112" s="3"/>
      <c r="Z112" s="8"/>
      <c r="AA112" s="8"/>
    </row>
    <row r="113" spans="2:27" s="2" customFormat="1" ht="20" customHeight="1" x14ac:dyDescent="0.2">
      <c r="B113" s="336" t="s">
        <v>2101</v>
      </c>
      <c r="C113" s="336" t="s">
        <v>19</v>
      </c>
      <c r="E113" s="4" t="s">
        <v>2102</v>
      </c>
      <c r="F113" s="337" t="str">
        <f>IF(ISBLANK('Configure Workload Domain'!D305),"Value Missing",'Configure Workload Domain'!D305)</f>
        <v>Value Missing</v>
      </c>
      <c r="H113" s="17" t="s">
        <v>1946</v>
      </c>
      <c r="I113" s="337" t="str">
        <f>IF(ISBLANK(input_cluster_vds01_lag_name),"Value Missing",input_cluster_vds01_lag_name)</f>
        <v>Value Missing</v>
      </c>
      <c r="K113" s="4" t="s">
        <v>2040</v>
      </c>
      <c r="L113" s="337" t="str">
        <f>IF(ISBLANK(input_administrator_vsphere_local_password),"Value Missing",input_administrator_vsphere_local_password)</f>
        <v>Value Missing</v>
      </c>
      <c r="N113" s="4" t="s">
        <v>2103</v>
      </c>
      <c r="O113" s="337" t="str">
        <f>IF(vvs_dr_flt_ops_nodea_fqdn="Value Missing",vvs_dr_flt_ops_nodea_fqdn,LEFT(vvs_dr_flt_ops_nodea_fqdn,FIND(".",vvs_dr_flt_ops_nodea_fqdn)-1))</f>
        <v>Value Missing</v>
      </c>
      <c r="Q113" s="166" t="s">
        <v>261</v>
      </c>
      <c r="R113" s="167" t="s">
        <v>19</v>
      </c>
      <c r="T113" s="4" t="s">
        <v>1947</v>
      </c>
      <c r="U113" s="337" t="str">
        <f>IF(ISBLANK(input_wld_srm_database_password),"Value Missing",input_wld_srm_database_password)</f>
        <v>Value Missing</v>
      </c>
      <c r="V113" s="3"/>
    </row>
    <row r="114" spans="2:27" s="2" customFormat="1" ht="20" customHeight="1" x14ac:dyDescent="0.2">
      <c r="B114" s="17" t="s">
        <v>2104</v>
      </c>
      <c r="C114" s="337" t="str">
        <f>IF(ISBLANK(mgmt_nsx_operation_mode_chosen),"Value Missing",mgmt_nsx_operation_mode_chosen)</f>
        <v>Enhanced Datapath Standard</v>
      </c>
      <c r="E114" s="4" t="s">
        <v>2105</v>
      </c>
      <c r="F114" s="337" t="str">
        <f>IF(ISBLANK('Configure Workload Domain'!D306),"Value Missing",'Configure Workload Domain'!D306)</f>
        <v>Value Missing</v>
      </c>
      <c r="H114" s="17" t="s">
        <v>873</v>
      </c>
      <c r="I114" s="337" t="str">
        <f>IF(ISBLANK(input_cluster_vds02_name),"Value Missing",input_cluster_vds02_name)</f>
        <v>Value Missing</v>
      </c>
      <c r="K114" s="4" t="s">
        <v>2044</v>
      </c>
      <c r="L114" s="337" t="str">
        <f>IF(ISBLANK(input_administrator_vsphere_local_password),"Value Missing",input_administrator_vsphere_local_password)</f>
        <v>Value Missing</v>
      </c>
      <c r="N114" s="4" t="s">
        <v>2106</v>
      </c>
      <c r="O114" s="337" t="str">
        <f>IF(vvs_dr_flt_ops_nodeb_fqdn="Value Missing",vvs_dr_flt_ops_nodeb_fqdn,LEFT(vvs_dr_flt_ops_nodeb_fqdn,FIND(".",vvs_dr_flt_ops_nodeb_fqdn)-1))</f>
        <v>Value Missing</v>
      </c>
      <c r="Q114" s="361" t="s">
        <v>1291</v>
      </c>
      <c r="R114" s="337" t="str">
        <f>IF(ISBLANK(input_mgmt_vrms_hostname),"Value Missing",input_mgmt_vrms_hostname)</f>
        <v>Value Missing</v>
      </c>
      <c r="T114" s="4" t="s">
        <v>1951</v>
      </c>
      <c r="U114" s="337" t="str">
        <f>IF(ISBLANK(input_wld_srm_site_name),"Value Missing",input_wld_srm_site_name)</f>
        <v>Value Missing</v>
      </c>
      <c r="V114" s="3"/>
    </row>
    <row r="115" spans="2:27" s="2" customFormat="1" ht="20" customHeight="1" x14ac:dyDescent="0.2">
      <c r="B115" s="6"/>
      <c r="E115" s="4" t="s">
        <v>2107</v>
      </c>
      <c r="F115" s="337" t="str">
        <f>IF(ISBLANK(input_wld_cl01_cluster_sddc_id),"Value Missing",input_wld_cl01_cluster_sddc_id)</f>
        <v>Value Missing</v>
      </c>
      <c r="H115" s="17" t="s">
        <v>160</v>
      </c>
      <c r="I115" s="337" t="str">
        <f>IF(ISBLANK(input_cluster_vds02_mtu),"Value Missing",input_cluster_vds02_mtu)</f>
        <v>Value Missing</v>
      </c>
      <c r="K115" s="4" t="s">
        <v>2049</v>
      </c>
      <c r="L115" s="337" t="str">
        <f>IF(ISBLANK(input_nsxt_lm_admin_password),"Value Missing",input_nsxt_lm_admin_password)</f>
        <v>Value Missing</v>
      </c>
      <c r="N115" s="4" t="s">
        <v>2108</v>
      </c>
      <c r="O115" s="337" t="str">
        <f>IF(vvs_dr_flt_ops_nodec_fqdn="Value Missing",vvs_dr_flt_ops_nodec_fqdn,LEFT(vvs_dr_flt_ops_nodec_fqdn,FIND(".",vvs_dr_flt_ops_nodec_fqdn)-1))</f>
        <v>Value Missing</v>
      </c>
      <c r="Q115" s="361" t="s">
        <v>2109</v>
      </c>
      <c r="R115" s="337" t="str">
        <f>IF(ISBLANK(input_vvs_mgmt_dr_vlr_hostname),"Value Missing",input_vvs_mgmt_dr_vlr_hostname)</f>
        <v>Value Missing</v>
      </c>
      <c r="T115" s="4" t="s">
        <v>1956</v>
      </c>
      <c r="U115" s="337" t="str">
        <f>IF(ISBLANK(input_wld_srm_admin_email),"Value Missing",input_wld_srm_admin_email)</f>
        <v>Value Missing</v>
      </c>
      <c r="V115" s="3"/>
    </row>
    <row r="116" spans="2:27" s="2" customFormat="1" ht="20" customHeight="1" x14ac:dyDescent="0.2">
      <c r="B116" s="581" t="s">
        <v>2110</v>
      </c>
      <c r="C116" s="582"/>
      <c r="E116" s="4"/>
      <c r="F116" s="337" t="str">
        <f>IF(ISBLANK('Configure Workload Domain'!D319),"Value Missing",'Configure Workload Domain'!D319)</f>
        <v>Value Missing</v>
      </c>
      <c r="H116" s="22" t="s">
        <v>867</v>
      </c>
      <c r="I116" s="337" t="str">
        <f>IF(ISBLANK(input_cluster_vds02_uplink_count),"Value Missing",input_cluster_vds02_uplink_count)</f>
        <v>Value Missing</v>
      </c>
      <c r="K116" s="4" t="s">
        <v>2055</v>
      </c>
      <c r="L116" s="337" t="str">
        <f>IF(ISBLANK(input_svc_vrops_vra_password),"Value Missing",input_svc_vrops_vra_password)</f>
        <v>Value Missing</v>
      </c>
      <c r="N116" s="4" t="s">
        <v>2111</v>
      </c>
      <c r="O116" s="337" t="str">
        <f>IF(vvs_dr_flt_logs_nodea_fqdn="Value Missing",vvs_dr_flt_logs_nodea_fqdn,LEFT(vvs_dr_flt_logs_nodea_fqdn,FIND(".",vvs_dr_flt_logs_nodea_fqdn)-1))</f>
        <v>Value Missing</v>
      </c>
      <c r="T116" s="4" t="s">
        <v>1962</v>
      </c>
      <c r="U116" s="337" t="str">
        <f>IF(ISBLANK(input_wld_srm_p12_password),"Value Missing",input_wld_srm_p12_password)</f>
        <v>Value Missing</v>
      </c>
      <c r="V116" s="3"/>
    </row>
    <row r="117" spans="2:27" s="2" customFormat="1" ht="20" customHeight="1" x14ac:dyDescent="0.2">
      <c r="B117" s="336" t="s">
        <v>261</v>
      </c>
      <c r="C117" s="336" t="s">
        <v>1904</v>
      </c>
      <c r="E117" s="8"/>
      <c r="F117" s="8"/>
      <c r="H117" s="17" t="s">
        <v>868</v>
      </c>
      <c r="I117" s="337" t="str">
        <f>IF(ISBLANK(input_cluster_vds02_pnics),"Value Missing",input_cluster_vds02_pnics)</f>
        <v>Value Missing</v>
      </c>
      <c r="K117" s="4" t="s">
        <v>2064</v>
      </c>
      <c r="L117" s="337"/>
      <c r="N117" s="4" t="s">
        <v>2112</v>
      </c>
      <c r="O117" s="337" t="str">
        <f>IF(vvs_dr_flt_logs_nodeb_fqdn="Value Missing",vvs_dr_flt_logs_nodeb_fqdn,LEFT(vvs_dr_flt_logs_nodeb_fqdn,FIND(".",vvs_dr_flt_logs_nodeb_fqdn)-1))</f>
        <v>Value Missing</v>
      </c>
      <c r="Q117" s="387" t="s">
        <v>2113</v>
      </c>
      <c r="R117" s="387"/>
      <c r="T117" s="4" t="s">
        <v>1968</v>
      </c>
      <c r="U117" s="337" t="str">
        <f>wld_srm_vm_size_chosen</f>
        <v>Standard</v>
      </c>
      <c r="V117" s="3"/>
    </row>
    <row r="118" spans="2:27" s="2" customFormat="1" ht="20" customHeight="1" x14ac:dyDescent="0.2">
      <c r="B118" s="4" t="s">
        <v>2114</v>
      </c>
      <c r="C118" s="337" t="str">
        <f>IF(ISBLANK(mgmt_principal_storage_chosen),"Value Missing",mgmt_principal_storage_chosen)</f>
        <v>vSAN-ESA</v>
      </c>
      <c r="E118" s="387" t="s">
        <v>2115</v>
      </c>
      <c r="F118" s="389"/>
      <c r="H118" s="17" t="s">
        <v>870</v>
      </c>
      <c r="I118" s="337" t="str">
        <f>IF(cluster_vds_profile_chosen="Default","",
IF(cluster_vds_profile_chosen="Storage Traffic Separation",IF(cluster_principal_storage_chosen="NFSv3","NFS","vSAN"),
IF(cluster_vds_profile_chosen="NSX Traffic Separation","NSX-Overlay",
IF(cluster_vds_profile_chosen="Storage Traffic and NSX Traffic Separation",IF(cluster_principal_storage_chosen="NFSv3","NFS","vSAN"),
IF(cluster_vds_profile_chosen="Storage Traffic and NSX Traffic Separation","Management, vMotion",
IF(cluster_vds_profile_chosen="vSAN Max Storage Traffic Separation","vSAN",
IF(cluster_vds_profile_chosen="vSAN Max Storage Traffic and NSX Traffic Separation","vSAN","")))))))</f>
        <v/>
      </c>
      <c r="K118" s="4" t="s">
        <v>2068</v>
      </c>
      <c r="L118" s="337" t="str">
        <f>IF(ISBLANK(input_svc_vra_vsphere_password),"Value Missing",input_svc_vra_vsphere_password)</f>
        <v>Value Missing</v>
      </c>
      <c r="N118" s="4" t="s">
        <v>2116</v>
      </c>
      <c r="O118" s="337" t="str">
        <f>IF(vvs_dr_flt_logs_nodec_fqdn="Value Missing",vvs_dr_flt_logs_nodec_fqdn,LEFT(vvs_dr_flt_logs_nodec_fqdn,FIND(".",vvs_dr_flt_logs_nodec_fqdn)-1))</f>
        <v>Value Missing</v>
      </c>
      <c r="Q118" s="166" t="s">
        <v>261</v>
      </c>
      <c r="R118" s="167" t="s">
        <v>19</v>
      </c>
      <c r="T118" s="4" t="s">
        <v>2015</v>
      </c>
      <c r="U118" s="337" t="str">
        <f>IF(ISBLANK(input_wld_srm_recovery_vcenter_fqdn),"Value Missing",input_wld_srm_recovery_vcenter_fqdn)</f>
        <v>Value Missing</v>
      </c>
      <c r="V118" s="3"/>
    </row>
    <row r="119" spans="2:27" s="2" customFormat="1" ht="20" customHeight="1" x14ac:dyDescent="0.2">
      <c r="B119" s="4" t="s">
        <v>279</v>
      </c>
      <c r="C119" s="337" t="str">
        <f>IF(ISBLANK(input_mgmt_cl01_vsan_datastore),"Value Missing",input_mgmt_cl01_vsan_datastore)</f>
        <v>Value Missing</v>
      </c>
      <c r="E119" s="166" t="s">
        <v>261</v>
      </c>
      <c r="F119" s="167" t="s">
        <v>19</v>
      </c>
      <c r="H119" s="17" t="s">
        <v>1946</v>
      </c>
      <c r="I119" s="337" t="str">
        <f t="array" ref="I119">IF(ISBLANK(input_cluster_vds02_lag_name),"Value Missing",input_cluster_vds02_lag_name)</f>
        <v>Value Missing</v>
      </c>
      <c r="K119" s="4" t="s">
        <v>2073</v>
      </c>
      <c r="L119" s="337" t="str">
        <f>IF(ISBLANK(input_svc_vra_nsx_password),"Value Missing",input_svc_vra_nsx_password)</f>
        <v>Value Missing</v>
      </c>
      <c r="N119" s="4" t="s">
        <v>2117</v>
      </c>
      <c r="O119" s="337" t="str">
        <f>IF(vvs_dr_flt_net_nodea_fqdn="Value Missing",vvs_dr_flt_net_nodea_fqdn,LEFT(vvs_dr_flt_net_nodea_fqdn,FIND(".",vvs_dr_flt_net_nodea_fqdn)-1))</f>
        <v>Value Missing</v>
      </c>
      <c r="Q119" s="361" t="s">
        <v>1291</v>
      </c>
      <c r="R119" s="337" t="str">
        <f>IF(ISBLANK(input_wld_vrms_hostname),"Value Missing",input_wld_vrms_hostname)</f>
        <v>Value Missing</v>
      </c>
      <c r="T119" s="4" t="s">
        <v>2018</v>
      </c>
      <c r="U119" s="337" t="str">
        <f>IF(ISBLANK(input_wld_srm_recovery_vcenter_username),"Value Missing",input_wld_srm_recovery_vcenter_username)</f>
        <v>Value Missing</v>
      </c>
      <c r="V119" s="3"/>
    </row>
    <row r="120" spans="2:27" s="2" customFormat="1" ht="20" customHeight="1" x14ac:dyDescent="0.2">
      <c r="B120" s="4" t="s">
        <v>2118</v>
      </c>
      <c r="C120" s="337" t="str">
        <f>IF(ISBLANK(mgmt_cl01_vsan_ftt_chosen),"Value Missing",mgmt_cl01_vsan_ftt_chosen)</f>
        <v>1</v>
      </c>
      <c r="E120" s="4" t="s">
        <v>279</v>
      </c>
      <c r="F120" s="337" t="str">
        <f>IF(ISBLANK('Configure Workload Domain'!D270),"Value Missing",'Configure Workload Domain'!D270)</f>
        <v>Value Missing</v>
      </c>
      <c r="H120" s="17" t="s">
        <v>876</v>
      </c>
      <c r="I120" s="337" t="str">
        <f>IF(ISBLANK(input_cluster_vds03_name),"Value Missing",input_cluster_vds03_name)</f>
        <v>Value Missing</v>
      </c>
      <c r="K120" s="4" t="s">
        <v>2078</v>
      </c>
      <c r="L120" s="337" t="str">
        <f>IF(ISBLANK(input_svc_vra_vcf_password),"Value Missing",input_svc_vra_vcf_password)</f>
        <v>Value Missing</v>
      </c>
      <c r="N120" s="4" t="s">
        <v>2119</v>
      </c>
      <c r="O120" s="337" t="str">
        <f>IF(vvs_dr_flt_net_nodeb_fqdn="Value Missing",vvs_dr_flt_net_nodeb_fqdn,LEFT(vvs_dr_flt_net_nodeb_fqdn,FIND(".",vvs_dr_flt_net_nodeb_fqdn)-1))</f>
        <v>Value Missing</v>
      </c>
      <c r="Q120" s="361" t="s">
        <v>2109</v>
      </c>
      <c r="R120" s="337" t="str">
        <f>IF(ISBLANK(input_wld_srm_hostname),"Value Missing",input_wld_srm_hostname)</f>
        <v>Value Missing</v>
      </c>
      <c r="T120" s="4" t="s">
        <v>2020</v>
      </c>
      <c r="U120" s="337" t="str">
        <f>IF(ISBLANK(input_wld_srm_recovery_vcenter_password),"Value Missing",input_wld_srm_recovery_vcenter_password)</f>
        <v>Value Missing</v>
      </c>
      <c r="V120" s="3"/>
    </row>
    <row r="121" spans="2:27" s="2" customFormat="1" ht="20" customHeight="1" x14ac:dyDescent="0.2">
      <c r="B121" s="4" t="s">
        <v>843</v>
      </c>
      <c r="C121" s="337" t="str">
        <f>IF(ISBLANK(mgmt_cl01_vsan_dedupe_compression_chosen),"Value Missing",mgmt_cl01_vsan_dedupe_compression_chosen)</f>
        <v>Unselected</v>
      </c>
      <c r="E121" s="4" t="s">
        <v>210</v>
      </c>
      <c r="F121" s="337" t="str">
        <f>IF(ISBLANK('Configure Workload Domain'!D268),"Value Missing",'Configure Workload Domain'!D268)</f>
        <v>Value Missing</v>
      </c>
      <c r="H121" s="17" t="s">
        <v>160</v>
      </c>
      <c r="I121" s="337" t="str">
        <f>IF(ISBLANK(input_cluster_vds03_mtu),"Value Missing",input_cluster_vds03_mtu)</f>
        <v>Value Missing</v>
      </c>
      <c r="K121" s="4" t="s">
        <v>2086</v>
      </c>
      <c r="L121" s="337" t="str">
        <f>IF(ISBLANK(input_svc_vra_vrops_password),"Value Missing",input_svc_vra_vrops_password)</f>
        <v>Value Missing</v>
      </c>
      <c r="N121" s="4" t="s">
        <v>2120</v>
      </c>
      <c r="O121" s="337" t="str">
        <f>IF(vvs_dr_flt_net_nodec_fqdn="Value Missing",vvs_dr_flt_net_nodec_fqdn,LEFT(vvs_dr_flt_net_nodec_fqdn,FIND(".",vvs_dr_flt_net_nodec_fqdn)-1))</f>
        <v>Value Missing</v>
      </c>
      <c r="T121" s="4" t="s">
        <v>2046</v>
      </c>
      <c r="U121" s="337" t="str">
        <f>IF(ISBLANK(input_wld_vrms_recovery_replication_cidr),"Value Missing",input_wld_vrms_recovery_replication_cidr)</f>
        <v>Value Missing</v>
      </c>
      <c r="V121" s="3"/>
    </row>
    <row r="122" spans="2:27" s="2" customFormat="1" ht="20" customHeight="1" x14ac:dyDescent="0.2">
      <c r="B122" s="22" t="s">
        <v>846</v>
      </c>
      <c r="C122" s="337" t="str">
        <f>IF(ISBLANK(input_mgmt_cl01_nfs_share),"Value Missing",input_mgmt_cl01_nfs_share)</f>
        <v>Value Missing</v>
      </c>
      <c r="E122" s="4" t="s">
        <v>278</v>
      </c>
      <c r="F122" s="337" t="str">
        <f>IF(ISBLANK(input_wld_witness_vm_folder),"Value Missing",input_wld_witness_vm_folder)</f>
        <v>Value Missing</v>
      </c>
      <c r="H122" s="22" t="s">
        <v>867</v>
      </c>
      <c r="I122" s="337" t="str">
        <f>IF(ISBLANK(input_cluster_vds03_uplink_count),"Value Missing",input_cluster_vds03_uplink_count)</f>
        <v>Value Missing</v>
      </c>
      <c r="K122" s="4" t="s">
        <v>2081</v>
      </c>
      <c r="L122" s="337" t="str">
        <f>IF(ISBLANK(input_svc_vro_vsphere_password),"Value Missing",input_svc_vro_vsphere_password)</f>
        <v>Value Missing</v>
      </c>
      <c r="N122" s="4" t="s">
        <v>2121</v>
      </c>
      <c r="O122" s="337" t="str">
        <f>IF(ISBLANK(input_vvs_dr_mgmt_cl01_datastore),"Value Missing",input_vvs_dr_mgmt_cl01_datastore)</f>
        <v>Value Missing</v>
      </c>
      <c r="Q122" s="387" t="s">
        <v>2122</v>
      </c>
      <c r="R122" s="387"/>
      <c r="T122" s="4" t="s">
        <v>2052</v>
      </c>
      <c r="U122" s="337" t="str">
        <f>IF(ISBLANK(input_wld_srm_sso_domain_membership),"Value Missing",input_wld_srm_sso_domain_membership)</f>
        <v>Value Missing</v>
      </c>
      <c r="V122" s="3"/>
    </row>
    <row r="123" spans="2:27" s="2" customFormat="1" ht="20" customHeight="1" x14ac:dyDescent="0.2">
      <c r="B123" s="22" t="s">
        <v>847</v>
      </c>
      <c r="C123" s="337" t="str">
        <f>IF(ISBLANK(input_mgmt_cl01_nfs_server_ip),"Value Missing",input_mgmt_cl01_nfs_server_ip)</f>
        <v>Value Missing</v>
      </c>
      <c r="E123" s="4" t="s">
        <v>2123</v>
      </c>
      <c r="F123" s="337" t="str">
        <f>IF(ISBLANK(input_wld_witness_dns1_ip),"Value Missing",input_wld_witness_dns1_ip)</f>
        <v>Value Missing</v>
      </c>
      <c r="H123" s="17" t="s">
        <v>868</v>
      </c>
      <c r="I123" s="337" t="str">
        <f>IF(ISBLANK(input_cluster_vds03_pnics),"Value Missing",input_cluster_vds03_pnics)</f>
        <v>Value Missing</v>
      </c>
      <c r="N123" s="4" t="s">
        <v>2124</v>
      </c>
      <c r="O123" s="337" t="str">
        <f>IF(ISBLANK(input_mgmt_srm_net_rp),"Value Missing",input_mgmt_srm_net_rp)</f>
        <v>Value Missing</v>
      </c>
      <c r="Q123" s="166" t="s">
        <v>261</v>
      </c>
      <c r="R123" s="167" t="s">
        <v>19</v>
      </c>
      <c r="T123" s="8"/>
      <c r="U123" s="8"/>
      <c r="V123" s="3"/>
    </row>
    <row r="124" spans="2:27" s="2" customFormat="1" ht="20" customHeight="1" x14ac:dyDescent="0.2">
      <c r="B124" s="22" t="s">
        <v>2125</v>
      </c>
      <c r="C124" s="337" t="str">
        <f>IF(ISBLANK(mgmt_cl01_nfs_server_bound_to_vmknic_chosen),"Value Missing",mgmt_cl01_nfs_server_bound_to_vmknic_chosen)</f>
        <v>Selected</v>
      </c>
      <c r="E124" s="4" t="s">
        <v>2123</v>
      </c>
      <c r="F124" s="337" t="str">
        <f>IF(ISBLANK(input_wld_witness_dns2_ip),"Value Missing",input_wld_witness_dns2_ip)</f>
        <v>Value Missing</v>
      </c>
      <c r="H124" s="17" t="s">
        <v>870</v>
      </c>
      <c r="I124" s="337" t="str">
        <f>IF(cluster_vds_profile_chosen="Default","",
IF(cluster_vds_profile_chosen="Storage Traffic Separation","",
IF(cluster_vds_profile_chosen="NSX Traffic Separation","",
IF(cluster_vds_profile_chosen="Storage Traffic and NSX Traffic Separation","Overlay",
IF(cluster_vds_profile_chosen="vSan Max Storage Traffic and NSX Traffic Separation","Overlay","")))))</f>
        <v/>
      </c>
      <c r="K124" s="387" t="s">
        <v>2126</v>
      </c>
      <c r="L124" s="387"/>
      <c r="N124" s="4" t="s">
        <v>2127</v>
      </c>
      <c r="O124" s="337" t="str">
        <f>IF(ISBLANK(input_mgmt_srm_logs_rp),"Value Missing",input_mgmt_srm_logs_rp)</f>
        <v>Value Missing</v>
      </c>
      <c r="Q124" s="361" t="s">
        <v>1291</v>
      </c>
      <c r="T124" s="8"/>
      <c r="U124" s="8"/>
      <c r="V124" s="3"/>
    </row>
    <row r="125" spans="2:27" s="2" customFormat="1" ht="20" customHeight="1" x14ac:dyDescent="0.2">
      <c r="E125" s="4" t="s">
        <v>2128</v>
      </c>
      <c r="F125" s="337" t="str">
        <f>IF(ISBLANK(sample_wld_witness_ntp1_server),"Value Missing",sample_wld_witness_ntp1_server)</f>
        <v>ntp0.lax.rainpole.io</v>
      </c>
      <c r="H125" s="17" t="s">
        <v>1946</v>
      </c>
      <c r="I125" s="337" t="str">
        <f t="array" ref="I125">IF(ISBLANK(input_cluster_vds03_lag_name),"Value Missing",input_cluster_vds03_lag_name)</f>
        <v>Value Missing</v>
      </c>
      <c r="K125" s="166" t="s">
        <v>261</v>
      </c>
      <c r="L125" s="167" t="s">
        <v>19</v>
      </c>
      <c r="N125" s="4" t="s">
        <v>2129</v>
      </c>
      <c r="O125" s="337" t="str">
        <f>IF(ISBLANK(input_mgmt_srm_recovery_pg),"Value Missing",input_mgmt_srm_recovery_pg)</f>
        <v>Value Missing</v>
      </c>
      <c r="Q125" s="361" t="s">
        <v>2109</v>
      </c>
      <c r="R125" s="337" t="str">
        <f>(CONCATENATE(vvs_mgmt_dr_vlr_hostname,".",child_dns_zone))</f>
        <v>Value Missing.Value Missing</v>
      </c>
      <c r="T125" s="579" t="s">
        <v>2130</v>
      </c>
      <c r="U125" s="580"/>
      <c r="V125" s="3"/>
      <c r="Z125" s="8"/>
      <c r="AA125" s="8"/>
    </row>
    <row r="126" spans="2:27" s="2" customFormat="1" ht="20" customHeight="1" x14ac:dyDescent="0.2">
      <c r="B126" s="385" t="s">
        <v>14</v>
      </c>
      <c r="C126" s="386"/>
      <c r="E126" s="4" t="s">
        <v>2128</v>
      </c>
      <c r="F126" s="337" t="str">
        <f>IF(ISBLANK(sample_wld_witness_ntp2_server),"Value Missing",sample_wld_witness_ntp2_server)</f>
        <v>ntp1.lax.rainpole.io</v>
      </c>
      <c r="H126" s="336" t="s">
        <v>2131</v>
      </c>
      <c r="I126" s="336"/>
      <c r="K126" s="4" t="s">
        <v>2095</v>
      </c>
      <c r="L126" s="337" t="str">
        <f>IF(ISBLANK('Active Directory Inputs'!E18),"Value Missing",'Active Directory Inputs'!E18)</f>
        <v>Value Missing</v>
      </c>
      <c r="N126" s="4" t="s">
        <v>2132</v>
      </c>
      <c r="O126" s="337" t="str">
        <f>IF(ISBLANK(input_mgmt_srm_recovery_gateway),"Value Missing",input_mgmt_srm_recovery_gateway)</f>
        <v>Value Missing</v>
      </c>
      <c r="Q126" s="8"/>
      <c r="R126" s="8"/>
      <c r="T126" s="166" t="s">
        <v>261</v>
      </c>
      <c r="U126" s="167" t="s">
        <v>19</v>
      </c>
      <c r="V126" s="3"/>
    </row>
    <row r="127" spans="2:27" s="2" customFormat="1" ht="20" customHeight="1" x14ac:dyDescent="0.2">
      <c r="B127" s="336" t="s">
        <v>261</v>
      </c>
      <c r="C127" s="336" t="s">
        <v>1904</v>
      </c>
      <c r="E127" s="8"/>
      <c r="F127" s="8"/>
      <c r="H127" s="22" t="s">
        <v>185</v>
      </c>
      <c r="I127" s="337" t="str">
        <f>IF(ISBLANK(input_cluster_az1_mgmt_pg),"Value Missing",input_cluster_az1_mgmt_pg)</f>
        <v>Value Missing</v>
      </c>
      <c r="K127" s="4" t="s">
        <v>2133</v>
      </c>
      <c r="L127" s="337" t="str">
        <f>IF(ISBLANK('Active Directory Inputs'!E19),"Value Missing",'Active Directory Inputs'!E19)</f>
        <v>Value Missing</v>
      </c>
      <c r="N127" s="4" t="s">
        <v>2134</v>
      </c>
      <c r="O127" s="337" t="str">
        <f>IF(ISBLANK(input_mgmt_srm_recovery_mask),"Value Missing",input_mgmt_srm_recovery_mask)</f>
        <v>Value Missing</v>
      </c>
      <c r="Q127" s="387" t="s">
        <v>2135</v>
      </c>
      <c r="R127" s="387"/>
      <c r="T127" s="4" t="s">
        <v>2136</v>
      </c>
      <c r="U127" s="337" t="str">
        <f>IF(ISBLANK(input_cbr_vcdr_vsphere_role),"Value Missing",input_cbr_vcdr_vsphere_role)</f>
        <v>Value Missing</v>
      </c>
      <c r="V127" s="3"/>
    </row>
    <row r="128" spans="2:27" s="2" customFormat="1" ht="20" customHeight="1" x14ac:dyDescent="0.2">
      <c r="B128" s="4" t="s">
        <v>2137</v>
      </c>
      <c r="C128" s="337"/>
      <c r="E128" s="387" t="s">
        <v>2138</v>
      </c>
      <c r="F128" s="389"/>
      <c r="H128" s="22" t="s">
        <v>882</v>
      </c>
      <c r="I128" s="337" t="str">
        <f>IF(ISBLANK(cluster_az1_mgmt_lbt_chosen),"Value Missing",cluster_az1_mgmt_lbt_chosen)</f>
        <v>Route Based on Physical NIC Load</v>
      </c>
      <c r="N128" s="4" t="s">
        <v>2139</v>
      </c>
      <c r="O128" s="337"/>
      <c r="Q128" s="166" t="s">
        <v>261</v>
      </c>
      <c r="R128" s="167" t="s">
        <v>19</v>
      </c>
      <c r="T128" s="4" t="s">
        <v>2140</v>
      </c>
      <c r="U128" s="337" t="str">
        <f>IF(ISBLANK(input_svc_cbr_vcdr_vsphere_user),"Value Missing",input_svc_cbr_vcdr_vsphere_user)</f>
        <v>Value Missing</v>
      </c>
      <c r="V128" s="3"/>
    </row>
    <row r="129" spans="2:27" s="2" customFormat="1" ht="20" customHeight="1" x14ac:dyDescent="0.2">
      <c r="B129" s="4" t="s">
        <v>2141</v>
      </c>
      <c r="C129" s="337" t="str">
        <f>IF(ISBLANK(sizing_mgmt_ec_formfactor_chosen),"Value Missing",sizing_mgmt_ec_formfactor_chosen)</f>
        <v>Medium</v>
      </c>
      <c r="E129" s="166" t="s">
        <v>261</v>
      </c>
      <c r="F129" s="167" t="s">
        <v>19</v>
      </c>
      <c r="H129" s="22" t="s">
        <v>884</v>
      </c>
      <c r="I129" s="337" t="str">
        <f>IF(ISBLANK(cluster_az1_mgmt_uplink1_chosen),"Value Missing",cluster_az1_mgmt_uplink1_chosen)</f>
        <v>Active</v>
      </c>
      <c r="K129" s="387" t="s">
        <v>2142</v>
      </c>
      <c r="L129" s="387"/>
      <c r="N129" s="4" t="s">
        <v>2143</v>
      </c>
      <c r="O129" s="337" t="str">
        <f>IF(ISBLANK(input_vvs_dr_vr_username),"Value Missing",input_vvs_dr_vr_username)</f>
        <v>Value Missing</v>
      </c>
      <c r="Q129" s="361" t="s">
        <v>1291</v>
      </c>
      <c r="R129" s="337" t="str">
        <f>(CONCATENATE(wld_srm_hostname,".",child_dns_zone))</f>
        <v>Value Missing.Value Missing</v>
      </c>
      <c r="T129" s="4" t="s">
        <v>2144</v>
      </c>
      <c r="U129" s="337" t="str">
        <f>IF(ISBLANK(input_svc_cbr_vcdr_vsphere_password),"Value Missing",input_svc_cbr_vcdr_vsphere_password)</f>
        <v>Value Missing</v>
      </c>
      <c r="V129" s="3"/>
    </row>
    <row r="130" spans="2:27" s="2" customFormat="1" ht="20" customHeight="1" x14ac:dyDescent="0.2">
      <c r="B130" s="4" t="s">
        <v>2145</v>
      </c>
      <c r="C130" s="337" t="str">
        <f>IF(ISBLANK(input_mgmt_ec_mtu),"Value Missing",input_mgmt_ec_mtu)</f>
        <v>Value Missing</v>
      </c>
      <c r="E130" s="361" t="s">
        <v>1657</v>
      </c>
      <c r="F130" s="337" t="str">
        <f>IF(ISBLANK('Configure Workload Domain'!D266),"Value Missing",'Configure Workload Domain'!D266)</f>
        <v>Value Missing</v>
      </c>
      <c r="H130" s="22" t="s">
        <v>885</v>
      </c>
      <c r="I130" s="337" t="str">
        <f>IF(ISBLANK(cluster_az1_mgmt_uplink2_chosen),"Value Missing",cluster_az1_mgmt_uplink2_chosen)</f>
        <v>Active</v>
      </c>
      <c r="K130" s="166" t="s">
        <v>261</v>
      </c>
      <c r="L130" s="167" t="s">
        <v>19</v>
      </c>
      <c r="N130" s="4" t="s">
        <v>2146</v>
      </c>
      <c r="O130" s="337" t="str">
        <f>IF(ISBLANK(input_vvs_dr_vr_password),"Value Missing",input_vvs_dr_vr_password)</f>
        <v>Value Missing</v>
      </c>
      <c r="Q130" s="361" t="s">
        <v>2109</v>
      </c>
      <c r="R130" s="337" t="str">
        <f>(CONCATENATE(wld_srm_hostname,".",child_dns_zone))</f>
        <v>Value Missing.Value Missing</v>
      </c>
      <c r="T130" s="4" t="s">
        <v>2147</v>
      </c>
      <c r="U130" s="337" t="str">
        <f>IF(ISBLANK(input_cbr_vm_folder),"Value Missing",input_cbr_vm_folder)</f>
        <v>Value Missing</v>
      </c>
      <c r="V130" s="3"/>
      <c r="Z130" s="8"/>
      <c r="AA130" s="8"/>
    </row>
    <row r="131" spans="2:27" s="2" customFormat="1" ht="20" customHeight="1" x14ac:dyDescent="0.2">
      <c r="B131" s="4" t="s">
        <v>2148</v>
      </c>
      <c r="C131" s="337" t="str">
        <f>IF(ISBLANK(input_mgmt_ec_rp_name),"Value Missing",input_mgmt_ec_rp_name)</f>
        <v>Value Missing</v>
      </c>
      <c r="E131" s="361" t="s">
        <v>278</v>
      </c>
      <c r="F131" s="337" t="str">
        <f>IF(ISBLANK('Configure Workload Domain'!D274),"Value Missing",'Configure Workload Domain'!D274)</f>
        <v>Value Missing</v>
      </c>
      <c r="H131" s="336" t="s">
        <v>2149</v>
      </c>
      <c r="I131" s="336"/>
      <c r="K131" s="4" t="str">
        <f>IF(ISBLANK('Active Directory Inputs'!D75),"Value Missing",'Active Directory Inputs'!D75)</f>
        <v>gg-kub-admins</v>
      </c>
      <c r="L131" s="337" t="str">
        <f>IF(ISBLANK('Active Directory Inputs'!E75),"Value Missing",'Active Directory Inputs'!E75)</f>
        <v>Value Missing</v>
      </c>
      <c r="Q131" s="8"/>
      <c r="R131" s="8"/>
      <c r="T131" s="4" t="s">
        <v>2150</v>
      </c>
      <c r="U131" s="337" t="str">
        <f>IF(ISBLANK(input_cbr_recovery_sddc_name),"Value Missing",input_cbr_recovery_sddc_name)</f>
        <v>Value Missing</v>
      </c>
      <c r="V131" s="3"/>
    </row>
    <row r="132" spans="2:27" s="2" customFormat="1" ht="20" customHeight="1" x14ac:dyDescent="0.2">
      <c r="B132" s="4" t="s">
        <v>2151</v>
      </c>
      <c r="C132" s="337" t="str">
        <f>IF(ISBLANK(mgmt_ec01_host_group_affinity_rule_chosen),"Value Missing",mgmt_ec01_host_group_affinity_rule_chosen)</f>
        <v>No</v>
      </c>
      <c r="E132" s="361" t="s">
        <v>2152</v>
      </c>
      <c r="F132" s="337" t="str">
        <f>IF(ISBLANK(input_wld_witness_ip),"Value Missing",input_wld_witness_ip)</f>
        <v>Value Missing</v>
      </c>
      <c r="H132" s="22" t="s">
        <v>185</v>
      </c>
      <c r="I132" s="337" t="str">
        <f>IF(ISBLANK(input_cluster_az1_mgmt_vm_pg),"Value Missing",input_cluster_az1_mgmt_vm_pg)</f>
        <v>Value Missing</v>
      </c>
      <c r="K132" s="4" t="str">
        <f>IF(ISBLANK('Active Directory Inputs'!D76),"Value Missing",'Active Directory Inputs'!D76)</f>
        <v>gg-kub-readonly</v>
      </c>
      <c r="L132" s="337" t="str">
        <f>IF(ISBLANK('Active Directory Inputs'!E76),"Value Missing",'Active Directory Inputs'!E76)</f>
        <v>Value Missing</v>
      </c>
      <c r="Q132" s="387" t="s">
        <v>2153</v>
      </c>
      <c r="R132" s="389"/>
      <c r="T132" s="4" t="s">
        <v>2154</v>
      </c>
      <c r="U132" s="337" t="str">
        <f>IF(ISBLANK(input_cbr_recovery_region),"Value Missing",input_cbr_recovery_region)</f>
        <v>Value Missing</v>
      </c>
      <c r="V132" s="3"/>
    </row>
    <row r="133" spans="2:27" s="2" customFormat="1" ht="20" customHeight="1" x14ac:dyDescent="0.2">
      <c r="B133" s="4" t="s">
        <v>2155</v>
      </c>
      <c r="C133" s="337" t="str">
        <f t="array" ref="C133">IF(ISBLANK(input_mgmt_ec01_en01_host_group_affinity_rule_name),"Value Missing",input_mgmt_ec01_en01_host_group_affinity_rule_name)</f>
        <v>Value Missing</v>
      </c>
      <c r="E133" s="361" t="s">
        <v>1657</v>
      </c>
      <c r="F133" s="337" t="str">
        <f>IF(ISBLANK(input_wld_witness_zone_vc_fqdn),"Value Missing",input_wld_witness_zone_vc_fqdn)</f>
        <v>Value Missing</v>
      </c>
      <c r="H133" s="22" t="s">
        <v>882</v>
      </c>
      <c r="I133" s="337" t="str">
        <f>IF(ISBLANK(cluster_az1_mgmt_vm_lbt_chosen),"Value Missing",cluster_az1_mgmt_vm_lbt_chosen)</f>
        <v>Route Based on Physical NIC Load</v>
      </c>
      <c r="K133" s="4" t="s">
        <v>2156</v>
      </c>
      <c r="L133" s="337" t="str">
        <f>IF(ISBLANK(input_parent_gg_wsa_admins_group),"Value Missing",input_parent_gg_wsa_admins_group)</f>
        <v>Value Missing</v>
      </c>
      <c r="Q133" s="166" t="s">
        <v>261</v>
      </c>
      <c r="R133" s="167" t="s">
        <v>19</v>
      </c>
      <c r="T133" s="4" t="s">
        <v>2157</v>
      </c>
      <c r="U133" s="337" t="str">
        <f>IF(ISBLANK(input_cbr_recovery_host_type),"Value Missing",input_cbr_recovery_host_type)</f>
        <v>Value Missing</v>
      </c>
      <c r="V133" s="3"/>
    </row>
    <row r="134" spans="2:27" s="2" customFormat="1" ht="20" customHeight="1" x14ac:dyDescent="0.2">
      <c r="B134" s="4" t="s">
        <v>2155</v>
      </c>
      <c r="C134" s="337" t="str">
        <f t="array" ref="C134">IF(ISBLANK(input_mgmt_ec01_en02_host_group_affinity_rule_name),"Value Missing",input_mgmt_ec01_en02_host_group_affinity_rule_name)</f>
        <v>Value Missing</v>
      </c>
      <c r="E134" s="361" t="s">
        <v>2158</v>
      </c>
      <c r="F134" s="337" t="str">
        <f>IF(ISBLANK(input_wld_witnessaz_mgmt_cidr),"Value Missing",input_wld_witnessaz_mgmt_cidr)</f>
        <v>Value Missing</v>
      </c>
      <c r="H134" s="22" t="s">
        <v>884</v>
      </c>
      <c r="I134" s="337" t="str">
        <f>IF(ISBLANK(cluster_az1_mgmt_vm_uplink1_chosen),"Value Missing",cluster_az1_mgmt_vm_uplink1_chosen)</f>
        <v>Active</v>
      </c>
      <c r="K134" s="4" t="s">
        <v>2159</v>
      </c>
      <c r="L134" s="337" t="str">
        <f>IF(ISBLANK(input_parent_gg_wsa_directory_admins_group),"Value Missing",input_parent_gg_wsa_directory_admins_group)</f>
        <v>Value Missing</v>
      </c>
      <c r="Q134" s="17" t="s">
        <v>2160</v>
      </c>
      <c r="R134" s="337"/>
      <c r="T134" s="4" t="s">
        <v>2161</v>
      </c>
      <c r="U134" s="337" t="str">
        <f>IF(ISBLANK(input_cbr_recovery_host_count),"Value Missing",input_cbr_recovery_host_count)</f>
        <v>Value Missing</v>
      </c>
      <c r="V134" s="3"/>
    </row>
    <row r="135" spans="2:27" s="2" customFormat="1" ht="20" customHeight="1" x14ac:dyDescent="0.2">
      <c r="B135" s="4" t="s">
        <v>2162</v>
      </c>
      <c r="C135" s="337" t="str">
        <f>IF(ISBLANK(mgmt_ec01_use_host_overlay_chosen),"Value Missing",mgmt_ec01_use_host_overlay_chosen)</f>
        <v xml:space="preserve">Unselected </v>
      </c>
      <c r="E135" s="361" t="s">
        <v>2163</v>
      </c>
      <c r="F135" s="337" t="str">
        <f>IF(ISBLANK(input_wld_witnessaz_mgmt_gateway_ip),"Value Missing",input_wld_witnessaz_mgmt_gateway_ip)</f>
        <v>Value Missing</v>
      </c>
      <c r="H135" s="22" t="s">
        <v>885</v>
      </c>
      <c r="I135" s="337" t="str">
        <f>IF(ISBLANK(cluster_az1_mgmt_vm_uplink2_chosen),"Value Missing",cluster_az1_mgmt_vm_uplink2_chosen)</f>
        <v>Active</v>
      </c>
      <c r="K135" s="4" t="s">
        <v>2164</v>
      </c>
      <c r="L135" s="337" t="str">
        <f>IF(ISBLANK(input_parent_gg_wsa_read_only_group),"Value Missing",input_parent_gg_wsa_read_only_group)</f>
        <v>Value Missing</v>
      </c>
      <c r="Q135" s="17" t="s">
        <v>2165</v>
      </c>
      <c r="R135" s="337"/>
      <c r="T135" s="4" t="s">
        <v>2166</v>
      </c>
      <c r="U135" s="337" t="str">
        <f>IF(ISBLANK(input_cbr_recovery_vpc),"Value Missing",input_cbr_recovery_vpc)</f>
        <v>Value Missing</v>
      </c>
      <c r="V135" s="3"/>
    </row>
    <row r="136" spans="2:27" s="2" customFormat="1" ht="20" customHeight="1" x14ac:dyDescent="0.2">
      <c r="B136" s="4" t="s">
        <v>2167</v>
      </c>
      <c r="C136" s="337" t="str">
        <f>IF(mgmt_dpg_reuse_chosen="Selected","Excluded","Included")</f>
        <v>Included</v>
      </c>
      <c r="E136" s="361" t="s">
        <v>2168</v>
      </c>
      <c r="F136" s="337" t="str">
        <f>IF(wld_witnessaz_mgmt_cidr="Value Missing",wld_witnessaz_mgmt_cidr,VLOOKUP(INT(RIGHT(wld_witnessaz_mgmt_cidr,LEN(wld_witnessaz_mgmt_cidr)-FIND("/",wld_witnessaz_mgmt_cidr))),table_cidr_to_mask,2,FALSE))</f>
        <v>Value Missing</v>
      </c>
      <c r="H136" s="336" t="s">
        <v>1672</v>
      </c>
      <c r="I136" s="336"/>
      <c r="K136" s="4" t="s">
        <v>2169</v>
      </c>
      <c r="L136" s="337" t="str">
        <f>IF(ISBLANK('Active Directory Inputs'!E54),"Value Missing",'Active Directory Inputs'!E54)</f>
        <v>Value Missing</v>
      </c>
      <c r="Q136" s="8"/>
      <c r="R136" s="8"/>
      <c r="T136" s="4" t="s">
        <v>2170</v>
      </c>
      <c r="U136" s="337" t="str">
        <f>IF(ISBLANK(input_cbr_recovery_subnet),"Value Missing",input_cbr_recovery_subnet)</f>
        <v>Value Missing</v>
      </c>
      <c r="V136" s="3"/>
    </row>
    <row r="137" spans="2:27" s="2" customFormat="1" ht="20" customHeight="1" x14ac:dyDescent="0.2">
      <c r="B137" s="4" t="s">
        <v>2171</v>
      </c>
      <c r="C137" s="337" t="str">
        <f>mgmt_gateway_routing_type_chosen</f>
        <v>BGP</v>
      </c>
      <c r="E137" s="361" t="s">
        <v>2172</v>
      </c>
      <c r="F137" s="337" t="str">
        <f>IF(wld_witnessaz_mgmt_cidr="Value Missing",wld_witnessaz_mgmt_cidr,(LEFT(wld_witnessaz_mgmt_cidr,(FIND("/",wld_witnessaz_mgmt_cidr)-1))))</f>
        <v>Value Missing</v>
      </c>
      <c r="H137" s="22" t="s">
        <v>185</v>
      </c>
      <c r="I137" s="337" t="str">
        <f>IF(ISBLANK(input_cluster_az1_vmotion_pg),"Value Missing",input_cluster_az1_vmotion_pg)</f>
        <v>Value Missing</v>
      </c>
      <c r="K137" s="4" t="s">
        <v>2173</v>
      </c>
      <c r="L137" s="337" t="str">
        <f>IF(ISBLANK('Active Directory Inputs'!E55),"Value Missing",'Active Directory Inputs'!E55)</f>
        <v>Value Missing</v>
      </c>
      <c r="Q137" s="387" t="s">
        <v>2174</v>
      </c>
      <c r="R137" s="387"/>
      <c r="T137" s="4" t="s">
        <v>2175</v>
      </c>
      <c r="U137" s="337" t="str">
        <f>IF(ISBLANK(input_cbr_recovery_management_subnet),"Value Missing",input_cbr_recovery_management_subnet)</f>
        <v>Value Missing</v>
      </c>
      <c r="V137" s="3"/>
    </row>
    <row r="138" spans="2:27" s="2" customFormat="1" ht="20" customHeight="1" x14ac:dyDescent="0.2">
      <c r="B138" s="4" t="s">
        <v>2176</v>
      </c>
      <c r="C138" s="337" t="str">
        <f>mgmt_az1_en1_ip_allocation_chosen</f>
        <v>Static</v>
      </c>
      <c r="E138" s="361" t="s">
        <v>2177</v>
      </c>
      <c r="F138" s="337" t="str">
        <f>IF(ISBLANK(input_xreg_vra_prefix),"Value Missing",input_xreg_vra_prefix)</f>
        <v>Value Missing</v>
      </c>
      <c r="H138" s="22" t="s">
        <v>882</v>
      </c>
      <c r="I138" s="337" t="str">
        <f>IF(ISBLANK(cluster_az1_vmotion_lbt_chosen),"Value Missing",cluster_az1_vmotion_lbt_chosen)</f>
        <v>Route Based on Physical NIC Load</v>
      </c>
      <c r="K138" s="4" t="s">
        <v>2178</v>
      </c>
      <c r="L138" s="337" t="str">
        <f>IF(ISBLANK('Active Directory Inputs'!E56),"Value Missing",'Active Directory Inputs'!E56)</f>
        <v>Value Missing</v>
      </c>
      <c r="Q138" s="166" t="s">
        <v>261</v>
      </c>
      <c r="R138" s="167" t="s">
        <v>19</v>
      </c>
      <c r="T138" s="4" t="s">
        <v>2179</v>
      </c>
      <c r="U138" s="337" t="str">
        <f>IF(ISBLANK(input_cbr_firewall_rule_vcenter),"Value Missing",input_cbr_firewall_rule_vcenter)</f>
        <v>Value Missing</v>
      </c>
      <c r="V138" s="3"/>
    </row>
    <row r="139" spans="2:27" s="2" customFormat="1" ht="20" customHeight="1" x14ac:dyDescent="0.2">
      <c r="B139" s="4" t="s">
        <v>2180</v>
      </c>
      <c r="C139" s="337" t="str">
        <f>IF(ISBLANK(mgmt_az1_en1_edge_overlay_network_ip_allocation_chosen),"Value Missing",mgmt_az1_en1_edge_overlay_network_ip_allocation_chosen)</f>
        <v>Static IP List</v>
      </c>
      <c r="E139" s="361" t="s">
        <v>2181</v>
      </c>
      <c r="F139" s="337" t="str">
        <f>IF(ISBLANK(input_xreg_vrops_collector_ip),"Value Missing",input_xreg_vrops_collector_ip)</f>
        <v>Value Missing</v>
      </c>
      <c r="H139" s="22" t="s">
        <v>884</v>
      </c>
      <c r="I139" s="337" t="str">
        <f>IF(ISBLANK(cluster_az1_vmotion_uplink1_chosen),"Value Missing",cluster_az1_vmotion_uplink1_chosen)</f>
        <v>Active</v>
      </c>
      <c r="K139" s="4" t="s">
        <v>2182</v>
      </c>
      <c r="L139" s="337" t="str">
        <f>IF(ISBLANK('Active Directory Inputs'!E84),"Value Missing",'Active Directory Inputs'!E84)</f>
        <v>Value Missing</v>
      </c>
      <c r="Q139" s="17" t="s">
        <v>2160</v>
      </c>
      <c r="R139" s="337"/>
      <c r="T139" s="4" t="s">
        <v>2183</v>
      </c>
      <c r="U139" s="337" t="str">
        <f>IF(ISBLANK(input_cbr_vcdr_site_name),"Value Missing",input_cbr_vcdr_site_name)</f>
        <v>Value Missing</v>
      </c>
      <c r="V139" s="3"/>
    </row>
    <row r="140" spans="2:27" s="2" customFormat="1" ht="20" customHeight="1" x14ac:dyDescent="0.2">
      <c r="B140" s="4" t="s">
        <v>2184</v>
      </c>
      <c r="C140" s="337" t="str">
        <f>IF(ISBLANK(mgmt_az1_en1_edge_overlay_network_ip_allocation_chosen),"Value Missing",mgmt_az1_en1_edge_overlay_network_ip_allocation_chosen)</f>
        <v>Static IP List</v>
      </c>
      <c r="E140" s="361" t="s">
        <v>2185</v>
      </c>
      <c r="F140" s="337" t="str">
        <f>IF(ISBLANK(mgmt_vcfops_appliance_size_chosen),"Value Missing",mgmt_vcfops_appliance_size_chosen)</f>
        <v>Medium</v>
      </c>
      <c r="H140" s="22" t="s">
        <v>885</v>
      </c>
      <c r="I140" s="337" t="str">
        <f>IF(ISBLANK(cluster_az1_vmotion_uplink2_chosen),"Value Missing",cluster_az1_vmotion_uplink2_chosen)</f>
        <v>Active</v>
      </c>
      <c r="K140" s="4" t="s">
        <v>2186</v>
      </c>
      <c r="L140" s="337" t="str">
        <f>IF(ISBLANK('Active Directory Inputs'!E85),"Value Missing",'Active Directory Inputs'!E85)</f>
        <v>Value Missing</v>
      </c>
      <c r="Q140" s="17" t="s">
        <v>2165</v>
      </c>
      <c r="R140" s="337"/>
      <c r="T140" s="4" t="s">
        <v>2187</v>
      </c>
      <c r="U140" s="337" t="str">
        <f>IF(ISBLANK(input_cbr_vcdr_timezone),"Value Missing",input_cbr_vcdr_timezone)</f>
        <v>Value Missing</v>
      </c>
      <c r="V140" s="3"/>
    </row>
    <row r="141" spans="2:27" s="2" customFormat="1" ht="20" customHeight="1" x14ac:dyDescent="0.2">
      <c r="B141" s="4" t="s">
        <v>2188</v>
      </c>
      <c r="C141" s="337" t="str">
        <f>mgmt_az1_ec01_password_creation_chosen</f>
        <v xml:space="preserve">Unselected </v>
      </c>
      <c r="E141" s="8"/>
      <c r="F141" s="8"/>
      <c r="H141" s="336" t="s">
        <v>265</v>
      </c>
      <c r="I141" s="336"/>
      <c r="K141" s="4" t="s">
        <v>2189</v>
      </c>
      <c r="L141" s="337" t="str">
        <f>IF(ISBLANK('Active Directory Inputs'!E86),"Value Missing",'Active Directory Inputs'!E86)</f>
        <v>Value Missing</v>
      </c>
      <c r="Q141" s="168"/>
      <c r="T141" s="4" t="s">
        <v>2190</v>
      </c>
      <c r="U141" s="337" t="str">
        <f t="array" ref="U141">IF(ISBLANK(input_cbr_vcdr_cdp1_hostname),"Value Missing",input_cbr_vcdr_cdp1_hostname)</f>
        <v>Value Missing</v>
      </c>
      <c r="V141" s="3"/>
    </row>
    <row r="142" spans="2:27" s="2" customFormat="1" ht="20" customHeight="1" x14ac:dyDescent="0.2">
      <c r="B142" s="4" t="s">
        <v>2191</v>
      </c>
      <c r="C142" s="337" t="str">
        <f>IF(ISBLANK(mgmt_tier0_skip_chosen),"Value Missing",mgmt_tier0_skip_chosen)</f>
        <v>Unselected</v>
      </c>
      <c r="E142" s="391" t="s">
        <v>2192</v>
      </c>
      <c r="F142" s="391"/>
      <c r="H142" s="22" t="s">
        <v>185</v>
      </c>
      <c r="I142" s="337" t="str">
        <f>IF(ISBLANK(input_cluster_az1_principal_storage_pg),"Value Missing",input_cluster_az1_principal_storage_pg)</f>
        <v>Value Missing</v>
      </c>
      <c r="K142" s="4" t="s">
        <v>2193</v>
      </c>
      <c r="L142" s="337" t="str">
        <f>IF(ISBLANK('Active Directory Inputs'!E79),"Value Missing",'Active Directory Inputs'!E79)</f>
        <v>Value Missing</v>
      </c>
      <c r="Q142" s="8"/>
      <c r="R142" s="8"/>
      <c r="T142" s="4" t="s">
        <v>2194</v>
      </c>
      <c r="U142" s="337" t="str">
        <f>IF(ISBLANK(input_cbr_vcdr_cdp1_ip),"Value Missing",input_cbr_vcdr_cdp1_ip)</f>
        <v>Value Missing</v>
      </c>
      <c r="V142" s="3"/>
    </row>
    <row r="143" spans="2:27" s="2" customFormat="1" ht="20" customHeight="1" x14ac:dyDescent="0.2">
      <c r="B143" s="4" t="s">
        <v>2195</v>
      </c>
      <c r="C143" s="337" t="str">
        <f>IF(ISBLANK(wld_az1_ec01_password_creation_chosen),"Value Missing",wld_az1_ec01_password_creation_chosen)</f>
        <v xml:space="preserve">Unselected </v>
      </c>
      <c r="E143" s="336" t="s">
        <v>261</v>
      </c>
      <c r="F143" s="184" t="s">
        <v>1269</v>
      </c>
      <c r="H143" s="22" t="s">
        <v>882</v>
      </c>
      <c r="I143" s="337" t="str">
        <f>IF(ISBLANK(cluster_az1_principal_storage_lbt_chosen),"Value Missing",cluster_az1_principal_storage_lbt_chosen)</f>
        <v>Route Based on Physical NIC Load</v>
      </c>
      <c r="K143" s="4" t="s">
        <v>2196</v>
      </c>
      <c r="L143" s="337" t="str">
        <f>IF(ISBLANK('Active Directory Inputs'!E80),"Value Missing",'Active Directory Inputs'!E80)</f>
        <v>Value Missing</v>
      </c>
      <c r="Q143" s="8"/>
      <c r="R143" s="8"/>
      <c r="T143" s="4" t="s">
        <v>2197</v>
      </c>
      <c r="U143" s="337" t="str">
        <f>IF(ISBLANK(input_cbr_vcdr_cdp2_hostname),"Value Missing",input_cbr_vcdr_cdp2_hostname)</f>
        <v>Value Missing</v>
      </c>
      <c r="V143" s="3"/>
    </row>
    <row r="144" spans="2:27" s="2" customFormat="1" ht="20" customHeight="1" x14ac:dyDescent="0.2">
      <c r="E144" s="4" t="s">
        <v>2198</v>
      </c>
      <c r="F144" s="337" t="str">
        <f>IF(ISBLANK(input_wld_sso_domain_name),"Value Missing",input_wld_sso_domain_name)</f>
        <v>Value Missing</v>
      </c>
      <c r="H144" s="22" t="s">
        <v>884</v>
      </c>
      <c r="I144" s="337" t="str">
        <f>IF(ISBLANK(cluster_az1_principal_storage_uplink1_chosen),"Value Missing",cluster_az1_principal_storage_uplink1_chosen)</f>
        <v>Active</v>
      </c>
      <c r="K144" s="4" t="s">
        <v>2199</v>
      </c>
      <c r="L144" s="337" t="str">
        <f>IF(ISBLANK('Active Directory Inputs'!E81),"Value Missing",'Active Directory Inputs'!E81)</f>
        <v>Value Missing</v>
      </c>
      <c r="Q144" s="8"/>
      <c r="R144" s="8"/>
      <c r="T144" s="4" t="s">
        <v>2200</v>
      </c>
      <c r="U144" s="337" t="str">
        <f>IF(ISBLANK(input_cbr_vcdr_cdp2_ip),"Value Missing",input_cbr_vcdr_cdp2_ip)</f>
        <v>Value Missing</v>
      </c>
      <c r="V144" s="3"/>
    </row>
    <row r="145" spans="2:27" s="2" customFormat="1" ht="20" customHeight="1" x14ac:dyDescent="0.2">
      <c r="B145" s="385" t="s">
        <v>2201</v>
      </c>
      <c r="C145" s="386"/>
      <c r="E145" s="4" t="s">
        <v>2202</v>
      </c>
      <c r="F145" s="337" t="str">
        <f>IF(ISBLANK(input_wld_administrator_vsphere_local_password),"Value Missing",input_wld_administrator_vsphere_local_password)</f>
        <v>Value Missing</v>
      </c>
      <c r="H145" s="22" t="s">
        <v>885</v>
      </c>
      <c r="I145" s="337" t="str">
        <f>IF(ISBLANK(cluster_az1_principal_storage_uplink2_chosen),"Value Missing",cluster_az1_principal_storage_uplink2_chosen)</f>
        <v>Active</v>
      </c>
      <c r="K145" s="4" t="s">
        <v>2203</v>
      </c>
      <c r="L145" s="337" t="str">
        <f>IF(ISBLANK('Active Directory Inputs'!E94),"Value Missing",'Active Directory Inputs'!E94)</f>
        <v>Value Missing</v>
      </c>
      <c r="Q145" s="8"/>
      <c r="R145" s="8"/>
      <c r="T145" s="4" t="s">
        <v>2204</v>
      </c>
      <c r="U145" s="337" t="str">
        <f>IF(ISBLANK(input_cbr_vcdr_ova),"Value Missing",input_cbr_vcdr_ova)</f>
        <v>Value Missing</v>
      </c>
      <c r="V145" s="3"/>
    </row>
    <row r="146" spans="2:27" s="2" customFormat="1" ht="20" customHeight="1" x14ac:dyDescent="0.2">
      <c r="B146" s="336" t="s">
        <v>261</v>
      </c>
      <c r="C146" s="336" t="s">
        <v>19</v>
      </c>
      <c r="E146" s="4" t="s">
        <v>2205</v>
      </c>
      <c r="F146" s="337" t="str">
        <f>(CONCATENATE("administrator@",input_wld_sso_domain_name))</f>
        <v>administrator@</v>
      </c>
      <c r="H146" s="336" t="s">
        <v>2206</v>
      </c>
      <c r="I146" s="336"/>
      <c r="K146" s="4" t="s">
        <v>2207</v>
      </c>
      <c r="L146" s="337" t="str">
        <f>IF(ISBLANK('Active Directory Inputs'!E95),"Value Missing",'Active Directory Inputs'!E95)</f>
        <v>Value Missing</v>
      </c>
      <c r="Q146" s="8"/>
      <c r="R146" s="8"/>
      <c r="T146" s="4" t="s">
        <v>2208</v>
      </c>
      <c r="U146" s="337" t="str">
        <f>IF(ISBLANK(input_cbr_vcdr_orchestrator_fqdn),"Value Missing",input_cbr_vcdr_orchestrator_fqdn)</f>
        <v>Value Missing</v>
      </c>
      <c r="V146" s="3"/>
    </row>
    <row r="147" spans="2:27" s="2" customFormat="1" ht="20" customHeight="1" x14ac:dyDescent="0.2">
      <c r="B147" s="4" t="s">
        <v>2209</v>
      </c>
      <c r="C147" s="337" t="str">
        <f>IF(ISBLANK(input_flt_vidb_version),"Value Missing",input_flt_vidb_version)</f>
        <v>Value Missing</v>
      </c>
      <c r="E147" s="361" t="s">
        <v>2210</v>
      </c>
      <c r="F147" s="337" t="str">
        <f>IF(ISBLANK(input_wld_cl01_image_name),"Value Missing",input_wld_cl01_image_name)</f>
        <v>Value Missing</v>
      </c>
      <c r="H147" s="22" t="s">
        <v>185</v>
      </c>
      <c r="I147" s="337" t="str">
        <f>IF(ISBLANK(input_cluster_az1_vsan_storage_client_pg),"Value Missing",input_cluster_az1_vsan_storage_client_pg)</f>
        <v>Value Missing</v>
      </c>
      <c r="K147" s="4" t="s">
        <v>2211</v>
      </c>
      <c r="L147" s="337" t="str">
        <f>IF(ISBLANK('Active Directory Inputs'!E96),"Value Missing",'Active Directory Inputs'!E96)</f>
        <v>Value Missing</v>
      </c>
      <c r="Q147" s="8"/>
      <c r="R147" s="8"/>
      <c r="T147" s="4" t="s">
        <v>2212</v>
      </c>
      <c r="U147" s="337" t="str">
        <f>IF(ISBLANK(input_cbr_vcdr_passcode),"Value Missing",input_cbr_vcdr_passcode)</f>
        <v>Value Missing</v>
      </c>
      <c r="V147" s="3"/>
    </row>
    <row r="148" spans="2:27" s="2" customFormat="1" ht="20" customHeight="1" x14ac:dyDescent="0.2">
      <c r="B148" s="4" t="s">
        <v>2213</v>
      </c>
      <c r="C148" s="337" t="str">
        <f>IF(ISBLANK(flt_vidb_size_chosen),"Value Missing",flt_vidb_size_chosen)</f>
        <v>Small</v>
      </c>
      <c r="E148" s="4" t="s">
        <v>2214</v>
      </c>
      <c r="F148" s="337" t="str">
        <f>wld_centralized_connectivity_chosen</f>
        <v>Centralized Connectivity</v>
      </c>
      <c r="H148" s="22" t="s">
        <v>882</v>
      </c>
      <c r="I148" s="337" t="str">
        <f>IF(ISBLANK(cluster_az1_vsan_storage_client_lbt_chosen),"Value Missing",cluster_az1_vsan_storage_client_lbt_chosen)</f>
        <v>Route Based on Physical NIC Load</v>
      </c>
      <c r="K148" s="4" t="s">
        <v>2215</v>
      </c>
      <c r="L148" s="337" t="str">
        <f>IF(ISBLANK('Active Directory Inputs'!E97),"Value Missing",'Active Directory Inputs'!E97)</f>
        <v>Value Missing</v>
      </c>
      <c r="Q148" s="8"/>
      <c r="R148" s="8"/>
      <c r="T148" s="4" t="s">
        <v>2216</v>
      </c>
      <c r="U148" s="337" t="str">
        <f>IF(ISBLANK(input_cbr_vcdr_label),"Value Missing",input_cbr_vcdr_label)</f>
        <v>Value Missing</v>
      </c>
      <c r="V148" s="3"/>
    </row>
    <row r="149" spans="2:27" s="2" customFormat="1" ht="20" customHeight="1" x14ac:dyDescent="0.2">
      <c r="B149" s="4" t="s">
        <v>2217</v>
      </c>
      <c r="C149" s="337" t="str">
        <f>IF(ISBLANK(input_flt_vidb_cert_alias),"Value Missing",input_flt_vidb_cert_alias)</f>
        <v>Value Missing</v>
      </c>
      <c r="E149" s="4" t="s">
        <v>800</v>
      </c>
      <c r="F149" s="337" t="str">
        <f>IF(ISBLANK(input_wld_nsxt_lm_audit_password),"Value Missing",input_wld_nsxt_lm_audit_password)</f>
        <v>Value Missing</v>
      </c>
      <c r="H149" s="22" t="s">
        <v>884</v>
      </c>
      <c r="I149" s="337" t="str">
        <f>IF(ISBLANK(cluster_az1_vsan_storage_client_uplink1),"Value Missing",cluster_az1_vsan_storage_client_uplink1)</f>
        <v>Active</v>
      </c>
      <c r="K149" s="4" t="s">
        <v>2218</v>
      </c>
      <c r="L149" s="337" t="str">
        <f>IF(ISBLANK('Active Directory Inputs'!E103),"Value Missing",'Active Directory Inputs'!E103)</f>
        <v>Value Missing</v>
      </c>
      <c r="Q149" s="8"/>
      <c r="R149" s="8"/>
      <c r="T149" s="4" t="s">
        <v>2219</v>
      </c>
      <c r="U149" s="337" t="str">
        <f>IF(ISBLANK(input_cbr_vcdr_anti_affinity),"Value Missing",input_cbr_vcdr_anti_affinity)</f>
        <v>Value Missing</v>
      </c>
      <c r="V149" s="3"/>
    </row>
    <row r="150" spans="2:27" s="2" customFormat="1" ht="20" customHeight="1" x14ac:dyDescent="0.2">
      <c r="B150" s="4" t="s">
        <v>2220</v>
      </c>
      <c r="C150" s="337" t="str">
        <f>IF(ISBLANK(input_flt_vidb_cert_common_name),"Value Missing",input_flt_vidb_cert_common_name)</f>
        <v>Value Missing</v>
      </c>
      <c r="E150" s="4" t="s">
        <v>2221</v>
      </c>
      <c r="F150" s="337" t="str">
        <f>IF(ISBLANK(input_wld_nsxt_lm_admin_password),"Value Missing",input_wld_nsxt_lm_admin_password)</f>
        <v>Value Missing</v>
      </c>
      <c r="H150" s="22" t="s">
        <v>885</v>
      </c>
      <c r="I150" s="337" t="str">
        <f>IF(ISBLANK(cluster_az1_vsan_storage_client_uplink2),"Value Missing",cluster_az1_vsan_storage_client_uplink2)</f>
        <v>Active</v>
      </c>
      <c r="K150" s="4" t="s">
        <v>2222</v>
      </c>
      <c r="L150" s="337" t="str">
        <f>IF(ISBLANK('Active Directory Inputs'!E104),"Value Missing",'Active Directory Inputs'!E104)</f>
        <v>Value Missing</v>
      </c>
      <c r="Q150" s="8"/>
      <c r="R150" s="8"/>
      <c r="T150" s="4" t="s">
        <v>2223</v>
      </c>
      <c r="U150" s="337" t="str">
        <f>IF(ISBLANK(input_cbr_vcdr_email_recipient),"Value Missing",input_cbr_vcdr_email_recipient)</f>
        <v>Value Missing</v>
      </c>
      <c r="V150" s="3"/>
    </row>
    <row r="151" spans="2:27" s="2" customFormat="1" ht="20" customHeight="1" x14ac:dyDescent="0.2">
      <c r="B151" s="4" t="s">
        <v>2224</v>
      </c>
      <c r="C151" s="337" t="str">
        <f>IF(ISBLANK(input_flt_vidb_cert_organisation),"Value Missing",input_flt_vidb_cert_organisation)</f>
        <v>Value Missing</v>
      </c>
      <c r="E151" s="4" t="s">
        <v>2225</v>
      </c>
      <c r="F151" s="337" t="str">
        <f>wld_nsx_ha_mode_chosen</f>
        <v>High-Availability</v>
      </c>
      <c r="H151" s="336" t="s">
        <v>2226</v>
      </c>
      <c r="I151" s="336"/>
      <c r="K151" s="4" t="s">
        <v>2227</v>
      </c>
      <c r="L151" s="337" t="str">
        <f>IF(ISBLANK('Active Directory Inputs'!E105),"Value Missing",'Active Directory Inputs'!E105)</f>
        <v>Value Missing</v>
      </c>
      <c r="Q151" s="8"/>
      <c r="R151" s="8"/>
      <c r="T151" s="4" t="s">
        <v>2228</v>
      </c>
      <c r="U151" s="337" t="str">
        <f>IF(ISBLANK(input_cbr_vcdr_email_sender),"Value Missing",input_cbr_vcdr_email_sender)</f>
        <v>Value Missing</v>
      </c>
      <c r="V151" s="3"/>
    </row>
    <row r="152" spans="2:27" s="2" customFormat="1" ht="20" customHeight="1" x14ac:dyDescent="0.2">
      <c r="B152" s="4" t="s">
        <v>2229</v>
      </c>
      <c r="C152" s="337" t="str">
        <f>IF(ISBLANK(input_flt_vidb_ou_cert),"Value Missing",input_flt_vidb_ou_cert)</f>
        <v>Value Missing</v>
      </c>
      <c r="E152" s="4" t="s">
        <v>2230</v>
      </c>
      <c r="F152" s="337"/>
      <c r="H152" s="4" t="s">
        <v>891</v>
      </c>
      <c r="I152" s="337" t="str">
        <f>cluster_nsx_default_operation_mode_chosen</f>
        <v>Selected</v>
      </c>
      <c r="K152" s="4" t="s">
        <v>2231</v>
      </c>
      <c r="L152" s="337" t="str">
        <f>IF(ISBLANK(input_gg_vcf_admins_group),"Value Missing",input_gg_vcf_admins_group)</f>
        <v>Value Missing</v>
      </c>
      <c r="Q152" s="8"/>
      <c r="R152" s="8"/>
      <c r="T152" s="4" t="s">
        <v>2232</v>
      </c>
      <c r="U152" s="337" t="str">
        <f>IF(ISBLANK(input_cbr_aria_logs_url),"Value Missing",input_cbr_aria_logs_url)</f>
        <v>Value Missing</v>
      </c>
      <c r="V152" s="3"/>
    </row>
    <row r="153" spans="2:27" s="2" customFormat="1" ht="20" customHeight="1" x14ac:dyDescent="0.2">
      <c r="B153" s="4" t="s">
        <v>2233</v>
      </c>
      <c r="C153" s="337" t="str">
        <f>IF(ISBLANK(input_flt_vidb_cert_country_code),"Value Missing",input_flt_vidb_cert_country_code)</f>
        <v>Value Missing</v>
      </c>
      <c r="E153" s="4" t="s">
        <v>2234</v>
      </c>
      <c r="F153" s="337" t="str">
        <f>IF(ISBLANK(input_wld_ec_rp_name),"Value Missing",input_wld_ec_rp_name)</f>
        <v>Value Missing</v>
      </c>
      <c r="H153" s="4" t="s">
        <v>538</v>
      </c>
      <c r="I153" s="337" t="str">
        <f>cluster_nsx_operation_mode_chosen</f>
        <v>Standard</v>
      </c>
      <c r="K153" s="4" t="s">
        <v>2235</v>
      </c>
      <c r="L153" s="337" t="str">
        <f>IF(ISBLANK(input_gg_vcf_operators_group),"Value Missing",input_gg_vcf_operators_group)</f>
        <v>Value Missing</v>
      </c>
      <c r="Q153" s="8"/>
      <c r="R153" s="8"/>
      <c r="T153" s="4" t="s">
        <v>2236</v>
      </c>
      <c r="U153" s="337" t="str">
        <f>IF(ISBLANK(input_cbr_aria_logs_key),"Value Missing",input_cbr_aria_logs_key)</f>
        <v>Value Missing</v>
      </c>
      <c r="V153" s="3"/>
    </row>
    <row r="154" spans="2:27" s="2" customFormat="1" ht="20" customHeight="1" x14ac:dyDescent="0.2">
      <c r="B154" s="4" t="s">
        <v>2237</v>
      </c>
      <c r="C154" s="337" t="str">
        <f>IF(ISBLANK(input_flt_vidb_cert_locality),"Value Missing",input_flt_vidb_cert_locality)</f>
        <v>Value Missing</v>
      </c>
      <c r="E154" s="4" t="s">
        <v>2238</v>
      </c>
      <c r="F154" s="337" t="str">
        <f>IF(ISBLANK(wld_ec01_host_group_affinity_rule_chosen),"Value Missing",wld_ec01_host_group_affinity_rule_chosen)</f>
        <v>No</v>
      </c>
      <c r="H154" s="4" t="s">
        <v>1174</v>
      </c>
      <c r="I154" s="337"/>
      <c r="K154" s="4" t="s">
        <v>2239</v>
      </c>
      <c r="L154" s="337" t="str">
        <f>IF(ISBLANK(input_gg_vcf_viewers_group),"Value Missing",input_gg_vcf_viewers_group)</f>
        <v>Value Missing</v>
      </c>
      <c r="Q154" s="8"/>
      <c r="R154" s="8"/>
      <c r="T154" s="8"/>
      <c r="U154" s="8"/>
      <c r="V154" s="3"/>
    </row>
    <row r="155" spans="2:27" s="2" customFormat="1" ht="20" customHeight="1" x14ac:dyDescent="0.2">
      <c r="B155" s="4" t="s">
        <v>2240</v>
      </c>
      <c r="C155" s="337" t="str">
        <f>IF(ISBLANK(input_flt_vidb_cert_state),"Value Missing",input_flt_vidb_cert_state)</f>
        <v>Value Missing</v>
      </c>
      <c r="E155" s="4" t="s">
        <v>2241</v>
      </c>
      <c r="F155" s="337" t="str">
        <f>IF(ISBLANK(input_wld_ec01_en01_host_group_affinity_rule_name),"Value Missing",input_wld_ec01_en01_host_group_affinity_rule_name)</f>
        <v>Value Missing</v>
      </c>
      <c r="H155" s="4" t="s">
        <v>893</v>
      </c>
      <c r="I155" s="337"/>
      <c r="K155" s="4" t="s">
        <v>2242</v>
      </c>
      <c r="L155" s="337" t="str">
        <f>IF(ISBLANK(input_gg_vc_admins_group),"Value Missing",input_gg_vc_admins_group)</f>
        <v>Value Missing</v>
      </c>
      <c r="Q155" s="8"/>
      <c r="R155" s="8"/>
      <c r="T155" s="579" t="s">
        <v>2243</v>
      </c>
      <c r="U155" s="580"/>
      <c r="V155" s="3"/>
    </row>
    <row r="156" spans="2:27" s="2" customFormat="1" ht="20" customHeight="1" x14ac:dyDescent="0.2">
      <c r="B156" s="4" t="s">
        <v>2244</v>
      </c>
      <c r="C156" s="337" t="str">
        <f>IF(ISBLANK(flt_vidb_cert_key_length_chosen),"Value Missing",flt_vidb_cert_key_length_chosen)</f>
        <v>4096</v>
      </c>
      <c r="E156" s="17" t="s">
        <v>2245</v>
      </c>
      <c r="F156" s="337" t="str">
        <f>IF(ISBLANK(input_wld_ec01_en02_host_group_affinity_rule_name),"Value Missing",input_wld_ec01_en02_host_group_affinity_rule_name)</f>
        <v>Value Missing</v>
      </c>
      <c r="H156" s="336" t="s">
        <v>894</v>
      </c>
      <c r="I156" s="336"/>
      <c r="K156" s="4" t="s">
        <v>2246</v>
      </c>
      <c r="L156" s="337" t="str">
        <f>IF(ISBLANK(input_gg_vc_read_only_group),"Value Missing",input_gg_vc_read_only_group)</f>
        <v>Value Missing</v>
      </c>
      <c r="Q156" s="8"/>
      <c r="R156" s="8"/>
      <c r="T156" s="166" t="s">
        <v>261</v>
      </c>
      <c r="U156" s="167" t="s">
        <v>19</v>
      </c>
      <c r="V156" s="3"/>
      <c r="Z156" s="8"/>
      <c r="AA156" s="8"/>
    </row>
    <row r="157" spans="2:27" s="2" customFormat="1" ht="20" customHeight="1" x14ac:dyDescent="0.2">
      <c r="B157" s="4" t="s">
        <v>2247</v>
      </c>
      <c r="C157" s="337" t="str">
        <f>IF(ISBLANK(input_flt_vidb_folder),"Value Missing",input_flt_vidb_folder)</f>
        <v>Value Missing</v>
      </c>
      <c r="E157" s="4" t="s">
        <v>2248</v>
      </c>
      <c r="F157" s="337" t="str">
        <f>IF(ISBLANK(wld_ec01_use_host_overlay_chosen),"Value Missing",wld_ec01_use_host_overlay_chosen)</f>
        <v xml:space="preserve">Unselected </v>
      </c>
      <c r="H157" s="4" t="s">
        <v>895</v>
      </c>
      <c r="I157" s="337" t="str">
        <f>IF(ISBLANK(input_cluster_host_overlay_transportzone),"Value Missing",input_cluster_host_overlay_transportzone)</f>
        <v>Value Missing</v>
      </c>
      <c r="K157" s="4" t="s">
        <v>2249</v>
      </c>
      <c r="L157" s="337" t="str">
        <f>IF(ISBLANK(input_gg_sso_admins_group),"Value Missing",input_gg_sso_admins_group)</f>
        <v>Value Missing</v>
      </c>
      <c r="Q157" s="8"/>
      <c r="R157" s="8"/>
      <c r="T157" s="4" t="s">
        <v>2250</v>
      </c>
      <c r="U157" s="337" t="str">
        <f>IF(ISBLANK(input_ccm_hcx_vsphere_role),"Value Missing",input_ccm_hcx_vsphere_role)</f>
        <v>Value Missing</v>
      </c>
      <c r="V157" s="3"/>
    </row>
    <row r="158" spans="2:27" s="2" customFormat="1" ht="20" customHeight="1" x14ac:dyDescent="0.2">
      <c r="B158" s="4" t="s">
        <v>611</v>
      </c>
      <c r="C158" s="337" t="str">
        <f>IF(ISBLANK(input_flt_vidb_gateway_ip),"Value Missing",input_flt_vidb_gateway_ip)</f>
        <v>Value Missing</v>
      </c>
      <c r="E158" s="4" t="s">
        <v>2251</v>
      </c>
      <c r="F158" s="337" t="str">
        <f>wld_gateway_routing_type_chosen</f>
        <v>BGP</v>
      </c>
      <c r="H158" s="4" t="s">
        <v>85</v>
      </c>
      <c r="I158" s="337" t="str">
        <f>IF(ISBLANK(input_cluster_az1_host_overlay_vlan),"Value Missing",input_cluster_az1_host_overlay_vlan)</f>
        <v>Value Missing</v>
      </c>
      <c r="K158" s="4" t="s">
        <v>2252</v>
      </c>
      <c r="L158" s="337" t="str">
        <f>IF(ISBLANK(input_gg_nsx_enterprise_admins_group),"Value Missing",input_gg_nsx_enterprise_admins_group)</f>
        <v>Value Missing</v>
      </c>
      <c r="Q158" s="8"/>
      <c r="R158" s="8"/>
      <c r="T158" s="4" t="s">
        <v>2253</v>
      </c>
      <c r="U158" s="337" t="str">
        <f>IF(ISBLANK(input_svc_ccm_hcx_vsphere_user),"Value Missing",input_svc_ccm_hcx_vsphere_user)</f>
        <v>Value Missing</v>
      </c>
      <c r="V158" s="3"/>
    </row>
    <row r="159" spans="2:27" s="2" customFormat="1" ht="20" customHeight="1" x14ac:dyDescent="0.2">
      <c r="B159" s="4" t="s">
        <v>612</v>
      </c>
      <c r="C159" s="337" t="str">
        <f>IF(ISBLANK(input_flt_vidb_mask),"Value Missing",input_flt_vidb_mask)</f>
        <v>Value Missing</v>
      </c>
      <c r="E159" s="336" t="s">
        <v>2254</v>
      </c>
      <c r="F159" s="336" t="s">
        <v>19</v>
      </c>
      <c r="H159" s="4" t="s">
        <v>896</v>
      </c>
      <c r="I159" s="337" t="str">
        <f>IF(ISBLANK(cluster_host_overlay_addressing_chosen),"Value Missing",cluster_host_overlay_addressing_chosen)</f>
        <v>Static IP Pool</v>
      </c>
      <c r="K159" s="4" t="s">
        <v>2255</v>
      </c>
      <c r="L159" s="337" t="str">
        <f>IF(ISBLANK(input_gg_nsx_network_admins_group),"Value Missing",input_gg_nsx_network_admins_group)</f>
        <v>Value Missing</v>
      </c>
      <c r="Q159" s="8"/>
      <c r="R159" s="8"/>
      <c r="T159" s="4" t="s">
        <v>2256</v>
      </c>
      <c r="U159" s="337" t="str">
        <f>IF(ISBLANK(input_svc_ccm_hcx_vsphere_password),"Value Missing",input_svc_ccm_hcx_vsphere_password)</f>
        <v>Value Missing</v>
      </c>
      <c r="V159" s="3"/>
    </row>
    <row r="160" spans="2:27" s="2" customFormat="1" ht="20" customHeight="1" x14ac:dyDescent="0.2">
      <c r="B160" s="4" t="s">
        <v>2257</v>
      </c>
      <c r="C160" s="337" t="str">
        <f>IF(ISBLANK(input_flt_vidb_resource_pool),"Value Missing",input_flt_vidb_resource_pool)</f>
        <v>Value Missing</v>
      </c>
      <c r="E160" s="17" t="s">
        <v>891</v>
      </c>
      <c r="F160" s="337" t="str">
        <f>wld_nsx_default_operation_mode_chosen</f>
        <v>Selected</v>
      </c>
      <c r="H160" s="4" t="s">
        <v>897</v>
      </c>
      <c r="I160" s="337" t="str">
        <f>IF(ISBLANK(cluster_az1_host_overlay_new_pool_chosen),"Value Missing",cluster_az1_host_overlay_new_pool_chosen)</f>
        <v>Re-use an existing Pool</v>
      </c>
      <c r="K160" s="4" t="s">
        <v>2258</v>
      </c>
      <c r="L160" s="337" t="str">
        <f>IF(ISBLANK(input_gg_nsx_auditors_group),"Value Missing",input_gg_nsx_auditors_group)</f>
        <v>Value Missing</v>
      </c>
      <c r="Q160" s="8"/>
      <c r="R160" s="8"/>
      <c r="T160" s="4" t="s">
        <v>2259</v>
      </c>
      <c r="U160" s="337" t="str">
        <f>IF(ISBLANK(input_ccm_vm_folder),"Value Missing",input_ccm_vm_folder)</f>
        <v>Value Missing</v>
      </c>
      <c r="V160" s="3"/>
    </row>
    <row r="161" spans="2:31" s="2" customFormat="1" ht="20" customHeight="1" x14ac:dyDescent="0.2">
      <c r="B161" s="4" t="s">
        <v>107</v>
      </c>
      <c r="C161" s="337" t="str">
        <f>IF(ISBLANK(input_flt_vidb_pg),"Value Missing",input_flt_vidb_pg)</f>
        <v>Value Missing</v>
      </c>
      <c r="E161" s="17" t="s">
        <v>2260</v>
      </c>
      <c r="F161" s="337" t="str">
        <f>IF(ISBLANK(mgmt_nsx_operation_mode_chosen),"Value Missing",mgmt_nsx_operation_mode_chosen)</f>
        <v>Enhanced Datapath Standard</v>
      </c>
      <c r="H161" s="4" t="s">
        <v>898</v>
      </c>
      <c r="I161" s="337" t="str">
        <f>IF(ISBLANK(input_cluster_az1_host_overlay_network_pool_name),"Value Missing",input_cluster_az1_host_overlay_network_pool_name)</f>
        <v>Value Missing</v>
      </c>
      <c r="M161" s="8"/>
      <c r="P161" s="8"/>
      <c r="T161" s="4" t="s">
        <v>2261</v>
      </c>
      <c r="U161" s="337" t="str">
        <f>IF(ISBLANK(input_ccm_hcx_vm_folder),"Value Missing",input_ccm_hcx_vm_folder)</f>
        <v>Value Missing</v>
      </c>
      <c r="V161" s="3"/>
    </row>
    <row r="162" spans="2:31" s="2" customFormat="1" ht="20" customHeight="1" x14ac:dyDescent="0.2">
      <c r="B162" s="4" t="s">
        <v>814</v>
      </c>
      <c r="C162" s="337" t="str">
        <f>IF(ISBLANK(input_flt_vidb_vcenter_fqdn),"Value Missing",input_flt_vidb_vcenter_fqdn)</f>
        <v>Value Missing</v>
      </c>
      <c r="E162" s="17" t="s">
        <v>2262</v>
      </c>
      <c r="F162" s="337" t="str">
        <f>wld_domain_password_creation_chosen</f>
        <v>Unselected</v>
      </c>
      <c r="H162" s="4" t="s">
        <v>1176</v>
      </c>
      <c r="I162" s="337" t="str">
        <f>IF(ISBLANK(input_cluster_az1_host_overlay_network_pool_description),"Value Missing",input_cluster_az1_host_overlay_network_pool_description)</f>
        <v>Value Missing</v>
      </c>
      <c r="K162" s="579" t="s">
        <v>2263</v>
      </c>
      <c r="L162" s="580"/>
      <c r="M162" s="8"/>
      <c r="P162" s="8"/>
      <c r="T162" s="4" t="s">
        <v>2264</v>
      </c>
      <c r="U162" s="337" t="str">
        <f>IF(ISBLANK(input_ccm_hcx_resource_pool),"Value Missing",input_ccm_hcx_resource_pool)</f>
        <v>Value Missing</v>
      </c>
      <c r="V162" s="3"/>
      <c r="X162" s="8"/>
      <c r="Y162" s="8"/>
    </row>
    <row r="163" spans="2:31" s="2" customFormat="1" ht="20" customHeight="1" x14ac:dyDescent="0.2">
      <c r="B163" s="4" t="s">
        <v>732</v>
      </c>
      <c r="C163" s="337" t="str">
        <f>IF(ISBLANK(input_flt_vidb_cluster),"Value Missing",input_flt_vidb_cluster)</f>
        <v>Value Missing</v>
      </c>
      <c r="E163" s="17" t="s">
        <v>2265</v>
      </c>
      <c r="F163" s="337" t="str">
        <f>wld_az1_en1_edge_overlay_network_ip_allocation_chosen</f>
        <v>Static IP List</v>
      </c>
      <c r="H163" s="4" t="s">
        <v>460</v>
      </c>
      <c r="I163" s="337" t="str">
        <f>IF(ISBLANK(input_cluster_az1_host_overlay_cidr),"Value Missing",input_cluster_az1_host_overlay_cidr)</f>
        <v>Value Missing</v>
      </c>
      <c r="K163" s="166" t="s">
        <v>261</v>
      </c>
      <c r="L163" s="167" t="s">
        <v>19</v>
      </c>
      <c r="M163" s="8"/>
      <c r="P163" s="8"/>
      <c r="T163" s="4" t="s">
        <v>2266</v>
      </c>
      <c r="U163" s="337" t="str">
        <f>IF(ISBLANK(input_svc_ccm_hcx_nsx_user),"Value Missing",input_svc_ccm_hcx_nsx_user)</f>
        <v>Value Missing</v>
      </c>
      <c r="V163" s="3"/>
      <c r="AE163" s="6"/>
    </row>
    <row r="164" spans="2:31" s="2" customFormat="1" ht="20" customHeight="1" x14ac:dyDescent="0.2">
      <c r="B164" s="4" t="s">
        <v>103</v>
      </c>
      <c r="C164" s="337" t="str">
        <f>IF(ISBLANK(input_flt_vidb_datastore),"Value Missing",input_flt_vidb_datastore)</f>
        <v>Value Missing</v>
      </c>
      <c r="E164" s="17" t="s">
        <v>2267</v>
      </c>
      <c r="F164" s="337" t="str">
        <f>wld_az1_en1_ip_allocation_chosen</f>
        <v>Static</v>
      </c>
      <c r="H164" s="4" t="s">
        <v>255</v>
      </c>
      <c r="I164" s="337" t="str">
        <f>IF(ISBLANK(input_cluster_az1_host_overlay_pool_start_ip),"Value Missing",input_cluster_az1_host_overlay_pool_start_ip)</f>
        <v>Value Missing</v>
      </c>
      <c r="K164" s="4" t="s">
        <v>2268</v>
      </c>
      <c r="L164" s="337"/>
      <c r="M164" s="8"/>
      <c r="P164" s="8"/>
      <c r="T164" s="4" t="s">
        <v>2269</v>
      </c>
      <c r="U164" s="337" t="str">
        <f t="array" ref="U164">IF(ISBLANK(input_svc_ccm_hcx_nsx_password),"Value Missing",input_svc_ccm_hcx_nsx_password)</f>
        <v>Value Missing</v>
      </c>
      <c r="V164" s="3"/>
    </row>
    <row r="165" spans="2:31" s="2" customFormat="1" ht="20" customHeight="1" x14ac:dyDescent="0.2">
      <c r="B165" s="4" t="s">
        <v>2270</v>
      </c>
      <c r="C165" s="337"/>
      <c r="E165" s="17" t="s">
        <v>2271</v>
      </c>
      <c r="F165" s="337"/>
      <c r="H165" s="4" t="s">
        <v>256</v>
      </c>
      <c r="I165" s="337" t="str">
        <f>IF(ISBLANK(input_cluster_az1_host_overlay_pool_end_ip),"Value Missing",input_cluster_az1_host_overlay_pool_end_ip)</f>
        <v>Value Missing</v>
      </c>
      <c r="M165" s="8"/>
      <c r="N165" s="8"/>
      <c r="O165" s="8"/>
      <c r="P165" s="8"/>
      <c r="T165" s="4" t="s">
        <v>2272</v>
      </c>
      <c r="U165" s="337" t="str">
        <f>IF(ISBLANK(input_ccm_aws_sddc_name),"Value Missing",input_ccm_aws_sddc_name)</f>
        <v>Value Missing</v>
      </c>
      <c r="V165" s="3"/>
    </row>
    <row r="166" spans="2:31" s="2" customFormat="1" ht="20" customHeight="1" x14ac:dyDescent="0.2">
      <c r="B166" s="4" t="s">
        <v>2273</v>
      </c>
      <c r="C166" s="337" t="str">
        <f>flt_vidb_identity_provider_chosen</f>
        <v>AD/LDAP</v>
      </c>
      <c r="E166" s="17" t="s">
        <v>2274</v>
      </c>
      <c r="F166" s="337" t="str">
        <f>wld_az1_en2_ip_allocation_chosen</f>
        <v>Static</v>
      </c>
      <c r="H166" s="4" t="s">
        <v>461</v>
      </c>
      <c r="I166" s="337" t="str">
        <f>IF(ISBLANK(input_cluster_az1_host_overlay_gateway_ip),"Value Missing",input_cluster_az1_host_overlay_gateway_ip)</f>
        <v>Value Missing</v>
      </c>
      <c r="K166" s="581" t="s">
        <v>2275</v>
      </c>
      <c r="L166" s="582"/>
      <c r="M166" s="8"/>
      <c r="N166" s="8"/>
      <c r="O166" s="8"/>
      <c r="P166" s="8"/>
      <c r="T166" s="4" t="s">
        <v>2154</v>
      </c>
      <c r="U166" s="337" t="str">
        <f>IF(ISBLANK(input_ccm_aws_region),"Value Missing",input_ccm_aws_region)</f>
        <v>Value Missing</v>
      </c>
      <c r="V166" s="3"/>
    </row>
    <row r="167" spans="2:31" s="2" customFormat="1" ht="20" customHeight="1" x14ac:dyDescent="0.2">
      <c r="B167" s="4" t="s">
        <v>2276</v>
      </c>
      <c r="C167" s="337" t="str">
        <f>IF(ISBLANK(input_flt_vidb_directory_name),"Value Missing",input_flt_vidb_directory_name)</f>
        <v>Value Missing</v>
      </c>
      <c r="E167" s="17" t="s">
        <v>2277</v>
      </c>
      <c r="F167" s="337" t="s">
        <v>2277</v>
      </c>
      <c r="H167" s="4" t="s">
        <v>895</v>
      </c>
      <c r="I167" s="337" t="str">
        <f>IF(ISBLANK(input_cluster_nsx_vlan_transport_zone_name),"Value Missing",input_cluster_nsx_vlan_transport_zone_name)</f>
        <v>Value Missing</v>
      </c>
      <c r="K167" s="4" t="s">
        <v>2278</v>
      </c>
      <c r="L167" s="337" t="str">
        <f>IF(ISBLANK(input_mgmt_witness_zone_vc_fqdn),"Value Missing",input_mgmt_witness_zone_vc_fqdn)</f>
        <v>Value Missing</v>
      </c>
      <c r="M167" s="8"/>
      <c r="N167" s="8"/>
      <c r="O167" s="8"/>
      <c r="P167" s="8"/>
      <c r="T167" s="4" t="s">
        <v>2157</v>
      </c>
      <c r="U167" s="337" t="str">
        <f>IF(ISBLANK(input_ccm_aws_host_type),"Value Missing",input_ccm_aws_host_type)</f>
        <v>Value Missing</v>
      </c>
      <c r="V167" s="3"/>
    </row>
    <row r="168" spans="2:31" s="2" customFormat="1" ht="20" customHeight="1" x14ac:dyDescent="0.2">
      <c r="B168" s="4" t="s">
        <v>2279</v>
      </c>
      <c r="C168" s="337" t="str">
        <f>flt_vidb_server_location_chosen</f>
        <v>Selected</v>
      </c>
      <c r="E168" s="17" t="s">
        <v>2280</v>
      </c>
      <c r="F168" s="337" t="str">
        <f>IF(ISBLANK(wld_az1_host_overlay_new_pool_chosen),"Value Missing",wld_az1_host_overlay_new_pool_chosen)</f>
        <v>Create New Static IP Pool</v>
      </c>
      <c r="H168" s="4" t="s">
        <v>903</v>
      </c>
      <c r="I168" s="337" t="str">
        <f>IF(ISBLANK(input_cluster_az1_nsx_uplink_count),"Value Missing",input_cluster_az1_nsx_uplink_count)</f>
        <v>Value Missing</v>
      </c>
      <c r="K168" s="4" t="s">
        <v>2281</v>
      </c>
      <c r="L168" s="337" t="str">
        <f>IF(ISBLANK(input_mgmt_witness_zone_vc_fqdn),"Value Missing",input_mgmt_witness_zone_vc_fqdn)</f>
        <v>Value Missing</v>
      </c>
      <c r="M168" s="8"/>
      <c r="N168" s="8"/>
      <c r="O168" s="8"/>
      <c r="P168" s="8"/>
      <c r="Q168" s="8"/>
      <c r="T168" s="4" t="s">
        <v>2161</v>
      </c>
      <c r="U168" s="337" t="str">
        <f>IF(ISBLANK(input_ccm_aws_host_count),"Value Missing",input_ccm_aws_host_count)</f>
        <v>Value Missing</v>
      </c>
      <c r="V168" s="3"/>
    </row>
    <row r="169" spans="2:31" s="2" customFormat="1" ht="20" customHeight="1" x14ac:dyDescent="0.2">
      <c r="B169" s="4" t="s">
        <v>2282</v>
      </c>
      <c r="C169" s="337" t="str">
        <f>flt_vidb_global_catalog_chosen</f>
        <v>Unselected</v>
      </c>
      <c r="E169" s="17" t="s">
        <v>2283</v>
      </c>
      <c r="F169" s="337" t="str">
        <f>wld_nsx_default_operation_mode_chosen</f>
        <v>Selected</v>
      </c>
      <c r="H169" s="4" t="s">
        <v>904</v>
      </c>
      <c r="I169" s="337" t="str">
        <f>IF(ISBLANK(input_cluster_az1_nsx_uplink1),"Value Missing",input_cluster_az1_nsx_uplink1)</f>
        <v>Value Missing</v>
      </c>
      <c r="K169" s="4" t="s">
        <v>2284</v>
      </c>
      <c r="L169" s="337" t="str">
        <f>IF(ISBLANK(input_mgmt_witness_zone_vc_fqdn),"Value Missing",input_mgmt_witness_zone_vc_fqdn)</f>
        <v>Value Missing</v>
      </c>
      <c r="M169" s="8"/>
      <c r="O169" s="8"/>
      <c r="P169" s="8"/>
      <c r="Q169" s="8"/>
      <c r="T169" s="4" t="s">
        <v>2166</v>
      </c>
      <c r="U169" s="337" t="str">
        <f>IF(ISBLANK(input_ccm_aws_vpc),"Value Missing",input_ccm_aws_vpc)</f>
        <v>Value Missing</v>
      </c>
      <c r="V169" s="3"/>
    </row>
    <row r="170" spans="2:31" s="2" customFormat="1" ht="20" customHeight="1" x14ac:dyDescent="0.2">
      <c r="B170" s="4" t="s">
        <v>2285</v>
      </c>
      <c r="C170" s="337" t="str">
        <f>flt_vidb_encrypted_connection_chosen</f>
        <v>Unselected</v>
      </c>
      <c r="E170" s="17" t="s">
        <v>2286</v>
      </c>
      <c r="F170" s="337"/>
      <c r="H170" s="4" t="s">
        <v>905</v>
      </c>
      <c r="I170" s="337" t="str">
        <f>IF(ISBLANK(input_cluster_az1_nsx_uplink2),"Value Missing",input_cluster_az1_nsx_uplink2)</f>
        <v>Value Missing</v>
      </c>
      <c r="K170" s="4" t="s">
        <v>2287</v>
      </c>
      <c r="L170" s="337" t="str">
        <f>IF(ISBLANK(input_mgmt_witnessaz_mgmt_mtu),"Value Missing",input_mgmt_witnessaz_mgmt_mtu)</f>
        <v>Value Missing</v>
      </c>
      <c r="M170" s="8"/>
      <c r="O170" s="8"/>
      <c r="P170" s="8"/>
      <c r="Q170" s="8"/>
      <c r="T170" s="4" t="s">
        <v>2170</v>
      </c>
      <c r="U170" s="337" t="str">
        <f>IF(ISBLANK(input_ccm_aws_subnet),"Value Missing",input_ccm_aws_subnet)</f>
        <v>Value Missing</v>
      </c>
      <c r="V170" s="3"/>
      <c r="X170" s="8"/>
      <c r="Y170" s="8"/>
    </row>
    <row r="171" spans="2:31" s="2" customFormat="1" ht="20" customHeight="1" x14ac:dyDescent="0.2">
      <c r="B171" s="4" t="s">
        <v>2288</v>
      </c>
      <c r="C171" s="337" t="str">
        <f>IF(ISBLANK(input_flt_vidb_encrypted_cert),"Value Missing",input_flt_vidb_encrypted_cert)</f>
        <v>Value Missing</v>
      </c>
      <c r="E171" s="17" t="s">
        <v>2289</v>
      </c>
      <c r="F171" s="337" t="str">
        <f>wld_cl01_vds_copy_profile_chosen</f>
        <v>Unselected</v>
      </c>
      <c r="H171" s="17" t="s">
        <v>906</v>
      </c>
      <c r="I171" s="337" t="str">
        <f>IF(ISBLANK(input_cluster_az1_host_overlay_uplink_profile_name),"Value Missing",input_cluster_az1_host_overlay_uplink_profile_name)</f>
        <v>Value Missing</v>
      </c>
      <c r="K171" s="4" t="s">
        <v>2290</v>
      </c>
      <c r="L171" s="337" t="str">
        <f>IF(ISBLANK(input_mgmt_witnessaz_mgmt_vlan),"Value Missing",input_mgmt_witnessaz_mgmt_vlan)</f>
        <v>Value Missing</v>
      </c>
      <c r="M171" s="8"/>
      <c r="O171" s="8"/>
      <c r="P171" s="8"/>
      <c r="Q171" s="8"/>
      <c r="T171" s="4" t="s">
        <v>2175</v>
      </c>
      <c r="U171" s="337" t="str">
        <f>IF(ISBLANK(input_ccm_aws_management_subnet),"Value Missing",input_ccm_aws_management_subnet)</f>
        <v>Value Missing</v>
      </c>
      <c r="V171" s="3"/>
      <c r="X171" s="8"/>
      <c r="Y171" s="8"/>
    </row>
    <row r="172" spans="2:31" s="2" customFormat="1" ht="20" customHeight="1" x14ac:dyDescent="0.2">
      <c r="B172" s="4" t="s">
        <v>2291</v>
      </c>
      <c r="C172" s="337" t="str">
        <f>IF(ISBLANK(input_flt_vidb_primary_domain_controller),"Value Missing",input_flt_vidb_primary_domain_controller)</f>
        <v>Value Missing</v>
      </c>
      <c r="E172" s="17" t="s">
        <v>903</v>
      </c>
      <c r="F172" s="337" t="str">
        <f>IF(ISBLANK(input_wld_cl01_az1_nsx_uplink_count),"Value Missing",input_wld_cl01_az1_nsx_uplink_count)</f>
        <v>Value Missing</v>
      </c>
      <c r="H172" s="4" t="s">
        <v>882</v>
      </c>
      <c r="I172" s="337" t="str">
        <f>IF(ISBLANK(cluster_az1_nsx_lbt_chosen),"Value Missing",cluster_az1_nsx_lbt_chosen)</f>
        <v>Load Balance Source</v>
      </c>
      <c r="K172" s="4" t="s">
        <v>2292</v>
      </c>
      <c r="L172" s="337"/>
      <c r="M172" s="8"/>
      <c r="O172" s="8"/>
      <c r="P172" s="8"/>
      <c r="Q172" s="8"/>
      <c r="T172" s="4" t="s">
        <v>2179</v>
      </c>
      <c r="U172" s="337" t="str">
        <f>IF(ISBLANK(input_ccm_firewall_rule_vcenter),"Value Missing",input_ccm_firewall_rule_vcenter)</f>
        <v>Value Missing</v>
      </c>
      <c r="V172" s="3"/>
      <c r="X172" s="8"/>
      <c r="Y172" s="8"/>
    </row>
    <row r="173" spans="2:31" s="2" customFormat="1" ht="20" customHeight="1" x14ac:dyDescent="0.2">
      <c r="B173" s="4" t="s">
        <v>2293</v>
      </c>
      <c r="C173" s="337" t="str">
        <f>IF(ISBLANK(input_flt_vidb_primary_domain_controller_port),"Value Missing",input_flt_vidb_primary_domain_controller_port)</f>
        <v>Value Missing</v>
      </c>
      <c r="E173" s="17" t="s">
        <v>900</v>
      </c>
      <c r="F173" s="337" t="str">
        <f>IF(ISBLANK(input_wld_nsx_vlan_transport_zone_name),"Value Missing",input_wld_nsx_vlan_transport_zone_name)</f>
        <v>Value Missing</v>
      </c>
      <c r="H173" s="4" t="s">
        <v>2294</v>
      </c>
      <c r="I173" s="337" t="str">
        <f>IF(ISBLANK(input_cluster_az1_nsx_uplink1_active),"Value Missing",input_cluster_az1_nsx_uplink1_active)</f>
        <v>Value Missing</v>
      </c>
      <c r="K173" s="4" t="s">
        <v>2295</v>
      </c>
      <c r="L173" s="337" t="str">
        <f>IF(mgmt_witnessaz_mgmt_cidr="Value Missing",mgmt_witnessaz_mgmt_cidr,(LEFT(mgmt_witnessaz_mgmt_cidr,(FIND("/",mgmt_witnessaz_mgmt_cidr)-1))))</f>
        <v>Value Missing</v>
      </c>
      <c r="M173" s="8"/>
      <c r="O173" s="8"/>
      <c r="P173" s="8"/>
      <c r="Q173" s="8"/>
      <c r="T173" s="4" t="s">
        <v>2296</v>
      </c>
      <c r="U173" s="337" t="str">
        <f>IF(ISBLANK(input_ccm_firewall_rule_hcx),"Value Missing",input_ccm_firewall_rule_hcx)</f>
        <v>Value Missing</v>
      </c>
      <c r="V173" s="3"/>
      <c r="X173" s="8"/>
      <c r="Y173" s="8"/>
    </row>
    <row r="174" spans="2:31" s="2" customFormat="1" ht="20" customHeight="1" x14ac:dyDescent="0.2">
      <c r="B174" s="4" t="s">
        <v>2297</v>
      </c>
      <c r="C174" s="337" t="str">
        <f>IF(ISBLANK(input_flt_vidb_secondary_domain_controller),"Value Missing",input_flt_vidb_secondary_domain_controller)</f>
        <v>Value Missing</v>
      </c>
      <c r="E174" s="4" t="s">
        <v>909</v>
      </c>
      <c r="F174" s="337" t="str">
        <f>IF(ISBLANK(wld_az1_nsx_uplink1_active_chosen),"Value Missing",wld_az1_nsx_uplink1_active_chosen)</f>
        <v>Selected</v>
      </c>
      <c r="H174" s="4" t="s">
        <v>1179</v>
      </c>
      <c r="I174" s="337" t="str">
        <f>IF(ISBLANK(input_cluster_az1_nsx_uplink2_active),"Value Missing",input_cluster_az1_nsx_uplink2_active)</f>
        <v>Value Missing</v>
      </c>
      <c r="K174" s="4"/>
      <c r="L174" s="337"/>
      <c r="M174" s="8"/>
      <c r="O174" s="8"/>
      <c r="P174" s="8"/>
      <c r="Q174" s="8"/>
      <c r="T174" s="4" t="s">
        <v>2298</v>
      </c>
      <c r="U174" s="337" t="str">
        <f>IF(ISBLANK(input_ccm_firewall_group),"Value Missing",input_ccm_firewall_group)</f>
        <v>Value Missing</v>
      </c>
      <c r="V174" s="3"/>
      <c r="X174" s="8"/>
      <c r="Y174" s="8"/>
    </row>
    <row r="175" spans="2:31" s="2" customFormat="1" ht="20" customHeight="1" x14ac:dyDescent="0.2">
      <c r="B175" s="4" t="s">
        <v>2299</v>
      </c>
      <c r="C175" s="337" t="str">
        <f>IF(ISBLANK(input_flt_vidb_secondary_domain_controller_port),"Value Missing",input_flt_vidb_secondary_domain_controller_port)</f>
        <v>Value Missing</v>
      </c>
      <c r="E175" s="4" t="s">
        <v>910</v>
      </c>
      <c r="F175" s="337" t="str">
        <f>IF(ISBLANK(wld_az1_nsx_uplink2_active_chosen),"Value Missing",wld_az1_nsx_uplink2_active_chosen)</f>
        <v>Selected</v>
      </c>
      <c r="K175" s="4" t="s">
        <v>2300</v>
      </c>
      <c r="L175" s="337" t="str">
        <f>IF(mgmt_witnessaz_mgmt_cidr="Value Missing",mgmt_witnessaz_mgmt_cidr,VLOOKUP(INT(RIGHT(mgmt_witnessaz_mgmt_cidr,LEN(mgmt_witnessaz_mgmt_cidr)-FIND("/",mgmt_witnessaz_mgmt_cidr))),table_cidr_to_mask,2,FALSE))</f>
        <v>Value Missing</v>
      </c>
      <c r="M175" s="8"/>
      <c r="O175" s="8"/>
      <c r="P175" s="8"/>
      <c r="Q175" s="8"/>
      <c r="T175" s="4" t="s">
        <v>2301</v>
      </c>
      <c r="U175" s="337" t="str">
        <f>IF(ISBLANK(input_ccm_firewall_ip_addresses),"Value Missing",input_ccm_firewall_ip_addresses)</f>
        <v>Value Missing</v>
      </c>
      <c r="V175" s="3"/>
      <c r="X175" s="8"/>
      <c r="Y175" s="8"/>
    </row>
    <row r="176" spans="2:31" s="2" customFormat="1" ht="20" customHeight="1" x14ac:dyDescent="0.2">
      <c r="B176" s="4" t="s">
        <v>2302</v>
      </c>
      <c r="C176" s="337" t="str">
        <f>flt_vidb_directory_search_chosen</f>
        <v>sAMAccountName</v>
      </c>
      <c r="D176" s="8"/>
      <c r="E176" s="28" t="s">
        <v>2303</v>
      </c>
      <c r="F176" s="337" t="str">
        <f>IF(ISBLANK(input_wld_nsxt_en_admin_password),"Value Missing",input_wld_nsxt_en_admin_password)</f>
        <v>Value Missing</v>
      </c>
      <c r="H176" s="391" t="s">
        <v>2304</v>
      </c>
      <c r="I176" s="391"/>
      <c r="K176" s="4" t="s">
        <v>2305</v>
      </c>
      <c r="L176" s="337" t="str">
        <f>IF(ISBLANK(input_mgmt_witness_ip),"Value Missing",input_mgmt_witness_ip)</f>
        <v>Value Missing</v>
      </c>
      <c r="M176" s="8"/>
      <c r="O176" s="8"/>
      <c r="P176" s="8"/>
      <c r="Q176" s="8"/>
      <c r="T176" s="4" t="s">
        <v>2306</v>
      </c>
      <c r="U176" s="337" t="str">
        <f>IF(ISBLANK(input_ccm_hcx_license),"Value Missing",input_ccm_hcx_license)</f>
        <v>Value Missing</v>
      </c>
      <c r="V176" s="3"/>
      <c r="X176" s="8"/>
      <c r="Y176" s="8"/>
    </row>
    <row r="177" spans="2:30" s="2" customFormat="1" ht="20" customHeight="1" x14ac:dyDescent="0.2">
      <c r="B177" s="4" t="s">
        <v>2307</v>
      </c>
      <c r="C177" s="337" t="str">
        <f>IF(ISBLANK(input_flt_vidb_base_dn),"Value Missing",input_flt_vidb_base_dn)</f>
        <v>Value Missing</v>
      </c>
      <c r="D177" s="8"/>
      <c r="E177" s="261" t="s">
        <v>2308</v>
      </c>
      <c r="F177" s="337" t="str">
        <f>IF(ISBLANK(input_wld_nsxt_en_root_password),"Value Missing",input_wld_nsxt_en_root_password)</f>
        <v>Value Missing</v>
      </c>
      <c r="H177" s="336" t="s">
        <v>261</v>
      </c>
      <c r="I177" s="184" t="s">
        <v>19</v>
      </c>
      <c r="K177" s="4" t="s">
        <v>2309</v>
      </c>
      <c r="L177" s="337" t="str">
        <f>IF(ISBLANK(input_mgmt_witnessaz_mgmt_cidr),"Value Missing",input_mgmt_witnessaz_mgmt_cidr)</f>
        <v>Value Missing</v>
      </c>
      <c r="M177" s="8"/>
      <c r="O177" s="8"/>
      <c r="P177" s="8"/>
      <c r="Q177" s="8"/>
      <c r="T177" s="4" t="s">
        <v>2310</v>
      </c>
      <c r="U177" s="337" t="str">
        <f>IF(ISBLANK(input_ccm_hcx_dc_location),"Value Missing",input_ccm_hcx_dc_location)</f>
        <v>Value Missing</v>
      </c>
      <c r="V177" s="3"/>
      <c r="X177" s="8"/>
      <c r="Y177" s="8"/>
    </row>
    <row r="178" spans="2:30" s="2" customFormat="1" ht="20" customHeight="1" x14ac:dyDescent="0.2">
      <c r="B178" s="4" t="s">
        <v>2311</v>
      </c>
      <c r="C178" s="337" t="str">
        <f>IF(ISBLANK(input_flt_vidb_bind_username),"Value Missing",input_flt_vidb_bind_username)</f>
        <v>Value Missing</v>
      </c>
      <c r="D178" s="8"/>
      <c r="E178" s="261" t="s">
        <v>2312</v>
      </c>
      <c r="F178" s="337" t="str">
        <f>IF(ISBLANK(input_wld_ec_mtu),"Value Missing",input_wld_ec_mtu)</f>
        <v>Value Missing</v>
      </c>
      <c r="H178" s="4" t="s">
        <v>771</v>
      </c>
      <c r="I178" s="337" t="str">
        <f>wld_bf_vcenter_type_chosen</f>
        <v>Specify an external vCenter</v>
      </c>
      <c r="K178" s="4" t="s">
        <v>2313</v>
      </c>
      <c r="L178" s="337" t="str">
        <f>IF(ISBLANK(input_mgmt_witnessaz_mgmt_gateway_ip),"Value Missing",input_mgmt_witnessaz_mgmt_gateway_ip)</f>
        <v>Value Missing</v>
      </c>
      <c r="M178" s="8"/>
      <c r="O178" s="8"/>
      <c r="P178" s="8"/>
      <c r="Q178" s="8"/>
      <c r="T178" s="189" t="s">
        <v>2314</v>
      </c>
      <c r="U178" s="337" t="str">
        <f>IF(ISBLANK(input_ccm_hcx_cdp_hostname),"Value Missing",input_ccm_hcx_cdp_hostname)</f>
        <v>Value Missing</v>
      </c>
      <c r="V178" s="3"/>
      <c r="X178" s="8"/>
      <c r="Y178" s="8"/>
    </row>
    <row r="179" spans="2:30" s="2" customFormat="1" ht="20" customHeight="1" x14ac:dyDescent="0.2">
      <c r="B179" s="4" t="s">
        <v>2315</v>
      </c>
      <c r="C179" s="337" t="str">
        <f>IF(ISBLANK(input_flt_vidb_bind_password),"Value Missing",input_flt_vidb_bind_password)</f>
        <v>Value Missing</v>
      </c>
      <c r="D179" s="8"/>
      <c r="E179" s="17" t="s">
        <v>818</v>
      </c>
      <c r="F179" s="337" t="str">
        <f>IF(ISBLANK(input_wld_cl01_cluster_zn_name),"Value Missing",input_wld_cl01_cluster_zn_name)</f>
        <v>Value Missing</v>
      </c>
      <c r="H179" s="4" t="s">
        <v>773</v>
      </c>
      <c r="I179" s="337" t="str">
        <f>IF(ISBLANK(input_wld_bf_vc_fqdn),"Value Missing",input_wld_bf_vc_fqdn)</f>
        <v>Value Missing</v>
      </c>
      <c r="K179" s="4" t="s">
        <v>2316</v>
      </c>
      <c r="L179" s="337" t="str">
        <f>IF(ISBLANK(input_sftp_server),"Value Missing",input_sftp_server)</f>
        <v>Value Missing</v>
      </c>
      <c r="M179" s="8"/>
      <c r="O179" s="8"/>
      <c r="P179" s="8"/>
      <c r="Q179" s="8"/>
      <c r="T179" s="4" t="s">
        <v>2317</v>
      </c>
      <c r="U179" s="337" t="str">
        <f>IF(ISBLANK(input_ccm_hcx_admin_password),"Value Missing",input_ccm_hcx_admin_password)</f>
        <v>Value Missing</v>
      </c>
      <c r="V179" s="3"/>
      <c r="X179" s="8"/>
      <c r="Y179" s="8"/>
    </row>
    <row r="180" spans="2:30" s="2" customFormat="1" ht="20" customHeight="1" x14ac:dyDescent="0.2">
      <c r="B180" s="4" t="s">
        <v>2318</v>
      </c>
      <c r="C180" s="337" t="str">
        <f>IF(ISBLANK(input_flt_vidb_user_name),"Value Missing",input_flt_vidb_user_name)</f>
        <v>Value Missing</v>
      </c>
      <c r="D180" s="8"/>
      <c r="E180" s="17" t="s">
        <v>918</v>
      </c>
      <c r="F180" s="337" t="str">
        <f>IF(ISBLANK(input_wld_cl01_supervisor_control_plane_ip_range),"Value Missing",input_wld_cl01_supervisor_control_plane_ip_range)</f>
        <v>Value Missing</v>
      </c>
      <c r="H180" s="4" t="s">
        <v>774</v>
      </c>
      <c r="I180" s="337" t="str">
        <f>IF(ISBLANK(input_wld_bf_vc_root_password),"Value Missing",input_wld_bf_vc_root_password)</f>
        <v>Value Missing</v>
      </c>
      <c r="L180" s="8"/>
      <c r="M180" s="8"/>
      <c r="O180" s="8"/>
      <c r="P180" s="8"/>
      <c r="Q180" s="8"/>
      <c r="T180" s="4" t="s">
        <v>2319</v>
      </c>
      <c r="U180" s="337" t="str">
        <f>IF(ISBLANK(input_ccm_hcx_root_password),"Value Missing",input_ccm_hcx_root_password)</f>
        <v>Value Missing</v>
      </c>
      <c r="V180" s="3"/>
      <c r="X180" s="8"/>
      <c r="Y180" s="8"/>
      <c r="AD180" s="8"/>
    </row>
    <row r="181" spans="2:30" s="2" customFormat="1" ht="20" customHeight="1" x14ac:dyDescent="0.2">
      <c r="B181" s="4" t="s">
        <v>2320</v>
      </c>
      <c r="C181" s="337" t="str">
        <f>IF(ISBLANK(input_flt_vidb_first_name),"Value Missing",input_flt_vidb_first_name)</f>
        <v>Value Missing</v>
      </c>
      <c r="D181" s="8"/>
      <c r="E181" s="17" t="s">
        <v>929</v>
      </c>
      <c r="F181" s="337" t="str">
        <f>IF(ISBLANK(input_wld_cl01_supervisor_dns),"Value Missing",input_wld_cl01_supervisor_dns)</f>
        <v>Value Missing</v>
      </c>
      <c r="H181" s="4" t="s">
        <v>775</v>
      </c>
      <c r="I181" s="337" t="str">
        <f>IF(ISBLANK(input_wld_bf_vc_sso_username),"Value Missing",input_wld_bf_vc_sso_username)</f>
        <v>Value Missing</v>
      </c>
      <c r="K181" s="391" t="s">
        <v>2321</v>
      </c>
      <c r="L181" s="391"/>
      <c r="M181" s="8"/>
      <c r="O181" s="8"/>
      <c r="P181" s="8"/>
      <c r="Q181" s="8"/>
      <c r="T181" s="4" t="s">
        <v>2322</v>
      </c>
      <c r="U181" s="337" t="str">
        <f>IF(ISBLANK(input_ccm_hcx_cdp_ip),"Value Missing",input_ccm_hcx_cdp_ip)</f>
        <v>Value Missing</v>
      </c>
      <c r="V181" s="8"/>
      <c r="X181" s="8"/>
      <c r="Y181" s="8"/>
      <c r="AD181" s="8"/>
    </row>
    <row r="182" spans="2:30" s="2" customFormat="1" ht="20" customHeight="1" x14ac:dyDescent="0.2">
      <c r="B182" s="4" t="s">
        <v>2323</v>
      </c>
      <c r="C182" s="337" t="str">
        <f>IF(ISBLANK(input_flt_vidb_last_name),"Value Missing",input_flt_vidb_last_name)</f>
        <v>Value Missing</v>
      </c>
      <c r="D182" s="8"/>
      <c r="E182" s="17" t="s">
        <v>913</v>
      </c>
      <c r="F182" s="337" t="str">
        <f>IF(ISBLANK(input_wld_cl01_supervisor_name),"Value Missing",input_wld_cl01_supervisor_name)</f>
        <v>Value Missing</v>
      </c>
      <c r="H182" s="4" t="s">
        <v>776</v>
      </c>
      <c r="I182" s="337" t="str">
        <f>IF(ISBLANK(input_wld_bf_vc_sso_password),"Value Missing",input_wld_bf_vc_sso_password)</f>
        <v>Value Missing</v>
      </c>
      <c r="J182" s="8"/>
      <c r="K182" s="336" t="s">
        <v>261</v>
      </c>
      <c r="L182" s="184" t="s">
        <v>19</v>
      </c>
      <c r="M182" s="8"/>
      <c r="O182" s="8"/>
      <c r="P182" s="8"/>
      <c r="Q182" s="8"/>
      <c r="T182" s="4" t="s">
        <v>2324</v>
      </c>
      <c r="U182" s="337" t="str">
        <f>IF(ISBLANK(input_ccm_hcx_remote_url),"Value Missing",input_ccm_hcx_remote_url)</f>
        <v>Value Missing</v>
      </c>
      <c r="V182" s="8"/>
      <c r="X182" s="8"/>
      <c r="Y182" s="8"/>
      <c r="AD182" s="8"/>
    </row>
    <row r="183" spans="2:30" ht="20" customHeight="1" x14ac:dyDescent="0.2">
      <c r="B183" s="4" t="s">
        <v>2325</v>
      </c>
      <c r="C183" s="337" t="str">
        <f>IF(ISBLANK(input_flt_vidb_distinguished_name),"Value Missing",input_flt_vidb_distinguished_name)</f>
        <v>Value Missing</v>
      </c>
      <c r="E183" s="17" t="s">
        <v>920</v>
      </c>
      <c r="F183" s="337" t="str">
        <f>IF(ISBLANK(input_wld_cl01_supervisor_nsx_project),"Value Missing",input_wld_cl01_supervisor_nsx_project)</f>
        <v>Value Missing</v>
      </c>
      <c r="H183" s="4" t="s">
        <v>777</v>
      </c>
      <c r="I183" s="337" t="str">
        <f>IF(ISBLANK(wld_bf_nsx_existing_chosen),"Value Missing",wld_bf_nsx_existing_chosen)</f>
        <v>Selected</v>
      </c>
      <c r="K183" s="4" t="s">
        <v>585</v>
      </c>
      <c r="L183" s="337" t="str">
        <f>IF(ISBLANK(input_flt_logs_cert_alias),"Value Missing",input_flt_logs_cert_alias)</f>
        <v>Value Missing</v>
      </c>
      <c r="N183" s="2"/>
      <c r="T183" s="4" t="s">
        <v>2326</v>
      </c>
      <c r="U183" s="337" t="str">
        <f>IF(ISBLANK(input_ccm_aws_admin_ssouser),"Value Missing",input_ccm_aws_admin_ssouser)</f>
        <v>Value Missing</v>
      </c>
      <c r="Z183" s="2"/>
      <c r="AA183" s="2"/>
      <c r="AB183" s="2"/>
      <c r="AC183" s="2"/>
    </row>
    <row r="184" spans="2:30" ht="20" customHeight="1" x14ac:dyDescent="0.2">
      <c r="B184" s="4" t="s">
        <v>2327</v>
      </c>
      <c r="C184" s="337" t="str">
        <f>IF(ISBLANK(input_flt_vidb_employeeID),"Value Missing",input_flt_vidb_employeeID)</f>
        <v>Value Missing</v>
      </c>
      <c r="E184" s="17" t="s">
        <v>930</v>
      </c>
      <c r="F184" s="337" t="str">
        <f>IF(ISBLANK(input_wld_cl01_supervisor_ntp),"Value Missing",input_wld_cl01_supervisor_ntp)</f>
        <v>Value Missing</v>
      </c>
      <c r="H184" s="17" t="s">
        <v>780</v>
      </c>
      <c r="I184" s="337" t="str">
        <f>IF(ISBLANK(wld_bf_nsx_join_manager_chosen),"Value Missing",wld_bf_nsx_join_manager_chosen)</f>
        <v>Create new NSX Manager Instance</v>
      </c>
      <c r="K184" s="4" t="s">
        <v>587</v>
      </c>
      <c r="L184" s="337" t="str">
        <f>IF(ISBLANK(input_flt_logs_common_name),"Value Missing",input_flt_logs_common_name)</f>
        <v>Value Missing</v>
      </c>
      <c r="N184" s="2"/>
      <c r="T184" s="4" t="s">
        <v>2328</v>
      </c>
      <c r="U184" s="337" t="str">
        <f>IF(ISBLANK(input_ccm_aws_admin_password),"Value Missing",input_ccm_aws_admin_password)</f>
        <v>Value Missing</v>
      </c>
      <c r="Z184" s="2"/>
      <c r="AA184" s="2"/>
      <c r="AB184" s="2"/>
      <c r="AC184" s="2"/>
    </row>
    <row r="185" spans="2:30" ht="20" customHeight="1" x14ac:dyDescent="0.2">
      <c r="B185" s="4" t="s">
        <v>2329</v>
      </c>
      <c r="C185" s="337" t="str">
        <f>IF(ISBLANK(input_flt_vidb_mail),"Value Missing",input_flt_vidb_mail)</f>
        <v>Value Missing</v>
      </c>
      <c r="E185" s="17" t="s">
        <v>927</v>
      </c>
      <c r="F185" s="337" t="str">
        <f>IF(ISBLANK(input_wld_cl01_supervisor_private_cidr),"Value Missing",input_wld_cl01_supervisor_private_cidr)</f>
        <v>Value Missing</v>
      </c>
      <c r="H185" s="17" t="s">
        <v>782</v>
      </c>
      <c r="I185" s="337" t="str">
        <f>IF(ISBLANK(wld_bf_nsx_ha_mode_chosen),"Value Missing",wld_bf_nsx_ha_mode_chosen)</f>
        <v>NSX Management Cluster</v>
      </c>
      <c r="K185" s="4" t="s">
        <v>588</v>
      </c>
      <c r="L185" s="337" t="str">
        <f>IF(ISBLANK(input_flt_logs_cert_organisation),"Value Missing",input_flt_logs_cert_organisation)</f>
        <v>Value Missing</v>
      </c>
      <c r="N185" s="2"/>
      <c r="T185" s="4" t="s">
        <v>2330</v>
      </c>
      <c r="U185" s="337" t="str">
        <f t="array" ref="U185">IF(ISBLANK(input_ccm_hcx_mgmt_network_ip_range),"Value Missing",input_ccm_hcx_mgmt_network_ip_range)</f>
        <v>Value Missing</v>
      </c>
      <c r="Z185" s="2"/>
      <c r="AA185" s="2"/>
      <c r="AB185" s="2"/>
      <c r="AC185" s="2"/>
    </row>
    <row r="186" spans="2:30" ht="20" customHeight="1" x14ac:dyDescent="0.2">
      <c r="B186" s="4" t="s">
        <v>2331</v>
      </c>
      <c r="C186" s="337" t="str">
        <f>IF(ISBLANK(input_flt_vidb_user_principal_name),"Value Missing",input_flt_vidb_user_principal_name)</f>
        <v>Value Missing</v>
      </c>
      <c r="E186" s="17" t="s">
        <v>924</v>
      </c>
      <c r="F186" s="337" t="str">
        <f>IF(ISBLANK(input_wld_cl01_supervisor_private_transit_gateway_cidr),"Value Missing",input_wld_cl01_supervisor_private_transit_gateway_cidr)</f>
        <v>Value Missing</v>
      </c>
      <c r="H186" s="17" t="s">
        <v>784</v>
      </c>
      <c r="I186" s="337" t="str">
        <f>IF(ISBLANK(wld_bf_nsx_appliance_size_chosen),"Value Missing",wld_bf_nsx_appliance_size_chosen)</f>
        <v>Medium</v>
      </c>
      <c r="K186" s="4" t="s">
        <v>589</v>
      </c>
      <c r="L186" s="337" t="str">
        <f>IF(ISBLANK(input_flt_logs_ou_cert),"Value Missing",input_flt_logs_ou_cert)</f>
        <v>Value Missing</v>
      </c>
      <c r="N186" s="2"/>
      <c r="T186" s="4" t="s">
        <v>2332</v>
      </c>
      <c r="U186" s="337" t="str">
        <f t="array" ref="U186">IF(ISBLANK(input_ccm_hcx_vmotion_network_ip_range),"Value Missing",input_ccm_hcx_vmotion_network_ip_range)</f>
        <v>Value Missing</v>
      </c>
      <c r="Z186" s="2"/>
      <c r="AA186" s="2"/>
      <c r="AB186" s="2"/>
      <c r="AC186" s="2"/>
    </row>
    <row r="187" spans="2:30" ht="20" customHeight="1" x14ac:dyDescent="0.2">
      <c r="B187" s="4" t="s">
        <v>2333</v>
      </c>
      <c r="C187" s="337" t="str">
        <f>IF(ISBLANK(input_flt_vidb_group_base_dn),"Value Missing",input_flt_vidb_group_base_dn)</f>
        <v>Value Missing</v>
      </c>
      <c r="E187" s="17" t="s">
        <v>915</v>
      </c>
      <c r="F187" s="337" t="str">
        <f>IF(ISBLANK(input_wld_cl01_supervisor_service_cidr),"Value Missing",input_wld_cl01_supervisor_service_cidr)</f>
        <v>Value Missing</v>
      </c>
      <c r="H187" s="17" t="s">
        <v>785</v>
      </c>
      <c r="I187" s="337" t="str">
        <f>IF(ISBLANK(input_wld_bf_nsxt_mgra_fqdn),"Value Missing",input_wld_bf_nsxt_mgra_fqdn)</f>
        <v>Value Missing</v>
      </c>
      <c r="K187" s="4" t="s">
        <v>590</v>
      </c>
      <c r="L187" s="337" t="str">
        <f>IF(ISBLANK(input_flt_logs_cert_country_code),"Value Missing",input_flt_logs_cert_country_code)</f>
        <v>Value Missing</v>
      </c>
      <c r="N187" s="2"/>
      <c r="T187" s="4" t="s">
        <v>2334</v>
      </c>
      <c r="U187" s="337" t="str">
        <f>IF(ISBLANK(input_ccm_hcx_compute_profile),"Value Missing",input_ccm_hcx_compute_profile)</f>
        <v>Value Missing</v>
      </c>
      <c r="AB187" s="2"/>
      <c r="AC187" s="2"/>
    </row>
    <row r="188" spans="2:30" ht="20" customHeight="1" x14ac:dyDescent="0.2">
      <c r="B188" s="4" t="s">
        <v>2335</v>
      </c>
      <c r="C188" s="337" t="str">
        <f>IF(ISBLANK(input_flt_vidb_user_base_dn),"Value Missing",input_flt_vidb_user_base_dn)</f>
        <v>Value Missing</v>
      </c>
      <c r="E188" s="17" t="s">
        <v>917</v>
      </c>
      <c r="F188" s="337" t="str">
        <f>IF(ISBLANK(wld_cl01_supervisor_use_mgmt_vmk_chosen),"Value Missing",wld_cl01_supervisor_use_mgmt_vmk_chosen)</f>
        <v>Unselected</v>
      </c>
      <c r="H188" s="17" t="s">
        <v>787</v>
      </c>
      <c r="I188" s="337" t="str">
        <f>IF(ISBLANK(input_wld_bf_nsxt_mgrb_fqdn),"Value Missing",input_wld_bf_nsxt_mgrb_fqdn)</f>
        <v>Value Missing</v>
      </c>
      <c r="J188" s="2"/>
      <c r="K188" s="4" t="s">
        <v>591</v>
      </c>
      <c r="L188" s="337" t="str">
        <f>IF(ISBLANK(input_flt_logs_cert_locality),"Value Missing",input_flt_logs_cert_locality)</f>
        <v>Value Missing</v>
      </c>
      <c r="N188" s="2"/>
      <c r="T188" s="4" t="s">
        <v>2336</v>
      </c>
      <c r="U188" s="337" t="str">
        <f>IF(ISBLANK(input_ccm_hcx_service_mesh),"Value Missing",input_ccm_hcx_service_mesh)</f>
        <v>Value Missing</v>
      </c>
      <c r="AB188" s="2"/>
      <c r="AC188" s="2"/>
    </row>
    <row r="189" spans="2:30" ht="20" customHeight="1" x14ac:dyDescent="0.2">
      <c r="E189" s="17" t="s">
        <v>922</v>
      </c>
      <c r="F189" s="337" t="str">
        <f>IF(ISBLANK(input_wld_cl01_supervisor_vpc_profile),"Value Missing",input_wld_cl01_supervisor_vpc_profile)</f>
        <v>Value Missing</v>
      </c>
      <c r="H189" s="17" t="s">
        <v>789</v>
      </c>
      <c r="I189" s="337" t="str">
        <f>IF(ISBLANK(input_wld_bf_nsxt_mgrc_fqdn),"Value Missing",input_wld_bf_nsxt_mgrc_fqdn)</f>
        <v>Value Missing</v>
      </c>
      <c r="J189" s="2"/>
      <c r="K189" s="4" t="s">
        <v>592</v>
      </c>
      <c r="L189" s="337" t="str">
        <f>IF(ISBLANK(input_flt_logs_cert_state),"Value Missing",input_flt_logs_cert_state)</f>
        <v>Value Missing</v>
      </c>
      <c r="N189" s="2"/>
    </row>
    <row r="190" spans="2:30" ht="20" customHeight="1" x14ac:dyDescent="0.2">
      <c r="B190" s="384" t="s">
        <v>2337</v>
      </c>
      <c r="C190" s="389"/>
      <c r="E190" s="28" t="s">
        <v>2312</v>
      </c>
      <c r="F190" s="337" t="str">
        <f>IF(ISBLANK(input_wld_ec_mtu),"Value Missing",input_wld_ec_mtu)</f>
        <v>Value Missing</v>
      </c>
      <c r="H190" s="17" t="s">
        <v>791</v>
      </c>
      <c r="I190" s="337" t="str">
        <f>IF(ISBLANK(input_wld_bf_nsxt_vip_fqdn),"Value Missing",input_wld_bf_nsxt_vip_fqdn)</f>
        <v>Value Missing</v>
      </c>
      <c r="J190" s="2"/>
      <c r="K190" s="4" t="s">
        <v>593</v>
      </c>
      <c r="L190" s="337" t="str">
        <f>IF(ISBLANK(flt_logs_cert_key_length_chosen),"Value Missing",flt_logs_cert_key_length_chosen)</f>
        <v>4096</v>
      </c>
      <c r="N190" s="2"/>
      <c r="T190" s="579" t="s">
        <v>2338</v>
      </c>
      <c r="U190" s="580"/>
    </row>
    <row r="191" spans="2:30" ht="20" customHeight="1" x14ac:dyDescent="0.2">
      <c r="B191" s="166" t="s">
        <v>261</v>
      </c>
      <c r="C191" s="167" t="s">
        <v>19</v>
      </c>
      <c r="D191" s="2"/>
      <c r="E191" s="28" t="s">
        <v>2303</v>
      </c>
      <c r="F191" s="337" t="str">
        <f>IF(ISBLANK(input_wld_nsxt_en_admin_password),"Value Missing",input_wld_nsxt_en_admin_password)</f>
        <v>Value Missing</v>
      </c>
      <c r="H191" s="4" t="s">
        <v>793</v>
      </c>
      <c r="I191" s="337" t="str">
        <f>IF(ISBLANK(wld_bf_nsxt_enable_edge_sync_chosen),"Value Missing",wld_bf_nsxt_enable_edge_sync_chosen)</f>
        <v>Selected</v>
      </c>
      <c r="J191" s="2"/>
      <c r="K191" s="4" t="s">
        <v>723</v>
      </c>
      <c r="L191" s="337" t="str">
        <f>IF(ISBLANK(input_flt_logs_vip_fqdn),"Value Missing",input_flt_logs_vip_fqdn)</f>
        <v>Value Missing</v>
      </c>
      <c r="T191" s="33" t="s">
        <v>2339</v>
      </c>
      <c r="U191" s="337" t="str">
        <f>IF(ISBLANK(input_mgmt_rwr_vc_fqdn),"Value Missing",input_mgmt_rwr_vc_fqdn)</f>
        <v>Value Missing</v>
      </c>
    </row>
    <row r="192" spans="2:30" ht="20" customHeight="1" x14ac:dyDescent="0.2">
      <c r="B192" s="361" t="s">
        <v>1657</v>
      </c>
      <c r="C192" s="337" t="str">
        <f>IF(ISBLANK('Configure Management Domain'!D310),"Value Missing",'Configure Management Domain'!D310)</f>
        <v>Value Missing</v>
      </c>
      <c r="D192" s="2"/>
      <c r="E192" s="261" t="s">
        <v>2308</v>
      </c>
      <c r="F192" s="337" t="str">
        <f>IF(ISBLANK(input_wld_nsxt_en_root_password),"Value Missing",input_wld_nsxt_en_root_password)</f>
        <v>Value Missing</v>
      </c>
      <c r="H192" s="17" t="s">
        <v>795</v>
      </c>
      <c r="I192" s="337" t="str">
        <f>IF(ISBLANK(wld_bf_nsxt_enable_edge_sync_chosen),"Value Missing",wld_bf_nsxt_configure_overlay_on_mgmt_pg_chosen)</f>
        <v>Selected</v>
      </c>
      <c r="J192" s="2"/>
      <c r="K192" s="4" t="s">
        <v>2340</v>
      </c>
      <c r="L192" s="337" t="str">
        <f>IF(ISBLANK(input_flt_logs_nodea_fqdn),"Value Missing",input_flt_logs_nodea_fqdn)</f>
        <v>Value Missing</v>
      </c>
      <c r="T192" s="33" t="s">
        <v>2341</v>
      </c>
      <c r="U192" s="337" t="str">
        <f>IF(ISBLANK(input_wld_rwr_vc_fqdn),"Value Missing",input_wld_rwr_vc_fqdn)</f>
        <v>Value Missing</v>
      </c>
    </row>
    <row r="193" spans="2:32" ht="20" customHeight="1" x14ac:dyDescent="0.2">
      <c r="B193" s="361" t="s">
        <v>278</v>
      </c>
      <c r="C193" s="337" t="str">
        <f>IF(ISBLANK(input_mgmt_witness_hostname),"Value Missing",input_mgmt_witness_hostname)</f>
        <v>Value Missing</v>
      </c>
      <c r="D193" s="2"/>
      <c r="H193" s="17" t="s">
        <v>797</v>
      </c>
      <c r="I193" s="337" t="str">
        <f>IF(ISBLANK(wld_bf_nsx_create_passwords_chosen),"Value Missing",wld_bf_nsx_create_passwords_chosen)</f>
        <v>Unselected</v>
      </c>
      <c r="J193" s="2"/>
      <c r="K193" s="4" t="s">
        <v>2342</v>
      </c>
      <c r="L193" s="337" t="str">
        <f>IF(ISBLANK(input_flt_logs_nodeb_fqdn),"Value Missing",input_flt_logs_nodeb_fqdn)</f>
        <v>Value Missing</v>
      </c>
      <c r="T193" s="33" t="s">
        <v>2343</v>
      </c>
      <c r="U193" s="337" t="str">
        <f>IF(ISBLANK(input_wld_vlr_hostname),"Value Missing",input_wld_vlr_hostname)</f>
        <v>Value Missing</v>
      </c>
    </row>
    <row r="194" spans="2:32" ht="20" customHeight="1" x14ac:dyDescent="0.2">
      <c r="B194" s="2"/>
      <c r="C194" s="2"/>
      <c r="D194" s="2"/>
      <c r="H194" s="4" t="s">
        <v>798</v>
      </c>
      <c r="I194" s="337" t="str">
        <f>IF(ISBLANK(input_wld_bf_nsxt_admin_password),"Value Missing",input_wld_bf_nsxt_admin_password)</f>
        <v>Value Missing</v>
      </c>
      <c r="J194" s="2"/>
      <c r="K194" s="4" t="s">
        <v>2344</v>
      </c>
      <c r="L194" s="337" t="str">
        <f>IF(ISBLANK(input_flt_logs_nodec_fqdn),"Value Missing",input_flt_logs_nodec_fqdn)</f>
        <v>Value Missing</v>
      </c>
      <c r="T194" s="33" t="s">
        <v>2345</v>
      </c>
      <c r="U194" s="337" t="str">
        <f>CONCATENATE(wld_vlr_hostname,".",rwr_child_dns_zone)</f>
        <v>Value Missing.Value Missing</v>
      </c>
    </row>
    <row r="195" spans="2:32" ht="20" customHeight="1" x14ac:dyDescent="0.2">
      <c r="B195" s="391" t="s">
        <v>2346</v>
      </c>
      <c r="C195" s="391"/>
      <c r="D195" s="2"/>
      <c r="H195" s="4" t="s">
        <v>799</v>
      </c>
      <c r="I195" s="337" t="str">
        <f>IF(ISBLANK(input_wld_bf_nsxt_root_password),"Value Missing",input_wld_bf_nsxt_root_password)</f>
        <v>Value Missing</v>
      </c>
      <c r="J195" s="2"/>
      <c r="K195" s="4" t="s">
        <v>283</v>
      </c>
      <c r="L195" s="337" t="str">
        <f>IF(ISBLANK(input_flt_logs_vip_ip),"Value Missing",input_flt_logs_vip_ip)</f>
        <v>Value Missing</v>
      </c>
      <c r="T195" s="33" t="s">
        <v>2347</v>
      </c>
      <c r="U195" s="337" t="str">
        <f t="array" ref="U195">IF(ISBLANK(input_wld_rwr_cl02_cluster),"Value Missing",input_wld_rwr_cl02_cluster)</f>
        <v>Value Missing</v>
      </c>
    </row>
    <row r="196" spans="2:32" ht="20" customHeight="1" x14ac:dyDescent="0.2">
      <c r="B196" s="336" t="s">
        <v>261</v>
      </c>
      <c r="C196" s="184" t="s">
        <v>19</v>
      </c>
      <c r="H196" s="4" t="s">
        <v>800</v>
      </c>
      <c r="I196" s="337" t="str">
        <f>IF(ISBLANK(input_wld_bf_nsxt_audit_password),"Value Missing",input_wld_bf_nsxt_audit_password)</f>
        <v>Value Missing</v>
      </c>
      <c r="J196" s="2"/>
      <c r="K196" s="4" t="s">
        <v>283</v>
      </c>
      <c r="L196" s="337" t="str">
        <f>IF(ISBLANK(input_flt_logs_nodea_ip),"Value Missing",input_flt_logs_nodea_ip)</f>
        <v>Value Missing</v>
      </c>
      <c r="T196" s="33" t="s">
        <v>2348</v>
      </c>
      <c r="U196" s="337" t="str">
        <f>IF(ISBLANK(input_wld_rwr_cl02_vds01),"Value Missing",input_wld_rwr_cl02_vds01)</f>
        <v>Value Missing</v>
      </c>
      <c r="AE196" s="2"/>
      <c r="AF196" s="2"/>
    </row>
    <row r="197" spans="2:32" ht="20" customHeight="1" x14ac:dyDescent="0.2">
      <c r="B197" s="4" t="s">
        <v>2094</v>
      </c>
      <c r="C197" s="337" t="str">
        <f>IF(ISBLANK('Configure Management Domain'!D345),"Value Missing",'Configure Management Domain'!D345)</f>
        <v>Value Missing</v>
      </c>
      <c r="H197" s="17" t="s">
        <v>769</v>
      </c>
      <c r="I197" s="337" t="str">
        <f>IF(ISBLANK(input_wld_bf_sddc_domain),"Value Missing",input_wld_bf_sddc_domain)</f>
        <v>Value Missing</v>
      </c>
      <c r="J197" s="2"/>
      <c r="K197" s="4" t="s">
        <v>283</v>
      </c>
      <c r="L197" s="337" t="str">
        <f>IF(ISBLANK(input_flt_logs_nodeb_ip),"Value Missing",input_flt_logs_nodeb_ip)</f>
        <v>Value Missing</v>
      </c>
      <c r="T197" s="33"/>
      <c r="U197" s="337" t="str">
        <f>IF(ISBLANK(input_rwr_sso_domain_name),"Value Missing",input_rwr_sso_domain_name)</f>
        <v>Value Missing</v>
      </c>
    </row>
    <row r="198" spans="2:32" ht="20" customHeight="1" x14ac:dyDescent="0.2">
      <c r="B198" s="4" t="s">
        <v>2097</v>
      </c>
      <c r="C198" s="337" t="str">
        <f>IF(ISBLANK('Configure Management Domain'!D346),"Value Missing",'Configure Management Domain'!D346)</f>
        <v>Value Missing</v>
      </c>
      <c r="J198" s="2"/>
      <c r="K198" s="4" t="s">
        <v>283</v>
      </c>
      <c r="L198" s="337" t="str">
        <f>IF(ISBLANK(input_flt_logs_nodec_ip),"Value Missing",input_flt_logs_nodec_ip)</f>
        <v>Value Missing</v>
      </c>
      <c r="U198" s="337" t="str">
        <f>IF(ISBLANK(input_wld_vlr_replication_user),"Value Missing",input_wld_vlr_replication_user)</f>
        <v>Value Missing</v>
      </c>
    </row>
    <row r="199" spans="2:32" ht="20" customHeight="1" x14ac:dyDescent="0.2">
      <c r="B199" s="4" t="s">
        <v>2102</v>
      </c>
      <c r="C199" s="337" t="str">
        <f>IF(ISBLANK('Configure Management Domain'!D347),"Value Missing",'Configure Management Domain'!D347)</f>
        <v>Value Missing</v>
      </c>
      <c r="H199" s="391" t="s">
        <v>2349</v>
      </c>
      <c r="I199" s="391"/>
      <c r="J199" s="2"/>
      <c r="K199" s="4" t="s">
        <v>601</v>
      </c>
      <c r="L199" s="337" t="str">
        <f>IF(ISBLANK(input_flt_logs_folder),"Value Missing",input_flt_logs_folder)</f>
        <v>Value Missing</v>
      </c>
      <c r="U199" s="337" t="str">
        <f>IF(ISBLANK(input_rwr_child_dns_zone),"Value Missing",input_rwr_child_dns_zone)</f>
        <v>Value Missing</v>
      </c>
    </row>
    <row r="200" spans="2:32" ht="20" customHeight="1" x14ac:dyDescent="0.2">
      <c r="B200" s="4" t="s">
        <v>2105</v>
      </c>
      <c r="C200" s="337" t="str">
        <f>IF(ISBLANK('Configure Management Domain'!D348),"Value Missing",'Configure Management Domain'!D348)</f>
        <v>Value Missing</v>
      </c>
      <c r="H200" s="336" t="s">
        <v>261</v>
      </c>
      <c r="I200" s="184" t="s">
        <v>19</v>
      </c>
      <c r="J200" s="2"/>
      <c r="K200" s="4" t="s">
        <v>603</v>
      </c>
      <c r="L200" s="337" t="str">
        <f>IF(ISBLANK(input_flt_logs_resource_pool),"Value Missing",input_flt_logs_resource_pool)</f>
        <v>Value Missing</v>
      </c>
      <c r="U200" s="337" t="str">
        <f>IF(ISBLANK(input_rwr_vlr_replication_password),"Value Missing",input_rwr_vlr_replication_password)</f>
        <v>Value Missing</v>
      </c>
    </row>
    <row r="201" spans="2:32" ht="20" customHeight="1" x14ac:dyDescent="0.2">
      <c r="B201" s="4" t="s">
        <v>351</v>
      </c>
      <c r="C201" s="337" t="str">
        <f>IF(ISBLANK('Configure Management Domain'!D374),"Value Missing",'Configure Management Domain'!D374)</f>
        <v>Value Missing</v>
      </c>
      <c r="H201" s="22" t="s">
        <v>85</v>
      </c>
      <c r="I201" s="337" t="str">
        <f>IF(ISBLANK(input_cluster_az2_mgmt_vlan),"Value Missing",input_cluster_az2_mgmt_vlan)</f>
        <v>Value Missing</v>
      </c>
      <c r="J201" s="2"/>
      <c r="K201" s="4" t="s">
        <v>2350</v>
      </c>
      <c r="L201" s="337" t="str">
        <f>IF(ISBLANK(input_flt_logs_portgroup),"Value Missing",input_flt_logs_portgroup)</f>
        <v>Value Missing</v>
      </c>
      <c r="U201" s="337" t="str">
        <f>IF(ISBLANK(input_rwr_vrms_pg),"Value Missing",input_rwr_vrms_pg)</f>
        <v>Value Missing</v>
      </c>
    </row>
    <row r="202" spans="2:32" ht="20" customHeight="1" x14ac:dyDescent="0.2">
      <c r="B202" s="4" t="s">
        <v>1441</v>
      </c>
      <c r="C202" s="337" t="str">
        <f>IF(ISBLANK('Configure Management Domain'!D363),"Value Missing",'Configure Management Domain'!D363)</f>
        <v>Value Missing</v>
      </c>
      <c r="H202" s="22" t="s">
        <v>187</v>
      </c>
      <c r="I202" s="337" t="str">
        <f>IF(ISBLANK(input_cluster_az2_mgmt_gateway_ip),"Value Missing",input_cluster_az2_mgmt_gateway_ip)</f>
        <v>Value Missing</v>
      </c>
      <c r="J202" s="2"/>
      <c r="K202" s="4" t="s">
        <v>2351</v>
      </c>
      <c r="L202" s="337" t="str">
        <f>IF(ISBLANK(input_flt_logs_gateway_ip),"Value Missing",input_flt_logs_gateway_ip)</f>
        <v>Value Missing</v>
      </c>
      <c r="U202" s="337" t="str">
        <f>IF(ISBLANK(input_wld_rwr_recovery_site_vc_fqdn),"Value Missing",input_wld_rwr_recovery_site_vc_fqdn)</f>
        <v>Value Missing</v>
      </c>
    </row>
    <row r="203" spans="2:32" ht="20" customHeight="1" x14ac:dyDescent="0.2">
      <c r="B203" s="2"/>
      <c r="C203" s="2"/>
      <c r="H203" s="22" t="s">
        <v>188</v>
      </c>
      <c r="I203" s="337" t="str">
        <f>IF(ISBLANK(input_cluster_az2_mgmt_cidr),"Value Missing",input_cluster_az2_mgmt_cidr)</f>
        <v>Value Missing</v>
      </c>
      <c r="J203" s="2"/>
      <c r="K203" s="4" t="s">
        <v>2352</v>
      </c>
      <c r="L203" s="337" t="str">
        <f>IF(ISBLANK(input_flt_logs_mask),"Value Missing",input_flt_logs_mask)</f>
        <v>Value Missing</v>
      </c>
      <c r="U203" s="337" t="str">
        <f>IF(ISBLANK(input_rwr_datacenter),"Value Missing",input_rwr_datacenter)</f>
        <v>Value Missing</v>
      </c>
    </row>
    <row r="204" spans="2:32" ht="20" customHeight="1" x14ac:dyDescent="0.2">
      <c r="B204" s="387" t="s">
        <v>2353</v>
      </c>
      <c r="C204" s="387"/>
      <c r="H204" s="22" t="s">
        <v>160</v>
      </c>
      <c r="I204" s="337" t="str">
        <f>IF(ISBLANK(input_cluster_az2_mgmt_mtu),"Value Missing",input_cluster_az2_mgmt_mtu)</f>
        <v>Value Missing</v>
      </c>
      <c r="J204" s="2"/>
      <c r="K204" s="4" t="s">
        <v>814</v>
      </c>
      <c r="L204" s="337" t="str">
        <f>IF(ISBLANK(input_flt_logs_vcenter_fqdn),"Value Missing",input_flt_logs_vcenter_fqdn)</f>
        <v>Value Missing</v>
      </c>
      <c r="U204" s="337" t="str">
        <f>IF(ISBLANK(input_wld_rwr_recoverysite_fd),"Value Missing",input_wld_rwr_recoverysite_fd)</f>
        <v>Value Missing</v>
      </c>
    </row>
    <row r="205" spans="2:32" ht="20" customHeight="1" x14ac:dyDescent="0.2">
      <c r="B205" s="166" t="s">
        <v>261</v>
      </c>
      <c r="C205" s="167" t="s">
        <v>19</v>
      </c>
      <c r="H205" s="22" t="s">
        <v>215</v>
      </c>
      <c r="I205" s="337" t="str">
        <f>IF(ISBLANK(input_cluster_az2_host1_mgmt_ip),"Value Missing",input_cluster_az2_host1_mgmt_ip)</f>
        <v>Value Missing</v>
      </c>
      <c r="J205" s="2"/>
      <c r="K205" s="4" t="s">
        <v>732</v>
      </c>
      <c r="L205" s="337" t="str">
        <f>IF(ISBLANK(input_flt_logs_cluster),"Value Missing",input_flt_logs_cluster)</f>
        <v>Value Missing</v>
      </c>
      <c r="T205" s="4" t="s">
        <v>2354</v>
      </c>
      <c r="U205" s="337"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206" spans="2:32" ht="20" customHeight="1" x14ac:dyDescent="0.2">
      <c r="B206" s="4" t="s">
        <v>606</v>
      </c>
      <c r="C206" s="337" t="str">
        <f>IF(ISBLANK(input_mgmt_sddc_domain),"Value Missing",input_mgmt_sddc_domain)</f>
        <v>Value Missing</v>
      </c>
      <c r="H206" s="22" t="s">
        <v>217</v>
      </c>
      <c r="I206" s="337" t="str">
        <f>IF(ISBLANK(input_cluster_az2_host2_mgmt_ip),"Value Missing",input_cluster_az2_host2_mgmt_ip)</f>
        <v>Value Missing</v>
      </c>
      <c r="J206" s="2"/>
      <c r="K206" s="4" t="s">
        <v>103</v>
      </c>
      <c r="L206" s="337" t="str">
        <f>IF(ISBLANK(input_flt_logs_datastore),"Value Missing",input_flt_logs_datastore)</f>
        <v>Value Missing</v>
      </c>
      <c r="T206" s="8" t="s">
        <v>2355</v>
      </c>
      <c r="U206" s="337" t="str">
        <f>IF(ISBLANK(input_wld_rwr_az1_vrms_gateway_ip),"Value Missing",input_wld_rwr_az1_vrms_gateway_ip)</f>
        <v>Value Missing</v>
      </c>
    </row>
    <row r="207" spans="2:32" ht="20" customHeight="1" x14ac:dyDescent="0.2">
      <c r="B207" s="4" t="s">
        <v>279</v>
      </c>
      <c r="C207" s="337" t="str">
        <f>IF(ISBLANK('Configure Management Domain'!D315),"Value Missing",'Configure Management Domain'!D315)</f>
        <v>Value Missing</v>
      </c>
      <c r="H207" s="22" t="s">
        <v>219</v>
      </c>
      <c r="I207" s="337" t="str">
        <f>IF(ISBLANK(input_cluster_az2_host3_mgmt_ip),"Value Missing",input_cluster_az2_host3_mgmt_ip)</f>
        <v>Value Missing</v>
      </c>
      <c r="J207" s="2"/>
      <c r="K207" s="17" t="s">
        <v>706</v>
      </c>
      <c r="L207" s="337" t="str">
        <f>IF(ISBLANK(input_flt_logs_admin_password_alias),"Value Missing",input_flt_logs_admin_password_alias)</f>
        <v>Value Missing</v>
      </c>
      <c r="T207" s="8" t="s">
        <v>2356</v>
      </c>
      <c r="U207" s="337" t="str">
        <f>IF(ISBLANK(input_wld_rwr_recovery_site_az1_vrms_cidr),"Value Missing",input_wld_rwr_recovery_site_az1_vrms_cidr)</f>
        <v>Value Missing</v>
      </c>
    </row>
    <row r="208" spans="2:32" ht="20" customHeight="1" x14ac:dyDescent="0.2">
      <c r="B208" s="4" t="s">
        <v>210</v>
      </c>
      <c r="C208" s="337" t="str">
        <f>IF(ISBLANK('Configure Management Domain'!D313),"Value Missing",'Configure Management Domain'!D313)</f>
        <v>Value Missing</v>
      </c>
      <c r="H208" s="22" t="s">
        <v>221</v>
      </c>
      <c r="I208" s="337" t="str">
        <f>IF(ISBLANK(input_cluster_az2_host4_mgmt_ip),"Value Missing",input_cluster_az2_host4_mgmt_ip)</f>
        <v>Value Missing</v>
      </c>
      <c r="J208" s="2"/>
      <c r="K208" s="22" t="s">
        <v>199</v>
      </c>
      <c r="L208" s="337" t="str">
        <f>IF(ISBLANK(input_flt_logs_admin_password),"Value Missing",input_flt_logs_admin_password)</f>
        <v>Value Missing</v>
      </c>
      <c r="T208" s="8" t="s">
        <v>2357</v>
      </c>
      <c r="U208" s="337" t="str">
        <f>IF(ISBLANK(input_wld_rwr_az1_vrms_gateway_mask),"Value Missing",input_wld_rwr_az1_vrms_gateway_mask)</f>
        <v>Value Missing</v>
      </c>
    </row>
    <row r="209" spans="2:21" ht="20" customHeight="1" x14ac:dyDescent="0.2">
      <c r="B209" s="4" t="s">
        <v>278</v>
      </c>
      <c r="C209" s="337" t="str">
        <f>IF(ISBLANK(input_mgmt_witness_vm_folder),"Value Missing",input_mgmt_witness_vm_folder)</f>
        <v>Value Missing</v>
      </c>
      <c r="H209" s="22" t="s">
        <v>223</v>
      </c>
      <c r="I209" s="337" t="str">
        <f>IF(ISBLANK(input_cluster_az2_host5_mgmt_ip),"Value Missing",input_cluster_az2_host5_mgmt_ip)</f>
        <v>Value Missing</v>
      </c>
      <c r="J209" s="2"/>
      <c r="K209" s="22" t="s">
        <v>707</v>
      </c>
      <c r="L209" s="337" t="str">
        <f>IF(ISBLANK(input_flt_logs_admin_password_description),"Value Missing",input_flt_logs_admin_password_description)</f>
        <v>Value Missing</v>
      </c>
      <c r="U209" s="337" t="str">
        <f>IF(ISBLANK(input_mgmt_rwr_recovery_site_az1_mgmt_cidr),"Value Missing",input_mgmt_rwr_recovery_site_az1_mgmt_cidr)</f>
        <v>Value Missing</v>
      </c>
    </row>
    <row r="210" spans="2:21" ht="20" customHeight="1" x14ac:dyDescent="0.2">
      <c r="H210" s="22" t="s">
        <v>225</v>
      </c>
      <c r="I210" s="337" t="str">
        <f>IF(ISBLANK(input_cluster_az2_host6_mgmt_ip),"Value Missing",input_cluster_az2_host6_mgmt_ip)</f>
        <v>Value Missing</v>
      </c>
      <c r="J210" s="2"/>
      <c r="K210" s="22" t="s">
        <v>709</v>
      </c>
      <c r="L210" s="337" t="str">
        <f>IF(ISBLANK(input_flt_logs_admin_username),"Value Missing",input_flt_logs_admin_username)</f>
        <v>Value Missing</v>
      </c>
      <c r="T210" s="8" t="s">
        <v>2358</v>
      </c>
      <c r="U210" s="337" t="str">
        <f>IF(ISBLANK(input_wld_rwr_vcfops_vlsr_username),"Value Missing",input_wld_rwr_vcfops_vlsr_username)</f>
        <v>Value Missing</v>
      </c>
    </row>
    <row r="211" spans="2:21" ht="20" customHeight="1" x14ac:dyDescent="0.2">
      <c r="B211" s="387" t="s">
        <v>2359</v>
      </c>
      <c r="C211" s="387"/>
      <c r="H211" s="22" t="s">
        <v>227</v>
      </c>
      <c r="I211" s="337" t="str">
        <f>IF(ISBLANK(input_cluster_az2_host7_mgmt_ip),"Value Missing",input_cluster_az2_host7_mgmt_ip)</f>
        <v>Value Missing</v>
      </c>
      <c r="J211" s="2"/>
      <c r="K211" s="22" t="s">
        <v>620</v>
      </c>
      <c r="L211" s="337" t="str">
        <f>IF(ISBLANK(input_flt_logs_root_password_alias),"Value Missing",input_flt_logs_root_password_alias)</f>
        <v>Value Missing</v>
      </c>
      <c r="U211" s="337" t="str">
        <f>IF(ISBLANK(input_wld_rwr_vcfops_vr_username),"Value Missing",input_wld_rwr_vcfops_vr_username)</f>
        <v>Value Missing</v>
      </c>
    </row>
    <row r="212" spans="2:21" ht="20" customHeight="1" x14ac:dyDescent="0.2">
      <c r="B212" s="166" t="s">
        <v>261</v>
      </c>
      <c r="C212" s="167" t="s">
        <v>19</v>
      </c>
      <c r="D212" s="2"/>
      <c r="H212" s="22" t="s">
        <v>229</v>
      </c>
      <c r="I212" s="337" t="str">
        <f>IF(ISBLANK(input_cluster_az2_host8_mgmt_ip),"Value Missing",input_cluster_az2_host8_mgmt_ip)</f>
        <v>Value Missing</v>
      </c>
      <c r="J212" s="2"/>
      <c r="K212" s="22" t="s">
        <v>562</v>
      </c>
      <c r="L212" s="337" t="str">
        <f>IF(ISBLANK(input_flt_logs_root_password),"Value Missing",input_flt_logs_root_password)</f>
        <v>Value Missing</v>
      </c>
      <c r="T212" s="362" t="s">
        <v>632</v>
      </c>
      <c r="U212" s="347"/>
    </row>
    <row r="213" spans="2:21" ht="20" customHeight="1" x14ac:dyDescent="0.2">
      <c r="B213" s="361" t="s">
        <v>1657</v>
      </c>
      <c r="C213" s="337" t="str">
        <f>IF(ISBLANK(input_mgmt_witness_zone_vc_ip),"Value Missing",input_mgmt_witness_zone_vc_ip)</f>
        <v>Value Missing</v>
      </c>
      <c r="D213" s="2"/>
      <c r="H213" s="22" t="s">
        <v>231</v>
      </c>
      <c r="I213" s="337" t="str">
        <f>IF(ISBLANK(input_cluster_az2_host9_mgmt_ip),"Value Missing",input_cluster_az2_host9_mgmt_ip)</f>
        <v>Value Missing</v>
      </c>
      <c r="J213" s="2"/>
      <c r="K213" s="22" t="s">
        <v>621</v>
      </c>
      <c r="L213" s="337" t="str">
        <f>IF(ISBLANK(input_flt_logs_root_password_description),"Value Missing",input_flt_logs_root_password_description)</f>
        <v>Value Missing</v>
      </c>
    </row>
    <row r="214" spans="2:21" ht="20" customHeight="1" x14ac:dyDescent="0.2">
      <c r="B214" s="361" t="s">
        <v>2360</v>
      </c>
      <c r="C214" s="337" t="str">
        <f>IF(ISBLANK('Configure Management Domain'!D319),"Value Missing",'Configure Management Domain'!D319)</f>
        <v>Value Missing</v>
      </c>
      <c r="D214" s="2"/>
      <c r="H214" s="22" t="s">
        <v>233</v>
      </c>
      <c r="I214" s="337" t="str">
        <f>IF(ISBLANK(input_cluster_az2_host10_mgmt_ip),"Value Missing",input_cluster_az2_host10_mgmt_ip)</f>
        <v>Value Missing</v>
      </c>
      <c r="J214" s="2"/>
      <c r="K214" s="22" t="s">
        <v>623</v>
      </c>
      <c r="L214" s="337" t="str">
        <f>IF(ISBLANK(input_flt_logs_root_username),"Value Missing",input_flt_logs_root_username)</f>
        <v>Value Missing</v>
      </c>
    </row>
    <row r="215" spans="2:21" ht="20" customHeight="1" x14ac:dyDescent="0.2">
      <c r="B215" s="4" t="s">
        <v>2123</v>
      </c>
      <c r="C215" s="337" t="str">
        <f>IF(ISBLANK(input_mgmt_witness_dns1_ip),"Value Missing",input_mgmt_witness_dns1_ip)</f>
        <v>Value Missing</v>
      </c>
      <c r="D215" s="2"/>
      <c r="H215" s="22" t="s">
        <v>235</v>
      </c>
      <c r="I215" s="337" t="str">
        <f>IF(ISBLANK(input_cluster_az2_host11_mgmt_ip),"Value Missing",input_cluster_az2_host11_mgmt_ip)</f>
        <v>Value Missing</v>
      </c>
      <c r="J215" s="2"/>
      <c r="K215" s="4" t="s">
        <v>712</v>
      </c>
      <c r="L215" s="337" t="str">
        <f>IF(ISBLANK(flt_logs_node_size_chosen),"Value Missing",flt_logs_node_size_chosen)</f>
        <v>Medium</v>
      </c>
    </row>
    <row r="216" spans="2:21" ht="20" customHeight="1" x14ac:dyDescent="0.2">
      <c r="B216" s="4" t="s">
        <v>2123</v>
      </c>
      <c r="C216" s="337" t="str">
        <f>IF(ISBLANK(input_mgmt_witness_dns2_ip),"Value Missing",input_mgmt_witness_dns2_ip)</f>
        <v>Value Missing</v>
      </c>
      <c r="D216" s="2"/>
      <c r="H216" s="22" t="s">
        <v>237</v>
      </c>
      <c r="I216" s="337" t="str">
        <f>IF(ISBLANK(input_cluster_az2_host12_mgmt_ip),"Value Missing",input_cluster_az2_host12_mgmt_ip)</f>
        <v>Value Missing</v>
      </c>
      <c r="J216" s="2"/>
      <c r="K216" s="4" t="s">
        <v>721</v>
      </c>
      <c r="L216" s="337" t="str">
        <f>IF(ISBLANK(input_flt_logs_admin_email),"Value Missing",input_flt_logs_admin_email)</f>
        <v>Value Missing</v>
      </c>
    </row>
    <row r="217" spans="2:21" ht="20" customHeight="1" x14ac:dyDescent="0.2">
      <c r="B217" s="4" t="s">
        <v>2128</v>
      </c>
      <c r="C217" s="337" t="str">
        <f>IF(ISBLANK(sample_mgmt_witness_ntp1_server),"Value Missing",sample_mgmt_witness_ntp1_server)</f>
        <v>ntp0.sfo.rainpole.io</v>
      </c>
      <c r="H217" s="22" t="s">
        <v>239</v>
      </c>
      <c r="I217" s="337" t="str">
        <f>IF(ISBLANK(input_cluster_az2_host13_mgmt_ip),"Value Missing",input_cluster_az2_host13_mgmt_ip)</f>
        <v>Value Missing</v>
      </c>
      <c r="J217" s="2"/>
      <c r="K217" s="4" t="s">
        <v>2361</v>
      </c>
      <c r="L217" s="337" t="str">
        <f>IF(ISBLANK(input_flt_logs_nodea_hostname),"Value Missing",input_flt_logs_nodea_hostname)</f>
        <v>Value Missing</v>
      </c>
    </row>
    <row r="218" spans="2:21" ht="20" customHeight="1" x14ac:dyDescent="0.2">
      <c r="B218" s="4" t="s">
        <v>2128</v>
      </c>
      <c r="C218" s="337" t="str">
        <f>IF(ISBLANK(sample_mgmt_witness_ntp2_server),"Value Missing",sample_mgmt_witness_ntp2_server)</f>
        <v>ntp1.sfo.rainpole.io</v>
      </c>
      <c r="H218" s="22" t="s">
        <v>241</v>
      </c>
      <c r="I218" s="337" t="str">
        <f>IF(ISBLANK(input_cluster_az2_host14_mgmt_ip),"Value Missing",input_cluster_az2_host14_mgmt_ip)</f>
        <v>Value Missing</v>
      </c>
      <c r="J218" s="2"/>
      <c r="K218" s="4" t="s">
        <v>2362</v>
      </c>
      <c r="L218" s="337" t="str">
        <f>IF(ISBLANK(input_flt_logs_nodeb_hostname),"Value Missing",input_flt_logs_nodeb_hostname)</f>
        <v>Value Missing</v>
      </c>
    </row>
    <row r="219" spans="2:21" ht="20" customHeight="1" x14ac:dyDescent="0.2">
      <c r="B219" s="23"/>
      <c r="H219" s="22" t="s">
        <v>243</v>
      </c>
      <c r="I219" s="337" t="str">
        <f>IF(ISBLANK(input_cluster_az2_host15_mgmt_ip),"Value Missing",input_cluster_az2_host15_mgmt_ip)</f>
        <v>Value Missing</v>
      </c>
      <c r="J219" s="2"/>
      <c r="K219" s="4" t="s">
        <v>2363</v>
      </c>
      <c r="L219" s="337" t="str">
        <f>IF(ISBLANK(input_flt_logs_nodec_hostname),"Value Missing",input_flt_logs_nodec_hostname)</f>
        <v>Value Missing</v>
      </c>
    </row>
    <row r="220" spans="2:21" ht="20" customHeight="1" x14ac:dyDescent="0.2">
      <c r="B220" s="391" t="s">
        <v>2364</v>
      </c>
      <c r="C220" s="391"/>
      <c r="H220" s="22" t="s">
        <v>245</v>
      </c>
      <c r="I220" s="337" t="str">
        <f>IF(ISBLANK(input_cluster_az2_host16_mgmt_ip),"Value Missing",input_cluster_az2_host16_mgmt_ip)</f>
        <v>Value Missing</v>
      </c>
      <c r="J220" s="2"/>
      <c r="K220" s="4" t="s">
        <v>2365</v>
      </c>
      <c r="L220" s="337" t="str">
        <f>IF(ISBLANK(input_flt_logs_vip_ip),"Value Missing",input_flt_logs_vip_ip)</f>
        <v>Value Missing</v>
      </c>
    </row>
    <row r="221" spans="2:21" ht="20" customHeight="1" x14ac:dyDescent="0.2">
      <c r="B221" s="336" t="s">
        <v>261</v>
      </c>
      <c r="C221" s="184" t="s">
        <v>19</v>
      </c>
      <c r="H221" s="22" t="s">
        <v>250</v>
      </c>
      <c r="I221" s="337" t="str">
        <f>IF(ISBLANK(input_cluster_az2_pool_name),"Value Missing",input_cluster_az2_pool_name)</f>
        <v>Value Missing</v>
      </c>
      <c r="J221" s="2"/>
      <c r="K221" s="4" t="s">
        <v>2366</v>
      </c>
      <c r="L221" s="337" t="str">
        <f>IF(ISBLANK(input_flt_logs_nodea_ip),"Value Missing",input_flt_logs_nodea_ip)</f>
        <v>Value Missing</v>
      </c>
    </row>
    <row r="222" spans="2:21" ht="20" customHeight="1" x14ac:dyDescent="0.2">
      <c r="B222" s="361" t="s">
        <v>2367</v>
      </c>
      <c r="C222" s="337" t="str">
        <f>IF(ISBLANK(input_wld_esx_root_username),"Value Missing",input_wld_esx_root_username)</f>
        <v>Value Missing</v>
      </c>
      <c r="H222" s="511" t="s">
        <v>251</v>
      </c>
      <c r="I222" s="513"/>
      <c r="J222" s="2"/>
      <c r="K222" s="4" t="s">
        <v>2368</v>
      </c>
      <c r="L222" s="337" t="str">
        <f>IF(ISBLANK(input_flt_logs_nodeb_ip),"Value Missing",input_flt_logs_nodeb_ip)</f>
        <v>Value Missing</v>
      </c>
    </row>
    <row r="223" spans="2:21" ht="20" customHeight="1" x14ac:dyDescent="0.2">
      <c r="B223" s="361" t="s">
        <v>2369</v>
      </c>
      <c r="C223" s="337" t="str">
        <f>IF(ISBLANK(input_wld_esx_root_password),"Value Missing",input_wld_esx_root_password)</f>
        <v>Value Missing</v>
      </c>
      <c r="H223" s="22" t="s">
        <v>2370</v>
      </c>
      <c r="I223" s="337" t="str">
        <f>IF(ISBLANK(input_cluster_az2_vmotion_vlan),"Value Missing",input_cluster_az2_vmotion_vlan)</f>
        <v>Value Missing</v>
      </c>
      <c r="J223" s="2"/>
      <c r="K223" s="4" t="s">
        <v>2371</v>
      </c>
      <c r="L223" s="337" t="str">
        <f>IF(ISBLANK(input_flt_logs_nodec_ip),"Value Missing",input_flt_logs_nodec_ip)</f>
        <v>Value Missing</v>
      </c>
    </row>
    <row r="224" spans="2:21" ht="20" customHeight="1" x14ac:dyDescent="0.2">
      <c r="B224" s="361" t="s">
        <v>816</v>
      </c>
      <c r="C224" s="337" t="str">
        <f>IF(ISBLANK(input_wld_vcenter_root_password),"Value Missing",input_wld_vcenter_root_password)</f>
        <v>Value Missing</v>
      </c>
      <c r="H224" s="22" t="s">
        <v>160</v>
      </c>
      <c r="I224" s="337" t="str">
        <f>IF(ISBLANK(input_cluster_az2_vmotion_mtu),"Value Missing",input_cluster_az2_vmotion_mtu)</f>
        <v>Value Missing</v>
      </c>
      <c r="J224" s="2"/>
      <c r="K224" s="4" t="s">
        <v>2372</v>
      </c>
      <c r="L224" s="337" t="str">
        <f>IF(ISBLANK(flt_logs_disk_mode_chosen),"Value Missing",flt_logs_disk_mode_chosen)</f>
        <v>Thin</v>
      </c>
    </row>
    <row r="225" spans="2:12" ht="20" customHeight="1" x14ac:dyDescent="0.2">
      <c r="B225" s="361" t="s">
        <v>2373</v>
      </c>
      <c r="C225" s="337" t="str">
        <f>IF(ISBLANK(input_xreg_vra_admin_password),"Value Missing",input_xreg_vra_admin_password)</f>
        <v>Value Missing</v>
      </c>
      <c r="H225" s="22" t="s">
        <v>2374</v>
      </c>
      <c r="I225" s="337" t="str">
        <f>IF(ISBLANK(input_cluster_az2_vmotion_network),"Value Missing",input_cluster_az2_vmotion_network)</f>
        <v>Value Missing</v>
      </c>
      <c r="J225" s="2"/>
    </row>
    <row r="226" spans="2:12" ht="20" customHeight="1" x14ac:dyDescent="0.2">
      <c r="B226" s="361" t="s">
        <v>2375</v>
      </c>
      <c r="C226" s="337" t="str">
        <f>IF(ISBLANK(input_xreg_vrops_admin_password),"Value Missing",input_xreg_vrops_admin_password)</f>
        <v>Value Missing</v>
      </c>
      <c r="H226" s="22" t="s">
        <v>253</v>
      </c>
      <c r="I226" s="337" t="str">
        <f>IF(ISBLANK(input_cluster_az2_vmotion_mask),"Value Missing",input_cluster_az2_vmotion_mask)</f>
        <v>Value Missing</v>
      </c>
      <c r="J226" s="2"/>
      <c r="K226" s="391" t="s">
        <v>2376</v>
      </c>
      <c r="L226" s="391"/>
    </row>
    <row r="227" spans="2:12" ht="20" customHeight="1" x14ac:dyDescent="0.2">
      <c r="B227" s="361" t="s">
        <v>2377</v>
      </c>
      <c r="C227" s="337" t="str">
        <f>IF(ISBLANK(input_xreg_vrops_root_password),"Value Missing",input_xreg_vrops_root_password)</f>
        <v>Value Missing</v>
      </c>
      <c r="H227" s="4" t="s">
        <v>460</v>
      </c>
      <c r="I227" s="337" t="str">
        <f>IF(OR(cluster_az2_vmotion_network="Value Missing",cluster_az2_vmotion_mask="Value Missing"),"Value Missing",(CONCATENATE(cluster_az2_vmotion_network,"/",VLOOKUP(cluster_az2_vmotion_mask,table_mask_to_cidr,2,FALSE))))</f>
        <v>Value Missing</v>
      </c>
      <c r="J227" s="2"/>
      <c r="K227" s="336" t="s">
        <v>261</v>
      </c>
      <c r="L227" s="184" t="s">
        <v>19</v>
      </c>
    </row>
    <row r="228" spans="2:12" ht="20" customHeight="1" x14ac:dyDescent="0.2">
      <c r="B228" s="361" t="s">
        <v>2378</v>
      </c>
      <c r="C228" s="337" t="str">
        <f>IF(ISBLANK(input_vrslcm_admin_password),"Value Missing",input_vrslcm_admin_password)</f>
        <v>Value Missing</v>
      </c>
      <c r="H228" s="22" t="s">
        <v>254</v>
      </c>
      <c r="I228" s="337" t="str">
        <f>IF(ISBLANK(input_cluster_az2_vmotion_gateway_ip),"Value Missing",input_cluster_az2_vmotion_gateway_ip)</f>
        <v>Value Missing</v>
      </c>
      <c r="J228" s="2"/>
      <c r="K228" s="4" t="s">
        <v>583</v>
      </c>
    </row>
    <row r="229" spans="2:12" ht="20" customHeight="1" x14ac:dyDescent="0.2">
      <c r="B229" s="361" t="s">
        <v>2379</v>
      </c>
      <c r="C229" s="337" t="str">
        <f>IF(ISBLANK(input_vrslcm_root_password),"Value Missing",input_vrslcm_root_password)</f>
        <v>Value Missing</v>
      </c>
      <c r="H229" s="22" t="s">
        <v>255</v>
      </c>
      <c r="I229" s="337" t="str">
        <f>IF(ISBLANK(input_cluster_az2_vmotion_pool_start_ip),"Value Missing",input_cluster_az2_vmotion_pool_start_ip)</f>
        <v>Value Missing</v>
      </c>
      <c r="K229" s="4" t="s">
        <v>585</v>
      </c>
      <c r="L229" s="337" t="str">
        <f>IF(ISBLANK(input_flt_net_cert_alias),"Value Missing",input_flt_net_cert_alias)</f>
        <v>Value Missing</v>
      </c>
    </row>
    <row r="230" spans="2:12" ht="20" customHeight="1" x14ac:dyDescent="0.2">
      <c r="B230" s="361" t="s">
        <v>2380</v>
      </c>
      <c r="C230" s="337" t="str">
        <f>IF(ISBLANK(input_wld_administrator_vsphere_local_password),"Value Missing",input_wld_administrator_vsphere_local_password)</f>
        <v>Value Missing</v>
      </c>
      <c r="H230" s="22" t="s">
        <v>256</v>
      </c>
      <c r="I230" s="337" t="str">
        <f>IF(ISBLANK(input_cluster_az2_vmotion_pool_end_ip),"Value Missing",input_cluster_az2_vmotion_pool_end_ip)</f>
        <v>Value Missing</v>
      </c>
      <c r="K230" s="4" t="s">
        <v>695</v>
      </c>
    </row>
    <row r="231" spans="2:12" ht="20" customHeight="1" x14ac:dyDescent="0.2">
      <c r="H231" s="511" t="s">
        <v>2381</v>
      </c>
      <c r="I231" s="513"/>
      <c r="K231" s="4" t="s">
        <v>586</v>
      </c>
    </row>
    <row r="232" spans="2:12" ht="20" customHeight="1" x14ac:dyDescent="0.2">
      <c r="B232" s="361" t="s">
        <v>2382</v>
      </c>
      <c r="C232" s="337" t="str">
        <f>IF(ISBLANK(input_mgmt_nsxt_en_admin_password),"Value Missing",input_mgmt_nsxt_en_admin_password)</f>
        <v>Value Missing</v>
      </c>
      <c r="H232" s="22" t="s">
        <v>2383</v>
      </c>
      <c r="I232" s="337" t="str">
        <f>IF(ISBLANK(input_cluster_az2_principal_storage_vlan),"Value Missing",input_cluster_az2_principal_storage_vlan)</f>
        <v>Value Missing</v>
      </c>
      <c r="K232" s="4" t="s">
        <v>2384</v>
      </c>
    </row>
    <row r="233" spans="2:12" ht="20" customHeight="1" x14ac:dyDescent="0.2">
      <c r="B233" s="361" t="s">
        <v>2385</v>
      </c>
      <c r="C233" s="337" t="str">
        <f>IF(ISBLANK(input_mgmt_nsxt_en_root_password),"Value Missing",input_mgmt_nsxt_en_root_password)</f>
        <v>Value Missing</v>
      </c>
      <c r="H233" s="22" t="s">
        <v>160</v>
      </c>
      <c r="I233" s="337" t="str">
        <f>IF(ISBLANK(input_cluster_az2_principal_storage_mtu),"Value Missing",input_cluster_az2_principal_storage_mtu)</f>
        <v>Value Missing</v>
      </c>
      <c r="J233" s="2"/>
      <c r="K233" s="4" t="s">
        <v>2386</v>
      </c>
    </row>
    <row r="234" spans="2:12" ht="20" customHeight="1" x14ac:dyDescent="0.2">
      <c r="B234" s="361" t="s">
        <v>2387</v>
      </c>
      <c r="C234" s="337" t="str">
        <f>IF(ISBLANK(input_flt_vidb_additional_vips),"Value Missing",input_flt_vidb_additional_vips)</f>
        <v>Value Missing</v>
      </c>
      <c r="H234" s="22" t="s">
        <v>2388</v>
      </c>
      <c r="I234" s="337" t="str">
        <f>IF(ISBLANK(input_cluster_az2_principal_storage_network),"Value Missing",input_cluster_az2_principal_storage_network)</f>
        <v>Value Missing</v>
      </c>
      <c r="K234" s="4" t="s">
        <v>587</v>
      </c>
      <c r="L234" s="337" t="str">
        <f>IF(ISBLANK(input_flt_net_common_name),"Value Missing",input_flt_net_common_name)</f>
        <v>Value Missing</v>
      </c>
    </row>
    <row r="235" spans="2:12" ht="20" customHeight="1" x14ac:dyDescent="0.2">
      <c r="B235" s="361" t="s">
        <v>2389</v>
      </c>
      <c r="C235" s="337" t="str">
        <f>IF(ISBLANK(input_flt_vidb_node_prefix),"Value Missing",input_flt_vidb_node_prefix)</f>
        <v>Value Missing</v>
      </c>
      <c r="H235" s="22" t="s">
        <v>253</v>
      </c>
      <c r="I235" s="337" t="str">
        <f>IF(ISBLANK(input_cluster_az2_principal_storage_mask),"Value Missing",input_cluster_az2_principal_storage_mask)</f>
        <v>Value Missing</v>
      </c>
      <c r="K235" s="4" t="s">
        <v>588</v>
      </c>
      <c r="L235" s="337" t="str">
        <f>IF(ISBLANK(input_flt_net_cert_organisation),"Value Missing",input_flt_net_cert_organisation)</f>
        <v>Value Missing</v>
      </c>
    </row>
    <row r="236" spans="2:12" ht="20" customHeight="1" x14ac:dyDescent="0.2">
      <c r="B236" s="361" t="s">
        <v>2390</v>
      </c>
      <c r="C236" s="337" t="str">
        <f>IF(ISBLANK(input_flt_vidb_password),"Value Missing",input_flt_vidb_password)</f>
        <v>Value Missing</v>
      </c>
      <c r="H236" s="22" t="s">
        <v>188</v>
      </c>
      <c r="I236" s="337" t="str">
        <f>IF(OR(cluster_az2_principal_storage_network="Value Missing",cluster_az2_principal_storage_mask="Value Missing"),"Value Missing",(CONCATENATE(cluster_az2_principal_storage_network,"/",VLOOKUP(cluster_az2_principal_storage_mask,table_mask_to_cidr,2,FALSE))))</f>
        <v>Value Missing</v>
      </c>
      <c r="K236" s="4" t="s">
        <v>589</v>
      </c>
      <c r="L236" s="337" t="str">
        <f>IF(ISBLANK(input_flt_net_ou_cert),"Value Missing",input_flt_net_ou_cert)</f>
        <v>Value Missing</v>
      </c>
    </row>
    <row r="237" spans="2:12" ht="20" customHeight="1" x14ac:dyDescent="0.2">
      <c r="B237" s="361" t="s">
        <v>2391</v>
      </c>
      <c r="C237" s="337" t="str">
        <f>IF(ISBLANK(input_flt_vidb_password_alias),"Value Missing",input_flt_vidb_password_alias)</f>
        <v>Value Missing</v>
      </c>
      <c r="H237" s="22" t="s">
        <v>254</v>
      </c>
      <c r="I237" s="337" t="str">
        <f>IF(ISBLANK(input_cluster_az2_principal_storage_gateway_ip),"Value Missing",input_cluster_az2_principal_storage_gateway_ip)</f>
        <v>Value Missing</v>
      </c>
      <c r="K237" s="4" t="s">
        <v>590</v>
      </c>
      <c r="L237" s="337" t="str">
        <f>IF(ISBLANK(input_flt_net_cert_country_code),"Value Missing",input_flt_net_cert_country_code)</f>
        <v>Value Missing</v>
      </c>
    </row>
    <row r="238" spans="2:12" ht="20" customHeight="1" x14ac:dyDescent="0.2">
      <c r="B238" s="361" t="s">
        <v>2392</v>
      </c>
      <c r="C238" s="337" t="str">
        <f>IF(ISBLANK(input_flt_vidb_password_description),"Value Missing",input_flt_vidb_password_description)</f>
        <v>Value Missing</v>
      </c>
      <c r="H238" s="22" t="s">
        <v>255</v>
      </c>
      <c r="I238" s="337" t="str">
        <f>IF(ISBLANK(input_cluster_az2_principal_storage_pool_start_ip),"Value Missing",input_cluster_az2_principal_storage_pool_start_ip)</f>
        <v>Value Missing</v>
      </c>
      <c r="K238" s="4" t="s">
        <v>591</v>
      </c>
      <c r="L238" s="337" t="str">
        <f>IF(ISBLANK(input_flt_net_cert_locality),"Value Missing",input_flt_net_cert_locality)</f>
        <v>Value Missing</v>
      </c>
    </row>
    <row r="239" spans="2:12" ht="20" customHeight="1" x14ac:dyDescent="0.2">
      <c r="B239" s="361" t="s">
        <v>2393</v>
      </c>
      <c r="C239" s="337" t="str">
        <f>IF(ISBLANK(input_flt_vidb_root_username),"Value Missing",input_flt_vidb_root_username)</f>
        <v>Value Missing</v>
      </c>
      <c r="H239" s="22" t="s">
        <v>256</v>
      </c>
      <c r="I239" s="337" t="str">
        <f>IF(ISBLANK(input_cluster_az2_principal_storage_pool_end_ip),"Value Missing",input_cluster_az2_principal_storage_pool_end_ip)</f>
        <v>Value Missing</v>
      </c>
      <c r="K239" s="4" t="s">
        <v>592</v>
      </c>
      <c r="L239" s="337" t="str">
        <f>IF(ISBLANK(input_flt_net_cert_state),"Value Missing",input_flt_net_cert_state)</f>
        <v>Value Missing</v>
      </c>
    </row>
    <row r="240" spans="2:12" ht="20" customHeight="1" x14ac:dyDescent="0.2">
      <c r="B240" s="17" t="s">
        <v>2394</v>
      </c>
      <c r="C240" s="337" t="str">
        <f>IF(ISBLANK(input_flt_vidb_system_user_alias),"Value Missing",input_flt_vidb_system_user_alias)</f>
        <v>Value Missing</v>
      </c>
      <c r="H240" s="511" t="s">
        <v>2395</v>
      </c>
      <c r="I240" s="513"/>
      <c r="K240" s="4" t="s">
        <v>593</v>
      </c>
      <c r="L240" s="337" t="str">
        <f>IF(ISBLANK(flt_net_cert_key_length_chosen),"Value Missing",flt_net_cert_key_length_chosen)</f>
        <v>4096</v>
      </c>
    </row>
    <row r="241" spans="2:12" ht="20" customHeight="1" x14ac:dyDescent="0.2">
      <c r="B241" s="22" t="s">
        <v>2396</v>
      </c>
      <c r="C241" s="337" t="str">
        <f>IF(ISBLANK(input_flt_vidb_system_user_password),"Value Missing",input_flt_vidb_system_user_password)</f>
        <v>Value Missing</v>
      </c>
      <c r="H241" s="22" t="s">
        <v>2397</v>
      </c>
      <c r="I241" s="337" t="str">
        <f>IF(ISBLANK(input_cluster_az2_secondary_storage_vlan),"Value Missing",input_cluster_az2_secondary_storage_vlan)</f>
        <v>Value Missing</v>
      </c>
      <c r="K241" s="4" t="s">
        <v>733</v>
      </c>
      <c r="L241" s="337" t="str">
        <f>IF(ISBLANK(input_flt_net_nodea_fqdn),"Value Missing",input_flt_net_nodea_fqdn)</f>
        <v>Value Missing</v>
      </c>
    </row>
    <row r="242" spans="2:12" ht="20" customHeight="1" x14ac:dyDescent="0.2">
      <c r="B242" s="22" t="s">
        <v>2398</v>
      </c>
      <c r="C242" s="337" t="str">
        <f>IF(ISBLANK(input_flt_vidb_system_user_description),"Value Missing",input_flt_vidb_system_user_description)</f>
        <v>Value Missing</v>
      </c>
      <c r="H242" s="22" t="s">
        <v>160</v>
      </c>
      <c r="I242" s="337" t="str">
        <f>IF(ISBLANK(input_cluster_az2_secondary_storage_mtu),"Value Missing",input_cluster_az2_secondary_storage_mtu)</f>
        <v>Value Missing</v>
      </c>
      <c r="K242" s="4" t="s">
        <v>734</v>
      </c>
      <c r="L242" s="337" t="str">
        <f>IF(ISBLANK(input_flt_net_nodeb_fqdn),"Value Missing",input_flt_net_nodeb_fqdn)</f>
        <v>Value Missing</v>
      </c>
    </row>
    <row r="243" spans="2:12" ht="20" customHeight="1" x14ac:dyDescent="0.2">
      <c r="B243" s="32"/>
      <c r="C243" s="32"/>
      <c r="H243" s="22" t="s">
        <v>2399</v>
      </c>
      <c r="I243" s="337" t="str">
        <f>IF(ISBLANK(input_cluster_az2_secondary_storage_network),"Value Missing",input_cluster_az2_secondary_storage_network)</f>
        <v>Value Missing</v>
      </c>
      <c r="K243" s="4" t="s">
        <v>735</v>
      </c>
      <c r="L243" s="337" t="str">
        <f>IF(ISBLANK(input_flt_net_nodec_fqdn),"Value Missing",input_flt_net_nodec_fqdn)</f>
        <v>Value Missing</v>
      </c>
    </row>
    <row r="244" spans="2:12" ht="20" customHeight="1" x14ac:dyDescent="0.2">
      <c r="B244" s="361" t="s">
        <v>2400</v>
      </c>
      <c r="C244" s="337" t="str">
        <f>IF(ISBLANK(input_mgmt_az1_en1_eth0_uplink0),"Value Missing",input_mgmt_az1_en1_eth0_uplink0)</f>
        <v>Value Missing</v>
      </c>
      <c r="H244" s="22" t="s">
        <v>253</v>
      </c>
      <c r="I244" s="337" t="str">
        <f>IF(ISBLANK(input_cluster_az2_secondary_storage_mask),"Value Missing",input_cluster_az2_secondary_storage_mask)</f>
        <v>Value Missing</v>
      </c>
      <c r="K244" s="4" t="s">
        <v>2401</v>
      </c>
      <c r="L244" s="337" t="str">
        <f>IF(ISBLANK(input_flt_net_prxy_fqdn),"Value Missing",input_flt_net_prxy_fqdn)</f>
        <v>Value Missing</v>
      </c>
    </row>
    <row r="245" spans="2:12" ht="20" customHeight="1" x14ac:dyDescent="0.2">
      <c r="B245" s="361" t="s">
        <v>2402</v>
      </c>
      <c r="C245" s="337" t="str">
        <f>IF(ISBLANK(input_mgmt_az1_en1_eth0_uplink1),"Value Missing",input_mgmt_az1_en1_eth0_uplink1)</f>
        <v>Value Missing</v>
      </c>
      <c r="H245" s="22" t="s">
        <v>254</v>
      </c>
      <c r="I245" s="337" t="str">
        <f>IF(ISBLANK(input_cluster_az2_secondary_storage_gateway_ip),"Value Missing",input_cluster_az2_secondary_storage_gateway_ip)</f>
        <v>Value Missing</v>
      </c>
      <c r="K245" s="4" t="s">
        <v>737</v>
      </c>
      <c r="L245" s="337" t="str">
        <f>IF(ISBLANK(input_flt_net_nodea_ip),"Value Missing",input_flt_net_nodea_ip)</f>
        <v>Value Missing</v>
      </c>
    </row>
    <row r="246" spans="2:12" ht="20" customHeight="1" x14ac:dyDescent="0.2">
      <c r="B246" s="361" t="s">
        <v>2403</v>
      </c>
      <c r="C246" s="337" t="str">
        <f>IF(ISBLANK(input_mgmt_az1_en1_eth1_uplink0),"Value Missing",input_mgmt_az1_en1_eth1_uplink0)</f>
        <v>Value Missing</v>
      </c>
      <c r="H246" s="22" t="s">
        <v>255</v>
      </c>
      <c r="I246" s="337" t="str">
        <f>IF(ISBLANK(input_cluster_az2_secondary_storage_pool_start_ip),"Value Missing",input_cluster_az2_secondary_storage_pool_start_ip)</f>
        <v>Value Missing</v>
      </c>
      <c r="K246" s="4" t="s">
        <v>738</v>
      </c>
      <c r="L246" s="337" t="str">
        <f>IF(ISBLANK(input_flt_net_nodeb_ip),"Value Missing",input_flt_net_nodeb_ip)</f>
        <v>Value Missing</v>
      </c>
    </row>
    <row r="247" spans="2:12" ht="20" customHeight="1" x14ac:dyDescent="0.2">
      <c r="B247" s="361" t="s">
        <v>2404</v>
      </c>
      <c r="C247" s="337" t="str">
        <f>IF(ISBLANK(input_mgmt_az1_en1_eth1_uplink1),"Value Missing",input_mgmt_az1_en1_eth1_uplink1)</f>
        <v>Value Missing</v>
      </c>
      <c r="H247" s="22" t="s">
        <v>256</v>
      </c>
      <c r="I247" s="337" t="str">
        <f>IF(ISBLANK(input_cluster_az2_secondary_storage_pool_end_ip),"Value Missing",input_cluster_az2_secondary_storage_pool_end_ip)</f>
        <v>Value Missing</v>
      </c>
      <c r="K247" s="4" t="s">
        <v>739</v>
      </c>
      <c r="L247" s="337" t="str">
        <f>IF(ISBLANK(input_flt_net_nodec_ip),"Value Missing",input_flt_net_nodec_ip)</f>
        <v>Value Missing</v>
      </c>
    </row>
    <row r="248" spans="2:12" ht="20" customHeight="1" x14ac:dyDescent="0.2">
      <c r="B248" s="361" t="s">
        <v>2405</v>
      </c>
      <c r="C248" s="337" t="str">
        <f>IF(ISBLANK(input_mgmt_az1_en2_eth0_uplink0),"Value Missing",input_mgmt_az1_en2_eth0_uplink0)</f>
        <v>Value Missing</v>
      </c>
      <c r="H248" s="511" t="s">
        <v>805</v>
      </c>
      <c r="I248" s="513"/>
      <c r="K248" s="4" t="s">
        <v>2406</v>
      </c>
      <c r="L248" s="337" t="str">
        <f>IF(ISBLANK(input_flt_net_prxy_ip),"Value Missing",input_flt_net_prxy_ip)</f>
        <v>Value Missing</v>
      </c>
    </row>
    <row r="249" spans="2:12" ht="20" customHeight="1" x14ac:dyDescent="0.2">
      <c r="B249" s="361" t="s">
        <v>2407</v>
      </c>
      <c r="C249" s="337" t="str">
        <f>IF(ISBLANK(input_mgmt_az1_en2_eth0_uplink1),"Value Missing",input_mgmt_az1_en2_eth0_uplink1)</f>
        <v>Value Missing</v>
      </c>
      <c r="H249" s="4" t="s">
        <v>85</v>
      </c>
      <c r="I249" s="337" t="str">
        <f>IF(ISBLANK(input_cluster_az2_storage_cluster_vlan),"Value Missing",input_cluster_az2_storage_cluster_vlan)</f>
        <v>Value Missing</v>
      </c>
      <c r="K249" s="4" t="s">
        <v>2408</v>
      </c>
      <c r="L249" s="337" t="str">
        <f>IF(flt_net_nodea_fqdn="Value Missing",flt_net_nodea_fqdn,LEFT(flt_net_nodea_fqdn,FIND(".",flt_net_nodea_fqdn)-1))</f>
        <v>Value Missing</v>
      </c>
    </row>
    <row r="250" spans="2:12" ht="20" customHeight="1" x14ac:dyDescent="0.2">
      <c r="B250" s="361" t="s">
        <v>2409</v>
      </c>
      <c r="C250" s="337" t="str">
        <f>IF(ISBLANK(input_mgmt_az1_en2_eth1_uplink0),"Value Missing",input_mgmt_az1_en2_eth1_uplink0)</f>
        <v>Value Missing</v>
      </c>
      <c r="H250" s="4" t="s">
        <v>160</v>
      </c>
      <c r="I250" s="337" t="str">
        <f>IF(ISBLANK(input_cluster_az2_storage_cluster_mtu),"Value Missing",input_cluster_az2_storage_cluster_mtu)</f>
        <v>Value Missing</v>
      </c>
      <c r="K250" s="4" t="s">
        <v>2410</v>
      </c>
      <c r="L250" s="337" t="str">
        <f>IF(flt_net_nodeb_fqdn="Value Missing",flt_net_nodeb_fqdn,LEFT(flt_net_nodeb_fqdn,FIND(".",flt_net_nodeb_fqdn)-1))</f>
        <v>Value Missing</v>
      </c>
    </row>
    <row r="251" spans="2:12" ht="20" customHeight="1" x14ac:dyDescent="0.2">
      <c r="B251" s="361" t="s">
        <v>2411</v>
      </c>
      <c r="C251" s="337" t="str">
        <f>IF(ISBLANK(input_mgmt_az1_en2_eth1_uplink1),"Value Missing",input_mgmt_az1_en2_eth1_uplink1)</f>
        <v>Value Missing</v>
      </c>
      <c r="H251" s="4" t="s">
        <v>252</v>
      </c>
      <c r="I251" s="337" t="str">
        <f>IF(ISBLANK(input_cluster_az2_storage_cluster_network),"Value Missing",input_cluster_az2_storage_cluster_network)</f>
        <v>Value Missing</v>
      </c>
      <c r="K251" s="4" t="s">
        <v>2412</v>
      </c>
      <c r="L251" s="337" t="str">
        <f>IF(flt_net_nodec_fqdn="Value Missing",flt_net_nodec_fqdn,LEFT(flt_net_nodec_fqdn,FIND(".",flt_net_nodec_fqdn)-1))</f>
        <v>Value Missing</v>
      </c>
    </row>
    <row r="252" spans="2:12" ht="20" customHeight="1" x14ac:dyDescent="0.2">
      <c r="B252" s="361"/>
      <c r="H252" s="4" t="s">
        <v>285</v>
      </c>
      <c r="I252" s="337" t="str">
        <f>IF(ISBLANK(input_cluster_az2_storage_cluster_mask),"Value Missing",input_cluster_az2_storage_cluster_mask)</f>
        <v>Value Missing</v>
      </c>
      <c r="K252" s="4" t="s">
        <v>2413</v>
      </c>
      <c r="L252" s="337" t="str">
        <f>IF(flt_net_prxy_fqdn="Value Missing",flt_net_prxy_fqdn,LEFT(flt_net_prxy_fqdn,FIND(".",flt_net_prxy_fqdn)-1))</f>
        <v>Value Missing</v>
      </c>
    </row>
    <row r="253" spans="2:12" ht="20" customHeight="1" x14ac:dyDescent="0.2">
      <c r="B253" s="361" t="s">
        <v>2414</v>
      </c>
      <c r="C253" s="337" t="str">
        <f>IF(ISBLANK(input_wld_az1_en1_eth0_uplink0),"Value Missing",input_wld_az1_en1_eth0_uplink0)</f>
        <v>Value Missing</v>
      </c>
      <c r="H253" s="4" t="s">
        <v>460</v>
      </c>
      <c r="I253" s="337" t="str">
        <f>IF(OR(cluster_az2_storage_cluster_network="Value Missing",cluster_az2_storage_cluster_mask="Value Missing"),"Value Missing",(CONCATENATE(cluster_az2_storage_cluster_network,"/",VLOOKUP(cluster_az2_storage_cluster_mask,table_mask_to_cidr,2,FALSE))))</f>
        <v>Value Missing</v>
      </c>
      <c r="K253" s="4" t="s">
        <v>599</v>
      </c>
    </row>
    <row r="254" spans="2:12" ht="20" customHeight="1" x14ac:dyDescent="0.2">
      <c r="B254" s="361" t="s">
        <v>2415</v>
      </c>
      <c r="C254" s="337" t="str">
        <f>IF(ISBLANK(input_wld_az1_en1_eth0_uplink1),"Value Missing",input_wld_az1_en1_eth0_uplink1)</f>
        <v>Value Missing</v>
      </c>
      <c r="H254" s="4" t="s">
        <v>187</v>
      </c>
      <c r="I254" s="337" t="str">
        <f>IF(ISBLANK(input_cluster_az2_storage_cluster_gateway_ip),"Value Missing",input_cluster_az2_storage_cluster_gateway_ip)</f>
        <v>Value Missing</v>
      </c>
      <c r="K254" s="4" t="s">
        <v>600</v>
      </c>
      <c r="L254" s="337" t="str">
        <f>IF(ISBLANK(input_flt_net_cluster),"Value Missing",input_flt_net_cluster)</f>
        <v>Value Missing</v>
      </c>
    </row>
    <row r="255" spans="2:12" ht="20" customHeight="1" x14ac:dyDescent="0.2">
      <c r="B255" s="361" t="s">
        <v>2416</v>
      </c>
      <c r="C255" s="337" t="str">
        <f>IF(ISBLANK(input_wld_az1_en1_eth1_uplink0),"Value Missing",input_wld_az1_en1_eth1_uplink0)</f>
        <v>Value Missing</v>
      </c>
      <c r="H255" s="17" t="s">
        <v>255</v>
      </c>
      <c r="I255" s="337" t="str">
        <f>IF(ISBLANK(input_cluster_az2_storage_cluster_pool_start_ip),"Value Missing",input_cluster_az2_storage_cluster_pool_start_ip)</f>
        <v>Value Missing</v>
      </c>
      <c r="K255" s="4" t="s">
        <v>601</v>
      </c>
      <c r="L255" s="337" t="str">
        <f>IF(ISBLANK(input_flt_net_folder),"Value Missing",input_flt_net_folder)</f>
        <v>Value Missing</v>
      </c>
    </row>
    <row r="256" spans="2:12" ht="20" customHeight="1" x14ac:dyDescent="0.2">
      <c r="B256" s="361" t="s">
        <v>2417</v>
      </c>
      <c r="C256" s="337" t="str">
        <f>IF(ISBLANK(input_wld_az1_en1_eth1_uplink1),"Value Missing",input_wld_az1_en1_eth1_uplink1)</f>
        <v>Value Missing</v>
      </c>
      <c r="H256" s="17" t="s">
        <v>256</v>
      </c>
      <c r="I256" s="337" t="str">
        <f>IF(ISBLANK(input_cluster_az2_storage_cluster_pool_end_ip),"Value Missing",input_cluster_az2_storage_cluster_pool_end_ip)</f>
        <v>Value Missing</v>
      </c>
      <c r="K256" s="4" t="s">
        <v>603</v>
      </c>
      <c r="L256" s="337" t="str">
        <f>IF(ISBLANK(input_flt_net_resource_pool),"Value Missing",input_flt_net_resource_pool)</f>
        <v>Value Missing</v>
      </c>
    </row>
    <row r="257" spans="2:12" ht="20" customHeight="1" x14ac:dyDescent="0.2">
      <c r="B257" s="361" t="s">
        <v>2418</v>
      </c>
      <c r="C257" s="337" t="str">
        <f>IF(ISBLANK(input_wld_az1_en2_eth0_uplink0),"Value Missing",input_wld_az1_en2_eth0_uplink0)</f>
        <v>Value Missing</v>
      </c>
      <c r="H257" s="22" t="s">
        <v>264</v>
      </c>
      <c r="I257" s="337"/>
      <c r="K257" s="4" t="s">
        <v>103</v>
      </c>
      <c r="L257" s="337" t="str">
        <f>IF(ISBLANK(input_flt_net_datastore),"Value Missing",input_flt_net_datastore)</f>
        <v>Value Missing</v>
      </c>
    </row>
    <row r="258" spans="2:12" ht="20" customHeight="1" x14ac:dyDescent="0.2">
      <c r="B258" s="361" t="s">
        <v>2419</v>
      </c>
      <c r="C258" s="337" t="str">
        <f>IF(ISBLANK(input_wld_az1_en2_eth0_uplink1),"Value Missing",input_wld_az1_en2_eth0_uplink1)</f>
        <v>Value Missing</v>
      </c>
      <c r="H258" s="22" t="s">
        <v>266</v>
      </c>
      <c r="I258" s="337"/>
      <c r="K258" s="4" t="s">
        <v>814</v>
      </c>
      <c r="L258" s="337" t="str">
        <f>IF(ISBLANK(input_flt_net_vcenter_fqdn),"Value Missing",input_flt_net_vcenter_fqdn)</f>
        <v>Value Missing</v>
      </c>
    </row>
    <row r="259" spans="2:12" ht="20" customHeight="1" x14ac:dyDescent="0.2">
      <c r="B259" s="361" t="s">
        <v>2420</v>
      </c>
      <c r="C259" s="337" t="str">
        <f>IF(ISBLANK(input_wld_az1_en2_eth1_uplink0),"Value Missing",input_wld_az1_en2_eth1_uplink0)</f>
        <v>Value Missing</v>
      </c>
      <c r="H259" s="22" t="s">
        <v>268</v>
      </c>
      <c r="I259" s="337"/>
      <c r="K259" s="4" t="s">
        <v>604</v>
      </c>
      <c r="L259" s="337" t="str">
        <f>IF(ISBLANK(input_flt_net_node_portgroup),"Value Missing",input_flt_net_node_portgroup)</f>
        <v>Value Missing</v>
      </c>
    </row>
    <row r="260" spans="2:12" ht="20" customHeight="1" x14ac:dyDescent="0.2">
      <c r="B260" s="361" t="s">
        <v>2421</v>
      </c>
      <c r="C260" s="337" t="str">
        <f>IF(ISBLANK(input_wld_az1_en2_eth1_uplink1),"Value Missing",input_wld_az1_en2_eth1_uplink1)</f>
        <v>Value Missing</v>
      </c>
      <c r="H260" s="22" t="s">
        <v>2422</v>
      </c>
      <c r="I260" s="337" t="str">
        <f>IF(ISBLANK(input_cluster_witnessaz_mgmt_vlan),"Value Missing",input_cluster_witnessaz_mgmt_vlan)</f>
        <v>Value Missing</v>
      </c>
      <c r="K260" s="4" t="s">
        <v>2372</v>
      </c>
      <c r="L260" s="337" t="str">
        <f>IF(ISBLANK(flt_net_disk_mode_chosen),"Value Missing",flt_net_disk_mode_chosen)</f>
        <v>Thin</v>
      </c>
    </row>
    <row r="261" spans="2:12" ht="20" customHeight="1" x14ac:dyDescent="0.2">
      <c r="H261" s="22" t="s">
        <v>2423</v>
      </c>
      <c r="I261" s="337" t="str">
        <f>IF(ISBLANK(input_cluster_witnessaz_mgmt_gateway_ip),"Value Missing",input_cluster_witnessaz_mgmt_gateway_ip)</f>
        <v>Value Missing</v>
      </c>
      <c r="K261" s="4" t="s">
        <v>2351</v>
      </c>
      <c r="L261" s="337" t="str">
        <f>IF(ISBLANK(input_flt_net_node_gateway_ip),"Value Missing",input_flt_net_node_gateway_ip)</f>
        <v>Value Missing</v>
      </c>
    </row>
    <row r="262" spans="2:12" ht="20" customHeight="1" x14ac:dyDescent="0.2">
      <c r="H262" s="22" t="s">
        <v>2424</v>
      </c>
      <c r="I262" s="337" t="str">
        <f>IF(ISBLANK(input_cluster_witnessaz_mgmt_cidr),"Value Missing",input_cluster_witnessaz_mgmt_cidr)</f>
        <v>Value Missing</v>
      </c>
      <c r="K262" s="4" t="s">
        <v>2352</v>
      </c>
      <c r="L262" s="337" t="str">
        <f>IF(ISBLANK(input_flt_net_node_mask),"Value Missing",input_flt_net_node_mask)</f>
        <v>Value Missing</v>
      </c>
    </row>
    <row r="263" spans="2:12" ht="20" customHeight="1" x14ac:dyDescent="0.2">
      <c r="H263" s="22" t="s">
        <v>2425</v>
      </c>
      <c r="I263" s="337" t="str">
        <f>IF(ISBLANK(input_cluster_witnessaz_mgmt_mtu),"Value Missing",input_cluster_witnessaz_mgmt_mtu)</f>
        <v>Value Missing</v>
      </c>
      <c r="K263" s="4" t="s">
        <v>606</v>
      </c>
    </row>
    <row r="264" spans="2:12" ht="20" customHeight="1" x14ac:dyDescent="0.2">
      <c r="H264" s="22" t="s">
        <v>273</v>
      </c>
      <c r="I264" s="337" t="str">
        <f>IF(ISBLANK(input_cluster_witness_zone_vc_fqdn),"Value Missing",input_cluster_witness_zone_vc_fqdn)</f>
        <v>Value Missing</v>
      </c>
      <c r="K264" s="4" t="s">
        <v>607</v>
      </c>
    </row>
    <row r="265" spans="2:12" ht="20" customHeight="1" x14ac:dyDescent="0.2">
      <c r="H265" s="22" t="s">
        <v>276</v>
      </c>
      <c r="I265" s="337" t="str">
        <f t="array" ref="I265">IF(ISBLANK(input_cluster_witness_hostname),"Value Missing",input_cluster_witness_hostname)</f>
        <v>Value Missing</v>
      </c>
      <c r="K265" s="4" t="s">
        <v>608</v>
      </c>
    </row>
    <row r="266" spans="2:12" ht="20" customHeight="1" x14ac:dyDescent="0.2">
      <c r="H266" s="22" t="s">
        <v>277</v>
      </c>
      <c r="I266" s="337" t="str">
        <f>IF(ISBLANK(input_cluster_witness_cluster),"Value Missing",input_cluster_witness_cluster)</f>
        <v>Value Missing</v>
      </c>
      <c r="K266" s="4" t="s">
        <v>299</v>
      </c>
    </row>
    <row r="267" spans="2:12" ht="20" customHeight="1" x14ac:dyDescent="0.2">
      <c r="H267" s="22" t="s">
        <v>278</v>
      </c>
      <c r="I267" s="337" t="str">
        <f>IF(ISBLANK(input_cluster_witness_vm_folder),"Value Missing",input_cluster_witness_vm_folder)</f>
        <v>Value Missing</v>
      </c>
      <c r="K267" s="4" t="s">
        <v>611</v>
      </c>
    </row>
    <row r="268" spans="2:12" ht="20" customHeight="1" x14ac:dyDescent="0.2">
      <c r="H268" s="22" t="s">
        <v>279</v>
      </c>
      <c r="I268" s="337" t="str">
        <f>IF(ISBLANK(input_cluster_witness_vsan_datastore),"Value Missing",input_cluster_witness_vsan_datastore)</f>
        <v>Value Missing</v>
      </c>
      <c r="K268" s="4" t="s">
        <v>612</v>
      </c>
    </row>
    <row r="269" spans="2:12" ht="20" customHeight="1" x14ac:dyDescent="0.2">
      <c r="H269" s="22" t="s">
        <v>280</v>
      </c>
      <c r="I269" s="337" t="str">
        <f>IF(ISBLANK(input_cluster_witness_mgmt_pg),"Value Missing",input_cluster_witness_mgmt_pg)</f>
        <v>Value Missing</v>
      </c>
      <c r="K269" s="4" t="s">
        <v>706</v>
      </c>
      <c r="L269" s="337" t="str">
        <f>IF(ISBLANK(input_flt_net_admin_password_alias),"Value Missing",input_flt_net_admin_password_alias)</f>
        <v>Value Missing</v>
      </c>
    </row>
    <row r="270" spans="2:12" ht="20" customHeight="1" x14ac:dyDescent="0.2">
      <c r="H270" s="22" t="s">
        <v>281</v>
      </c>
      <c r="I270" s="337"/>
      <c r="K270" s="4" t="s">
        <v>199</v>
      </c>
      <c r="L270" s="337" t="str">
        <f>IF(ISBLANK(input_flt_net_admin_password),"Value Missing",input_flt_net_admin_password)</f>
        <v>Value Missing</v>
      </c>
    </row>
    <row r="271" spans="2:12" ht="20" customHeight="1" x14ac:dyDescent="0.2">
      <c r="H271" s="22" t="s">
        <v>283</v>
      </c>
      <c r="I271" s="337"/>
      <c r="K271" s="4" t="s">
        <v>707</v>
      </c>
      <c r="L271" s="337" t="str">
        <f>IF(ISBLANK(input_flt_net_admin_password_description),"Value Missing",input_flt_net_admin_password_description)</f>
        <v>Value Missing</v>
      </c>
    </row>
    <row r="272" spans="2:12" ht="20" customHeight="1" x14ac:dyDescent="0.2">
      <c r="H272" s="22" t="s">
        <v>285</v>
      </c>
      <c r="I272" s="337" t="str">
        <f>IF(cluster_witnessaz_mgmt_cidr="Value Missing","Value Missing",VLOOKUP(INT(RIGHT(cluster_witnessaz_mgmt_cidr,LEN(cluster_witnessaz_mgmt_cidr)-FIND("/",cluster_witnessaz_mgmt_cidr))),table_cidr_to_mask,2,FALSE))</f>
        <v>Value Missing</v>
      </c>
      <c r="K272" s="4" t="s">
        <v>709</v>
      </c>
      <c r="L272" s="337" t="str">
        <f>IF(ISBLANK(input_flt_net_admin_username),"Value Missing",input_flt_net_admin_username)</f>
        <v>Value Missing</v>
      </c>
    </row>
    <row r="273" spans="8:12" ht="20" customHeight="1" x14ac:dyDescent="0.2">
      <c r="H273" s="22" t="s">
        <v>287</v>
      </c>
      <c r="I273" s="337" t="str">
        <f>IF(ISBLANK(input_cluster_witness_ip),"Value Missing",input_cluster_witness_ip)</f>
        <v>Value Missing</v>
      </c>
      <c r="K273" s="4" t="s">
        <v>299</v>
      </c>
    </row>
    <row r="274" spans="8:12" ht="20" customHeight="1" x14ac:dyDescent="0.2">
      <c r="H274" s="22"/>
      <c r="I274" s="337"/>
      <c r="K274" s="4" t="s">
        <v>744</v>
      </c>
      <c r="L274" s="337" t="str">
        <f t="array" ref="L274">IF(ISBLANK(input_flt_net_platform_password),"Value Missing",input_flt_net_platform_password)</f>
        <v>Value Missing</v>
      </c>
    </row>
    <row r="275" spans="8:12" ht="20" customHeight="1" x14ac:dyDescent="0.2">
      <c r="H275" s="22" t="s">
        <v>288</v>
      </c>
      <c r="I275" s="337" t="str">
        <f>IF(ISBLANK(input_cluster_witness_dns1_ip),"Value Missing",input_cluster_witness_dns1_ip)</f>
        <v>Value Missing</v>
      </c>
      <c r="K275" s="4" t="s">
        <v>745</v>
      </c>
      <c r="L275" s="337" t="str">
        <f>IF(ISBLANK(input_flt_net_support_password),"Value Missing",input_flt_net_support_password)</f>
        <v>Value Missing</v>
      </c>
    </row>
    <row r="276" spans="8:12" ht="20" customHeight="1" x14ac:dyDescent="0.2">
      <c r="H276" s="22" t="s">
        <v>290</v>
      </c>
      <c r="I276" s="337" t="str">
        <f t="array" ref="I276">IF(ISBLANK(input_cluster_witness_dns2_ip),"Value Missing",input_cluster_witness_dns2_ip)</f>
        <v>Value Missing</v>
      </c>
      <c r="K276" s="4" t="s">
        <v>746</v>
      </c>
      <c r="L276" s="337" t="str">
        <f>IF(ISBLANK(input_flt_net_console_password),"Value Missing",input_flt_net_console_password)</f>
        <v>Value Missing</v>
      </c>
    </row>
    <row r="277" spans="8:12" ht="20" customHeight="1" x14ac:dyDescent="0.2">
      <c r="H277" s="22" t="s">
        <v>292</v>
      </c>
      <c r="I277" s="337" t="str">
        <f>IF(ISBLANK(input_cluster_witness_ntp1_server),"Value Missing",input_cluster_witness_ntp1_server)</f>
        <v>Value Missing</v>
      </c>
      <c r="K277" s="4" t="s">
        <v>624</v>
      </c>
      <c r="L277" s="337" t="str">
        <f>IF(ISBLANK(input_flt_net_vcenter_list),"Value Missing",input_flt_net_vcenter_list)</f>
        <v>Value Missing</v>
      </c>
    </row>
    <row r="278" spans="8:12" ht="20" customHeight="1" x14ac:dyDescent="0.2">
      <c r="H278" s="22" t="s">
        <v>293</v>
      </c>
      <c r="I278" s="337" t="str">
        <f>IF(ISBLANK(input_cluster_witness_ntp2_server),"Value Missing",input_cluster_witness_ntp2_server)</f>
        <v>Value Missing</v>
      </c>
      <c r="K278" s="4" t="s">
        <v>2426</v>
      </c>
      <c r="L278" s="337" t="str">
        <f>IF(ISBLANK(input_flt_net_prxy_portgroup),"Value Missing",input_flt_net_prxy_portgroup)</f>
        <v>Value Missing</v>
      </c>
    </row>
    <row r="279" spans="8:12" ht="20" customHeight="1" x14ac:dyDescent="0.2">
      <c r="H279" s="22" t="s">
        <v>273</v>
      </c>
      <c r="I279" s="337" t="str">
        <f>IF(ISBLANK(input_cluster_vc_fqdn),"Value Missing",input_cluster_vc_fqdn)</f>
        <v>Value Missing</v>
      </c>
      <c r="K279" s="4" t="s">
        <v>2170</v>
      </c>
      <c r="L279" s="337" t="str">
        <f>IF(ISBLANK(input_flt_net_prxy_mask),"Value Missing",input_flt_net_prxy_mask)</f>
        <v>Value Missing</v>
      </c>
    </row>
    <row r="280" spans="8:12" ht="20" customHeight="1" x14ac:dyDescent="0.2">
      <c r="H280" s="22" t="s">
        <v>295</v>
      </c>
      <c r="I280" s="337" t="str">
        <f>IF(ISBLANK(input_cluster_datacenter),"Value Missing",input_cluster_datacenter)</f>
        <v>Value Missing</v>
      </c>
      <c r="K280" s="4" t="s">
        <v>543</v>
      </c>
      <c r="L280" s="337" t="str">
        <f>IF(ISBLANK(input_flt_net_prxy_gateway_ip),"Value Missing",input_flt_net_prxy_gateway_ip)</f>
        <v>Value Missing</v>
      </c>
    </row>
    <row r="281" spans="8:12" ht="20" customHeight="1" x14ac:dyDescent="0.2">
      <c r="H281" s="22" t="s">
        <v>38</v>
      </c>
      <c r="I281" s="337" t="str">
        <f>IF(ISBLANK(input_cluster_witness_fqdn),"Value Missing",input_cluster_witness_fqdn)</f>
        <v>Value Missing</v>
      </c>
      <c r="K281" s="4" t="s">
        <v>2427</v>
      </c>
      <c r="L281" s="337" t="str">
        <f>IF(ISBLANK(flt_net_nodea_size_chosen),"Value Missing",flt_net_nodea_size_chosen)</f>
        <v>Large</v>
      </c>
    </row>
    <row r="282" spans="8:12" ht="20" customHeight="1" x14ac:dyDescent="0.2">
      <c r="H282" s="22" t="s">
        <v>337</v>
      </c>
      <c r="I282" s="337" t="str">
        <f>IF(ISBLANK(input_cluster_az2_host_overlay_network_profile_name),"Value Missing",input_cluster_az2_host_overlay_network_profile_name)</f>
        <v>Value Missing</v>
      </c>
      <c r="K282" s="4" t="s">
        <v>2428</v>
      </c>
      <c r="L282" s="337" t="str">
        <f>IF(ISBLANK(flt_net_nodeb_size_chosen),"Value Missing",flt_net_nodeb_size_chosen)</f>
        <v>Large</v>
      </c>
    </row>
    <row r="283" spans="8:12" ht="20" customHeight="1" x14ac:dyDescent="0.2">
      <c r="H283" s="22" t="s">
        <v>340</v>
      </c>
      <c r="I283" s="337" t="str">
        <f>IF(ISBLANK(input_cluster_az2_host_overlay_network_pool_name),"Value Missing",input_cluster_az2_host_overlay_network_pool_name)</f>
        <v>Value Missing</v>
      </c>
      <c r="K283" s="4" t="s">
        <v>2429</v>
      </c>
      <c r="L283" s="337" t="str">
        <f>IF(ISBLANK(flt_net_nodec_size_chosen),"Value Missing",flt_net_nodec_size_chosen)</f>
        <v>Large</v>
      </c>
    </row>
    <row r="284" spans="8:12" ht="20" customHeight="1" x14ac:dyDescent="0.2">
      <c r="H284" s="22" t="s">
        <v>341</v>
      </c>
      <c r="I284" s="337" t="str">
        <f>IF(ISBLANK(input_cluster_az2_host_overlay_uplink_profile_name),"Value Missing",input_cluster_az2_host_overlay_uplink_profile_name)</f>
        <v>Value Missing</v>
      </c>
      <c r="K284" s="4" t="s">
        <v>2430</v>
      </c>
      <c r="L284" s="337" t="str">
        <f>IF(ISBLANK(flt_net_prxy_size_chosen),"Value Missing",flt_net_prxy_size_chosen)</f>
        <v>Medium</v>
      </c>
    </row>
    <row r="285" spans="8:12" ht="20" customHeight="1" x14ac:dyDescent="0.2">
      <c r="H285" s="22" t="s">
        <v>2431</v>
      </c>
      <c r="I285" s="337" t="str">
        <f>IF(ISBLANK(input_cluster_az2_host_overlay_vlan),"Value Missing",input_cluster_az2_host_overlay_vlan)</f>
        <v>Value Missing</v>
      </c>
    </row>
    <row r="286" spans="8:12" ht="20" customHeight="1" x14ac:dyDescent="0.2">
      <c r="H286" s="22" t="s">
        <v>188</v>
      </c>
      <c r="I286" s="337" t="str">
        <f>IF(ISBLANK(input_cluster_az2_host_overlay_cidr),"Value Missing",input_cluster_az2_host_overlay_cidr)</f>
        <v>Value Missing</v>
      </c>
      <c r="K286" s="391" t="s">
        <v>2432</v>
      </c>
      <c r="L286" s="391"/>
    </row>
    <row r="287" spans="8:12" ht="20" customHeight="1" x14ac:dyDescent="0.2">
      <c r="H287" s="22" t="s">
        <v>254</v>
      </c>
      <c r="I287" s="337" t="str">
        <f>IF(ISBLANK(input_cluster_az2_host_overlay_gateway_ip),"Value Missing",input_cluster_az2_host_overlay_gateway_ip)</f>
        <v>Value Missing</v>
      </c>
      <c r="K287" s="336" t="s">
        <v>261</v>
      </c>
      <c r="L287" s="184" t="s">
        <v>19</v>
      </c>
    </row>
    <row r="288" spans="8:12" ht="20" customHeight="1" x14ac:dyDescent="0.2">
      <c r="H288" s="22" t="s">
        <v>255</v>
      </c>
      <c r="I288" s="337" t="str">
        <f>IF(ISBLANK(input_cluster_az2_host_overlay_pool_start_ip),"Value Missing",input_cluster_az2_host_overlay_pool_start_ip)</f>
        <v>Value Missing</v>
      </c>
      <c r="K288" s="4" t="s">
        <v>541</v>
      </c>
      <c r="L288" s="337" t="str">
        <f>IF(ISBLANK(input_flt_net_vcenter_list),"Value Missing",input_flt_net_vcenter_list)</f>
        <v>Value Missing</v>
      </c>
    </row>
    <row r="289" spans="8:12" ht="20" customHeight="1" x14ac:dyDescent="0.2">
      <c r="H289" s="22" t="s">
        <v>256</v>
      </c>
      <c r="I289" s="337" t="str">
        <f>IF(ISBLANK(input_cluster_az2_host_overlay_pool_end_ip),"Value Missing",input_cluster_az2_host_overlay_pool_end_ip)</f>
        <v>Value Missing</v>
      </c>
      <c r="K289" s="4" t="s">
        <v>542</v>
      </c>
      <c r="L289" s="337" t="str">
        <f>IF(ISBLANK(input_flt_net_vcenter_list),"Value Missing",input_flt_net_vcenter_list)</f>
        <v>Value Missing</v>
      </c>
    </row>
    <row r="290" spans="8:12" ht="20" customHeight="1" x14ac:dyDescent="0.2">
      <c r="H290" s="22" t="s">
        <v>351</v>
      </c>
      <c r="I290" s="337" t="str">
        <f>IF(ISBLANK(input_cluster_cluster_sddc_id),"Value Missing",input_cluster_cluster_sddc_id)</f>
        <v>Value Missing</v>
      </c>
      <c r="K290" s="4" t="s">
        <v>543</v>
      </c>
      <c r="L290" s="337" t="str">
        <f>IF(ISBLANK(input_flt_net_vcenter_list),"Value Missing",input_flt_net_vcenter_list)</f>
        <v>Value Missing</v>
      </c>
    </row>
    <row r="291" spans="8:12" ht="20" customHeight="1" x14ac:dyDescent="0.2">
      <c r="H291" s="22" t="s">
        <v>356</v>
      </c>
      <c r="I291" s="337" t="str">
        <f>IF(ISBLANK(input_cluster_nsxt_vip_fqdn),"Value Missing",input_cluster_nsxt_vip_fqdn)</f>
        <v>Value Missing</v>
      </c>
      <c r="K291" s="4" t="s">
        <v>547</v>
      </c>
      <c r="L291" s="337"/>
    </row>
    <row r="292" spans="8:12" ht="20" customHeight="1" x14ac:dyDescent="0.2">
      <c r="H292" s="22" t="s">
        <v>2433</v>
      </c>
      <c r="I292" s="337" t="str">
        <f>IF(ISBLANK(input_cluster_az2_host1_fqdn),"Value Missing",input_cluster_az2_host1_fqdn)</f>
        <v>Value Missing</v>
      </c>
      <c r="K292" s="4" t="s">
        <v>38</v>
      </c>
      <c r="L292" s="337" t="str">
        <f>IF(ISBLANK(input_flt_custom_network_flt_fqdn),"Value Missing",input_flt_custom_network_flt_fqdn)</f>
        <v>Value Missing</v>
      </c>
    </row>
    <row r="293" spans="8:12" ht="20" customHeight="1" x14ac:dyDescent="0.2">
      <c r="H293" s="22" t="s">
        <v>2434</v>
      </c>
      <c r="I293" s="337" t="str">
        <f>IF(ISBLANK(input_cluster_az2_host2_fqdn),"Value Missing",input_cluster_az2_host2_fqdn)</f>
        <v>Value Missing</v>
      </c>
      <c r="K293" s="4" t="s">
        <v>548</v>
      </c>
      <c r="L293" s="337" t="str">
        <f>IF(ISBLANK(input_flt_custom_network_flt_ip),"Value Missing",input_flt_custom_network_flt_ip)</f>
        <v>Value Missing</v>
      </c>
    </row>
    <row r="294" spans="8:12" ht="20" customHeight="1" x14ac:dyDescent="0.2">
      <c r="H294" s="22" t="s">
        <v>2435</v>
      </c>
      <c r="I294" s="337" t="str">
        <f>IF(ISBLANK(input_cluster_az2_host3_fqdn),"Value Missing",input_cluster_az2_host3_fqdn)</f>
        <v>Value Missing</v>
      </c>
      <c r="K294" s="4" t="s">
        <v>549</v>
      </c>
      <c r="L294" s="337" t="str">
        <f>IF(ISBLANK(input_flt_custom_network_flt_root_password),"Value Missing",input_flt_custom_network_flt_root_password)</f>
        <v>Value Missing</v>
      </c>
    </row>
    <row r="295" spans="8:12" ht="20" customHeight="1" x14ac:dyDescent="0.2">
      <c r="H295" s="22" t="s">
        <v>2436</v>
      </c>
      <c r="I295" s="337" t="str">
        <f>IF(ISBLANK(input_cluster_az2_host4_fqdn),"Value Missing",input_cluster_az2_host4_fqdn)</f>
        <v>Value Missing</v>
      </c>
      <c r="K295" s="4" t="s">
        <v>550</v>
      </c>
      <c r="L295" s="337" t="str">
        <f>IF(ISBLANK(input_flt_custom_network_flt_admin_password),"Value Missing",input_flt_custom_network_flt_admin_password)</f>
        <v>Value Missing</v>
      </c>
    </row>
    <row r="296" spans="8:12" ht="20" customHeight="1" x14ac:dyDescent="0.2">
      <c r="H296" s="22" t="s">
        <v>2437</v>
      </c>
      <c r="I296" s="337" t="str">
        <f>IF(ISBLANK(input_cluster_az2_host5_fqdn),"Value Missing",input_cluster_az2_host5_fqdn)</f>
        <v>Value Missing</v>
      </c>
      <c r="K296" s="4" t="s">
        <v>547</v>
      </c>
      <c r="L296" s="337"/>
    </row>
    <row r="297" spans="8:12" ht="20" customHeight="1" x14ac:dyDescent="0.2">
      <c r="H297" s="22" t="s">
        <v>2438</v>
      </c>
      <c r="I297" s="337" t="str">
        <f>IF(ISBLANK(input_cluster_az2_host6_fqdn),"Value Missing",input_cluster_az2_host6_fqdn)</f>
        <v>Value Missing</v>
      </c>
      <c r="K297" s="4" t="s">
        <v>2439</v>
      </c>
      <c r="L297" s="337" t="str">
        <f>IF(ISBLANK(input_flt_custom_network_ops_vip_fqdn),"Value Missing",input_flt_custom_network_ops_vip_fqdn)</f>
        <v>Value Missing</v>
      </c>
    </row>
    <row r="298" spans="8:12" ht="20" customHeight="1" x14ac:dyDescent="0.2">
      <c r="H298" s="22" t="s">
        <v>2440</v>
      </c>
      <c r="I298" s="337" t="str">
        <f>IF(ISBLANK(input_cluster_az2_host7_fqdn),"Value Missing",input_cluster_az2_host7_fqdn)</f>
        <v>Value Missing</v>
      </c>
      <c r="K298" s="4" t="s">
        <v>2441</v>
      </c>
      <c r="L298" s="337" t="str">
        <f>IF(ISBLANK(input_flt_custom_network_ops_nodea_fqdn),"Value Missing",input_flt_custom_network_ops_nodea_fqdn)</f>
        <v>Value Missing</v>
      </c>
    </row>
    <row r="299" spans="8:12" ht="20" customHeight="1" x14ac:dyDescent="0.2">
      <c r="H299" s="22" t="s">
        <v>2442</v>
      </c>
      <c r="I299" s="337" t="str">
        <f>IF(ISBLANK(input_cluster_az2_host8_fqdn),"Value Missing",input_cluster_az2_host8_fqdn)</f>
        <v>Value Missing</v>
      </c>
      <c r="K299" s="4" t="s">
        <v>2443</v>
      </c>
      <c r="L299" s="337" t="str">
        <f>IF(ISBLANK(input_flt_custom_network_ops_nodeb_fqdn),"Value Missing",input_flt_custom_network_ops_nodeb_fqdn)</f>
        <v>Value Missing</v>
      </c>
    </row>
    <row r="300" spans="8:12" ht="20" customHeight="1" x14ac:dyDescent="0.2">
      <c r="H300" s="22" t="s">
        <v>2444</v>
      </c>
      <c r="I300" s="337" t="str">
        <f>IF(ISBLANK(input_cluster_az2_host9_fqdn),"Value Missing",input_cluster_az2_host9_fqdn)</f>
        <v>Value Missing</v>
      </c>
      <c r="K300" s="4" t="s">
        <v>2445</v>
      </c>
      <c r="L300" s="337" t="str">
        <f>IF(ISBLANK(input_flt_custom_network_ops_nodec_fqdn),"Value Missing",input_flt_custom_network_ops_nodec_fqdn)</f>
        <v>Value Missing</v>
      </c>
    </row>
    <row r="301" spans="8:12" ht="20" customHeight="1" x14ac:dyDescent="0.2">
      <c r="H301" s="22" t="s">
        <v>2446</v>
      </c>
      <c r="I301" s="337" t="str">
        <f>IF(ISBLANK(input_cluster_az2_host10_fqdn),"Value Missing",input_cluster_az2_host10_fqdn)</f>
        <v>Value Missing</v>
      </c>
      <c r="K301" s="17" t="s">
        <v>2447</v>
      </c>
      <c r="L301" s="337" t="str">
        <f>IF(ISBLANK(input_flt_custom_network_ops_vip_ip),"Value Missing",input_flt_custom_network_ops_vip_ip)</f>
        <v>Value Missing</v>
      </c>
    </row>
    <row r="302" spans="8:12" ht="20" customHeight="1" x14ac:dyDescent="0.2">
      <c r="H302" s="22" t="s">
        <v>2448</v>
      </c>
      <c r="I302" s="337" t="str">
        <f>IF(ISBLANK(input_cluster_az2_host11_fqdn),"Value Missing",input_cluster_az2_host11_fqdn)</f>
        <v>Value Missing</v>
      </c>
      <c r="K302" s="17" t="s">
        <v>2449</v>
      </c>
      <c r="L302" s="337" t="str">
        <f>IF(ISBLANK(input_flt_custom_network_ops_nodea_ip),"Value Missing",input_flt_custom_network_ops_nodea_ip)</f>
        <v>Value Missing</v>
      </c>
    </row>
    <row r="303" spans="8:12" ht="20" customHeight="1" x14ac:dyDescent="0.2">
      <c r="H303" s="22" t="s">
        <v>2450</v>
      </c>
      <c r="I303" s="337" t="str">
        <f>IF(ISBLANK(input_cluster_az2_host12_fqdn),"Value Missing",input_cluster_az2_host12_fqdn)</f>
        <v>Value Missing</v>
      </c>
      <c r="K303" s="22" t="s">
        <v>2451</v>
      </c>
      <c r="L303" s="337" t="str">
        <f>IF(ISBLANK(input_flt_custom_network_ops_nodeb_ip),"Value Missing",input_flt_custom_network_ops_nodeb_ip)</f>
        <v>Value Missing</v>
      </c>
    </row>
    <row r="304" spans="8:12" ht="20" customHeight="1" x14ac:dyDescent="0.2">
      <c r="H304" s="22" t="s">
        <v>2452</v>
      </c>
      <c r="I304" s="337" t="str">
        <f>IF(ISBLANK(input_cluster_az2_host13_fqdn),"Value Missing",input_cluster_az2_host13_fqdn)</f>
        <v>Value Missing</v>
      </c>
      <c r="K304" s="22" t="s">
        <v>2453</v>
      </c>
      <c r="L304" s="337" t="str">
        <f>IF(ISBLANK(input_flt_custom_network_ops_nodec_ip),"Value Missing",input_flt_custom_network_ops_nodec_ip)</f>
        <v>Value Missing</v>
      </c>
    </row>
    <row r="305" spans="8:12" ht="20" customHeight="1" x14ac:dyDescent="0.2">
      <c r="H305" s="22" t="s">
        <v>2454</v>
      </c>
      <c r="I305" s="337" t="str">
        <f>IF(ISBLANK(input_cluster_az2_host14_fqdn),"Value Missing",input_cluster_az2_host14_fqdn)</f>
        <v>Value Missing</v>
      </c>
      <c r="K305" s="4" t="s">
        <v>561</v>
      </c>
      <c r="L305" s="337"/>
    </row>
    <row r="306" spans="8:12" ht="20" customHeight="1" x14ac:dyDescent="0.2">
      <c r="H306" s="22" t="s">
        <v>2455</v>
      </c>
      <c r="I306" s="337" t="str">
        <f>IF(ISBLANK(input_cluster_az2_host15_fqdn),"Value Missing",input_cluster_az2_host15_fqdn)</f>
        <v>Value Missing</v>
      </c>
      <c r="K306" s="4" t="s">
        <v>562</v>
      </c>
      <c r="L306" s="337" t="str">
        <f>IF(ISBLANK(input_flt_custom_network_ops_root_password),"Value Missing",input_flt_custom_network_ops_root_password)</f>
        <v>Value Missing</v>
      </c>
    </row>
    <row r="307" spans="8:12" ht="20" customHeight="1" x14ac:dyDescent="0.2">
      <c r="H307" s="22" t="s">
        <v>2456</v>
      </c>
      <c r="I307" s="337" t="str">
        <f>IF(ISBLANK(input_cluster_az2_host16_fqdn),"Value Missing",input_cluster_az2_host16_fqdn)</f>
        <v>Value Missing</v>
      </c>
      <c r="K307" s="4" t="s">
        <v>199</v>
      </c>
      <c r="L307" s="337" t="str">
        <f>IF(ISBLANK(input_flt_custom_network_ops_admin_password),"Value Missing",input_flt_custom_network_ops_admin_password)</f>
        <v>Value Missing</v>
      </c>
    </row>
    <row r="308" spans="8:12" ht="20" customHeight="1" x14ac:dyDescent="0.2">
      <c r="H308" s="22" t="s">
        <v>361</v>
      </c>
      <c r="I308" s="337" t="str">
        <f>IF(ISBLANK(input_cluster_az2_tor1_peer_asn),"Value Missing",input_cluster_az2_tor1_peer_asn)</f>
        <v>Value Missing</v>
      </c>
      <c r="K308" s="4" t="s">
        <v>2457</v>
      </c>
      <c r="L308" s="337" t="str">
        <f>IF(ISBLANK(input_flt_custom_network_ops_collector_fqdn),"Value Missing",input_flt_custom_network_ops_collector_fqdn)</f>
        <v>Value Missing</v>
      </c>
    </row>
    <row r="309" spans="8:12" ht="20" customHeight="1" x14ac:dyDescent="0.2">
      <c r="H309" s="22" t="s">
        <v>365</v>
      </c>
      <c r="I309" s="337" t="str">
        <f>IF(ISBLANK(input_cluster_az2_tor1_peer_ip),"Value Missing",input_cluster_az2_tor1_peer_ip)</f>
        <v>Value Missing</v>
      </c>
      <c r="K309" s="4" t="s">
        <v>283</v>
      </c>
      <c r="L309" s="337" t="str">
        <f>IF(ISBLANK(input_flt_custom_network_ops_collector_ip),"Value Missing",input_flt_custom_network_ops_collector_ip)</f>
        <v>Value Missing</v>
      </c>
    </row>
    <row r="310" spans="8:12" ht="20" customHeight="1" x14ac:dyDescent="0.2">
      <c r="H310" s="22" t="s">
        <v>366</v>
      </c>
      <c r="I310" s="337" t="str">
        <f>IF(ISBLANK(input_cluster_az2_tor2_peer_asn),"Value Missing",input_cluster_az2_tor2_peer_asn)</f>
        <v>Value Missing</v>
      </c>
      <c r="K310" s="4" t="s">
        <v>195</v>
      </c>
      <c r="L310" s="337" t="str">
        <f>IF(ISBLANK(input_flt_custom_network_ops_collector_version),"Value Missing",input_flt_custom_network_ops_collector_version)</f>
        <v>Value Missing</v>
      </c>
    </row>
    <row r="311" spans="8:12" ht="20" customHeight="1" x14ac:dyDescent="0.2">
      <c r="I311" s="337" t="str">
        <f>IF(ISBLANK(input_cluster_az2_tor2_peer_ip),"Value Missing",input_cluster_az2_tor2_peer_ip)</f>
        <v>Value Missing</v>
      </c>
      <c r="K311" s="4" t="s">
        <v>561</v>
      </c>
      <c r="L311" s="337"/>
    </row>
    <row r="312" spans="8:12" ht="20" customHeight="1" x14ac:dyDescent="0.2">
      <c r="I312" s="337" t="str">
        <f>IF(ISBLANK(input_cluster_host_overlay_transportzone),"Value Missing",input_cluster_host_overlay_transportzone)</f>
        <v>Value Missing</v>
      </c>
      <c r="K312" s="4" t="s">
        <v>562</v>
      </c>
      <c r="L312" s="337" t="str">
        <f>IF(ISBLANK(input_flt_custom_network_ops_collector_root_password),"Value Missing",input_flt_custom_network_ops_collector_root_password)</f>
        <v>Value Missing</v>
      </c>
    </row>
    <row r="313" spans="8:12" ht="20" customHeight="1" x14ac:dyDescent="0.2">
      <c r="K313" s="4" t="s">
        <v>2458</v>
      </c>
      <c r="L313" s="337" t="str">
        <f>IF(ISBLANK(input_flt_custom_network_auto_vip_fqdn),"Value Missing",input_flt_custom_network_auto_vip_fqdn)</f>
        <v>Value Missing</v>
      </c>
    </row>
    <row r="314" spans="8:12" ht="20" customHeight="1" x14ac:dyDescent="0.2">
      <c r="K314" s="4" t="s">
        <v>566</v>
      </c>
      <c r="L314" s="337" t="str">
        <f>IF(ISBLANK(input_flt_custom_network_auto_prefix),"Value Missing",input_flt_custom_network_auto_prefix)</f>
        <v>Value Missing</v>
      </c>
    </row>
    <row r="315" spans="8:12" ht="20" customHeight="1" x14ac:dyDescent="0.2">
      <c r="K315" s="4" t="s">
        <v>283</v>
      </c>
      <c r="L315" s="337" t="str">
        <f>IF(ISBLANK(input_flt_custom_network_auto_vip_ip),"Value Missing",input_flt_custom_network_auto_vip_ip)</f>
        <v>Value Missing</v>
      </c>
    </row>
    <row r="316" spans="8:12" ht="20" customHeight="1" x14ac:dyDescent="0.2">
      <c r="K316" s="4" t="s">
        <v>568</v>
      </c>
      <c r="L316" s="337" t="str">
        <f>IF(ISBLANK(input_flt_custom_network_auto_nodea_ip),"Value Missing",input_flt_custom_network_auto_nodea_ip)</f>
        <v>Value Missing</v>
      </c>
    </row>
    <row r="317" spans="8:12" ht="20" customHeight="1" x14ac:dyDescent="0.2">
      <c r="K317" s="4" t="s">
        <v>570</v>
      </c>
      <c r="L317" s="337" t="str">
        <f>IF(ISBLANK(input_flt_custom_network_auto_nodeb_ip),"Value Missing",input_flt_custom_network_auto_nodeb_ip)</f>
        <v>Value Missing</v>
      </c>
    </row>
    <row r="318" spans="8:12" ht="20" customHeight="1" x14ac:dyDescent="0.2">
      <c r="K318" s="4" t="s">
        <v>571</v>
      </c>
      <c r="L318" s="337" t="str">
        <f>IF(ISBLANK(input_flt_custom_network_auto_nodec_ip),"Value Missing",input_flt_custom_network_auto_nodec_ip)</f>
        <v>Value Missing</v>
      </c>
    </row>
    <row r="319" spans="8:12" ht="20" customHeight="1" x14ac:dyDescent="0.2">
      <c r="K319" s="4" t="s">
        <v>572</v>
      </c>
      <c r="L319" s="337" t="str">
        <f>IF(ISBLANK(input_flt_custom_network_auto_noded_ip),"Value Missing",input_flt_custom_network_auto_noded_ip)</f>
        <v>Value Missing</v>
      </c>
    </row>
    <row r="320" spans="8:12" ht="20" customHeight="1" x14ac:dyDescent="0.2">
      <c r="K320" s="4" t="s">
        <v>573</v>
      </c>
      <c r="L320" s="337" t="str">
        <f>IF(ISBLANK(flt_custom_network_auto_cluster_cidr_chosen),"Value Missing",flt_custom_network_auto_cluster_cidr_chosen)</f>
        <v>198.18.0.0/15</v>
      </c>
    </row>
    <row r="321" spans="11:12" ht="20" customHeight="1" x14ac:dyDescent="0.2">
      <c r="K321" s="4" t="s">
        <v>550</v>
      </c>
      <c r="L321" s="337" t="str">
        <f>IF(ISBLANK(input_flt_custom_network_auto_admin_password),"Value Missing",input_flt_custom_network_auto_admin_password)</f>
        <v>Value Missing</v>
      </c>
    </row>
    <row r="322" spans="11:12" ht="20" customHeight="1" x14ac:dyDescent="0.2">
      <c r="K322" s="4" t="s">
        <v>2459</v>
      </c>
      <c r="L322" s="337" t="str">
        <f>IF(ISBLANK(input_flt_custom_network_x_reg_pg),"Value Missing",input_flt_custom_network_x_reg_pg)</f>
        <v>Value Missing</v>
      </c>
    </row>
    <row r="323" spans="11:12" ht="20" customHeight="1" x14ac:dyDescent="0.2">
      <c r="K323" s="4" t="s">
        <v>2460</v>
      </c>
      <c r="L323" s="337" t="str">
        <f>IF(ISBLANK(input_flt_custom_network_x_reg_mask),"Value Missing",input_flt_custom_network_x_reg_mask)</f>
        <v>Value Missing</v>
      </c>
    </row>
    <row r="324" spans="11:12" ht="20" customHeight="1" x14ac:dyDescent="0.2">
      <c r="K324" s="4" t="s">
        <v>2461</v>
      </c>
      <c r="L324" s="337" t="str">
        <f>IF(ISBLANK(input_flt_custom_network_x_reg_gateway_ip),"Value Missing",input_flt_custom_network_x_reg_gateway_ip)</f>
        <v>Value Missing</v>
      </c>
    </row>
    <row r="325" spans="11:12" ht="20" customHeight="1" x14ac:dyDescent="0.2">
      <c r="K325" s="4" t="s">
        <v>2462</v>
      </c>
      <c r="L325" s="337" t="str">
        <f>IF(ISBLANK(input_flt_custom_network_local_reg_pg),"Value Missing",input_flt_custom_network_local_reg_pg)</f>
        <v>Value Missing</v>
      </c>
    </row>
    <row r="326" spans="11:12" ht="20" customHeight="1" x14ac:dyDescent="0.2">
      <c r="K326" s="4" t="s">
        <v>2463</v>
      </c>
      <c r="L326" s="337" t="str">
        <f>IF(ISBLANK(input_flt_custom_network_local_reg_mask),"Value Missing",input_flt_custom_network_local_reg_mask)</f>
        <v>Value Missing</v>
      </c>
    </row>
    <row r="327" spans="11:12" ht="20" customHeight="1" x14ac:dyDescent="0.2">
      <c r="K327" s="4" t="s">
        <v>2464</v>
      </c>
      <c r="L327" s="337" t="str">
        <f>IF(ISBLANK(input_flt_custom_network_local_reg_gateway_ip),"Value Missing",input_flt_custom_network_local_reg_gateway_ip)</f>
        <v>Value Missing</v>
      </c>
    </row>
    <row r="328" spans="11:12" ht="20" customHeight="1" x14ac:dyDescent="0.2">
      <c r="K328" s="391" t="s">
        <v>2465</v>
      </c>
      <c r="L328" s="391"/>
    </row>
    <row r="329" spans="11:12" ht="20" customHeight="1" x14ac:dyDescent="0.2">
      <c r="K329" s="336" t="s">
        <v>261</v>
      </c>
      <c r="L329" s="184" t="s">
        <v>19</v>
      </c>
    </row>
    <row r="330" spans="11:12" ht="20" customHeight="1" x14ac:dyDescent="0.2">
      <c r="K330" s="4" t="s">
        <v>578</v>
      </c>
      <c r="L330" s="337" t="str">
        <f>IF(ISBLANK(vcf_automation_type_chosen),"Value Missing",vcf_automation_type_chosen)</f>
        <v>New Install</v>
      </c>
    </row>
    <row r="331" spans="11:12" ht="20" customHeight="1" x14ac:dyDescent="0.2">
      <c r="K331" s="4" t="s">
        <v>195</v>
      </c>
      <c r="L331" s="337" t="str">
        <f>IF(ISBLANK(input_vcf_automation_version),"Value Missing",input_vcf_automation_version)</f>
        <v>Value Missing</v>
      </c>
    </row>
    <row r="332" spans="11:12" ht="20" customHeight="1" x14ac:dyDescent="0.2">
      <c r="K332" s="4" t="s">
        <v>537</v>
      </c>
      <c r="L332" s="337" t="str">
        <f>IF(ISBLANK(vcf_automation_size_chosen),"Value Missing",vcf_automation_size_chosen)</f>
        <v>Small</v>
      </c>
    </row>
    <row r="333" spans="11:12" ht="20" customHeight="1" x14ac:dyDescent="0.2">
      <c r="K333" s="4" t="s">
        <v>583</v>
      </c>
      <c r="L333" s="337" t="str">
        <f>IF(ISBLANK(vcf_automation_cert_type_chosen),"Value Missing",vcf_automation_cert_type_chosen)</f>
        <v>Generate Certificate</v>
      </c>
    </row>
    <row r="334" spans="11:12" ht="20" customHeight="1" x14ac:dyDescent="0.2">
      <c r="K334" s="4" t="s">
        <v>585</v>
      </c>
      <c r="L334" s="337" t="str">
        <f>IF(ISBLANK(input_vcf_automation_cert_alias),"Value Missing",input_vcf_automation_cert_alias)</f>
        <v>Value Missing</v>
      </c>
    </row>
    <row r="335" spans="11:12" ht="20" customHeight="1" x14ac:dyDescent="0.2">
      <c r="K335" s="4" t="s">
        <v>586</v>
      </c>
      <c r="L335" s="337" t="str">
        <f>IF(ISBLANK(input_vcf_automation_cert_file),"Value Missing",input_vcf_automation_cert_file)</f>
        <v>Value Missing</v>
      </c>
    </row>
    <row r="336" spans="11:12" ht="20" customHeight="1" x14ac:dyDescent="0.2">
      <c r="K336" s="4" t="s">
        <v>587</v>
      </c>
      <c r="L336" s="337" t="str">
        <f>IF(ISBLANK(input_vcf_automation_cert_common_name),"Value Missing",input_vcf_automation_cert_common_name)</f>
        <v>Value Missing</v>
      </c>
    </row>
    <row r="337" spans="11:12" ht="20" customHeight="1" x14ac:dyDescent="0.2">
      <c r="K337" s="4" t="s">
        <v>588</v>
      </c>
      <c r="L337" s="337" t="str">
        <f>IF(ISBLANK(input_vcf_automation_cert_organisation),"Value Missing",input_vcf_automation_cert_organisation)</f>
        <v>Value Missing</v>
      </c>
    </row>
    <row r="338" spans="11:12" ht="20" customHeight="1" x14ac:dyDescent="0.2">
      <c r="K338" s="4" t="s">
        <v>589</v>
      </c>
      <c r="L338" s="337" t="str">
        <f>IF(ISBLANK(input_vcf_automation_ou_cert),"Value Missing",input_vcf_automation_ou_cert)</f>
        <v>Value Missing</v>
      </c>
    </row>
    <row r="339" spans="11:12" ht="20" customHeight="1" x14ac:dyDescent="0.2">
      <c r="K339" s="4" t="s">
        <v>590</v>
      </c>
      <c r="L339" s="337" t="str">
        <f>IF(ISBLANK(input_vcf_automation_cert_country_code),"Value Missing",input_vcf_automation_cert_country_code)</f>
        <v>Value Missing</v>
      </c>
    </row>
    <row r="340" spans="11:12" ht="20" customHeight="1" x14ac:dyDescent="0.2">
      <c r="K340" s="4" t="s">
        <v>591</v>
      </c>
      <c r="L340" s="337" t="str">
        <f>IF(ISBLANK(input_vcf_automation_cert_locality),"Value Missing",input_vcf_automation_cert_locality)</f>
        <v>Value Missing</v>
      </c>
    </row>
    <row r="341" spans="11:12" ht="20" customHeight="1" x14ac:dyDescent="0.2">
      <c r="K341" s="4" t="s">
        <v>592</v>
      </c>
      <c r="L341" s="337" t="str">
        <f>IF(ISBLANK(input_vcf_automation_cert_state),"Value Missing",input_vcf_automation_cert_state)</f>
        <v>Value Missing</v>
      </c>
    </row>
    <row r="342" spans="11:12" ht="20" customHeight="1" x14ac:dyDescent="0.2">
      <c r="K342" s="4" t="s">
        <v>593</v>
      </c>
      <c r="L342" s="337" t="str">
        <f>IF(ISBLANK(vcf_automation_cert_key_length_chosen),"Value Missing",vcf_automation_cert_key_length_chosen)</f>
        <v>4096</v>
      </c>
    </row>
    <row r="343" spans="11:12" ht="20" customHeight="1" x14ac:dyDescent="0.2">
      <c r="K343" s="4" t="s">
        <v>595</v>
      </c>
      <c r="L343" s="337" t="str">
        <f>IF(ISBLANK(input_vcf_automation_vip_fqdn),"Value Missing",input_vcf_automation_vip_fqdn)</f>
        <v>Value Missing</v>
      </c>
    </row>
    <row r="344" spans="11:12" ht="20" customHeight="1" x14ac:dyDescent="0.2">
      <c r="K344" s="17" t="s">
        <v>283</v>
      </c>
      <c r="L344" s="337" t="str">
        <f>IF(ISBLANK(input_vcf_automation_vip_ip),"Value Missing",input_vcf_automation_vip_ip)</f>
        <v>Value Missing</v>
      </c>
    </row>
    <row r="345" spans="11:12" ht="20" customHeight="1" x14ac:dyDescent="0.2">
      <c r="K345" s="22" t="s">
        <v>568</v>
      </c>
      <c r="L345" s="337" t="str">
        <f>IF(ISBLANK(input_vcf_automation_nodea_ip),"Value Missing",input_vcf_automation_nodea_ip)</f>
        <v>Value Missing</v>
      </c>
    </row>
    <row r="346" spans="11:12" ht="20" customHeight="1" x14ac:dyDescent="0.2">
      <c r="K346" s="22" t="s">
        <v>570</v>
      </c>
      <c r="L346" s="337" t="str">
        <f>IF(ISBLANK(input_vcf_automation_nodeb_ip),"Value Missing",input_vcf_automation_nodeb_ip)</f>
        <v>Value Missing</v>
      </c>
    </row>
    <row r="347" spans="11:12" ht="20" customHeight="1" x14ac:dyDescent="0.2">
      <c r="K347" s="22" t="s">
        <v>571</v>
      </c>
      <c r="L347" s="337" t="str">
        <f>IF(ISBLANK(input_vcf_automation_nodec_ip),"Value Missing",input_vcf_automation_nodec_ip)</f>
        <v>Value Missing</v>
      </c>
    </row>
    <row r="348" spans="11:12" ht="20" customHeight="1" x14ac:dyDescent="0.2">
      <c r="K348" s="22" t="s">
        <v>572</v>
      </c>
      <c r="L348" s="337" t="str">
        <f>IF(ISBLANK(input_vcf_automation_noded_ip),"Value Missing",input_vcf_automation_noded_ip)</f>
        <v>Value Missing</v>
      </c>
    </row>
    <row r="349" spans="11:12" ht="20" customHeight="1" x14ac:dyDescent="0.2">
      <c r="K349" s="4" t="s">
        <v>601</v>
      </c>
      <c r="L349" s="337" t="str">
        <f>IF(ISBLANK(input_vcf_automation_folder),"Value Missing",input_vcf_automation_folder)</f>
        <v>Value Missing</v>
      </c>
    </row>
    <row r="350" spans="11:12" ht="20" customHeight="1" x14ac:dyDescent="0.2">
      <c r="K350" s="4" t="s">
        <v>603</v>
      </c>
      <c r="L350" s="337" t="str">
        <f>IF(ISBLANK(input_vcf_automation_resource_pool),"Value Missing",input_vcf_automation_resource_pool)</f>
        <v>Value Missing</v>
      </c>
    </row>
    <row r="351" spans="11:12" ht="20" customHeight="1" x14ac:dyDescent="0.2">
      <c r="K351" s="4" t="s">
        <v>2466</v>
      </c>
      <c r="L351" s="337" t="str">
        <f>IF(ISBLANK(input_vcf_automation_mask),"Value Missing",input_vcf_automation_mask)</f>
        <v>Value Missing</v>
      </c>
    </row>
    <row r="352" spans="11:12" ht="20" customHeight="1" x14ac:dyDescent="0.2">
      <c r="K352" s="4" t="s">
        <v>2351</v>
      </c>
      <c r="L352" s="337" t="str">
        <f>IF(ISBLANK(input_vcf_automation_gateway_ip),"Value Missing",input_vcf_automation_gateway_ip)</f>
        <v>Value Missing</v>
      </c>
    </row>
    <row r="353" spans="11:12" ht="20" customHeight="1" x14ac:dyDescent="0.2">
      <c r="K353" s="4" t="s">
        <v>2467</v>
      </c>
      <c r="L353" s="337" t="str">
        <f>IF(ISBLANK(input_vcf_automation_portgroup),"Value Missing",input_vcf_automation_portgroup)</f>
        <v>Value Missing</v>
      </c>
    </row>
    <row r="354" spans="11:12" ht="20" customHeight="1" x14ac:dyDescent="0.2">
      <c r="K354" s="17" t="s">
        <v>706</v>
      </c>
      <c r="L354" s="337" t="str">
        <f>IF(ISBLANK(input_vcf_automation_admin_password_alias),"Value Missing",input_vcf_automation_admin_password_alias)</f>
        <v>Value Missing</v>
      </c>
    </row>
    <row r="355" spans="11:12" ht="20" customHeight="1" x14ac:dyDescent="0.2">
      <c r="K355" s="22" t="s">
        <v>199</v>
      </c>
      <c r="L355" s="337" t="str">
        <f>IF(ISBLANK(input_vcf_automation_admin_password),"Value Missing",input_vcf_automation_admin_password)</f>
        <v>Value Missing</v>
      </c>
    </row>
    <row r="356" spans="11:12" ht="20" customHeight="1" x14ac:dyDescent="0.2">
      <c r="K356" s="22" t="s">
        <v>707</v>
      </c>
      <c r="L356" s="337" t="str">
        <f>IF(ISBLANK(input_vcf_automation_admin_password_description),"Value Missing",input_vcf_automation_admin_password_description)</f>
        <v>Value Missing</v>
      </c>
    </row>
    <row r="357" spans="11:12" ht="20" customHeight="1" x14ac:dyDescent="0.2">
      <c r="K357" s="22" t="s">
        <v>709</v>
      </c>
      <c r="L357" s="337" t="str">
        <f>IF(ISBLANK(input_vcf_automation_admin_username),"Value Missing",input_vcf_automation_admin_username)</f>
        <v>Value Missing</v>
      </c>
    </row>
    <row r="358" spans="11:12" ht="20" customHeight="1" x14ac:dyDescent="0.2">
      <c r="K358" s="4" t="s">
        <v>2468</v>
      </c>
      <c r="L358" s="337" t="str">
        <f>IF(ISBLANK(input_vcf_automation_root_password_alias),"Value Missing",input_vcf_automation_root_password_alias)</f>
        <v>Value Missing</v>
      </c>
    </row>
    <row r="359" spans="11:12" ht="20" customHeight="1" x14ac:dyDescent="0.2">
      <c r="K359" s="4" t="s">
        <v>29</v>
      </c>
      <c r="L359" s="337" t="str">
        <f>IF(ISBLANK(input_vcf_automation_root_password),"Value Missing",input_vcf_automation_root_password)</f>
        <v>Value Missing</v>
      </c>
    </row>
    <row r="360" spans="11:12" ht="20" customHeight="1" x14ac:dyDescent="0.2">
      <c r="K360" s="4" t="s">
        <v>2469</v>
      </c>
      <c r="L360" s="337" t="str">
        <f>IF(ISBLANK(input_vcf_automation_root_password_description),"Value Missing",input_vcf_automation_root_password_description)</f>
        <v>Value Missing</v>
      </c>
    </row>
    <row r="361" spans="11:12" ht="20" customHeight="1" x14ac:dyDescent="0.2">
      <c r="K361" s="4" t="s">
        <v>27</v>
      </c>
      <c r="L361" s="337" t="str">
        <f>IF(ISBLANK(input_vcf_automation_root_username),"Value Missing",input_vcf_automation_root_username)</f>
        <v>Value Missing</v>
      </c>
    </row>
    <row r="362" spans="11:12" ht="20" customHeight="1" x14ac:dyDescent="0.2">
      <c r="K362" s="22" t="s">
        <v>625</v>
      </c>
      <c r="L362" s="337" t="str">
        <f>IF(ISBLANK(vcf_automation_lb_type_chosen),"Value Missing",vcf_automation_lb_type_chosen)</f>
        <v>Internal Load Balancer</v>
      </c>
    </row>
    <row r="363" spans="11:12" ht="20" customHeight="1" x14ac:dyDescent="0.2">
      <c r="K363" s="22" t="s">
        <v>566</v>
      </c>
      <c r="L363" s="337" t="str">
        <f>IF(ISBLANK(vcf_automation_node_prefix_chosen),"Value Missing",vcf_automation_node_prefix_chosen)</f>
        <v>flt-auto</v>
      </c>
    </row>
    <row r="364" spans="11:12" ht="20" customHeight="1" x14ac:dyDescent="0.2">
      <c r="K364" s="22" t="s">
        <v>629</v>
      </c>
      <c r="L364" s="337" t="str">
        <f>IF(ISBLANK(vcf_automation_internal_cidr_chosen),"Value Missing",vcf_automation_internal_cidr_chosen)</f>
        <v>192.18.0.0/15</v>
      </c>
    </row>
    <row r="365" spans="11:12" ht="20" customHeight="1" x14ac:dyDescent="0.2">
      <c r="K365" s="22" t="s">
        <v>631</v>
      </c>
      <c r="L365" s="337" t="str">
        <f>IF(ISBLANK(input_vcf_automation_additional_vips),"Value Missing",input_vcf_automation_additional_vips)</f>
        <v>Value Missing</v>
      </c>
    </row>
  </sheetData>
  <sheetProtection algorithmName="SHA-512" hashValue="IvsPVGKTj10/RiAQYI5AYPs8hpa5t46y7s5eevVeCFXZR8w71Ama7Ok77nphZ5F5dt3Wn+ocKSCaeIxh+0HI2w==" saltValue="YaLUu/regKuFTZlOnYzCog==" spinCount="100000" sheet="1" objects="1" scenarios="1"/>
  <mergeCells count="49">
    <mergeCell ref="AC6:AE6"/>
    <mergeCell ref="E28:F28"/>
    <mergeCell ref="Z56:AA56"/>
    <mergeCell ref="Z34:AA34"/>
    <mergeCell ref="W11:X11"/>
    <mergeCell ref="T6:U6"/>
    <mergeCell ref="T42:U42"/>
    <mergeCell ref="Q46:R46"/>
    <mergeCell ref="Q14:R14"/>
    <mergeCell ref="Q10:R10"/>
    <mergeCell ref="Q6:R6"/>
    <mergeCell ref="Q50:R50"/>
    <mergeCell ref="Q36:R36"/>
    <mergeCell ref="Q27:R27"/>
    <mergeCell ref="H11:I11"/>
    <mergeCell ref="H34:I34"/>
    <mergeCell ref="B88:C88"/>
    <mergeCell ref="B116:C116"/>
    <mergeCell ref="Q75:R75"/>
    <mergeCell ref="Q83:R83"/>
    <mergeCell ref="K109:L109"/>
    <mergeCell ref="Q91:R91"/>
    <mergeCell ref="E66:F66"/>
    <mergeCell ref="K64:L64"/>
    <mergeCell ref="B35:C35"/>
    <mergeCell ref="E41:F41"/>
    <mergeCell ref="B74:C74"/>
    <mergeCell ref="H52:I52"/>
    <mergeCell ref="K166:L166"/>
    <mergeCell ref="K162:L162"/>
    <mergeCell ref="H43:I43"/>
    <mergeCell ref="N92:O92"/>
    <mergeCell ref="V2:Z2"/>
    <mergeCell ref="Q3:Z3"/>
    <mergeCell ref="W6:X6"/>
    <mergeCell ref="K6:L6"/>
    <mergeCell ref="Q2:R2"/>
    <mergeCell ref="Q30:R30"/>
    <mergeCell ref="Q33:R33"/>
    <mergeCell ref="T125:U125"/>
    <mergeCell ref="T155:U155"/>
    <mergeCell ref="T50:U50"/>
    <mergeCell ref="H16:I16"/>
    <mergeCell ref="H25:I25"/>
    <mergeCell ref="H248:I248"/>
    <mergeCell ref="H240:I240"/>
    <mergeCell ref="H231:I231"/>
    <mergeCell ref="H222:I222"/>
    <mergeCell ref="T190:U190"/>
  </mergeCells>
  <phoneticPr fontId="9" type="noConversion"/>
  <conditionalFormatting sqref="C7:C10 L39:L40">
    <cfRule type="notContainsBlanks" dxfId="1202" priority="399">
      <formula>LEN(TRIM(C7))&gt;0</formula>
    </cfRule>
    <cfRule type="containsBlanks" dxfId="1201" priority="400">
      <formula>LEN(TRIM(C7))=0</formula>
    </cfRule>
    <cfRule type="expression" dxfId="1200" priority="401">
      <formula>(VROPS_Result="Excluded")</formula>
    </cfRule>
    <cfRule type="expression" dxfId="1199" priority="397">
      <formula>mgmt_domain_existing_vcf_operations_chosen="Selected"</formula>
    </cfRule>
  </conditionalFormatting>
  <conditionalFormatting sqref="C14:C33 C92:C97 C99:C104 C106:C111 C118:C124 C147:C188 I178:I197 L183:L224 L288:L327">
    <cfRule type="expression" dxfId="1198" priority="408">
      <formula>mgmt_domain_existing_vcf_operations_chosen="Selected"</formula>
    </cfRule>
  </conditionalFormatting>
  <conditionalFormatting sqref="C14:C33 I71:I125 C92:C97 O93:O130 C99:C104 C106:C111 C118:C124 C128:C135 I178:I197 L183:L224 I201:I221 I223:I230 I232:I239 I241:I247 L288:L327">
    <cfRule type="notContainsBlanks" dxfId="1196" priority="935">
      <formula>LEN(TRIM(C14))&gt;0</formula>
    </cfRule>
    <cfRule type="containsBlanks" dxfId="1195" priority="936">
      <formula>LEN(TRIM(C14))=0</formula>
    </cfRule>
  </conditionalFormatting>
  <conditionalFormatting sqref="C37:C48">
    <cfRule type="expression" dxfId="1192" priority="929">
      <formula>AND((VRLI_Result="Excluded"),(VROPS_Result="Excluded"),(VRA_Result="Excluded"))</formula>
    </cfRule>
  </conditionalFormatting>
  <conditionalFormatting sqref="C37:C49 L167:L179">
    <cfRule type="expression" dxfId="1186" priority="625">
      <formula>(VROPS_Result="Excluded")</formula>
    </cfRule>
    <cfRule type="containsBlanks" dxfId="1185" priority="624">
      <formula>LEN(TRIM(C37))=0</formula>
    </cfRule>
    <cfRule type="notContainsBlanks" dxfId="1184" priority="623">
      <formula>LEN(TRIM(C37))&gt;0</formula>
    </cfRule>
  </conditionalFormatting>
  <conditionalFormatting sqref="C49">
    <cfRule type="expression" dxfId="1180" priority="630">
      <formula>AND((VRLI_Result="Excluded"),(VROPS_Result="Excluded"),(VRA_Result="Excluded"))</formula>
    </cfRule>
  </conditionalFormatting>
  <conditionalFormatting sqref="C53:C67 C138:C143">
    <cfRule type="expression" dxfId="1176" priority="916">
      <formula>AND((VRLI_Result="Excluded"),(VROPS_Result="Excluded"),(VRA_Result="Excluded"))</formula>
    </cfRule>
    <cfRule type="expression" dxfId="1171" priority="911">
      <formula>(VROPS_Result="Excluded")</formula>
    </cfRule>
    <cfRule type="containsBlanks" dxfId="1170" priority="910">
      <formula>LEN(TRIM(C53))=0</formula>
    </cfRule>
    <cfRule type="notContainsBlanks" dxfId="1169" priority="909">
      <formula>LEN(TRIM(C53))&gt;0</formula>
    </cfRule>
  </conditionalFormatting>
  <conditionalFormatting sqref="C71:C72 F125:F126">
    <cfRule type="expression" dxfId="1163" priority="875">
      <formula>AND((VRLI_Result="Excluded"),(VROPS_Result="Excluded"),(VRA_Result="Excluded"))</formula>
    </cfRule>
  </conditionalFormatting>
  <conditionalFormatting sqref="C71:C72">
    <cfRule type="notContainsBlanks" dxfId="1162" priority="868">
      <formula>LEN(TRIM(C71))&gt;0</formula>
    </cfRule>
    <cfRule type="expression" dxfId="1160" priority="866">
      <formula>mgmt_domain_existing_vcf_operations_chosen="Selected"</formula>
    </cfRule>
    <cfRule type="containsBlanks" dxfId="1157" priority="869">
      <formula>LEN(TRIM(C71))=0</formula>
    </cfRule>
    <cfRule type="expression" dxfId="1156" priority="870">
      <formula>(VROPS_Result="Excluded")</formula>
    </cfRule>
  </conditionalFormatting>
  <conditionalFormatting sqref="C76:C85">
    <cfRule type="expression" dxfId="1154" priority="903">
      <formula>AND((VRLI_Result="Excluded"),(VROPS_Result="Excluded"),(VRA_Result="Excluded"))</formula>
    </cfRule>
  </conditionalFormatting>
  <conditionalFormatting sqref="C76:C86">
    <cfRule type="containsBlanks" dxfId="1150" priority="732">
      <formula>LEN(TRIM(C76))=0</formula>
    </cfRule>
    <cfRule type="expression" dxfId="1146" priority="729">
      <formula>mgmt_domain_existing_vcf_operations_chosen="Selected"</formula>
    </cfRule>
    <cfRule type="expression" dxfId="1145" priority="733">
      <formula>(VROPS_Result="Excluded")</formula>
    </cfRule>
    <cfRule type="notContainsBlanks" dxfId="1144" priority="731">
      <formula>LEN(TRIM(C76))&gt;0</formula>
    </cfRule>
  </conditionalFormatting>
  <conditionalFormatting sqref="C86">
    <cfRule type="expression" dxfId="1142" priority="738">
      <formula>AND((VRLI_Result="Excluded"),(VROPS_Result="Excluded"),(VRA_Result="Excluded"))</formula>
    </cfRule>
  </conditionalFormatting>
  <conditionalFormatting sqref="C90 F96:F102 C114">
    <cfRule type="expression" dxfId="1137" priority="709">
      <formula>(VROPS_Result="Excluded")</formula>
    </cfRule>
    <cfRule type="expression" dxfId="1135" priority="705">
      <formula>mgmt_domain_existing_vcf_operations_chosen="Selected"</formula>
    </cfRule>
    <cfRule type="notContainsBlanks" dxfId="1132" priority="707">
      <formula>LEN(TRIM(C90))&gt;0</formula>
    </cfRule>
    <cfRule type="containsBlanks" dxfId="1131" priority="708">
      <formula>LEN(TRIM(C90))=0</formula>
    </cfRule>
  </conditionalFormatting>
  <conditionalFormatting sqref="C136:C137">
    <cfRule type="expression" dxfId="1130" priority="745">
      <formula>(mgmt_dpg_reuse_result="Excluded")</formula>
    </cfRule>
    <cfRule type="expression" dxfId="1129" priority="744">
      <formula>(mgmt_dpg_reuse_result="Included")</formula>
    </cfRule>
    <cfRule type="expression" dxfId="1128" priority="743">
      <formula>(mgmt_dpg_reuse_chosen="Exclude")</formula>
    </cfRule>
    <cfRule type="expression" dxfId="1127" priority="742">
      <formula>(vcf_version_result="Excluded")</formula>
    </cfRule>
    <cfRule type="expression" dxfId="1126" priority="741">
      <formula>vcf_granular_option_chosen&lt;&gt;"Full Instance"</formula>
    </cfRule>
  </conditionalFormatting>
  <conditionalFormatting sqref="C138:C143 I71:I125 C53:C67 O93:O130 C128:C135 I201:I221 I223:I230 I232:I239 I241:I247">
    <cfRule type="expression" dxfId="1125" priority="907">
      <formula>mgmt_domain_existing_vcf_operations_chosen="Selected"</formula>
    </cfRule>
  </conditionalFormatting>
  <conditionalFormatting sqref="C138:C143">
    <cfRule type="notContainsBlanks" dxfId="1124" priority="507">
      <formula>LEN(TRIM(C138))&gt;0</formula>
    </cfRule>
  </conditionalFormatting>
  <conditionalFormatting sqref="C197:C202">
    <cfRule type="expression" dxfId="1119" priority="834">
      <formula>(VROPS_Result="Excluded")</formula>
    </cfRule>
    <cfRule type="expression" dxfId="1116" priority="830">
      <formula>mgmt_domain_existing_vcf_operations_chosen="Selected"</formula>
    </cfRule>
    <cfRule type="expression" dxfId="1114" priority="839">
      <formula>AND((VRLI_Result="Excluded"),(VROPS_Result="Excluded"),(VRA_Result="Excluded"))</formula>
    </cfRule>
    <cfRule type="containsBlanks" dxfId="1110" priority="833">
      <formula>LEN(TRIM(C197))=0</formula>
    </cfRule>
    <cfRule type="notContainsBlanks" dxfId="1109" priority="832">
      <formula>LEN(TRIM(C197))&gt;0</formula>
    </cfRule>
  </conditionalFormatting>
  <conditionalFormatting sqref="C215:C218">
    <cfRule type="expression" dxfId="1105" priority="195">
      <formula>AND((VRLI_Result="Excluded"),(VROPS_Result="Excluded"),(VRA_Result="Excluded"))</formula>
    </cfRule>
    <cfRule type="expression" dxfId="1104" priority="186">
      <formula>mgmt_domain_existing_vcf_operations_chosen="Selected"</formula>
    </cfRule>
    <cfRule type="notContainsBlanks" dxfId="1102" priority="188">
      <formula>LEN(TRIM(C215))&gt;0</formula>
    </cfRule>
    <cfRule type="containsBlanks" dxfId="1101" priority="189">
      <formula>LEN(TRIM(C215))=0</formula>
    </cfRule>
    <cfRule type="expression" dxfId="1100" priority="190">
      <formula>(VROPS_Result="Excluded")</formula>
    </cfRule>
  </conditionalFormatting>
  <conditionalFormatting sqref="C222:C230">
    <cfRule type="containsBlanks" dxfId="1099" priority="496">
      <formula>LEN(TRIM(C222))=0</formula>
    </cfRule>
    <cfRule type="expression" dxfId="1097" priority="493">
      <formula>mgmt_domain_existing_vcf_operations_chosen="Selected"</formula>
    </cfRule>
    <cfRule type="notContainsBlanks" dxfId="1096" priority="495">
      <formula>LEN(TRIM(C222))&gt;0</formula>
    </cfRule>
  </conditionalFormatting>
  <conditionalFormatting sqref="E10:F10">
    <cfRule type="expression" dxfId="1095" priority="342">
      <formula>(vcf_version_result="Excluded")</formula>
    </cfRule>
    <cfRule type="expression" dxfId="1094" priority="343">
      <formula>wld_multirack_result="Excluded"</formula>
    </cfRule>
    <cfRule type="expression" dxfId="1093" priority="341">
      <formula>AND((wld_multirack_calc="Include"),(wld_multirack_result="Excluded"))</formula>
    </cfRule>
    <cfRule type="expression" dxfId="1092" priority="344">
      <formula>(vcf_version_chosen&lt;&gt;"Exclude")</formula>
    </cfRule>
  </conditionalFormatting>
  <conditionalFormatting sqref="F7:F9">
    <cfRule type="expression" dxfId="1090" priority="315">
      <formula>AND((VRLI_Result="Excluded"),(VROPS_Result="Excluded"),(VRA_Result="Excluded"))</formula>
    </cfRule>
    <cfRule type="expression" dxfId="1085" priority="310">
      <formula>(VROPS_Result="Excluded")</formula>
    </cfRule>
    <cfRule type="containsBlanks" dxfId="1084" priority="309">
      <formula>LEN(TRIM(F7))=0</formula>
    </cfRule>
    <cfRule type="notContainsBlanks" dxfId="1083" priority="308">
      <formula>LEN(TRIM(F7))&gt;0</formula>
    </cfRule>
    <cfRule type="expression" dxfId="1081" priority="306">
      <formula>mgmt_domain_existing_vcf_operations_chosen="Selected"</formula>
    </cfRule>
  </conditionalFormatting>
  <conditionalFormatting sqref="F14:F22">
    <cfRule type="expression" dxfId="1076" priority="803">
      <formula>AND((VRLI_Result="Excluded"),(VROPS_Result="Excluded"),(VRA_Result="Excluded"))</formula>
    </cfRule>
  </conditionalFormatting>
  <conditionalFormatting sqref="F14:F26">
    <cfRule type="expression" dxfId="1074" priority="746">
      <formula>mgmt_domain_existing_vcf_operations_chosen="Selected"</formula>
    </cfRule>
    <cfRule type="notContainsBlanks" dxfId="1072" priority="748">
      <formula>LEN(TRIM(F14))&gt;0</formula>
    </cfRule>
    <cfRule type="containsBlanks" dxfId="1071" priority="749">
      <formula>LEN(TRIM(F14))=0</formula>
    </cfRule>
    <cfRule type="expression" dxfId="1070" priority="750">
      <formula>(VROPS_Result="Excluded")</formula>
    </cfRule>
  </conditionalFormatting>
  <conditionalFormatting sqref="F23:F26">
    <cfRule type="expression" dxfId="1063" priority="755">
      <formula>AND((VRLI_Result="Excluded"),(VROPS_Result="Excluded"),(VRA_Result="Excluded"))</formula>
    </cfRule>
  </conditionalFormatting>
  <conditionalFormatting sqref="F30:F39">
    <cfRule type="expression" dxfId="1060" priority="827">
      <formula>AND((VRLI_Result="Excluded"),(VROPS_Result="Excluded"),(VRA_Result="Excluded"))</formula>
    </cfRule>
    <cfRule type="expression" dxfId="1057" priority="758">
      <formula>mgmt_domain_existing_vcf_operations_chosen="Selected"</formula>
    </cfRule>
    <cfRule type="notContainsBlanks" dxfId="1055" priority="760">
      <formula>LEN(TRIM(F30))&gt;0</formula>
    </cfRule>
    <cfRule type="containsBlanks" dxfId="1054" priority="761">
      <formula>LEN(TRIM(F30))=0</formula>
    </cfRule>
    <cfRule type="expression" dxfId="1053" priority="762">
      <formula>(VROPS_Result="Excluded")</formula>
    </cfRule>
  </conditionalFormatting>
  <conditionalFormatting sqref="F43:F47">
    <cfRule type="expression" dxfId="1049" priority="815">
      <formula>AND((VRLI_Result="Excluded"),(VROPS_Result="Excluded"),(VRA_Result="Excluded"))</formula>
    </cfRule>
  </conditionalFormatting>
  <conditionalFormatting sqref="F43:F54">
    <cfRule type="expression" dxfId="1043" priority="774">
      <formula>(VROPS_Result="Excluded")</formula>
    </cfRule>
    <cfRule type="containsBlanks" dxfId="1042" priority="773">
      <formula>LEN(TRIM(F43))=0</formula>
    </cfRule>
    <cfRule type="notContainsBlanks" dxfId="1041" priority="772">
      <formula>LEN(TRIM(F43))&gt;0</formula>
    </cfRule>
    <cfRule type="expression" dxfId="1039" priority="770">
      <formula>mgmt_domain_existing_vcf_operations_chosen="Selected"</formula>
    </cfRule>
  </conditionalFormatting>
  <conditionalFormatting sqref="F48:F54">
    <cfRule type="expression" dxfId="1038" priority="791">
      <formula>AND((VRLI_Result="Excluded"),(VROPS_Result="Excluded"),(VRA_Result="Excluded"))</formula>
    </cfRule>
  </conditionalFormatting>
  <conditionalFormatting sqref="F58">
    <cfRule type="expression" dxfId="1029" priority="642">
      <formula>AND((VRLI_Result="Excluded"),(VROPS_Result="Excluded"),(VRA_Result="Excluded"))</formula>
    </cfRule>
  </conditionalFormatting>
  <conditionalFormatting sqref="F58:F59">
    <cfRule type="expression" dxfId="1025" priority="633">
      <formula>mgmt_domain_existing_vcf_operations_chosen="Selected"</formula>
    </cfRule>
    <cfRule type="expression" dxfId="1024" priority="637">
      <formula>(VROPS_Result="Excluded")</formula>
    </cfRule>
    <cfRule type="containsBlanks" dxfId="1023" priority="636">
      <formula>LEN(TRIM(F58))=0</formula>
    </cfRule>
    <cfRule type="notContainsBlanks" dxfId="1022" priority="635">
      <formula>LEN(TRIM(F58))&gt;0</formula>
    </cfRule>
  </conditionalFormatting>
  <conditionalFormatting sqref="F59">
    <cfRule type="expression" dxfId="1019" priority="654">
      <formula>AND((VRLI_Result="Excluded"),(VROPS_Result="Excluded"),(VRA_Result="Excluded"))</formula>
    </cfRule>
  </conditionalFormatting>
  <conditionalFormatting sqref="F63:F64">
    <cfRule type="expression" dxfId="1016" priority="294">
      <formula>mgmt_domain_existing_vcf_operations_chosen="Selected"</formula>
    </cfRule>
    <cfRule type="notContainsBlanks" dxfId="1014" priority="296">
      <formula>LEN(TRIM(F63))&gt;0</formula>
    </cfRule>
    <cfRule type="containsBlanks" dxfId="1013" priority="297">
      <formula>LEN(TRIM(F63))=0</formula>
    </cfRule>
    <cfRule type="expression" dxfId="1012" priority="298">
      <formula>(VROPS_Result="Excluded")</formula>
    </cfRule>
    <cfRule type="expression" dxfId="1008" priority="303">
      <formula>AND((VRLI_Result="Excluded"),(VROPS_Result="Excluded"),(VRA_Result="Excluded"))</formula>
    </cfRule>
  </conditionalFormatting>
  <conditionalFormatting sqref="F68">
    <cfRule type="notContainsBlanks" dxfId="1004" priority="260">
      <formula>LEN(TRIM(F68))&gt;0</formula>
    </cfRule>
    <cfRule type="containsBlanks" dxfId="1003" priority="261">
      <formula>LEN(TRIM(F68))=0</formula>
    </cfRule>
    <cfRule type="expression" dxfId="1002" priority="267">
      <formula>AND((VRLI_Result="Excluded"),(VROPS_Result="Excluded"),(VRA_Result="Excluded"))</formula>
    </cfRule>
    <cfRule type="expression" dxfId="1001" priority="262">
      <formula>(VROPS_Result="Excluded")</formula>
    </cfRule>
    <cfRule type="expression" dxfId="994" priority="258">
      <formula>mgmt_domain_existing_vcf_operations_chosen="Selected"</formula>
    </cfRule>
  </conditionalFormatting>
  <conditionalFormatting sqref="F70:F75">
    <cfRule type="expression" dxfId="992" priority="255">
      <formula>AND((VRLI_Result="Excluded"),(VROPS_Result="Excluded"),(VRA_Result="Excluded"))</formula>
    </cfRule>
  </conditionalFormatting>
  <conditionalFormatting sqref="F70:F76">
    <cfRule type="containsBlanks" dxfId="987" priority="249">
      <formula>LEN(TRIM(F70))=0</formula>
    </cfRule>
    <cfRule type="expression" dxfId="984" priority="250">
      <formula>(VROPS_Result="Excluded")</formula>
    </cfRule>
    <cfRule type="expression" dxfId="983" priority="246">
      <formula>mgmt_domain_existing_vcf_operations_chosen="Selected"</formula>
    </cfRule>
    <cfRule type="notContainsBlanks" dxfId="981" priority="248">
      <formula>LEN(TRIM(F70))&gt;0</formula>
    </cfRule>
  </conditionalFormatting>
  <conditionalFormatting sqref="F76 F84 C90 F92 F96:F102 C114">
    <cfRule type="expression" dxfId="978" priority="714">
      <formula>AND((VRLI_Result="Excluded"),(VROPS_Result="Excluded"),(VRA_Result="Excluded"))</formula>
    </cfRule>
  </conditionalFormatting>
  <conditionalFormatting sqref="F78:F83">
    <cfRule type="expression" dxfId="973" priority="243">
      <formula>AND((VRLI_Result="Excluded"),(VROPS_Result="Excluded"),(VRA_Result="Excluded"))</formula>
    </cfRule>
  </conditionalFormatting>
  <conditionalFormatting sqref="F78:F84">
    <cfRule type="expression" dxfId="969" priority="238">
      <formula>(VROPS_Result="Excluded")</formula>
    </cfRule>
    <cfRule type="containsBlanks" dxfId="968" priority="237">
      <formula>LEN(TRIM(F78))=0</formula>
    </cfRule>
    <cfRule type="notContainsBlanks" dxfId="967" priority="236">
      <formula>LEN(TRIM(F78))&gt;0</formula>
    </cfRule>
    <cfRule type="expression" dxfId="965" priority="234">
      <formula>mgmt_domain_existing_vcf_operations_chosen="Selected"</formula>
    </cfRule>
  </conditionalFormatting>
  <conditionalFormatting sqref="F86:F91">
    <cfRule type="expression" dxfId="963" priority="231">
      <formula>AND((VRLI_Result="Excluded"),(VROPS_Result="Excluded"),(VRA_Result="Excluded"))</formula>
    </cfRule>
  </conditionalFormatting>
  <conditionalFormatting sqref="F86:F92">
    <cfRule type="expression" dxfId="959" priority="222">
      <formula>mgmt_domain_existing_vcf_operations_chosen="Selected"</formula>
    </cfRule>
    <cfRule type="expression" dxfId="958" priority="226">
      <formula>(VROPS_Result="Excluded")</formula>
    </cfRule>
    <cfRule type="containsBlanks" dxfId="957" priority="225">
      <formula>LEN(TRIM(F86))=0</formula>
    </cfRule>
    <cfRule type="notContainsBlanks" dxfId="956" priority="224">
      <formula>LEN(TRIM(F86))&gt;0</formula>
    </cfRule>
  </conditionalFormatting>
  <conditionalFormatting sqref="F111:F116">
    <cfRule type="containsBlanks" dxfId="949" priority="857">
      <formula>LEN(TRIM(F111))=0</formula>
    </cfRule>
    <cfRule type="expression" dxfId="944" priority="863">
      <formula>AND((VRLI_Result="Excluded"),(VROPS_Result="Excluded"),(VRA_Result="Excluded"))</formula>
    </cfRule>
    <cfRule type="expression" dxfId="941" priority="854">
      <formula>mgmt_domain_existing_vcf_operations_chosen="Selected"</formula>
    </cfRule>
    <cfRule type="expression" dxfId="939" priority="858">
      <formula>(VROPS_Result="Excluded")</formula>
    </cfRule>
    <cfRule type="notContainsBlanks" dxfId="938" priority="856">
      <formula>LEN(TRIM(F111))&gt;0</formula>
    </cfRule>
  </conditionalFormatting>
  <conditionalFormatting sqref="F122:F124">
    <cfRule type="expression" dxfId="931" priority="207">
      <formula>AND((VRLI_Result="Excluded"),(VROPS_Result="Excluded"),(VRA_Result="Excluded"))</formula>
    </cfRule>
  </conditionalFormatting>
  <conditionalFormatting sqref="F122:F126">
    <cfRule type="expression" dxfId="930" priority="198">
      <formula>mgmt_domain_existing_vcf_operations_chosen="Selected"</formula>
    </cfRule>
    <cfRule type="expression" dxfId="929" priority="202">
      <formula>(VROPS_Result="Excluded")</formula>
    </cfRule>
    <cfRule type="containsBlanks" dxfId="928" priority="201">
      <formula>LEN(TRIM(F122))=0</formula>
    </cfRule>
    <cfRule type="notContainsBlanks" dxfId="927" priority="200">
      <formula>LEN(TRIM(F122))&gt;0</formula>
    </cfRule>
  </conditionalFormatting>
  <conditionalFormatting sqref="F132:F137">
    <cfRule type="expression" dxfId="921" priority="524">
      <formula>(VROPS_Result="Excluded")</formula>
    </cfRule>
    <cfRule type="expression" dxfId="920" priority="529">
      <formula>AND((VRLI_Result="Excluded"),(VROPS_Result="Excluded"),(VRA_Result="Excluded"))</formula>
    </cfRule>
  </conditionalFormatting>
  <conditionalFormatting sqref="F132:F140 C232:C242 C244:C251 L254:L262 L330:L365">
    <cfRule type="expression" dxfId="917" priority="178">
      <formula>mgmt_domain_existing_vcf_operations_chosen="Selected"</formula>
    </cfRule>
    <cfRule type="notContainsBlanks" dxfId="915" priority="180">
      <formula>LEN(TRIM(C132))&gt;0</formula>
    </cfRule>
    <cfRule type="containsBlanks" dxfId="914" priority="181">
      <formula>LEN(TRIM(C132))=0</formula>
    </cfRule>
  </conditionalFormatting>
  <conditionalFormatting sqref="F144:F146">
    <cfRule type="expression" dxfId="909" priority="851">
      <formula>AND((VRLI_Result="Excluded"),(VROPS_Result="Excluded"),(VRA_Result="Excluded"))</formula>
    </cfRule>
  </conditionalFormatting>
  <conditionalFormatting sqref="F144:F158">
    <cfRule type="expression" dxfId="905" priority="508">
      <formula>mgmt_domain_existing_vcf_operations_chosen="Selected"</formula>
    </cfRule>
    <cfRule type="notContainsBlanks" dxfId="903" priority="510">
      <formula>LEN(TRIM(F144))&gt;0</formula>
    </cfRule>
    <cfRule type="containsBlanks" dxfId="902" priority="511">
      <formula>LEN(TRIM(F144))=0</formula>
    </cfRule>
    <cfRule type="expression" dxfId="901" priority="512">
      <formula>(VROPS_Result="Excluded")</formula>
    </cfRule>
  </conditionalFormatting>
  <conditionalFormatting sqref="F147">
    <cfRule type="expression" dxfId="896" priority="517">
      <formula>AND((VRLI_Result="Excluded"),(VROPS_Result="Excluded"),(VRA_Result="Excluded"))</formula>
    </cfRule>
  </conditionalFormatting>
  <conditionalFormatting sqref="F148:F152">
    <cfRule type="expression" dxfId="895" priority="541">
      <formula>AND((VRLI_Result="Excluded"),(VROPS_Result="Excluded"),(VRA_Result="Excluded"))</formula>
    </cfRule>
  </conditionalFormatting>
  <conditionalFormatting sqref="F160:F192 C253:C260">
    <cfRule type="expression" dxfId="890" priority="170">
      <formula>mgmt_domain_existing_vcf_operations_chosen="Selected"</formula>
    </cfRule>
    <cfRule type="notContainsBlanks" dxfId="889" priority="172">
      <formula>LEN(TRIM(C160))&gt;0</formula>
    </cfRule>
    <cfRule type="containsBlanks" dxfId="888" priority="173">
      <formula>LEN(TRIM(C160))=0</formula>
    </cfRule>
  </conditionalFormatting>
  <conditionalFormatting sqref="F172:F192">
    <cfRule type="expression" dxfId="886" priority="150">
      <formula>(VROPS_Result="Excluded")</formula>
    </cfRule>
  </conditionalFormatting>
  <conditionalFormatting sqref="F191:F192">
    <cfRule type="expression" dxfId="879" priority="155">
      <formula>AND((VRLI_Result="Excluded"),(VROPS_Result="Excluded"),(VRA_Result="Excluded"))</formula>
    </cfRule>
  </conditionalFormatting>
  <conditionalFormatting sqref="I8:I10 I12:I15 I17:I24 I26:I33 I35:I42 I53:I69 C147:C188">
    <cfRule type="containsBlanks" dxfId="878" priority="484">
      <formula>LEN(TRIM(C8))=0</formula>
    </cfRule>
    <cfRule type="notContainsBlanks" dxfId="877" priority="483">
      <formula>LEN(TRIM(C8))&gt;0</formula>
    </cfRule>
  </conditionalFormatting>
  <conditionalFormatting sqref="I17:I24 I26:I33 I35:I42 I8:I10 I12:I15 I53:I69">
    <cfRule type="expression" dxfId="875" priority="481">
      <formula>mgmt_domain_existing_vcf_operations_chosen="Selected"</formula>
    </cfRule>
  </conditionalFormatting>
  <conditionalFormatting sqref="I17:I24">
    <cfRule type="expression" dxfId="874" priority="326">
      <formula>mgmt_domain_existing_vcf_operations_chosen="Selected"</formula>
    </cfRule>
    <cfRule type="notContainsBlanks" dxfId="872" priority="328">
      <formula>LEN(TRIM(I17))&gt;0</formula>
    </cfRule>
    <cfRule type="containsBlanks" dxfId="871" priority="329">
      <formula>LEN(TRIM(I17))=0</formula>
    </cfRule>
  </conditionalFormatting>
  <conditionalFormatting sqref="I26:I33">
    <cfRule type="containsBlanks" dxfId="869" priority="325">
      <formula>LEN(TRIM(I26))=0</formula>
    </cfRule>
    <cfRule type="notContainsBlanks" dxfId="868" priority="324">
      <formula>LEN(TRIM(I26))&gt;0</formula>
    </cfRule>
    <cfRule type="expression" dxfId="867" priority="322">
      <formula>mgmt_domain_existing_vcf_operations_chosen="Selected"</formula>
    </cfRule>
  </conditionalFormatting>
  <conditionalFormatting sqref="I35:I42">
    <cfRule type="containsBlanks" dxfId="866" priority="321">
      <formula>LEN(TRIM(I35))=0</formula>
    </cfRule>
    <cfRule type="notContainsBlanks" dxfId="865" priority="320">
      <formula>LEN(TRIM(I35))&gt;0</formula>
    </cfRule>
    <cfRule type="expression" dxfId="863" priority="318">
      <formula>mgmt_domain_existing_vcf_operations_chosen="Selected"</formula>
    </cfRule>
  </conditionalFormatting>
  <conditionalFormatting sqref="I44:I51">
    <cfRule type="expression" dxfId="862" priority="28">
      <formula>mgmt_domain_existing_vcf_operations_chosen="Selected"</formula>
    </cfRule>
    <cfRule type="containsBlanks" dxfId="860" priority="35">
      <formula>LEN(TRIM(I44))=0</formula>
    </cfRule>
    <cfRule type="notContainsBlanks" dxfId="859" priority="34">
      <formula>LEN(TRIM(I44))&gt;0</formula>
    </cfRule>
    <cfRule type="notContainsBlanks" dxfId="857" priority="30">
      <formula>LEN(TRIM(I44))&gt;0</formula>
    </cfRule>
    <cfRule type="containsBlanks" dxfId="856" priority="31">
      <formula>LEN(TRIM(I44))=0</formula>
    </cfRule>
    <cfRule type="expression" dxfId="855" priority="32">
      <formula>mgmt_domain_existing_vcf_operations_chosen="Selected"</formula>
    </cfRule>
  </conditionalFormatting>
  <conditionalFormatting sqref="I127:I130 I132:I135 I137:I140 I105:I125">
    <cfRule type="expression" dxfId="853" priority="465">
      <formula>AND((VRLI_Result="Excluded"),(VROPS_Result="Excluded"),(VRA_Result="Excluded"))</formula>
    </cfRule>
  </conditionalFormatting>
  <conditionalFormatting sqref="I127:I130 I132:I135 I137:I140">
    <cfRule type="expression" dxfId="852" priority="457">
      <formula>mgmt_domain_existing_vcf_operations_chosen="Selected"</formula>
    </cfRule>
    <cfRule type="notContainsBlanks" dxfId="850" priority="459">
      <formula>LEN(TRIM(I127))&gt;0</formula>
    </cfRule>
    <cfRule type="containsBlanks" dxfId="849" priority="460">
      <formula>LEN(TRIM(I127))=0</formula>
    </cfRule>
    <cfRule type="expression" dxfId="848" priority="461">
      <formula>(VROPS_Result="Excluded")</formula>
    </cfRule>
  </conditionalFormatting>
  <conditionalFormatting sqref="I142:I145 I147:I150">
    <cfRule type="expression" dxfId="845" priority="453">
      <formula>AND((VRLI_Result="Excluded"),(VROPS_Result="Excluded"),(VRA_Result="Excluded"))</formula>
    </cfRule>
    <cfRule type="expression" dxfId="840" priority="445">
      <formula>mgmt_domain_existing_vcf_operations_chosen="Selected"</formula>
    </cfRule>
    <cfRule type="expression" dxfId="838" priority="449">
      <formula>(VROPS_Result="Excluded")</formula>
    </cfRule>
    <cfRule type="notContainsBlanks" dxfId="837" priority="447">
      <formula>LEN(TRIM(I142))&gt;0</formula>
    </cfRule>
    <cfRule type="containsBlanks" dxfId="836" priority="448">
      <formula>LEN(TRIM(I142))=0</formula>
    </cfRule>
  </conditionalFormatting>
  <conditionalFormatting sqref="I152:I155">
    <cfRule type="containsBlanks" dxfId="834" priority="424">
      <formula>LEN(TRIM(I152))=0</formula>
    </cfRule>
    <cfRule type="expression" dxfId="833" priority="421">
      <formula>mgmt_domain_existing_vcf_operations_chosen="Selected"</formula>
    </cfRule>
    <cfRule type="expression" dxfId="829" priority="429">
      <formula>AND((VRLI_Result="Excluded"),(VROPS_Result="Excluded"),(VRA_Result="Excluded"))</formula>
    </cfRule>
    <cfRule type="expression" dxfId="825" priority="425">
      <formula>(VROPS_Result="Excluded")</formula>
    </cfRule>
    <cfRule type="notContainsBlanks" dxfId="824" priority="423">
      <formula>LEN(TRIM(I152))&gt;0</formula>
    </cfRule>
  </conditionalFormatting>
  <conditionalFormatting sqref="I157:I160">
    <cfRule type="expression" dxfId="822" priority="417">
      <formula>AND((VRLI_Result="Excluded"),(VROPS_Result="Excluded"),(VRA_Result="Excluded"))</formula>
    </cfRule>
  </conditionalFormatting>
  <conditionalFormatting sqref="I157:I174 L254:L260 L330:L351 L354:L365">
    <cfRule type="expression" dxfId="818" priority="413">
      <formula>(VROPS_Result="Excluded")</formula>
    </cfRule>
  </conditionalFormatting>
  <conditionalFormatting sqref="I157:I174">
    <cfRule type="containsBlanks" dxfId="816" priority="412">
      <formula>LEN(TRIM(I157))=0</formula>
    </cfRule>
    <cfRule type="notContainsBlanks" dxfId="815" priority="411">
      <formula>LEN(TRIM(I157))&gt;0</formula>
    </cfRule>
    <cfRule type="expression" dxfId="813" priority="409">
      <formula>mgmt_domain_existing_vcf_operations_chosen="Selected"</formula>
    </cfRule>
  </conditionalFormatting>
  <conditionalFormatting sqref="I161:I174">
    <cfRule type="expression" dxfId="811" priority="441">
      <formula>AND((VRLI_Result="Excluded"),(VROPS_Result="Excluded"),(VRA_Result="Excluded"))</formula>
    </cfRule>
  </conditionalFormatting>
  <conditionalFormatting sqref="I249:I256">
    <cfRule type="expression" dxfId="806" priority="20">
      <formula>mgmt_domain_existing_vcf_operations_chosen="Selected"</formula>
    </cfRule>
    <cfRule type="containsBlanks" dxfId="805" priority="23">
      <formula>LEN(TRIM(I249))=0</formula>
    </cfRule>
    <cfRule type="notContainsBlanks" dxfId="804" priority="22">
      <formula>LEN(TRIM(I249))&gt;0</formula>
    </cfRule>
  </conditionalFormatting>
  <conditionalFormatting sqref="I249:I312">
    <cfRule type="expression" dxfId="802" priority="24">
      <formula>mgmt_domain_existing_vcf_operations_chosen="Selected"</formula>
    </cfRule>
    <cfRule type="notContainsBlanks" dxfId="801" priority="26">
      <formula>LEN(TRIM(I249))&gt;0</formula>
    </cfRule>
    <cfRule type="containsBlanks" dxfId="800" priority="27">
      <formula>LEN(TRIM(I249))=0</formula>
    </cfRule>
  </conditionalFormatting>
  <conditionalFormatting sqref="L39">
    <cfRule type="expression" dxfId="799" priority="618">
      <formula>AND((VRLI_Result="Excluded"),(VROPS_Result="Excluded"),(VRA_Result="Excluded"))</formula>
    </cfRule>
  </conditionalFormatting>
  <conditionalFormatting sqref="L60:L62">
    <cfRule type="expression" dxfId="795" priority="5366">
      <formula>AND(VVD_Result="Excluded",ISBLANK(#REF!))</formula>
    </cfRule>
  </conditionalFormatting>
  <conditionalFormatting sqref="L66:L67">
    <cfRule type="expression" dxfId="792" priority="2694">
      <formula>AND(VVD_Result="Excluded",ISBLANK(#REF!))</formula>
    </cfRule>
  </conditionalFormatting>
  <conditionalFormatting sqref="L68">
    <cfRule type="expression" dxfId="791" priority="5351">
      <formula>AND(VVD_Result="Excluded",ISBLANK(#REF!))</formula>
    </cfRule>
  </conditionalFormatting>
  <conditionalFormatting sqref="L97:L98 L111:L122">
    <cfRule type="expression" dxfId="776" priority="1532">
      <formula>(VVD_Result="Excluded")</formula>
    </cfRule>
  </conditionalFormatting>
  <conditionalFormatting sqref="L100">
    <cfRule type="expression" dxfId="775" priority="2029">
      <formula>OR((VROPS_Result="Excluded"),(VRA_Result="Excluded"))</formula>
    </cfRule>
  </conditionalFormatting>
  <conditionalFormatting sqref="L101">
    <cfRule type="expression" dxfId="774" priority="2028">
      <formula>(VRLI_Result="Excluded")</formula>
    </cfRule>
  </conditionalFormatting>
  <conditionalFormatting sqref="L102">
    <cfRule type="expression" dxfId="773" priority="2027">
      <formula>OR((VRLI_Result="Excluded"),(VROPS_Result="Excluded"))</formula>
    </cfRule>
  </conditionalFormatting>
  <conditionalFormatting sqref="L107">
    <cfRule type="expression" dxfId="768" priority="2025">
      <formula>OR((VROPS_Result="Excluded"),(VRA_Result="Excluded"))</formula>
    </cfRule>
  </conditionalFormatting>
  <conditionalFormatting sqref="L126:L127">
    <cfRule type="expression" dxfId="766" priority="2276">
      <formula>(VVD_Result="Excluded")</formula>
    </cfRule>
  </conditionalFormatting>
  <conditionalFormatting sqref="L131:L132">
    <cfRule type="expression" dxfId="763" priority="2084">
      <formula>OR((VVD_Result="Excluded"),(tanzu_result="Excluded"))</formula>
    </cfRule>
  </conditionalFormatting>
  <conditionalFormatting sqref="L145:L151 L103:L106">
    <cfRule type="expression" dxfId="762" priority="2022">
      <formula>(VRA_Result="Excluded")</formula>
    </cfRule>
  </conditionalFormatting>
  <conditionalFormatting sqref="L164">
    <cfRule type="expression" dxfId="761" priority="1529">
      <formula>(VVD_Result="Excluded")</formula>
    </cfRule>
  </conditionalFormatting>
  <conditionalFormatting sqref="L167:L179 C37:C49">
    <cfRule type="expression" dxfId="758" priority="621">
      <formula>mgmt_domain_existing_vcf_operations_chosen="Selected"</formula>
    </cfRule>
  </conditionalFormatting>
  <conditionalFormatting sqref="L179">
    <cfRule type="expression" dxfId="757" priority="582">
      <formula>AND((VRLI_Result="Excluded"),(VROPS_Result="Excluded"),(VRA_Result="Excluded"))</formula>
    </cfRule>
  </conditionalFormatting>
  <conditionalFormatting sqref="L229">
    <cfRule type="expression" dxfId="755" priority="96">
      <formula>mgmt_domain_existing_vcf_operations_chosen="Selected"</formula>
    </cfRule>
    <cfRule type="expression" dxfId="753" priority="100">
      <formula>(VROPS_Result="Excluded")</formula>
    </cfRule>
    <cfRule type="containsBlanks" dxfId="752" priority="99">
      <formula>LEN(TRIM(L229))=0</formula>
    </cfRule>
    <cfRule type="notContainsBlanks" dxfId="751" priority="98">
      <formula>LEN(TRIM(L229))&gt;0</formula>
    </cfRule>
  </conditionalFormatting>
  <conditionalFormatting sqref="L234:L252">
    <cfRule type="notContainsBlanks" dxfId="749" priority="104">
      <formula>LEN(TRIM(L234))&gt;0</formula>
    </cfRule>
    <cfRule type="containsBlanks" dxfId="748" priority="105">
      <formula>LEN(TRIM(L234))=0</formula>
    </cfRule>
    <cfRule type="expression" dxfId="747" priority="102">
      <formula>mgmt_domain_existing_vcf_operations_chosen="Selected"</formula>
    </cfRule>
    <cfRule type="expression" dxfId="744" priority="106">
      <formula>(VROPS_Result="Excluded")</formula>
    </cfRule>
  </conditionalFormatting>
  <conditionalFormatting sqref="L269:L272">
    <cfRule type="expression" dxfId="743" priority="82">
      <formula>(VROPS_Result="Excluded")</formula>
    </cfRule>
    <cfRule type="containsBlanks" dxfId="742" priority="81">
      <formula>LEN(TRIM(L269))=0</formula>
    </cfRule>
    <cfRule type="notContainsBlanks" dxfId="741" priority="80">
      <formula>LEN(TRIM(L269))&gt;0</formula>
    </cfRule>
    <cfRule type="expression" dxfId="739" priority="78">
      <formula>mgmt_domain_existing_vcf_operations_chosen="Selected"</formula>
    </cfRule>
  </conditionalFormatting>
  <conditionalFormatting sqref="L274:L284">
    <cfRule type="expression" dxfId="736" priority="76">
      <formula>(VROPS_Result="Excluded")</formula>
    </cfRule>
    <cfRule type="containsBlanks" dxfId="735" priority="75">
      <formula>LEN(TRIM(L274))=0</formula>
    </cfRule>
    <cfRule type="notContainsBlanks" dxfId="734" priority="74">
      <formula>LEN(TRIM(L274))&gt;0</formula>
    </cfRule>
    <cfRule type="expression" dxfId="732" priority="72">
      <formula>mgmt_domain_existing_vcf_operations_chosen="Selected"</formula>
    </cfRule>
  </conditionalFormatting>
  <conditionalFormatting sqref="Q106">
    <cfRule type="expression" dxfId="730" priority="1451">
      <formula>AND((VRLI_Result="Excluded"),(VROPS_Result="Excluded"),(VRA_Result="Excluded"))</formula>
    </cfRule>
  </conditionalFormatting>
  <conditionalFormatting sqref="Q112">
    <cfRule type="expression" dxfId="729" priority="1442">
      <formula>AND((VRLI_Result="Excluded"),(VROPS_Result="Excluded"),(VRA_Result="Excluded"))</formula>
    </cfRule>
  </conditionalFormatting>
  <conditionalFormatting sqref="Q117">
    <cfRule type="expression" dxfId="728" priority="1441">
      <formula>AND((VRLI_Result="Excluded"),(VROPS_Result="Excluded"),(VRA_Result="Excluded"))</formula>
    </cfRule>
  </conditionalFormatting>
  <conditionalFormatting sqref="Q122">
    <cfRule type="expression" dxfId="727" priority="1444">
      <formula>AND((VRLI_Result="Excluded"),(VROPS_Result="Excluded"),(VRA_Result="Excluded"))</formula>
    </cfRule>
  </conditionalFormatting>
  <conditionalFormatting sqref="Q127">
    <cfRule type="expression" dxfId="726" priority="1443">
      <formula>AND((VRLI_Result="Excluded"),(VROPS_Result="Excluded"),(VRA_Result="Excluded"))</formula>
    </cfRule>
  </conditionalFormatting>
  <conditionalFormatting sqref="R8 L152:L160 R16 R12 T6 K13">
    <cfRule type="expression" dxfId="725" priority="1976">
      <formula>AND((VRLI_Result="Excluded"),(VROPS_Result="Excluded"),(VRA_Result="Excluded"))</formula>
    </cfRule>
  </conditionalFormatting>
  <conditionalFormatting sqref="R8">
    <cfRule type="expression" dxfId="720" priority="1021">
      <formula>(VROPS_Result="Excluded")</formula>
    </cfRule>
    <cfRule type="containsBlanks" dxfId="719" priority="1020">
      <formula>LEN(TRIM(R8))=0</formula>
    </cfRule>
    <cfRule type="notContainsBlanks" dxfId="718" priority="1019">
      <formula>LEN(TRIM(R8))&gt;0</formula>
    </cfRule>
    <cfRule type="expression" dxfId="716" priority="1017">
      <formula>mgmt_domain_existing_vcf_operations_chosen="Selected"</formula>
    </cfRule>
  </conditionalFormatting>
  <conditionalFormatting sqref="R12">
    <cfRule type="expression" dxfId="708" priority="995">
      <formula>(VROPS_Result="Excluded")</formula>
    </cfRule>
    <cfRule type="expression" dxfId="706" priority="991">
      <formula>mgmt_domain_existing_vcf_operations_chosen="Selected"</formula>
    </cfRule>
    <cfRule type="notContainsBlanks" dxfId="704" priority="993">
      <formula>LEN(TRIM(R12))&gt;0</formula>
    </cfRule>
    <cfRule type="containsBlanks" dxfId="703" priority="994">
      <formula>LEN(TRIM(R12))=0</formula>
    </cfRule>
  </conditionalFormatting>
  <conditionalFormatting sqref="R16">
    <cfRule type="expression" dxfId="700" priority="1009">
      <formula>(VROPS_Result="Excluded")</formula>
    </cfRule>
    <cfRule type="containsBlanks" dxfId="695" priority="1008">
      <formula>LEN(TRIM(R16))=0</formula>
    </cfRule>
    <cfRule type="notContainsBlanks" dxfId="693" priority="1007">
      <formula>LEN(TRIM(R16))&gt;0</formula>
    </cfRule>
    <cfRule type="expression" dxfId="691" priority="1005">
      <formula>mgmt_domain_existing_vcf_operations_chosen="Selected"</formula>
    </cfRule>
  </conditionalFormatting>
  <conditionalFormatting sqref="R38:R43">
    <cfRule type="containsBlanks" dxfId="683" priority="979">
      <formula>LEN(TRIM(R38))=0</formula>
    </cfRule>
    <cfRule type="expression" dxfId="678" priority="976">
      <formula>mgmt_domain_existing_vcf_operations_chosen="Selected"</formula>
    </cfRule>
    <cfRule type="notContainsBlanks" dxfId="676" priority="978">
      <formula>LEN(TRIM(R38))&gt;0</formula>
    </cfRule>
    <cfRule type="expression" dxfId="674" priority="980">
      <formula>(VROPS_Result="Excluded")</formula>
    </cfRule>
    <cfRule type="expression" dxfId="671" priority="990">
      <formula>AND((VRLI_Result="Excluded"),(VROPS_Result="Excluded"),(VRA_Result="Excluded"))</formula>
    </cfRule>
  </conditionalFormatting>
  <conditionalFormatting sqref="R48">
    <cfRule type="expression" dxfId="669" priority="961">
      <formula>mgmt_domain_existing_vcf_operations_chosen="Selected"</formula>
    </cfRule>
    <cfRule type="expression" dxfId="667" priority="975">
      <formula>AND((VRLI_Result="Excluded"),(VROPS_Result="Excluded"),(VRA_Result="Excluded"))</formula>
    </cfRule>
    <cfRule type="expression" dxfId="659" priority="965">
      <formula>(VROPS_Result="Excluded")</formula>
    </cfRule>
    <cfRule type="containsBlanks" dxfId="658" priority="964">
      <formula>LEN(TRIM(R48))=0</formula>
    </cfRule>
    <cfRule type="notContainsBlanks" dxfId="657" priority="963">
      <formula>LEN(TRIM(R48))&gt;0</formula>
    </cfRule>
  </conditionalFormatting>
  <conditionalFormatting sqref="R52">
    <cfRule type="expression" dxfId="654" priority="960">
      <formula>AND((VRLI_Result="Excluded"),(VROPS_Result="Excluded"),(VRA_Result="Excluded"))</formula>
    </cfRule>
    <cfRule type="notContainsBlanks" dxfId="651" priority="948">
      <formula>LEN(TRIM(R52))&gt;0</formula>
    </cfRule>
    <cfRule type="containsBlanks" dxfId="650" priority="949">
      <formula>LEN(TRIM(R52))=0</formula>
    </cfRule>
    <cfRule type="expression" dxfId="643" priority="946">
      <formula>mgmt_domain_existing_vcf_operations_chosen="Selected"</formula>
    </cfRule>
    <cfRule type="expression" dxfId="642" priority="950">
      <formula>(VROPS_Result="Excluded")</formula>
    </cfRule>
  </conditionalFormatting>
  <conditionalFormatting sqref="R56:R59">
    <cfRule type="expression" dxfId="640" priority="2053">
      <formula>(VRLI_Result="Excluded")</formula>
    </cfRule>
  </conditionalFormatting>
  <conditionalFormatting sqref="R63:R66">
    <cfRule type="expression" dxfId="638" priority="2065">
      <formula>(VRLI_Result="Excluded")</formula>
    </cfRule>
  </conditionalFormatting>
  <conditionalFormatting sqref="R70:R73">
    <cfRule type="expression" dxfId="637" priority="2039">
      <formula>(VRLI_Result="Excluded")</formula>
    </cfRule>
  </conditionalFormatting>
  <conditionalFormatting sqref="R85:R88 L99">
    <cfRule type="expression" dxfId="635" priority="2066">
      <formula>(VROPS_Result="Excluded")</formula>
    </cfRule>
  </conditionalFormatting>
  <conditionalFormatting sqref="R85:R89">
    <cfRule type="containsBlanks" dxfId="633" priority="1032">
      <formula>LEN(TRIM(R85))=0</formula>
    </cfRule>
    <cfRule type="expression" dxfId="632" priority="1029">
      <formula>mgmt_domain_existing_vcf_operations_chosen="Selected"</formula>
    </cfRule>
    <cfRule type="notContainsBlanks" dxfId="630" priority="1031">
      <formula>LEN(TRIM(R85))&gt;0</formula>
    </cfRule>
  </conditionalFormatting>
  <conditionalFormatting sqref="R93:R97">
    <cfRule type="notContainsBlanks" dxfId="629" priority="1027">
      <formula>LEN(TRIM(R93))&gt;0</formula>
    </cfRule>
    <cfRule type="containsBlanks" dxfId="628" priority="1028">
      <formula>LEN(TRIM(R93))=0</formula>
    </cfRule>
    <cfRule type="expression" dxfId="627" priority="1025">
      <formula>mgmt_domain_existing_vcf_operations_chosen="Selected"</formula>
    </cfRule>
  </conditionalFormatting>
  <conditionalFormatting sqref="R134:R135">
    <cfRule type="expression" dxfId="613" priority="1140">
      <formula>(VROPS_Result="Excluded")</formula>
    </cfRule>
  </conditionalFormatting>
  <conditionalFormatting sqref="R139:R140">
    <cfRule type="expression" dxfId="606" priority="1145">
      <formula>(VRLI_Result="Excluded")</formula>
    </cfRule>
  </conditionalFormatting>
  <conditionalFormatting sqref="T42">
    <cfRule type="expression" dxfId="605" priority="1054">
      <formula>AND((VRLI_Result="Excluded"),(VROPS_Result="Excluded"),(VRA_Result="Excluded"))</formula>
    </cfRule>
  </conditionalFormatting>
  <conditionalFormatting sqref="T50">
    <cfRule type="expression" dxfId="604" priority="1430">
      <formula>AND((VRLI_Result="Excluded"),(VROPS_Result="Excluded"),(VRA_Result="Excluded"))</formula>
    </cfRule>
  </conditionalFormatting>
  <conditionalFormatting sqref="T125">
    <cfRule type="expression" dxfId="603" priority="1161">
      <formula>AND((VRLI_Result="Excluded"),(VROPS_Result="Excluded"),(VRA_Result="Excluded"))</formula>
    </cfRule>
  </conditionalFormatting>
  <conditionalFormatting sqref="T155">
    <cfRule type="expression" dxfId="602" priority="1224">
      <formula>AND((VRLI_Result="Excluded"),(VROPS_Result="Excluded"),(VRA_Result="Excluded"))</formula>
    </cfRule>
  </conditionalFormatting>
  <conditionalFormatting sqref="T190">
    <cfRule type="expression" dxfId="601" priority="65">
      <formula>AND((VRLI_Result="Excluded"),(VROPS_Result="Excluded"),(VRA_Result="Excluded"))</formula>
    </cfRule>
  </conditionalFormatting>
  <conditionalFormatting sqref="T62:U62">
    <cfRule type="expression" dxfId="600" priority="1466">
      <formula>AND((VRLI_Result="Excluded"),(VROPS_Result="Excluded"),(VRA_Result="Excluded"))</formula>
    </cfRule>
  </conditionalFormatting>
  <conditionalFormatting sqref="T101:U101">
    <cfRule type="expression" dxfId="599" priority="1462">
      <formula>AND((VRLI_Result="Excluded"),(VROPS_Result="Excluded"),(VRA_Result="Excluded"))</formula>
    </cfRule>
  </conditionalFormatting>
  <conditionalFormatting sqref="U52:U60">
    <cfRule type="expression" dxfId="593" priority="1427">
      <formula>(VROPS_Result="Excluded")</formula>
    </cfRule>
  </conditionalFormatting>
  <conditionalFormatting sqref="U55:U60">
    <cfRule type="expression" dxfId="589" priority="1327">
      <formula>(VROPS_Result="Excluded")</formula>
    </cfRule>
  </conditionalFormatting>
  <conditionalFormatting sqref="U64">
    <cfRule type="expression" dxfId="585" priority="1372">
      <formula>(VROPS_Result="Excluded")</formula>
    </cfRule>
  </conditionalFormatting>
  <conditionalFormatting sqref="U64:U98 U103:U122 R77:R81">
    <cfRule type="expression" dxfId="584" priority="2054">
      <formula>(VROPS_Result="Excluded")</formula>
    </cfRule>
  </conditionalFormatting>
  <conditionalFormatting sqref="U71:U72">
    <cfRule type="expression" dxfId="581" priority="1416">
      <formula>(VROPS_Result="Excluded")</formula>
    </cfRule>
  </conditionalFormatting>
  <conditionalFormatting sqref="U79">
    <cfRule type="expression" dxfId="579" priority="1413">
      <formula>(VROPS_Result="Excluded")</formula>
    </cfRule>
  </conditionalFormatting>
  <conditionalFormatting sqref="U80 L139:L141">
    <cfRule type="expression" dxfId="575" priority="1992">
      <formula>(VROPS_Result="Excluded")</formula>
    </cfRule>
  </conditionalFormatting>
  <conditionalFormatting sqref="U91:U99">
    <cfRule type="expression" dxfId="573" priority="1380">
      <formula>(VROPS_Result="Excluded")</formula>
    </cfRule>
  </conditionalFormatting>
  <conditionalFormatting sqref="U191:U211">
    <cfRule type="notContainsBlanks" dxfId="568" priority="176">
      <formula>LEN(TRIM(U191))&gt;0</formula>
    </cfRule>
    <cfRule type="containsBlanks" dxfId="567" priority="177">
      <formula>LEN(TRIM(U191))=0</formula>
    </cfRule>
    <cfRule type="expression" dxfId="565" priority="174">
      <formula>mgmt_domain_existing_vcf_operations_chosen="Selected"</formula>
    </cfRule>
  </conditionalFormatting>
  <conditionalFormatting sqref="U212">
    <cfRule type="containsBlanks" dxfId="564" priority="46">
      <formula>LEN(TRIM(U212))=0</formula>
    </cfRule>
    <cfRule type="expression" dxfId="563" priority="42">
      <formula>mgmt_vns_result="Excluded"</formula>
    </cfRule>
    <cfRule type="expression" dxfId="562" priority="43">
      <formula>mgmt_tier0_skip_chosen="Selected"</formula>
    </cfRule>
    <cfRule type="notContainsBlanks" dxfId="560" priority="45">
      <formula>LEN(TRIM(U212))&gt;0</formula>
    </cfRule>
  </conditionalFormatting>
  <conditionalFormatting sqref="Z6">
    <cfRule type="expression" dxfId="531" priority="1979">
      <formula>AND((VRLI_Result="Excluded"),(VROPS_Result="Excluded"),(VRA_Result="Excluded"))</formula>
    </cfRule>
  </conditionalFormatting>
  <conditionalFormatting sqref="AA8:AA28 Q99">
    <cfRule type="expression" dxfId="528" priority="1458">
      <formula>AND((VRLI_Result="Excluded"),(VROPS_Result="Excluded"),(VRA_Result="Excluded"))</formula>
    </cfRule>
  </conditionalFormatting>
  <conditionalFormatting sqref="AA29">
    <cfRule type="expression" dxfId="524" priority="1904">
      <formula>(VRA_Result="Excluded")</formula>
    </cfRule>
  </conditionalFormatting>
  <conditionalFormatting sqref="AA30:AA32">
    <cfRule type="expression" dxfId="521" priority="1688">
      <formula>AND((VRLI_Result="Excluded"),(VROPS_Result="Excluded"),(VRA_Result="Excluded"))</formula>
    </cfRule>
  </conditionalFormatting>
  <conditionalFormatting sqref="AA94:AA106 L133:L138">
    <cfRule type="expression" dxfId="506" priority="1998">
      <formula>AND((VRLI_Result="Excluded"),(VROPS_Result="Excluded"),(VRA_Result="Excluded"))</formula>
    </cfRule>
  </conditionalFormatting>
  <conditionalFormatting sqref="AA107">
    <cfRule type="expression" dxfId="503" priority="1033">
      <formula>(mgmt_consolidated_chosen="Exclude")</formula>
    </cfRule>
    <cfRule type="expression" dxfId="502" priority="1034">
      <formula>(mgmt_consolidated_chosen="Include")</formula>
    </cfRule>
  </conditionalFormatting>
  <dataValidations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"VI 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C00-000000000000}"/>
    <hyperlink ref="O53" r:id="rId2" display="mailto:administrator@vsphere.local" xr:uid="{00000000-0004-0000-0C00-000001000000}"/>
    <hyperlink ref="L97" r:id="rId3" xr:uid="{00000000-0004-0000-0C00-000002000000}"/>
    <hyperlink ref="L98" r:id="rId4" xr:uid="{00000000-0004-0000-0C00-000003000000}"/>
  </hyperlinks>
  <pageMargins left="0.7" right="0.7" top="0.75" bottom="0.75" header="0.3" footer="0.3"/>
  <pageSetup paperSize="9" orientation="portrait" horizontalDpi="0" verticalDpi="0"/>
  <drawing r:id="rId5"/>
  <extLst>
    <ext xmlns:x14="http://schemas.microsoft.com/office/spreadsheetml/2009/9/main" uri="{78C0D931-6437-407d-A8EE-F0AAD7539E65}">
      <x14:conditionalFormattings>
        <x14:conditionalFormatting xmlns:xm="http://schemas.microsoft.com/office/excel/2006/main">
          <x14:cfRule type="notContainsText" priority="402" operator="notContains" id="{F0B3571E-5508-6A4B-BD78-633DFB98A3FE}">
            <xm:f>ISERROR(SEARCH("Value Missing",C7))</xm:f>
            <xm:f>"Value Missing"</xm:f>
            <x14:dxf>
              <font>
                <color rgb="FF006100"/>
              </font>
              <fill>
                <patternFill>
                  <bgColor rgb="FFC6EFCE"/>
                </patternFill>
              </fill>
            </x14:dxf>
          </x14:cfRule>
          <xm:sqref>C7:C10 L39:L40 F172:F190 I105:I125</xm:sqref>
        </x14:conditionalFormatting>
        <x14:conditionalFormatting xmlns:xm="http://schemas.microsoft.com/office/excel/2006/main">
          <x14:cfRule type="containsText" priority="398" stopIfTrue="1" operator="containsText" id="{EB336388-A87C-EF47-B38F-189FF961830B}">
            <xm:f>NOT(ISERROR(SEARCH("Value Missing",C7)))</xm:f>
            <xm:f>"Value Missing"</xm:f>
            <x14:dxf>
              <font>
                <color rgb="FF0E223A"/>
              </font>
              <fill>
                <patternFill>
                  <bgColor rgb="FFFFBE29"/>
                </patternFill>
              </fill>
            </x14:dxf>
          </x14:cfRule>
          <xm:sqref>C7:C10 L39:L40</xm:sqref>
        </x14:conditionalFormatting>
        <x14:conditionalFormatting xmlns:xm="http://schemas.microsoft.com/office/excel/2006/main">
          <x14:cfRule type="containsText" priority="939" operator="containsText" id="{E524FA7C-CED1-8647-A6E3-8D506528CA50}">
            <xm:f>NOT(ISERROR(SEARCH("Value Missing",C14)))</xm:f>
            <xm:f>"Value Missing"</xm:f>
            <x14:dxf>
              <font>
                <color rgb="FF9C0006"/>
              </font>
              <fill>
                <patternFill>
                  <bgColor rgb="FFFFC7CE"/>
                </patternFill>
              </fill>
            </x14:dxf>
          </x14:cfRule>
          <xm:sqref>C14:C33 C92:C97 C99:C104 C106:C111 C118:C124 I178:I197 O63:O90</xm:sqref>
        </x14:conditionalFormatting>
        <x14:conditionalFormatting xmlns:xm="http://schemas.microsoft.com/office/excel/2006/main">
          <x14:cfRule type="notContainsText" priority="927" operator="notContains" id="{AEC38A09-2177-5941-B78F-6304A9E73AAD}">
            <xm:f>ISERROR(SEARCH("Value Missing",C37))</xm:f>
            <xm:f>"Value Missing"</xm:f>
            <x14:dxf>
              <font>
                <color rgb="FF006100"/>
              </font>
              <fill>
                <patternFill>
                  <bgColor rgb="FFC6EFCE"/>
                </patternFill>
              </fill>
            </x14:dxf>
          </x14:cfRule>
          <x14:cfRule type="containsText" priority="928" operator="containsText" id="{C2571DBD-159C-7242-A4C7-BD315C1D589C}">
            <xm:f>NOT(ISERROR(SEARCH("Value Missing",C37)))</xm:f>
            <xm:f>"Value Missing"</xm:f>
            <x14:dxf>
              <font>
                <color rgb="FF9C0006"/>
              </font>
              <fill>
                <patternFill>
                  <bgColor rgb="FFFFC7CE"/>
                </patternFill>
              </fill>
            </x14:dxf>
          </x14:cfRule>
          <x14:cfRule type="notContainsText" priority="930" operator="notContains" id="{FB0FF2DD-F9F9-A34A-AB81-FC659E87B849}">
            <xm:f>ISERROR(SEARCH("Value Missing",C37))</xm:f>
            <xm:f>"Value Missing"</xm:f>
            <x14:dxf>
              <font>
                <color rgb="FF006100"/>
              </font>
              <fill>
                <patternFill>
                  <bgColor rgb="FFC6EFCE"/>
                </patternFill>
              </fill>
            </x14:dxf>
          </x14:cfRule>
          <x14:cfRule type="containsText" priority="932" operator="containsText" id="{9AD82AD7-2B5B-5946-9059-AD5CD2572680}">
            <xm:f>NOT(ISERROR(SEARCH("Value Missing",C37)))</xm:f>
            <xm:f>"Value Missing"</xm:f>
            <x14:dxf>
              <font>
                <color rgb="FF9C0006"/>
              </font>
              <fill>
                <patternFill>
                  <bgColor rgb="FFFFC7CE"/>
                </patternFill>
              </fill>
            </x14:dxf>
          </x14:cfRule>
          <xm:sqref>C37:C48</xm:sqref>
        </x14:conditionalFormatting>
        <x14:conditionalFormatting xmlns:xm="http://schemas.microsoft.com/office/excel/2006/main">
          <x14:cfRule type="notContainsText" priority="631" operator="notContains" id="{3F626B30-2739-4949-A2CF-049038D959E0}">
            <xm:f>ISERROR(SEARCH("Value Missing",C37))</xm:f>
            <xm:f>"Value Missing"</xm:f>
            <x14:dxf>
              <font>
                <color rgb="FF006100"/>
              </font>
              <fill>
                <patternFill>
                  <bgColor rgb="FFC6EFCE"/>
                </patternFill>
              </fill>
            </x14:dxf>
          </x14:cfRule>
          <x14:cfRule type="containsText" priority="632" operator="containsText" id="{45654649-EFE1-A540-A197-6FEA8676699E}">
            <xm:f>NOT(ISERROR(SEARCH("Value Missing",C37)))</xm:f>
            <xm:f>"Value Missing"</xm:f>
            <x14:dxf>
              <font>
                <color rgb="FF9C0006"/>
              </font>
              <fill>
                <patternFill>
                  <bgColor rgb="FFFFC7CE"/>
                </patternFill>
              </fill>
            </x14:dxf>
          </x14:cfRule>
          <x14:cfRule type="containsText" priority="622" stopIfTrue="1" operator="containsText" id="{139CEF10-6B32-8E46-AF0B-73F806C72281}">
            <xm:f>NOT(ISERROR(SEARCH("Value Missing",C37)))</xm:f>
            <xm:f>"Value Missing"</xm:f>
            <x14:dxf>
              <font>
                <color rgb="FF0E223A"/>
              </font>
              <fill>
                <patternFill>
                  <bgColor rgb="FFFFBE29"/>
                </patternFill>
              </fill>
            </x14:dxf>
          </x14:cfRule>
          <xm:sqref>C37:C49 L167:L179</xm:sqref>
        </x14:conditionalFormatting>
        <x14:conditionalFormatting xmlns:xm="http://schemas.microsoft.com/office/excel/2006/main">
          <x14:cfRule type="containsText" priority="627" operator="containsText" id="{713F340F-C8E4-1144-B2AB-042C1EB2D4C5}">
            <xm:f>NOT(ISERROR(SEARCH("Value Missing",C49)))</xm:f>
            <xm:f>"Value Missing"</xm:f>
            <x14:dxf>
              <font>
                <color rgb="FF9C0006"/>
              </font>
              <fill>
                <patternFill>
                  <bgColor rgb="FFFFC7CE"/>
                </patternFill>
              </fill>
            </x14:dxf>
          </x14:cfRule>
          <x14:cfRule type="notContainsText" priority="626" operator="notContains" id="{FED53504-F98F-8540-A345-EE292A0E8991}">
            <xm:f>ISERROR(SEARCH("Value Missing",C49))</xm:f>
            <xm:f>"Value Missing"</xm:f>
            <x14:dxf>
              <font>
                <color rgb="FF006100"/>
              </font>
              <fill>
                <patternFill>
                  <bgColor rgb="FFC6EFCE"/>
                </patternFill>
              </fill>
            </x14:dxf>
          </x14:cfRule>
          <x14:cfRule type="notContainsText" priority="628" operator="notContains" id="{C9E7BAA8-6D2A-D64C-8D36-DC1ACDA51EFC}">
            <xm:f>ISERROR(SEARCH("Value Missing",C49))</xm:f>
            <xm:f>"Value Missing"</xm:f>
            <x14:dxf>
              <font>
                <color rgb="FF006100"/>
              </font>
              <fill>
                <patternFill>
                  <bgColor rgb="FFC6EFCE"/>
                </patternFill>
              </fill>
            </x14:dxf>
          </x14:cfRule>
          <x14:cfRule type="containsText" priority="629" operator="containsText" id="{70423254-4FA8-5149-BAED-905CE71D3D1B}">
            <xm:f>NOT(ISERROR(SEARCH("Value Missing",C49)))</xm:f>
            <xm:f>"Value Missing"</xm:f>
            <x14:dxf>
              <font>
                <color rgb="FF9C0006"/>
              </font>
              <fill>
                <patternFill>
                  <bgColor rgb="FFFFC7CE"/>
                </patternFill>
              </fill>
            </x14:dxf>
          </x14:cfRule>
          <xm:sqref>C49</xm:sqref>
        </x14:conditionalFormatting>
        <x14:conditionalFormatting xmlns:xm="http://schemas.microsoft.com/office/excel/2006/main">
          <x14:cfRule type="containsText" priority="919" operator="containsText" id="{7C98D947-6B64-4342-9332-B90A2434D9B7}">
            <xm:f>NOT(ISERROR(SEARCH("Value Missing",C53)))</xm:f>
            <xm:f>"Value Missing"</xm:f>
            <x14:dxf>
              <font>
                <color rgb="FF9C0006"/>
              </font>
              <fill>
                <patternFill>
                  <bgColor rgb="FFFFC7CE"/>
                </patternFill>
              </fill>
            </x14:dxf>
          </x14:cfRule>
          <x14:cfRule type="notContainsText" priority="917" operator="notContains" id="{C4A54089-21F1-F844-BD66-E123ED304FD5}">
            <xm:f>ISERROR(SEARCH("Value Missing",C53))</xm:f>
            <xm:f>"Value Missing"</xm:f>
            <x14:dxf>
              <font>
                <color rgb="FF006100"/>
              </font>
              <fill>
                <patternFill>
                  <bgColor rgb="FFC6EFCE"/>
                </patternFill>
              </fill>
            </x14:dxf>
          </x14:cfRule>
          <x14:cfRule type="containsText" priority="915" operator="containsText" id="{99C03F4F-E090-9340-907F-EB88FA064F18}">
            <xm:f>NOT(ISERROR(SEARCH("Value Missing",C53)))</xm:f>
            <xm:f>"Value Missing"</xm:f>
            <x14:dxf>
              <font>
                <color rgb="FF9C0006"/>
              </font>
              <fill>
                <patternFill>
                  <bgColor rgb="FFFFC7CE"/>
                </patternFill>
              </fill>
            </x14:dxf>
          </x14:cfRule>
          <x14:cfRule type="notContainsText" priority="914" operator="notContains" id="{C84BFA51-58E0-9842-8EDB-A1FA0B87770F}">
            <xm:f>ISERROR(SEARCH("Value Missing",C53))</xm:f>
            <xm:f>"Value Missing"</xm:f>
            <x14:dxf>
              <font>
                <color rgb="FF006100"/>
              </font>
              <fill>
                <patternFill>
                  <bgColor rgb="FFC6EFCE"/>
                </patternFill>
              </fill>
            </x14:dxf>
          </x14:cfRule>
          <x14:cfRule type="containsText" priority="913" operator="containsText" id="{926AAFEA-7FCA-994D-B946-53CE66D75EFD}">
            <xm:f>NOT(ISERROR(SEARCH("Value Missing",C53)))</xm:f>
            <xm:f>"Value Missing"</xm:f>
            <x14:dxf>
              <font>
                <color rgb="FF9C0006"/>
              </font>
              <fill>
                <patternFill>
                  <bgColor rgb="FFFFC7CE"/>
                </patternFill>
              </fill>
            </x14:dxf>
          </x14:cfRule>
          <x14:cfRule type="notContainsText" priority="912" operator="notContains" id="{3581BA2D-7B69-0C48-A599-4BACB18667C5}">
            <xm:f>ISERROR(SEARCH("Value Missing",C53))</xm:f>
            <xm:f>"Value Missing"</xm:f>
            <x14:dxf>
              <font>
                <color rgb="FF006100"/>
              </font>
              <fill>
                <patternFill>
                  <bgColor rgb="FFC6EFCE"/>
                </patternFill>
              </fill>
            </x14:dxf>
          </x14:cfRule>
          <x14:cfRule type="containsText" priority="908" stopIfTrue="1" operator="containsText" id="{196DA387-4BB6-CF4F-B80D-AD3FB0D0A3B0}">
            <xm:f>NOT(ISERROR(SEARCH("Value Missing",C53)))</xm:f>
            <xm:f>"Value Missing"</xm:f>
            <x14:dxf>
              <font>
                <color rgb="FF0E223A"/>
              </font>
              <fill>
                <patternFill>
                  <bgColor rgb="FFFFBE29"/>
                </patternFill>
              </fill>
            </x14:dxf>
          </x14:cfRule>
          <xm:sqref>C53:C67 C138:C143</xm:sqref>
        </x14:conditionalFormatting>
        <x14:conditionalFormatting xmlns:xm="http://schemas.microsoft.com/office/excel/2006/main">
          <x14:cfRule type="containsText" priority="877" operator="containsText" id="{D97B9514-B4D5-004D-9C54-BB724F4063D6}">
            <xm:f>NOT(ISERROR(SEARCH("Value Missing",C71)))</xm:f>
            <xm:f>"Value Missing"</xm:f>
            <x14:dxf>
              <font>
                <color rgb="FF9C0006"/>
              </font>
              <fill>
                <patternFill>
                  <bgColor rgb="FFFFC7CE"/>
                </patternFill>
              </fill>
            </x14:dxf>
          </x14:cfRule>
          <xm:sqref>C71:C72 F125:F126 C217:C218 F172:F190</xm:sqref>
        </x14:conditionalFormatting>
        <x14:conditionalFormatting xmlns:xm="http://schemas.microsoft.com/office/excel/2006/main">
          <x14:cfRule type="notContainsText" priority="876" operator="notContains" id="{79AFC560-D2D4-A14E-A8FC-EED793E3FE0A}">
            <xm:f>ISERROR(SEARCH("Value Missing",C71))</xm:f>
            <xm:f>"Value Missing"</xm:f>
            <x14:dxf>
              <font>
                <color rgb="FF006100"/>
              </font>
              <fill>
                <patternFill>
                  <bgColor rgb="FFC6EFCE"/>
                </patternFill>
              </fill>
            </x14:dxf>
          </x14:cfRule>
          <xm:sqref>C71:C72 F125:F126 C217:C218</xm:sqref>
        </x14:conditionalFormatting>
        <x14:conditionalFormatting xmlns:xm="http://schemas.microsoft.com/office/excel/2006/main">
          <x14:cfRule type="notContainsText" priority="873" operator="notContains" id="{B90AA90A-F22C-9142-B488-C285EDBC0C8D}">
            <xm:f>ISERROR(SEARCH("Value Missing",C71))</xm:f>
            <xm:f>"Value Missing"</xm:f>
            <x14:dxf>
              <font>
                <color rgb="FF006100"/>
              </font>
              <fill>
                <patternFill>
                  <bgColor rgb="FFC6EFCE"/>
                </patternFill>
              </fill>
            </x14:dxf>
          </x14:cfRule>
          <x14:cfRule type="containsText" priority="874" operator="containsText" id="{42430647-ECE9-7145-89A7-D69739395044}">
            <xm:f>NOT(ISERROR(SEARCH("Value Missing",C71)))</xm:f>
            <xm:f>"Value Missing"</xm:f>
            <x14:dxf>
              <font>
                <color rgb="FF9C0006"/>
              </font>
              <fill>
                <patternFill>
                  <bgColor rgb="FFFFC7CE"/>
                </patternFill>
              </fill>
            </x14:dxf>
          </x14:cfRule>
          <xm:sqref>C71:C72 F125:F126</xm:sqref>
        </x14:conditionalFormatting>
        <x14:conditionalFormatting xmlns:xm="http://schemas.microsoft.com/office/excel/2006/main">
          <x14:cfRule type="notContainsText" priority="871" operator="notContains" id="{04B390F6-D85C-164A-B336-373BA07B0F8D}">
            <xm:f>ISERROR(SEARCH("Value Missing",C71))</xm:f>
            <xm:f>"Value Missing"</xm:f>
            <x14:dxf>
              <font>
                <color rgb="FF006100"/>
              </font>
              <fill>
                <patternFill>
                  <bgColor rgb="FFC6EFCE"/>
                </patternFill>
              </fill>
            </x14:dxf>
          </x14:cfRule>
          <x14:cfRule type="containsText" priority="867" stopIfTrue="1" operator="containsText" id="{AAD07D4C-68E8-0F44-BD3F-FF0FA10F7866}">
            <xm:f>NOT(ISERROR(SEARCH("Value Missing",C71)))</xm:f>
            <xm:f>"Value Missing"</xm:f>
            <x14:dxf>
              <font>
                <color rgb="FF0E223A"/>
              </font>
              <fill>
                <patternFill>
                  <bgColor rgb="FFFFBE29"/>
                </patternFill>
              </fill>
            </x14:dxf>
          </x14:cfRule>
          <x14:cfRule type="containsText" priority="872" operator="containsText" id="{E9A5B4EF-85A9-7B4C-B1A6-403A97BCAD7B}">
            <xm:f>NOT(ISERROR(SEARCH("Value Missing",C71)))</xm:f>
            <xm:f>"Value Missing"</xm:f>
            <x14:dxf>
              <font>
                <color rgb="FF9C0006"/>
              </font>
              <fill>
                <patternFill>
                  <bgColor rgb="FFFFC7CE"/>
                </patternFill>
              </fill>
            </x14:dxf>
          </x14:cfRule>
          <xm:sqref>C71:C72</xm:sqref>
        </x14:conditionalFormatting>
        <x14:conditionalFormatting xmlns:xm="http://schemas.microsoft.com/office/excel/2006/main">
          <x14:cfRule type="notContainsText" priority="901" operator="notContains" id="{5A60A5FE-8485-104F-A2E0-FEB93A7D9DBB}">
            <xm:f>ISERROR(SEARCH("Value Missing",C76))</xm:f>
            <xm:f>"Value Missing"</xm:f>
            <x14:dxf>
              <font>
                <color rgb="FF006100"/>
              </font>
              <fill>
                <patternFill>
                  <bgColor rgb="FFC6EFCE"/>
                </patternFill>
              </fill>
            </x14:dxf>
          </x14:cfRule>
          <x14:cfRule type="containsText" priority="906" operator="containsText" id="{F3346D9C-3186-D840-B3B4-43B296A6674A}">
            <xm:f>NOT(ISERROR(SEARCH("Value Missing",C76)))</xm:f>
            <xm:f>"Value Missing"</xm:f>
            <x14:dxf>
              <font>
                <color rgb="FF9C0006"/>
              </font>
              <fill>
                <patternFill>
                  <bgColor rgb="FFFFC7CE"/>
                </patternFill>
              </fill>
            </x14:dxf>
          </x14:cfRule>
          <x14:cfRule type="notContainsText" priority="904" operator="notContains" id="{1937B8B1-97B4-B04A-BE61-20FFCA336643}">
            <xm:f>ISERROR(SEARCH("Value Missing",C76))</xm:f>
            <xm:f>"Value Missing"</xm:f>
            <x14:dxf>
              <font>
                <color rgb="FF006100"/>
              </font>
              <fill>
                <patternFill>
                  <bgColor rgb="FFC6EFCE"/>
                </patternFill>
              </fill>
            </x14:dxf>
          </x14:cfRule>
          <x14:cfRule type="containsText" priority="902" operator="containsText" id="{624260A2-8D26-2848-8FBE-7AC80F2F21FB}">
            <xm:f>NOT(ISERROR(SEARCH("Value Missing",C76)))</xm:f>
            <xm:f>"Value Missing"</xm:f>
            <x14:dxf>
              <font>
                <color rgb="FF9C0006"/>
              </font>
              <fill>
                <patternFill>
                  <bgColor rgb="FFFFC7CE"/>
                </patternFill>
              </fill>
            </x14:dxf>
          </x14:cfRule>
          <xm:sqref>C76:C85</xm:sqref>
        </x14:conditionalFormatting>
        <x14:conditionalFormatting xmlns:xm="http://schemas.microsoft.com/office/excel/2006/main">
          <x14:cfRule type="containsText" priority="730" stopIfTrue="1" operator="containsText" id="{0E05923D-6B83-244F-BFB2-4896DDCFF4ED}">
            <xm:f>NOT(ISERROR(SEARCH("Value Missing",C76)))</xm:f>
            <xm:f>"Value Missing"</xm:f>
            <x14:dxf>
              <font>
                <color rgb="FF0E223A"/>
              </font>
              <fill>
                <patternFill>
                  <bgColor rgb="FFFFBE29"/>
                </patternFill>
              </fill>
            </x14:dxf>
          </x14:cfRule>
          <x14:cfRule type="containsText" priority="740" operator="containsText" id="{A8E1A3D0-401E-5A41-8700-6960D5A1FC10}">
            <xm:f>NOT(ISERROR(SEARCH("Value Missing",C76)))</xm:f>
            <xm:f>"Value Missing"</xm:f>
            <x14:dxf>
              <font>
                <color rgb="FF9C0006"/>
              </font>
              <fill>
                <patternFill>
                  <bgColor rgb="FFFFC7CE"/>
                </patternFill>
              </fill>
            </x14:dxf>
          </x14:cfRule>
          <x14:cfRule type="notContainsText" priority="739" operator="notContains" id="{7105B604-3591-9E4D-B0C5-52282E4EBF37}">
            <xm:f>ISERROR(SEARCH("Value Missing",C76))</xm:f>
            <xm:f>"Value Missing"</xm:f>
            <x14:dxf>
              <font>
                <color rgb="FF006100"/>
              </font>
              <fill>
                <patternFill>
                  <bgColor rgb="FFC6EFCE"/>
                </patternFill>
              </fill>
            </x14:dxf>
          </x14:cfRule>
          <xm:sqref>C76:C86</xm:sqref>
        </x14:conditionalFormatting>
        <x14:conditionalFormatting xmlns:xm="http://schemas.microsoft.com/office/excel/2006/main">
          <x14:cfRule type="containsText" priority="735" operator="containsText" id="{F249F13C-E21B-884B-AEA8-3AB1B4DE6913}">
            <xm:f>NOT(ISERROR(SEARCH("Value Missing",C86)))</xm:f>
            <xm:f>"Value Missing"</xm:f>
            <x14:dxf>
              <font>
                <color rgb="FF9C0006"/>
              </font>
              <fill>
                <patternFill>
                  <bgColor rgb="FFFFC7CE"/>
                </patternFill>
              </fill>
            </x14:dxf>
          </x14:cfRule>
          <x14:cfRule type="containsText" priority="737" operator="containsText" id="{463A4E4F-0B20-2F43-B440-772F3B3C8605}">
            <xm:f>NOT(ISERROR(SEARCH("Value Missing",C86)))</xm:f>
            <xm:f>"Value Missing"</xm:f>
            <x14:dxf>
              <font>
                <color rgb="FF9C0006"/>
              </font>
              <fill>
                <patternFill>
                  <bgColor rgb="FFFFC7CE"/>
                </patternFill>
              </fill>
            </x14:dxf>
          </x14:cfRule>
          <x14:cfRule type="notContainsText" priority="736" operator="notContains" id="{257C3015-6240-0D40-A432-B127EB87EC3B}">
            <xm:f>ISERROR(SEARCH("Value Missing",C86))</xm:f>
            <xm:f>"Value Missing"</xm:f>
            <x14:dxf>
              <font>
                <color rgb="FF006100"/>
              </font>
              <fill>
                <patternFill>
                  <bgColor rgb="FFC6EFCE"/>
                </patternFill>
              </fill>
            </x14:dxf>
          </x14:cfRule>
          <x14:cfRule type="notContainsText" priority="734" operator="notContains" id="{32E5BB4A-1E8B-4948-8734-1598C82BE990}">
            <xm:f>ISERROR(SEARCH("Value Missing",C86))</xm:f>
            <xm:f>"Value Missing"</xm:f>
            <x14:dxf>
              <font>
                <color rgb="FF006100"/>
              </font>
              <fill>
                <patternFill>
                  <bgColor rgb="FFC6EFCE"/>
                </patternFill>
              </fill>
            </x14:dxf>
          </x14:cfRule>
          <xm:sqref>C86</xm:sqref>
        </x14:conditionalFormatting>
        <x14:conditionalFormatting xmlns:xm="http://schemas.microsoft.com/office/excel/2006/main">
          <x14:cfRule type="notContainsText" priority="712" operator="notContains" id="{4EB59D7F-93B0-8646-91E7-0FBB95F1117B}">
            <xm:f>ISERROR(SEARCH("Value Missing",C76))</xm:f>
            <xm:f>"Value Missing"</xm:f>
            <x14:dxf>
              <font>
                <color rgb="FF006100"/>
              </font>
              <fill>
                <patternFill>
                  <bgColor rgb="FFC6EFCE"/>
                </patternFill>
              </fill>
            </x14:dxf>
          </x14:cfRule>
          <xm:sqref>C90 F96:F102 C114 F76 F84 F92</xm:sqref>
        </x14:conditionalFormatting>
        <x14:conditionalFormatting xmlns:xm="http://schemas.microsoft.com/office/excel/2006/main">
          <x14:cfRule type="containsText" priority="711" operator="containsText" id="{1E36EB2C-4AB3-8045-9B05-501F426AB83A}">
            <xm:f>NOT(ISERROR(SEARCH("Value Missing",C90)))</xm:f>
            <xm:f>"Value Missing"</xm:f>
            <x14:dxf>
              <font>
                <color rgb="FF9C0006"/>
              </font>
              <fill>
                <patternFill>
                  <bgColor rgb="FFFFC7CE"/>
                </patternFill>
              </fill>
            </x14:dxf>
          </x14:cfRule>
          <x14:cfRule type="notContainsText" priority="710" operator="notContains" id="{59CD631A-2E73-2148-8332-6717E5A6BCCF}">
            <xm:f>ISERROR(SEARCH("Value Missing",C90))</xm:f>
            <xm:f>"Value Missing"</xm:f>
            <x14:dxf>
              <font>
                <color rgb="FF006100"/>
              </font>
              <fill>
                <patternFill>
                  <bgColor rgb="FFC6EFCE"/>
                </patternFill>
              </fill>
            </x14:dxf>
          </x14:cfRule>
          <x14:cfRule type="containsText" priority="706" stopIfTrue="1" operator="containsText" id="{570B5BAF-613F-754C-B95A-DADE1FA8278E}">
            <xm:f>NOT(ISERROR(SEARCH("Value Missing",C90)))</xm:f>
            <xm:f>"Value Missing"</xm:f>
            <x14:dxf>
              <font>
                <color rgb="FF0E223A"/>
              </font>
              <fill>
                <patternFill>
                  <bgColor rgb="FFFFBE29"/>
                </patternFill>
              </fill>
            </x14:dxf>
          </x14:cfRule>
          <xm:sqref>C90 F96:F102 C114</xm:sqref>
        </x14:conditionalFormatting>
        <x14:conditionalFormatting xmlns:xm="http://schemas.microsoft.com/office/excel/2006/main">
          <x14:cfRule type="containsText" priority="505" operator="containsText" id="{7956EDE0-2BB6-F346-A2E3-3567D656FB65}">
            <xm:f>NOT(ISERROR(SEARCH("Value Missing",C138)))</xm:f>
            <xm:f>"Value Missing"</xm:f>
            <x14:dxf>
              <font>
                <color theme="1"/>
              </font>
              <fill>
                <patternFill>
                  <bgColor rgb="FFFFBE29"/>
                </patternFill>
              </fill>
            </x14:dxf>
          </x14:cfRule>
          <x14:cfRule type="containsText" priority="506" operator="containsText" id="{B8544281-BAF2-BA48-A545-8DD1DE0A408F}">
            <xm:f>NOT(ISERROR(SEARCH("Not Required",C138)))</xm:f>
            <xm:f>"Not Required"</xm:f>
            <x14:dxf>
              <font>
                <color theme="0"/>
              </font>
              <fill>
                <patternFill>
                  <bgColor rgb="FF4F5F69"/>
                </patternFill>
              </fill>
            </x14:dxf>
          </x14:cfRule>
          <xm:sqref>C138:C143</xm:sqref>
        </x14:conditionalFormatting>
        <x14:conditionalFormatting xmlns:xm="http://schemas.microsoft.com/office/excel/2006/main">
          <x14:cfRule type="containsText" priority="2167" operator="containsText" id="{3C982F0C-8AB8-8C4D-AA00-BD6BA6595FAE}">
            <xm:f>NOT(ISERROR(SEARCH("Value Missing",C192)))</xm:f>
            <xm:f>"Value Missing"</xm:f>
            <x14:dxf>
              <font>
                <color rgb="FF9C0006"/>
              </font>
              <fill>
                <patternFill>
                  <bgColor rgb="FFFFC7CE"/>
                </patternFill>
              </fill>
            </x14:dxf>
          </x14:cfRule>
          <xm:sqref>C192:C193</xm:sqref>
        </x14:conditionalFormatting>
        <x14:conditionalFormatting xmlns:xm="http://schemas.microsoft.com/office/excel/2006/main">
          <x14:cfRule type="notContainsText" priority="835" operator="notContains" id="{E762F261-B482-6D46-8323-FEB8B6636848}">
            <xm:f>ISERROR(SEARCH("Value Missing",C197))</xm:f>
            <xm:f>"Value Missing"</xm:f>
            <x14:dxf>
              <font>
                <color rgb="FF006100"/>
              </font>
              <fill>
                <patternFill>
                  <bgColor rgb="FFC6EFCE"/>
                </patternFill>
              </fill>
            </x14:dxf>
          </x14:cfRule>
          <x14:cfRule type="containsText" priority="831" stopIfTrue="1" operator="containsText" id="{D391F2F4-7E4D-8647-98B9-1F0269C8F1BF}">
            <xm:f>NOT(ISERROR(SEARCH("Value Missing",C197)))</xm:f>
            <xm:f>"Value Missing"</xm:f>
            <x14:dxf>
              <font>
                <color rgb="FF0E223A"/>
              </font>
              <fill>
                <patternFill>
                  <bgColor rgb="FFFFBE29"/>
                </patternFill>
              </fill>
            </x14:dxf>
          </x14:cfRule>
          <x14:cfRule type="containsText" priority="841" operator="containsText" id="{4BECE36B-CEA4-7C44-B78A-E738B7ACC849}">
            <xm:f>NOT(ISERROR(SEARCH("Value Missing",C197)))</xm:f>
            <xm:f>"Value Missing"</xm:f>
            <x14:dxf>
              <font>
                <color rgb="FF9C0006"/>
              </font>
              <fill>
                <patternFill>
                  <bgColor rgb="FFFFC7CE"/>
                </patternFill>
              </fill>
            </x14:dxf>
          </x14:cfRule>
          <x14:cfRule type="notContainsText" priority="840" operator="notContains" id="{D93929A9-AF2D-A149-A030-6B18FC5A9959}">
            <xm:f>ISERROR(SEARCH("Value Missing",C197))</xm:f>
            <xm:f>"Value Missing"</xm:f>
            <x14:dxf>
              <font>
                <color rgb="FF006100"/>
              </font>
              <fill>
                <patternFill>
                  <bgColor rgb="FFC6EFCE"/>
                </patternFill>
              </fill>
            </x14:dxf>
          </x14:cfRule>
          <x14:cfRule type="containsText" priority="838" operator="containsText" id="{6552ADF1-1F8F-394C-94E1-4953748E8DCC}">
            <xm:f>NOT(ISERROR(SEARCH("Value Missing",C197)))</xm:f>
            <xm:f>"Value Missing"</xm:f>
            <x14:dxf>
              <font>
                <color rgb="FF9C0006"/>
              </font>
              <fill>
                <patternFill>
                  <bgColor rgb="FFFFC7CE"/>
                </patternFill>
              </fill>
            </x14:dxf>
          </x14:cfRule>
          <x14:cfRule type="notContainsText" priority="837" operator="notContains" id="{58E0AF9F-8D1B-D14D-B42D-83C752E1E382}">
            <xm:f>ISERROR(SEARCH("Value Missing",C197))</xm:f>
            <xm:f>"Value Missing"</xm:f>
            <x14:dxf>
              <font>
                <color rgb="FF006100"/>
              </font>
              <fill>
                <patternFill>
                  <bgColor rgb="FFC6EFCE"/>
                </patternFill>
              </fill>
            </x14:dxf>
          </x14:cfRule>
          <x14:cfRule type="containsText" priority="836" operator="containsText" id="{8D5FC990-D1EB-6B42-A90B-A3E6DC24BD4E}">
            <xm:f>NOT(ISERROR(SEARCH("Value Missing",C197)))</xm:f>
            <xm:f>"Value Missing"</xm:f>
            <x14:dxf>
              <font>
                <color rgb="FF9C0006"/>
              </font>
              <fill>
                <patternFill>
                  <bgColor rgb="FFFFC7CE"/>
                </patternFill>
              </fill>
            </x14:dxf>
          </x14:cfRule>
          <xm:sqref>C197:C202</xm:sqref>
        </x14:conditionalFormatting>
        <x14:conditionalFormatting xmlns:xm="http://schemas.microsoft.com/office/excel/2006/main">
          <x14:cfRule type="notContainsText" priority="193" operator="notContains" id="{39A0F161-6FE3-1945-9E37-D1335634B6DE}">
            <xm:f>ISERROR(SEARCH("Value Missing",C136))</xm:f>
            <xm:f>"Value Missing"</xm:f>
            <x14:dxf>
              <font>
                <color rgb="FF006100"/>
              </font>
              <fill>
                <patternFill>
                  <bgColor rgb="FFC6EFCE"/>
                </patternFill>
              </fill>
            </x14:dxf>
          </x14:cfRule>
          <xm:sqref>C213:C218 F136:F137</xm:sqref>
        </x14:conditionalFormatting>
        <x14:conditionalFormatting xmlns:xm="http://schemas.microsoft.com/office/excel/2006/main">
          <x14:cfRule type="notContainsText" priority="191" operator="notContains" id="{FA7AE440-5247-9B4D-949A-C149C97646D8}">
            <xm:f>ISERROR(SEARCH("Value Missing",C215))</xm:f>
            <xm:f>"Value Missing"</xm:f>
            <x14:dxf>
              <font>
                <color rgb="FF006100"/>
              </font>
              <fill>
                <patternFill>
                  <bgColor rgb="FFC6EFCE"/>
                </patternFill>
              </fill>
            </x14:dxf>
          </x14:cfRule>
          <x14:cfRule type="containsText" priority="192" operator="containsText" id="{B15241BF-1597-354E-9C79-A31098E6FA6A}">
            <xm:f>NOT(ISERROR(SEARCH("Value Missing",C215)))</xm:f>
            <xm:f>"Value Missing"</xm:f>
            <x14:dxf>
              <font>
                <color rgb="FF9C0006"/>
              </font>
              <fill>
                <patternFill>
                  <bgColor rgb="FFFFC7CE"/>
                </patternFill>
              </fill>
            </x14:dxf>
          </x14:cfRule>
          <xm:sqref>C215:C216</xm:sqref>
        </x14:conditionalFormatting>
        <x14:conditionalFormatting xmlns:xm="http://schemas.microsoft.com/office/excel/2006/main">
          <x14:cfRule type="containsText" priority="187" stopIfTrue="1" operator="containsText" id="{6B22C62C-7BCD-6342-B033-FFA489954237}">
            <xm:f>NOT(ISERROR(SEARCH("Value Missing",C215)))</xm:f>
            <xm:f>"Value Missing"</xm:f>
            <x14:dxf>
              <font>
                <color rgb="FF0E223A"/>
              </font>
              <fill>
                <patternFill>
                  <bgColor rgb="FFFFBE29"/>
                </patternFill>
              </fill>
            </x14:dxf>
          </x14:cfRule>
          <xm:sqref>C215:C218</xm:sqref>
        </x14:conditionalFormatting>
        <x14:conditionalFormatting xmlns:xm="http://schemas.microsoft.com/office/excel/2006/main">
          <x14:cfRule type="containsText" priority="494" stopIfTrue="1" operator="containsText" id="{AAB2D5E8-39AB-8243-B1D2-12EFB0EC13A5}">
            <xm:f>NOT(ISERROR(SEARCH("Value Missing",C222)))</xm:f>
            <xm:f>"Value Missing"</xm:f>
            <x14:dxf>
              <font>
                <color rgb="FF0E223A"/>
              </font>
              <fill>
                <patternFill>
                  <bgColor rgb="FFFFBE29"/>
                </patternFill>
              </fill>
            </x14:dxf>
          </x14:cfRule>
          <xm:sqref>C222:C230</xm:sqref>
        </x14:conditionalFormatting>
        <x14:conditionalFormatting xmlns:xm="http://schemas.microsoft.com/office/excel/2006/main">
          <x14:cfRule type="notContainsText" priority="316" operator="notContains" id="{968D150F-81E8-2449-8AEB-6930E17413BE}">
            <xm:f>ISERROR(SEARCH("Value Missing",F7))</xm:f>
            <xm:f>"Value Missing"</xm:f>
            <x14:dxf>
              <font>
                <color rgb="FF006100"/>
              </font>
              <fill>
                <patternFill>
                  <bgColor rgb="FFC6EFCE"/>
                </patternFill>
              </fill>
            </x14:dxf>
          </x14:cfRule>
          <x14:cfRule type="containsText" priority="314" operator="containsText" id="{FF97526F-6F7D-8340-9FC5-4051A528C909}">
            <xm:f>NOT(ISERROR(SEARCH("Value Missing",F7)))</xm:f>
            <xm:f>"Value Missing"</xm:f>
            <x14:dxf>
              <font>
                <color rgb="FF9C0006"/>
              </font>
              <fill>
                <patternFill>
                  <bgColor rgb="FFFFC7CE"/>
                </patternFill>
              </fill>
            </x14:dxf>
          </x14:cfRule>
          <x14:cfRule type="notContainsText" priority="313" operator="notContains" id="{14F9C6DA-7200-CE46-BE31-1EE25008687D}">
            <xm:f>ISERROR(SEARCH("Value Missing",F7))</xm:f>
            <xm:f>"Value Missing"</xm:f>
            <x14:dxf>
              <font>
                <color rgb="FF006100"/>
              </font>
              <fill>
                <patternFill>
                  <bgColor rgb="FFC6EFCE"/>
                </patternFill>
              </fill>
            </x14:dxf>
          </x14:cfRule>
          <x14:cfRule type="containsText" priority="312" operator="containsText" id="{E0E43101-017D-B549-86E6-BF9DC08C89C7}">
            <xm:f>NOT(ISERROR(SEARCH("Value Missing",F7)))</xm:f>
            <xm:f>"Value Missing"</xm:f>
            <x14:dxf>
              <font>
                <color rgb="FF9C0006"/>
              </font>
              <fill>
                <patternFill>
                  <bgColor rgb="FFFFC7CE"/>
                </patternFill>
              </fill>
            </x14:dxf>
          </x14:cfRule>
          <x14:cfRule type="notContainsText" priority="311" operator="notContains" id="{C0FFE8DA-9F77-1541-BC32-A3BEE740433E}">
            <xm:f>ISERROR(SEARCH("Value Missing",F7))</xm:f>
            <xm:f>"Value Missing"</xm:f>
            <x14:dxf>
              <font>
                <color rgb="FF006100"/>
              </font>
              <fill>
                <patternFill>
                  <bgColor rgb="FFC6EFCE"/>
                </patternFill>
              </fill>
            </x14:dxf>
          </x14:cfRule>
          <x14:cfRule type="containsText" priority="307" stopIfTrue="1" operator="containsText" id="{4E21B07E-7D15-D042-92EF-AFF187178399}">
            <xm:f>NOT(ISERROR(SEARCH("Value Missing",F7)))</xm:f>
            <xm:f>"Value Missing"</xm:f>
            <x14:dxf>
              <font>
                <color rgb="FF0E223A"/>
              </font>
              <fill>
                <patternFill>
                  <bgColor rgb="FFFFBE29"/>
                </patternFill>
              </fill>
            </x14:dxf>
          </x14:cfRule>
          <x14:cfRule type="containsText" priority="317" operator="containsText" id="{CB5AC008-0440-C94D-8D94-226FD0686EAA}">
            <xm:f>NOT(ISERROR(SEARCH("Value Missing",F7)))</xm:f>
            <xm:f>"Value Missing"</xm:f>
            <x14:dxf>
              <font>
                <color rgb="FF9C0006"/>
              </font>
              <fill>
                <patternFill>
                  <bgColor rgb="FFFFC7CE"/>
                </patternFill>
              </fill>
            </x14:dxf>
          </x14:cfRule>
          <xm:sqref>F7:F9</xm:sqref>
        </x14:conditionalFormatting>
        <x14:conditionalFormatting xmlns:xm="http://schemas.microsoft.com/office/excel/2006/main">
          <x14:cfRule type="containsText" priority="802" operator="containsText" id="{E506C10D-59F6-804F-9E3D-DBAE8662DF0A}">
            <xm:f>NOT(ISERROR(SEARCH("Value Missing",F14)))</xm:f>
            <xm:f>"Value Missing"</xm:f>
            <x14:dxf>
              <font>
                <color rgb="FF9C0006"/>
              </font>
              <fill>
                <patternFill>
                  <bgColor rgb="FFFFC7CE"/>
                </patternFill>
              </fill>
            </x14:dxf>
          </x14:cfRule>
          <x14:cfRule type="containsText" priority="805" operator="containsText" id="{C95749B3-56CC-C24E-9A39-2943D867168A}">
            <xm:f>NOT(ISERROR(SEARCH("Value Missing",F14)))</xm:f>
            <xm:f>"Value Missing"</xm:f>
            <x14:dxf>
              <font>
                <color rgb="FF9C0006"/>
              </font>
              <fill>
                <patternFill>
                  <bgColor rgb="FFFFC7CE"/>
                </patternFill>
              </fill>
            </x14:dxf>
          </x14:cfRule>
          <x14:cfRule type="notContainsText" priority="801" operator="notContains" id="{42C51EFE-39D3-DE46-B2EB-323B8E5790C5}">
            <xm:f>ISERROR(SEARCH("Value Missing",F14))</xm:f>
            <xm:f>"Value Missing"</xm:f>
            <x14:dxf>
              <font>
                <color rgb="FF006100"/>
              </font>
              <fill>
                <patternFill>
                  <bgColor rgb="FFC6EFCE"/>
                </patternFill>
              </fill>
            </x14:dxf>
          </x14:cfRule>
          <x14:cfRule type="notContainsText" priority="804" operator="notContains" id="{C78C2299-FD0A-6342-ADAE-C35645A19501}">
            <xm:f>ISERROR(SEARCH("Value Missing",F14))</xm:f>
            <xm:f>"Value Missing"</xm:f>
            <x14:dxf>
              <font>
                <color rgb="FF006100"/>
              </font>
              <fill>
                <patternFill>
                  <bgColor rgb="FFC6EFCE"/>
                </patternFill>
              </fill>
            </x14:dxf>
          </x14:cfRule>
          <xm:sqref>F14:F22</xm:sqref>
        </x14:conditionalFormatting>
        <x14:conditionalFormatting xmlns:xm="http://schemas.microsoft.com/office/excel/2006/main">
          <x14:cfRule type="containsText" priority="747" stopIfTrue="1" operator="containsText" id="{EC9A5627-3971-E347-B376-9120302F676D}">
            <xm:f>NOT(ISERROR(SEARCH("Value Missing",F14)))</xm:f>
            <xm:f>"Value Missing"</xm:f>
            <x14:dxf>
              <font>
                <color rgb="FF0E223A"/>
              </font>
              <fill>
                <patternFill>
                  <bgColor rgb="FFFFBE29"/>
                </patternFill>
              </fill>
            </x14:dxf>
          </x14:cfRule>
          <x14:cfRule type="notContainsText" priority="756" operator="notContains" id="{E67E8BA7-387C-0C4B-B0AE-0F42B59B29F1}">
            <xm:f>ISERROR(SEARCH("Value Missing",F14))</xm:f>
            <xm:f>"Value Missing"</xm:f>
            <x14:dxf>
              <font>
                <color rgb="FF006100"/>
              </font>
              <fill>
                <patternFill>
                  <bgColor rgb="FFC6EFCE"/>
                </patternFill>
              </fill>
            </x14:dxf>
          </x14:cfRule>
          <x14:cfRule type="containsText" priority="757" operator="containsText" id="{0772AFB2-406C-7541-BF9E-ACBA0BFAA989}">
            <xm:f>NOT(ISERROR(SEARCH("Value Missing",F14)))</xm:f>
            <xm:f>"Value Missing"</xm:f>
            <x14:dxf>
              <font>
                <color rgb="FF9C0006"/>
              </font>
              <fill>
                <patternFill>
                  <bgColor rgb="FFFFC7CE"/>
                </patternFill>
              </fill>
            </x14:dxf>
          </x14:cfRule>
          <xm:sqref>F14:F26</xm:sqref>
        </x14:conditionalFormatting>
        <x14:conditionalFormatting xmlns:xm="http://schemas.microsoft.com/office/excel/2006/main">
          <x14:cfRule type="notContainsText" priority="751" operator="notContains" id="{74FBF562-78D8-D442-AE85-621F4A4C9E28}">
            <xm:f>ISERROR(SEARCH("Value Missing",F23))</xm:f>
            <xm:f>"Value Missing"</xm:f>
            <x14:dxf>
              <font>
                <color rgb="FF006100"/>
              </font>
              <fill>
                <patternFill>
                  <bgColor rgb="FFC6EFCE"/>
                </patternFill>
              </fill>
            </x14:dxf>
          </x14:cfRule>
          <x14:cfRule type="containsText" priority="752" operator="containsText" id="{83D43112-E9C0-1642-919A-4DBDAFF593B6}">
            <xm:f>NOT(ISERROR(SEARCH("Value Missing",F23)))</xm:f>
            <xm:f>"Value Missing"</xm:f>
            <x14:dxf>
              <font>
                <color rgb="FF9C0006"/>
              </font>
              <fill>
                <patternFill>
                  <bgColor rgb="FFFFC7CE"/>
                </patternFill>
              </fill>
            </x14:dxf>
          </x14:cfRule>
          <x14:cfRule type="notContainsText" priority="753" operator="notContains" id="{A5616C1D-439E-E24E-89A0-D8D42A7BB084}">
            <xm:f>ISERROR(SEARCH("Value Missing",F23))</xm:f>
            <xm:f>"Value Missing"</xm:f>
            <x14:dxf>
              <font>
                <color rgb="FF006100"/>
              </font>
              <fill>
                <patternFill>
                  <bgColor rgb="FFC6EFCE"/>
                </patternFill>
              </fill>
            </x14:dxf>
          </x14:cfRule>
          <x14:cfRule type="containsText" priority="754" operator="containsText" id="{DB5F6F4E-5082-944D-941E-A09994BA5EC5}">
            <xm:f>NOT(ISERROR(SEARCH("Value Missing",F23)))</xm:f>
            <xm:f>"Value Missing"</xm:f>
            <x14:dxf>
              <font>
                <color rgb="FF9C0006"/>
              </font>
              <fill>
                <patternFill>
                  <bgColor rgb="FFFFC7CE"/>
                </patternFill>
              </fill>
            </x14:dxf>
          </x14:cfRule>
          <xm:sqref>F23:F26</xm:sqref>
        </x14:conditionalFormatting>
        <x14:conditionalFormatting xmlns:xm="http://schemas.microsoft.com/office/excel/2006/main">
          <x14:cfRule type="containsText" priority="769" operator="containsText" id="{74109180-CE81-574B-B64D-35E64CD32ED9}">
            <xm:f>NOT(ISERROR(SEARCH("Value Missing",F30)))</xm:f>
            <xm:f>"Value Missing"</xm:f>
            <x14:dxf>
              <font>
                <color rgb="FF9C0006"/>
              </font>
              <fill>
                <patternFill>
                  <bgColor rgb="FFFFC7CE"/>
                </patternFill>
              </fill>
            </x14:dxf>
          </x14:cfRule>
          <x14:cfRule type="notContainsText" priority="825" operator="notContains" id="{E5DBC4C5-00AA-B649-A28C-0870C92A66C0}">
            <xm:f>ISERROR(SEARCH("Value Missing",F30))</xm:f>
            <xm:f>"Value Missing"</xm:f>
            <x14:dxf>
              <font>
                <color rgb="FF006100"/>
              </font>
              <fill>
                <patternFill>
                  <bgColor rgb="FFC6EFCE"/>
                </patternFill>
              </fill>
            </x14:dxf>
          </x14:cfRule>
          <x14:cfRule type="notContainsText" priority="828" operator="notContains" id="{0B8C9671-9DEC-5F4E-AB9C-CDEA3110C87B}">
            <xm:f>ISERROR(SEARCH("Value Missing",F30))</xm:f>
            <xm:f>"Value Missing"</xm:f>
            <x14:dxf>
              <font>
                <color rgb="FF006100"/>
              </font>
              <fill>
                <patternFill>
                  <bgColor rgb="FFC6EFCE"/>
                </patternFill>
              </fill>
            </x14:dxf>
          </x14:cfRule>
          <x14:cfRule type="containsText" priority="829" operator="containsText" id="{0B9AEB32-8111-E547-85CA-573C6398EBFA}">
            <xm:f>NOT(ISERROR(SEARCH("Value Missing",F30)))</xm:f>
            <xm:f>"Value Missing"</xm:f>
            <x14:dxf>
              <font>
                <color rgb="FF9C0006"/>
              </font>
              <fill>
                <patternFill>
                  <bgColor rgb="FFFFC7CE"/>
                </patternFill>
              </fill>
            </x14:dxf>
          </x14:cfRule>
          <x14:cfRule type="containsText" priority="759" stopIfTrue="1" operator="containsText" id="{D5554595-3F99-2241-81C2-2A49DA46B8FF}">
            <xm:f>NOT(ISERROR(SEARCH("Value Missing",F30)))</xm:f>
            <xm:f>"Value Missing"</xm:f>
            <x14:dxf>
              <font>
                <color rgb="FF0E223A"/>
              </font>
              <fill>
                <patternFill>
                  <bgColor rgb="FFFFBE29"/>
                </patternFill>
              </fill>
            </x14:dxf>
          </x14:cfRule>
          <x14:cfRule type="notContainsText" priority="768" operator="notContains" id="{88573A82-EE49-ED45-80C5-380097257823}">
            <xm:f>ISERROR(SEARCH("Value Missing",F30))</xm:f>
            <xm:f>"Value Missing"</xm:f>
            <x14:dxf>
              <font>
                <color rgb="FF006100"/>
              </font>
              <fill>
                <patternFill>
                  <bgColor rgb="FFC6EFCE"/>
                </patternFill>
              </fill>
            </x14:dxf>
          </x14:cfRule>
          <x14:cfRule type="containsText" priority="826" operator="containsText" id="{AC6DD4B5-BE77-8D4E-A58D-523533198F4F}">
            <xm:f>NOT(ISERROR(SEARCH("Value Missing",F30)))</xm:f>
            <xm:f>"Value Missing"</xm:f>
            <x14:dxf>
              <font>
                <color rgb="FF9C0006"/>
              </font>
              <fill>
                <patternFill>
                  <bgColor rgb="FFFFC7CE"/>
                </patternFill>
              </fill>
            </x14:dxf>
          </x14:cfRule>
          <xm:sqref>F30:F39</xm:sqref>
        </x14:conditionalFormatting>
        <x14:conditionalFormatting xmlns:xm="http://schemas.microsoft.com/office/excel/2006/main">
          <x14:cfRule type="notContainsText" priority="816" operator="notContains" id="{DAD5F391-609A-C04F-B39F-44B5DA2760CF}">
            <xm:f>ISERROR(SEARCH("Value Missing",F43))</xm:f>
            <xm:f>"Value Missing"</xm:f>
            <x14:dxf>
              <font>
                <color rgb="FF006100"/>
              </font>
              <fill>
                <patternFill>
                  <bgColor rgb="FFC6EFCE"/>
                </patternFill>
              </fill>
            </x14:dxf>
          </x14:cfRule>
          <x14:cfRule type="containsText" priority="814" operator="containsText" id="{2006484F-A190-444A-B468-2826CE7F0A48}">
            <xm:f>NOT(ISERROR(SEARCH("Value Missing",F43)))</xm:f>
            <xm:f>"Value Missing"</xm:f>
            <x14:dxf>
              <font>
                <color rgb="FF9C0006"/>
              </font>
              <fill>
                <patternFill>
                  <bgColor rgb="FFFFC7CE"/>
                </patternFill>
              </fill>
            </x14:dxf>
          </x14:cfRule>
          <x14:cfRule type="notContainsText" priority="813" operator="notContains" id="{136DB6B7-52E5-EC44-B8DB-44315DBD6FB9}">
            <xm:f>ISERROR(SEARCH("Value Missing",F43))</xm:f>
            <xm:f>"Value Missing"</xm:f>
            <x14:dxf>
              <font>
                <color rgb="FF006100"/>
              </font>
              <fill>
                <patternFill>
                  <bgColor rgb="FFC6EFCE"/>
                </patternFill>
              </fill>
            </x14:dxf>
          </x14:cfRule>
          <x14:cfRule type="containsText" priority="817" operator="containsText" id="{315CB6B8-3CB0-8A46-9CCE-CD36E2ED48BB}">
            <xm:f>NOT(ISERROR(SEARCH("Value Missing",F43)))</xm:f>
            <xm:f>"Value Missing"</xm:f>
            <x14:dxf>
              <font>
                <color rgb="FF9C0006"/>
              </font>
              <fill>
                <patternFill>
                  <bgColor rgb="FFFFC7CE"/>
                </patternFill>
              </fill>
            </x14:dxf>
          </x14:cfRule>
          <xm:sqref>F43:F47</xm:sqref>
        </x14:conditionalFormatting>
        <x14:conditionalFormatting xmlns:xm="http://schemas.microsoft.com/office/excel/2006/main">
          <x14:cfRule type="notContainsText" priority="792" operator="notContains" id="{0FD8E007-A4C3-E745-A6FB-02C3ECF29367}">
            <xm:f>ISERROR(SEARCH("Value Missing",F43))</xm:f>
            <xm:f>"Value Missing"</xm:f>
            <x14:dxf>
              <font>
                <color rgb="FF006100"/>
              </font>
              <fill>
                <patternFill>
                  <bgColor rgb="FFC6EFCE"/>
                </patternFill>
              </fill>
            </x14:dxf>
          </x14:cfRule>
          <x14:cfRule type="containsText" priority="793" operator="containsText" id="{9FB6CFAF-041C-1045-8CD3-E628C26A330E}">
            <xm:f>NOT(ISERROR(SEARCH("Value Missing",F43)))</xm:f>
            <xm:f>"Value Missing"</xm:f>
            <x14:dxf>
              <font>
                <color rgb="FF9C0006"/>
              </font>
              <fill>
                <patternFill>
                  <bgColor rgb="FFFFC7CE"/>
                </patternFill>
              </fill>
            </x14:dxf>
          </x14:cfRule>
          <x14:cfRule type="containsText" priority="771" stopIfTrue="1" operator="containsText" id="{1B21DC2B-871D-D24C-BE67-CBF19A3125C1}">
            <xm:f>NOT(ISERROR(SEARCH("Value Missing",F43)))</xm:f>
            <xm:f>"Value Missing"</xm:f>
            <x14:dxf>
              <font>
                <color rgb="FF0E223A"/>
              </font>
              <fill>
                <patternFill>
                  <bgColor rgb="FFFFBE29"/>
                </patternFill>
              </fill>
            </x14:dxf>
          </x14:cfRule>
          <xm:sqref>F43:F54</xm:sqref>
        </x14:conditionalFormatting>
        <x14:conditionalFormatting xmlns:xm="http://schemas.microsoft.com/office/excel/2006/main">
          <x14:cfRule type="containsText" priority="790" operator="containsText" id="{1BED8F98-7EEC-3042-8D32-973CFB065CFB}">
            <xm:f>NOT(ISERROR(SEARCH("Value Missing",F48)))</xm:f>
            <xm:f>"Value Missing"</xm:f>
            <x14:dxf>
              <font>
                <color rgb="FF9C0006"/>
              </font>
              <fill>
                <patternFill>
                  <bgColor rgb="FFFFC7CE"/>
                </patternFill>
              </fill>
            </x14:dxf>
          </x14:cfRule>
          <x14:cfRule type="notContainsText" priority="789" operator="notContains" id="{EC35381F-A5B8-BE4D-9395-AE016BBA6C0E}">
            <xm:f>ISERROR(SEARCH("Value Missing",F48))</xm:f>
            <xm:f>"Value Missing"</xm:f>
            <x14:dxf>
              <font>
                <color rgb="FF006100"/>
              </font>
              <fill>
                <patternFill>
                  <bgColor rgb="FFC6EFCE"/>
                </patternFill>
              </fill>
            </x14:dxf>
          </x14:cfRule>
          <x14:cfRule type="containsText" priority="781" operator="containsText" id="{6C55E7D3-6A19-7E47-B165-A77F8A917B60}">
            <xm:f>NOT(ISERROR(SEARCH("Value Missing",F48)))</xm:f>
            <xm:f>"Value Missing"</xm:f>
            <x14:dxf>
              <font>
                <color rgb="FF9C0006"/>
              </font>
              <fill>
                <patternFill>
                  <bgColor rgb="FFFFC7CE"/>
                </patternFill>
              </fill>
            </x14:dxf>
          </x14:cfRule>
          <x14:cfRule type="notContainsText" priority="780" operator="notContains" id="{BD5945AF-7542-E042-9F70-2C6486995429}">
            <xm:f>ISERROR(SEARCH("Value Missing",F48))</xm:f>
            <xm:f>"Value Missing"</xm:f>
            <x14:dxf>
              <font>
                <color rgb="FF006100"/>
              </font>
              <fill>
                <patternFill>
                  <bgColor rgb="FFC6EFCE"/>
                </patternFill>
              </fill>
            </x14:dxf>
          </x14:cfRule>
          <xm:sqref>F48:F54</xm:sqref>
        </x14:conditionalFormatting>
        <x14:conditionalFormatting xmlns:xm="http://schemas.microsoft.com/office/excel/2006/main">
          <x14:cfRule type="notContainsText" priority="638" operator="notContains" id="{3CEC03A8-1D80-AF46-AB21-EFAA3FC3A28C}">
            <xm:f>ISERROR(SEARCH("Value Missing",F58))</xm:f>
            <xm:f>"Value Missing"</xm:f>
            <x14:dxf>
              <font>
                <color rgb="FF006100"/>
              </font>
              <fill>
                <patternFill>
                  <bgColor rgb="FFC6EFCE"/>
                </patternFill>
              </fill>
            </x14:dxf>
          </x14:cfRule>
          <x14:cfRule type="containsText" priority="639" operator="containsText" id="{A88A29C9-00BC-7848-BE38-F5A3A4FB5A6A}">
            <xm:f>NOT(ISERROR(SEARCH("Value Missing",F58)))</xm:f>
            <xm:f>"Value Missing"</xm:f>
            <x14:dxf>
              <font>
                <color rgb="FF9C0006"/>
              </font>
              <fill>
                <patternFill>
                  <bgColor rgb="FFFFC7CE"/>
                </patternFill>
              </fill>
            </x14:dxf>
          </x14:cfRule>
          <x14:cfRule type="notContainsText" priority="640" operator="notContains" id="{61E62E14-CBA6-9B4C-95CE-056AC7F58B96}">
            <xm:f>ISERROR(SEARCH("Value Missing",F58))</xm:f>
            <xm:f>"Value Missing"</xm:f>
            <x14:dxf>
              <font>
                <color rgb="FF006100"/>
              </font>
              <fill>
                <patternFill>
                  <bgColor rgb="FFC6EFCE"/>
                </patternFill>
              </fill>
            </x14:dxf>
          </x14:cfRule>
          <x14:cfRule type="containsText" priority="641" operator="containsText" id="{473A590D-D2E3-AF4B-AB50-911859437B73}">
            <xm:f>NOT(ISERROR(SEARCH("Value Missing",F58)))</xm:f>
            <xm:f>"Value Missing"</xm:f>
            <x14:dxf>
              <font>
                <color rgb="FF9C0006"/>
              </font>
              <fill>
                <patternFill>
                  <bgColor rgb="FFFFC7CE"/>
                </patternFill>
              </fill>
            </x14:dxf>
          </x14:cfRule>
          <xm:sqref>F58</xm:sqref>
        </x14:conditionalFormatting>
        <x14:conditionalFormatting xmlns:xm="http://schemas.microsoft.com/office/excel/2006/main">
          <x14:cfRule type="containsText" priority="634" stopIfTrue="1" operator="containsText" id="{4A81713B-DF26-B64C-B561-0268F33945D4}">
            <xm:f>NOT(ISERROR(SEARCH("Value Missing",F58)))</xm:f>
            <xm:f>"Value Missing"</xm:f>
            <x14:dxf>
              <font>
                <color rgb="FF0E223A"/>
              </font>
              <fill>
                <patternFill>
                  <bgColor rgb="FFFFBE29"/>
                </patternFill>
              </fill>
            </x14:dxf>
          </x14:cfRule>
          <x14:cfRule type="containsText" priority="644" operator="containsText" id="{A2FC2F74-DE7B-7941-86C0-F393025D0933}">
            <xm:f>NOT(ISERROR(SEARCH("Value Missing",F58)))</xm:f>
            <xm:f>"Value Missing"</xm:f>
            <x14:dxf>
              <font>
                <color rgb="FF9C0006"/>
              </font>
              <fill>
                <patternFill>
                  <bgColor rgb="FFFFC7CE"/>
                </patternFill>
              </fill>
            </x14:dxf>
          </x14:cfRule>
          <x14:cfRule type="notContainsText" priority="643" operator="notContains" id="{4DC0A6C7-BDF4-5F45-A1D0-53E691B9B47A}">
            <xm:f>ISERROR(SEARCH("Value Missing",F58))</xm:f>
            <xm:f>"Value Missing"</xm:f>
            <x14:dxf>
              <font>
                <color rgb="FF006100"/>
              </font>
              <fill>
                <patternFill>
                  <bgColor rgb="FFC6EFCE"/>
                </patternFill>
              </fill>
            </x14:dxf>
          </x14:cfRule>
          <xm:sqref>F58:F59</xm:sqref>
        </x14:conditionalFormatting>
        <x14:conditionalFormatting xmlns:xm="http://schemas.microsoft.com/office/excel/2006/main">
          <x14:cfRule type="notContainsText" priority="652" operator="notContains" id="{AAAD6AE0-B21C-BE43-AC31-1DF6A85D4B69}">
            <xm:f>ISERROR(SEARCH("Value Missing",F59))</xm:f>
            <xm:f>"Value Missing"</xm:f>
            <x14:dxf>
              <font>
                <color rgb="FF006100"/>
              </font>
              <fill>
                <patternFill>
                  <bgColor rgb="FFC6EFCE"/>
                </patternFill>
              </fill>
            </x14:dxf>
          </x14:cfRule>
          <x14:cfRule type="containsText" priority="653" operator="containsText" id="{176F63A2-4834-B34F-B149-8EC727F22ED2}">
            <xm:f>NOT(ISERROR(SEARCH("Value Missing",F59)))</xm:f>
            <xm:f>"Value Missing"</xm:f>
            <x14:dxf>
              <font>
                <color rgb="FF9C0006"/>
              </font>
              <fill>
                <patternFill>
                  <bgColor rgb="FFFFC7CE"/>
                </patternFill>
              </fill>
            </x14:dxf>
          </x14:cfRule>
          <x14:cfRule type="notContainsText" priority="655" operator="notContains" id="{13EDBBDE-7781-A244-A073-99E4ED965385}">
            <xm:f>ISERROR(SEARCH("Value Missing",F59))</xm:f>
            <xm:f>"Value Missing"</xm:f>
            <x14:dxf>
              <font>
                <color rgb="FF006100"/>
              </font>
              <fill>
                <patternFill>
                  <bgColor rgb="FFC6EFCE"/>
                </patternFill>
              </fill>
            </x14:dxf>
          </x14:cfRule>
          <x14:cfRule type="containsText" priority="656" operator="containsText" id="{7A88FE85-0F69-D543-9360-E92DAE814A09}">
            <xm:f>NOT(ISERROR(SEARCH("Value Missing",F59)))</xm:f>
            <xm:f>"Value Missing"</xm:f>
            <x14:dxf>
              <font>
                <color rgb="FF9C0006"/>
              </font>
              <fill>
                <patternFill>
                  <bgColor rgb="FFFFC7CE"/>
                </patternFill>
              </fill>
            </x14:dxf>
          </x14:cfRule>
          <xm:sqref>F59</xm:sqref>
        </x14:conditionalFormatting>
        <x14:conditionalFormatting xmlns:xm="http://schemas.microsoft.com/office/excel/2006/main">
          <x14:cfRule type="containsText" priority="295" stopIfTrue="1" operator="containsText" id="{870E8A49-7D20-384D-8700-E54C8CE51CDD}">
            <xm:f>NOT(ISERROR(SEARCH("Value Missing",F63)))</xm:f>
            <xm:f>"Value Missing"</xm:f>
            <x14:dxf>
              <font>
                <color rgb="FF0E223A"/>
              </font>
              <fill>
                <patternFill>
                  <bgColor rgb="FFFFBE29"/>
                </patternFill>
              </fill>
            </x14:dxf>
          </x14:cfRule>
          <x14:cfRule type="notContainsText" priority="299" operator="notContains" id="{27C1761D-A317-954D-A2C0-BC416363DD98}">
            <xm:f>ISERROR(SEARCH("Value Missing",F63))</xm:f>
            <xm:f>"Value Missing"</xm:f>
            <x14:dxf>
              <font>
                <color rgb="FF006100"/>
              </font>
              <fill>
                <patternFill>
                  <bgColor rgb="FFC6EFCE"/>
                </patternFill>
              </fill>
            </x14:dxf>
          </x14:cfRule>
          <x14:cfRule type="containsText" priority="305" operator="containsText" id="{B1CBBD35-0659-2D42-8EF4-D24FEC10CFA1}">
            <xm:f>NOT(ISERROR(SEARCH("Value Missing",F63)))</xm:f>
            <xm:f>"Value Missing"</xm:f>
            <x14:dxf>
              <font>
                <color rgb="FF9C0006"/>
              </font>
              <fill>
                <patternFill>
                  <bgColor rgb="FFFFC7CE"/>
                </patternFill>
              </fill>
            </x14:dxf>
          </x14:cfRule>
          <x14:cfRule type="notContainsText" priority="304" operator="notContains" id="{B12ACCC1-709E-394F-9B62-EF3E8D0548C1}">
            <xm:f>ISERROR(SEARCH("Value Missing",F63))</xm:f>
            <xm:f>"Value Missing"</xm:f>
            <x14:dxf>
              <font>
                <color rgb="FF006100"/>
              </font>
              <fill>
                <patternFill>
                  <bgColor rgb="FFC6EFCE"/>
                </patternFill>
              </fill>
            </x14:dxf>
          </x14:cfRule>
          <x14:cfRule type="containsText" priority="302" operator="containsText" id="{CCFF7EE0-69BB-AB43-8A26-46B1F17BB5AC}">
            <xm:f>NOT(ISERROR(SEARCH("Value Missing",F63)))</xm:f>
            <xm:f>"Value Missing"</xm:f>
            <x14:dxf>
              <font>
                <color rgb="FF9C0006"/>
              </font>
              <fill>
                <patternFill>
                  <bgColor rgb="FFFFC7CE"/>
                </patternFill>
              </fill>
            </x14:dxf>
          </x14:cfRule>
          <x14:cfRule type="notContainsText" priority="301" operator="notContains" id="{67583196-EC67-CF47-8D59-707EC6651B79}">
            <xm:f>ISERROR(SEARCH("Value Missing",F63))</xm:f>
            <xm:f>"Value Missing"</xm:f>
            <x14:dxf>
              <font>
                <color rgb="FF006100"/>
              </font>
              <fill>
                <patternFill>
                  <bgColor rgb="FFC6EFCE"/>
                </patternFill>
              </fill>
            </x14:dxf>
          </x14:cfRule>
          <x14:cfRule type="containsText" priority="300" operator="containsText" id="{A1607C7F-5675-4D44-B088-293A208AA93A}">
            <xm:f>NOT(ISERROR(SEARCH("Value Missing",F63)))</xm:f>
            <xm:f>"Value Missing"</xm:f>
            <x14:dxf>
              <font>
                <color rgb="FF9C0006"/>
              </font>
              <fill>
                <patternFill>
                  <bgColor rgb="FFFFC7CE"/>
                </patternFill>
              </fill>
            </x14:dxf>
          </x14:cfRule>
          <xm:sqref>F63:F64</xm:sqref>
        </x14:conditionalFormatting>
        <x14:conditionalFormatting xmlns:xm="http://schemas.microsoft.com/office/excel/2006/main">
          <x14:cfRule type="notContainsText" priority="263" operator="notContains" id="{D13D7E3D-5AFB-994B-9F08-81379064B6E1}">
            <xm:f>ISERROR(SEARCH("Value Missing",F68))</xm:f>
            <xm:f>"Value Missing"</xm:f>
            <x14:dxf>
              <font>
                <color rgb="FF006100"/>
              </font>
              <fill>
                <patternFill>
                  <bgColor rgb="FFC6EFCE"/>
                </patternFill>
              </fill>
            </x14:dxf>
          </x14:cfRule>
          <x14:cfRule type="containsText" priority="264" operator="containsText" id="{D1934ED7-620A-9140-9D28-4500A1E21297}">
            <xm:f>NOT(ISERROR(SEARCH("Value Missing",F68)))</xm:f>
            <xm:f>"Value Missing"</xm:f>
            <x14:dxf>
              <font>
                <color rgb="FF9C0006"/>
              </font>
              <fill>
                <patternFill>
                  <bgColor rgb="FFFFC7CE"/>
                </patternFill>
              </fill>
            </x14:dxf>
          </x14:cfRule>
          <x14:cfRule type="notContainsText" priority="268" operator="notContains" id="{D7EAFDC5-35C3-7C4D-A496-F141DD7DC69E}">
            <xm:f>ISERROR(SEARCH("Value Missing",F68))</xm:f>
            <xm:f>"Value Missing"</xm:f>
            <x14:dxf>
              <font>
                <color rgb="FF006100"/>
              </font>
              <fill>
                <patternFill>
                  <bgColor rgb="FFC6EFCE"/>
                </patternFill>
              </fill>
            </x14:dxf>
          </x14:cfRule>
          <x14:cfRule type="containsText" priority="269" operator="containsText" id="{F45A42B4-1C8A-F946-B151-397979B40698}">
            <xm:f>NOT(ISERROR(SEARCH("Value Missing",F68)))</xm:f>
            <xm:f>"Value Missing"</xm:f>
            <x14:dxf>
              <font>
                <color rgb="FF9C0006"/>
              </font>
              <fill>
                <patternFill>
                  <bgColor rgb="FFFFC7CE"/>
                </patternFill>
              </fill>
            </x14:dxf>
          </x14:cfRule>
          <x14:cfRule type="notContainsText" priority="265" operator="notContains" id="{B7306FA1-5EEE-0844-A934-400A057E3757}">
            <xm:f>ISERROR(SEARCH("Value Missing",F68))</xm:f>
            <xm:f>"Value Missing"</xm:f>
            <x14:dxf>
              <font>
                <color rgb="FF006100"/>
              </font>
              <fill>
                <patternFill>
                  <bgColor rgb="FFC6EFCE"/>
                </patternFill>
              </fill>
            </x14:dxf>
          </x14:cfRule>
          <x14:cfRule type="containsText" priority="259" stopIfTrue="1" operator="containsText" id="{1809050F-1092-2F47-B7D6-C5D65903F406}">
            <xm:f>NOT(ISERROR(SEARCH("Value Missing",F68)))</xm:f>
            <xm:f>"Value Missing"</xm:f>
            <x14:dxf>
              <font>
                <color rgb="FF0E223A"/>
              </font>
              <fill>
                <patternFill>
                  <bgColor rgb="FFFFBE29"/>
                </patternFill>
              </fill>
            </x14:dxf>
          </x14:cfRule>
          <x14:cfRule type="containsText" priority="266" operator="containsText" id="{F2DA44A5-A822-554C-8444-17AEB93C5BED}">
            <xm:f>NOT(ISERROR(SEARCH("Value Missing",F68)))</xm:f>
            <xm:f>"Value Missing"</xm:f>
            <x14:dxf>
              <font>
                <color rgb="FF9C0006"/>
              </font>
              <fill>
                <patternFill>
                  <bgColor rgb="FFFFC7CE"/>
                </patternFill>
              </fill>
            </x14:dxf>
          </x14:cfRule>
          <xm:sqref>F68</xm:sqref>
        </x14:conditionalFormatting>
        <x14:conditionalFormatting xmlns:xm="http://schemas.microsoft.com/office/excel/2006/main">
          <x14:cfRule type="containsText" priority="254" operator="containsText" id="{0CAB5667-A35D-444F-B672-1DC5F05F5281}">
            <xm:f>NOT(ISERROR(SEARCH("Value Missing",F70)))</xm:f>
            <xm:f>"Value Missing"</xm:f>
            <x14:dxf>
              <font>
                <color rgb="FF9C0006"/>
              </font>
              <fill>
                <patternFill>
                  <bgColor rgb="FFFFC7CE"/>
                </patternFill>
              </fill>
            </x14:dxf>
          </x14:cfRule>
          <x14:cfRule type="notContainsText" priority="253" operator="notContains" id="{669CEAB7-33D3-5D4E-BDC7-5054463B398F}">
            <xm:f>ISERROR(SEARCH("Value Missing",F70))</xm:f>
            <xm:f>"Value Missing"</xm:f>
            <x14:dxf>
              <font>
                <color rgb="FF006100"/>
              </font>
              <fill>
                <patternFill>
                  <bgColor rgb="FFC6EFCE"/>
                </patternFill>
              </fill>
            </x14:dxf>
          </x14:cfRule>
          <x14:cfRule type="containsText" priority="252" operator="containsText" id="{25E2510B-B5A3-B340-B0F0-BFF4D1F85D3C}">
            <xm:f>NOT(ISERROR(SEARCH("Value Missing",F70)))</xm:f>
            <xm:f>"Value Missing"</xm:f>
            <x14:dxf>
              <font>
                <color rgb="FF9C0006"/>
              </font>
              <fill>
                <patternFill>
                  <bgColor rgb="FFFFC7CE"/>
                </patternFill>
              </fill>
            </x14:dxf>
          </x14:cfRule>
          <x14:cfRule type="notContainsText" priority="251" operator="notContains" id="{B18A591B-B3CE-864D-84DC-7910560A0705}">
            <xm:f>ISERROR(SEARCH("Value Missing",F70))</xm:f>
            <xm:f>"Value Missing"</xm:f>
            <x14:dxf>
              <font>
                <color rgb="FF006100"/>
              </font>
              <fill>
                <patternFill>
                  <bgColor rgb="FFC6EFCE"/>
                </patternFill>
              </fill>
            </x14:dxf>
          </x14:cfRule>
          <xm:sqref>F70:F75</xm:sqref>
        </x14:conditionalFormatting>
        <x14:conditionalFormatting xmlns:xm="http://schemas.microsoft.com/office/excel/2006/main">
          <x14:cfRule type="containsText" priority="257" operator="containsText" id="{EC5839D8-9C7D-DE4E-A685-167169CC417A}">
            <xm:f>NOT(ISERROR(SEARCH("Value Missing",F70)))</xm:f>
            <xm:f>"Value Missing"</xm:f>
            <x14:dxf>
              <font>
                <color rgb="FF9C0006"/>
              </font>
              <fill>
                <patternFill>
                  <bgColor rgb="FFFFC7CE"/>
                </patternFill>
              </fill>
            </x14:dxf>
          </x14:cfRule>
          <x14:cfRule type="notContainsText" priority="256" operator="notContains" id="{95D4EA8F-B238-A141-960C-3D99C2256876}">
            <xm:f>ISERROR(SEARCH("Value Missing",F70))</xm:f>
            <xm:f>"Value Missing"</xm:f>
            <x14:dxf>
              <font>
                <color rgb="FF006100"/>
              </font>
              <fill>
                <patternFill>
                  <bgColor rgb="FFC6EFCE"/>
                </patternFill>
              </fill>
            </x14:dxf>
          </x14:cfRule>
          <x14:cfRule type="containsText" priority="247" stopIfTrue="1" operator="containsText" id="{C8D28008-C104-A14E-AF51-103FC3577CEF}">
            <xm:f>NOT(ISERROR(SEARCH("Value Missing",F70)))</xm:f>
            <xm:f>"Value Missing"</xm:f>
            <x14:dxf>
              <font>
                <color rgb="FF0E223A"/>
              </font>
              <fill>
                <patternFill>
                  <bgColor rgb="FFFFBE29"/>
                </patternFill>
              </fill>
            </x14:dxf>
          </x14:cfRule>
          <xm:sqref>F70:F76</xm:sqref>
        </x14:conditionalFormatting>
        <x14:conditionalFormatting xmlns:xm="http://schemas.microsoft.com/office/excel/2006/main">
          <x14:cfRule type="containsText" priority="716" operator="containsText" id="{74BF2CE7-E850-6F4E-B7B9-3656A685D9E0}">
            <xm:f>NOT(ISERROR(SEARCH("Value Missing",C76)))</xm:f>
            <xm:f>"Value Missing"</xm:f>
            <x14:dxf>
              <font>
                <color rgb="FF9C0006"/>
              </font>
              <fill>
                <patternFill>
                  <bgColor rgb="FFFFC7CE"/>
                </patternFill>
              </fill>
            </x14:dxf>
          </x14:cfRule>
          <x14:cfRule type="containsText" priority="713" operator="containsText" id="{64296EDF-1AF9-774A-826F-854DF5952EF2}">
            <xm:f>NOT(ISERROR(SEARCH("Value Missing",C76)))</xm:f>
            <xm:f>"Value Missing"</xm:f>
            <x14:dxf>
              <font>
                <color rgb="FF9C0006"/>
              </font>
              <fill>
                <patternFill>
                  <bgColor rgb="FFFFC7CE"/>
                </patternFill>
              </fill>
            </x14:dxf>
          </x14:cfRule>
          <x14:cfRule type="notContainsText" priority="715" operator="notContains" id="{FC7181B3-A8EC-A34C-80A3-1F6B5F1A1CA6}">
            <xm:f>ISERROR(SEARCH("Value Missing",C76))</xm:f>
            <xm:f>"Value Missing"</xm:f>
            <x14:dxf>
              <font>
                <color rgb="FF006100"/>
              </font>
              <fill>
                <patternFill>
                  <bgColor rgb="FFC6EFCE"/>
                </patternFill>
              </fill>
            </x14:dxf>
          </x14:cfRule>
          <xm:sqref>F76 F84 C90 F92 F96:F102 C114</xm:sqref>
        </x14:conditionalFormatting>
        <x14:conditionalFormatting xmlns:xm="http://schemas.microsoft.com/office/excel/2006/main">
          <x14:cfRule type="containsText" priority="240" operator="containsText" id="{BAC16A6A-CCC3-9542-BE76-15BA178123B5}">
            <xm:f>NOT(ISERROR(SEARCH("Value Missing",F78)))</xm:f>
            <xm:f>"Value Missing"</xm:f>
            <x14:dxf>
              <font>
                <color rgb="FF9C0006"/>
              </font>
              <fill>
                <patternFill>
                  <bgColor rgb="FFFFC7CE"/>
                </patternFill>
              </fill>
            </x14:dxf>
          </x14:cfRule>
          <x14:cfRule type="notContainsText" priority="241" operator="notContains" id="{5CBB3D4D-3F19-7B40-BDE2-01CCF684348B}">
            <xm:f>ISERROR(SEARCH("Value Missing",F78))</xm:f>
            <xm:f>"Value Missing"</xm:f>
            <x14:dxf>
              <font>
                <color rgb="FF006100"/>
              </font>
              <fill>
                <patternFill>
                  <bgColor rgb="FFC6EFCE"/>
                </patternFill>
              </fill>
            </x14:dxf>
          </x14:cfRule>
          <x14:cfRule type="containsText" priority="242" operator="containsText" id="{9F56AC9E-B2F2-2D4B-81B2-5B26E05ACBDF}">
            <xm:f>NOT(ISERROR(SEARCH("Value Missing",F78)))</xm:f>
            <xm:f>"Value Missing"</xm:f>
            <x14:dxf>
              <font>
                <color rgb="FF9C0006"/>
              </font>
              <fill>
                <patternFill>
                  <bgColor rgb="FFFFC7CE"/>
                </patternFill>
              </fill>
            </x14:dxf>
          </x14:cfRule>
          <x14:cfRule type="notContainsText" priority="239" operator="notContains" id="{3C19ACE4-4316-1F40-920E-60F70B7F4759}">
            <xm:f>ISERROR(SEARCH("Value Missing",F78))</xm:f>
            <xm:f>"Value Missing"</xm:f>
            <x14:dxf>
              <font>
                <color rgb="FF006100"/>
              </font>
              <fill>
                <patternFill>
                  <bgColor rgb="FFC6EFCE"/>
                </patternFill>
              </fill>
            </x14:dxf>
          </x14:cfRule>
          <xm:sqref>F78:F83</xm:sqref>
        </x14:conditionalFormatting>
        <x14:conditionalFormatting xmlns:xm="http://schemas.microsoft.com/office/excel/2006/main">
          <x14:cfRule type="notContainsText" priority="244" operator="notContains" id="{C9F669C8-0F97-B94F-8320-681FC16ED25F}">
            <xm:f>ISERROR(SEARCH("Value Missing",F78))</xm:f>
            <xm:f>"Value Missing"</xm:f>
            <x14:dxf>
              <font>
                <color rgb="FF006100"/>
              </font>
              <fill>
                <patternFill>
                  <bgColor rgb="FFC6EFCE"/>
                </patternFill>
              </fill>
            </x14:dxf>
          </x14:cfRule>
          <x14:cfRule type="containsText" priority="245" operator="containsText" id="{70DA1400-61C7-EC43-8BC4-164C07915638}">
            <xm:f>NOT(ISERROR(SEARCH("Value Missing",F78)))</xm:f>
            <xm:f>"Value Missing"</xm:f>
            <x14:dxf>
              <font>
                <color rgb="FF9C0006"/>
              </font>
              <fill>
                <patternFill>
                  <bgColor rgb="FFFFC7CE"/>
                </patternFill>
              </fill>
            </x14:dxf>
          </x14:cfRule>
          <x14:cfRule type="containsText" priority="235" stopIfTrue="1" operator="containsText" id="{95514913-BC10-AE49-8421-7F949D543B83}">
            <xm:f>NOT(ISERROR(SEARCH("Value Missing",F78)))</xm:f>
            <xm:f>"Value Missing"</xm:f>
            <x14:dxf>
              <font>
                <color rgb="FF0E223A"/>
              </font>
              <fill>
                <patternFill>
                  <bgColor rgb="FFFFBE29"/>
                </patternFill>
              </fill>
            </x14:dxf>
          </x14:cfRule>
          <xm:sqref>F78:F84</xm:sqref>
        </x14:conditionalFormatting>
        <x14:conditionalFormatting xmlns:xm="http://schemas.microsoft.com/office/excel/2006/main">
          <x14:cfRule type="containsText" priority="228" operator="containsText" id="{4C5966C5-4BB4-F74E-A8D3-B036F6542455}">
            <xm:f>NOT(ISERROR(SEARCH("Value Missing",F86)))</xm:f>
            <xm:f>"Value Missing"</xm:f>
            <x14:dxf>
              <font>
                <color rgb="FF9C0006"/>
              </font>
              <fill>
                <patternFill>
                  <bgColor rgb="FFFFC7CE"/>
                </patternFill>
              </fill>
            </x14:dxf>
          </x14:cfRule>
          <x14:cfRule type="notContainsText" priority="227" operator="notContains" id="{EEC1DA16-DD6D-4D4F-ADDE-EA184686B355}">
            <xm:f>ISERROR(SEARCH("Value Missing",F86))</xm:f>
            <xm:f>"Value Missing"</xm:f>
            <x14:dxf>
              <font>
                <color rgb="FF006100"/>
              </font>
              <fill>
                <patternFill>
                  <bgColor rgb="FFC6EFCE"/>
                </patternFill>
              </fill>
            </x14:dxf>
          </x14:cfRule>
          <x14:cfRule type="containsText" priority="230" operator="containsText" id="{B360FADC-B8C9-FD4A-9277-CFA4A60D1F1D}">
            <xm:f>NOT(ISERROR(SEARCH("Value Missing",F86)))</xm:f>
            <xm:f>"Value Missing"</xm:f>
            <x14:dxf>
              <font>
                <color rgb="FF9C0006"/>
              </font>
              <fill>
                <patternFill>
                  <bgColor rgb="FFFFC7CE"/>
                </patternFill>
              </fill>
            </x14:dxf>
          </x14:cfRule>
          <x14:cfRule type="notContainsText" priority="229" operator="notContains" id="{0FC6281C-048E-4542-B091-5FAB4609C1F0}">
            <xm:f>ISERROR(SEARCH("Value Missing",F86))</xm:f>
            <xm:f>"Value Missing"</xm:f>
            <x14:dxf>
              <font>
                <color rgb="FF006100"/>
              </font>
              <fill>
                <patternFill>
                  <bgColor rgb="FFC6EFCE"/>
                </patternFill>
              </fill>
            </x14:dxf>
          </x14:cfRule>
          <xm:sqref>F86:F91</xm:sqref>
        </x14:conditionalFormatting>
        <x14:conditionalFormatting xmlns:xm="http://schemas.microsoft.com/office/excel/2006/main">
          <x14:cfRule type="notContainsText" priority="232" operator="notContains" id="{B50294B2-1EAA-CF43-81A0-FDADDE41DC6A}">
            <xm:f>ISERROR(SEARCH("Value Missing",F86))</xm:f>
            <xm:f>"Value Missing"</xm:f>
            <x14:dxf>
              <font>
                <color rgb="FF006100"/>
              </font>
              <fill>
                <patternFill>
                  <bgColor rgb="FFC6EFCE"/>
                </patternFill>
              </fill>
            </x14:dxf>
          </x14:cfRule>
          <x14:cfRule type="containsText" priority="223" stopIfTrue="1" operator="containsText" id="{0831BD51-5711-C543-880C-EFF00DF61074}">
            <xm:f>NOT(ISERROR(SEARCH("Value Missing",F86)))</xm:f>
            <xm:f>"Value Missing"</xm:f>
            <x14:dxf>
              <font>
                <color rgb="FF0E223A"/>
              </font>
              <fill>
                <patternFill>
                  <bgColor rgb="FFFFBE29"/>
                </patternFill>
              </fill>
            </x14:dxf>
          </x14:cfRule>
          <x14:cfRule type="containsText" priority="233" operator="containsText" id="{F9E2C018-8870-DF4C-81D7-3C375A8F3739}">
            <xm:f>NOT(ISERROR(SEARCH("Value Missing",F86)))</xm:f>
            <xm:f>"Value Missing"</xm:f>
            <x14:dxf>
              <font>
                <color rgb="FF9C0006"/>
              </font>
              <fill>
                <patternFill>
                  <bgColor rgb="FFFFC7CE"/>
                </patternFill>
              </fill>
            </x14:dxf>
          </x14:cfRule>
          <xm:sqref>F86:F92</xm:sqref>
        </x14:conditionalFormatting>
        <x14:conditionalFormatting xmlns:xm="http://schemas.microsoft.com/office/excel/2006/main">
          <x14:cfRule type="containsText" priority="2190" operator="containsText" id="{FC1C4826-F84D-4043-AB84-97E82518057E}">
            <xm:f>NOT(ISERROR(SEARCH("Value Missing",F63)))</xm:f>
            <xm:f>"Value Missing"</xm:f>
            <x14:dxf>
              <font>
                <color rgb="FF9C0006"/>
              </font>
              <fill>
                <patternFill>
                  <bgColor rgb="FFFFC7CE"/>
                </patternFill>
              </fill>
            </x14:dxf>
          </x14:cfRule>
          <xm:sqref>F106:F107 R63:R66 R85:R88 R114:R115 R119:R120</xm:sqref>
        </x14:conditionalFormatting>
        <x14:conditionalFormatting xmlns:xm="http://schemas.microsoft.com/office/excel/2006/main">
          <x14:cfRule type="containsText" priority="2172" operator="containsText" id="{72123F4B-709A-374A-9878-3CD45AC708BF}">
            <xm:f>NOT(ISERROR(SEARCH("Value Missing",F106)))</xm:f>
            <xm:f>"Value Missing"</xm:f>
            <x14:dxf>
              <font>
                <color rgb="FF9C0006"/>
              </font>
              <fill>
                <patternFill>
                  <bgColor rgb="FFFFC7CE"/>
                </patternFill>
              </fill>
            </x14:dxf>
          </x14:cfRule>
          <x14:cfRule type="notContainsText" priority="2189" operator="notContains" id="{69B866BF-45C9-3443-A6E1-7B3A146A6006}">
            <xm:f>ISERROR(SEARCH("Value Missing",F106))</xm:f>
            <xm:f>"Value Missing"</xm:f>
            <x14:dxf>
              <font>
                <color rgb="FF006100"/>
              </font>
              <fill>
                <patternFill>
                  <bgColor rgb="FFC6EFCE"/>
                </patternFill>
              </fill>
            </x14:dxf>
          </x14:cfRule>
          <xm:sqref>F106:F107</xm:sqref>
        </x14:conditionalFormatting>
        <x14:conditionalFormatting xmlns:xm="http://schemas.microsoft.com/office/excel/2006/main">
          <x14:cfRule type="containsText" priority="865" operator="containsText" id="{54FE884C-E5A9-794A-81A8-BCB5D53EC01A}">
            <xm:f>NOT(ISERROR(SEARCH("Value Missing",F111)))</xm:f>
            <xm:f>"Value Missing"</xm:f>
            <x14:dxf>
              <font>
                <color rgb="FF9C0006"/>
              </font>
              <fill>
                <patternFill>
                  <bgColor rgb="FFFFC7CE"/>
                </patternFill>
              </fill>
            </x14:dxf>
          </x14:cfRule>
          <x14:cfRule type="notContainsText" priority="859" operator="notContains" id="{296704CA-9B80-7D46-9173-B92F71A5C879}">
            <xm:f>ISERROR(SEARCH("Value Missing",F111))</xm:f>
            <xm:f>"Value Missing"</xm:f>
            <x14:dxf>
              <font>
                <color rgb="FF006100"/>
              </font>
              <fill>
                <patternFill>
                  <bgColor rgb="FFC6EFCE"/>
                </patternFill>
              </fill>
            </x14:dxf>
          </x14:cfRule>
          <x14:cfRule type="containsText" priority="860" operator="containsText" id="{E8D1464C-771D-DD49-8D18-5E048C9276C9}">
            <xm:f>NOT(ISERROR(SEARCH("Value Missing",F111)))</xm:f>
            <xm:f>"Value Missing"</xm:f>
            <x14:dxf>
              <font>
                <color rgb="FF9C0006"/>
              </font>
              <fill>
                <patternFill>
                  <bgColor rgb="FFFFC7CE"/>
                </patternFill>
              </fill>
            </x14:dxf>
          </x14:cfRule>
          <x14:cfRule type="containsText" priority="862" operator="containsText" id="{84A97266-B750-E445-9B79-EC1D979CA189}">
            <xm:f>NOT(ISERROR(SEARCH("Value Missing",F111)))</xm:f>
            <xm:f>"Value Missing"</xm:f>
            <x14:dxf>
              <font>
                <color rgb="FF9C0006"/>
              </font>
              <fill>
                <patternFill>
                  <bgColor rgb="FFFFC7CE"/>
                </patternFill>
              </fill>
            </x14:dxf>
          </x14:cfRule>
          <x14:cfRule type="notContainsText" priority="864" operator="notContains" id="{65845B85-5B9D-FD4A-88E0-7966F754EC6E}">
            <xm:f>ISERROR(SEARCH("Value Missing",F111))</xm:f>
            <xm:f>"Value Missing"</xm:f>
            <x14:dxf>
              <font>
                <color rgb="FF006100"/>
              </font>
              <fill>
                <patternFill>
                  <bgColor rgb="FFC6EFCE"/>
                </patternFill>
              </fill>
            </x14:dxf>
          </x14:cfRule>
          <x14:cfRule type="notContainsText" priority="861" operator="notContains" id="{B4325B3F-1F20-7549-8A4A-FB519AE4BB8F}">
            <xm:f>ISERROR(SEARCH("Value Missing",F111))</xm:f>
            <xm:f>"Value Missing"</xm:f>
            <x14:dxf>
              <font>
                <color rgb="FF006100"/>
              </font>
              <fill>
                <patternFill>
                  <bgColor rgb="FFC6EFCE"/>
                </patternFill>
              </fill>
            </x14:dxf>
          </x14:cfRule>
          <x14:cfRule type="containsText" priority="855" stopIfTrue="1" operator="containsText" id="{4F5B644A-10A1-1D4F-84AD-0358D43C10AC}">
            <xm:f>NOT(ISERROR(SEARCH("Value Missing",F111)))</xm:f>
            <xm:f>"Value Missing"</xm:f>
            <x14:dxf>
              <font>
                <color rgb="FF0E223A"/>
              </font>
              <fill>
                <patternFill>
                  <bgColor rgb="FFFFBE29"/>
                </patternFill>
              </fill>
            </x14:dxf>
          </x14:cfRule>
          <xm:sqref>F111:F116</xm:sqref>
        </x14:conditionalFormatting>
        <x14:conditionalFormatting xmlns:xm="http://schemas.microsoft.com/office/excel/2006/main">
          <x14:cfRule type="containsText" priority="209" operator="containsText" id="{EBB165B4-A6FB-5747-A631-E54187F7D898}">
            <xm:f>NOT(ISERROR(SEARCH("Value Missing",F120)))</xm:f>
            <xm:f>"Value Missing"</xm:f>
            <x14:dxf>
              <font>
                <color rgb="FF9C0006"/>
              </font>
              <fill>
                <patternFill>
                  <bgColor rgb="FFFFC7CE"/>
                </patternFill>
              </fill>
            </x14:dxf>
          </x14:cfRule>
          <x14:cfRule type="notContainsText" priority="208" operator="notContains" id="{B99C792E-16A1-934D-A338-7FEBDAD12263}">
            <xm:f>ISERROR(SEARCH("Value Missing",F120))</xm:f>
            <xm:f>"Value Missing"</xm:f>
            <x14:dxf>
              <font>
                <color rgb="FF006100"/>
              </font>
              <fill>
                <patternFill>
                  <bgColor rgb="FFC6EFCE"/>
                </patternFill>
              </fill>
            </x14:dxf>
          </x14:cfRule>
          <xm:sqref>F120:F126</xm:sqref>
        </x14:conditionalFormatting>
        <x14:conditionalFormatting xmlns:xm="http://schemas.microsoft.com/office/excel/2006/main">
          <x14:cfRule type="notContainsText" priority="203" operator="notContains" id="{31E8D06A-E916-B84E-9084-78068BEA4092}">
            <xm:f>ISERROR(SEARCH("Value Missing",F122))</xm:f>
            <xm:f>"Value Missing"</xm:f>
            <x14:dxf>
              <font>
                <color rgb="FF006100"/>
              </font>
              <fill>
                <patternFill>
                  <bgColor rgb="FFC6EFCE"/>
                </patternFill>
              </fill>
            </x14:dxf>
          </x14:cfRule>
          <x14:cfRule type="containsText" priority="204" operator="containsText" id="{B82DDD2A-4725-BB45-8AB5-6731986C0A8D}">
            <xm:f>NOT(ISERROR(SEARCH("Value Missing",F122)))</xm:f>
            <xm:f>"Value Missing"</xm:f>
            <x14:dxf>
              <font>
                <color rgb="FF9C0006"/>
              </font>
              <fill>
                <patternFill>
                  <bgColor rgb="FFFFC7CE"/>
                </patternFill>
              </fill>
            </x14:dxf>
          </x14:cfRule>
          <x14:cfRule type="notContainsText" priority="205" operator="notContains" id="{22189B69-1E4E-D640-B7E8-46BD75875693}">
            <xm:f>ISERROR(SEARCH("Value Missing",F122))</xm:f>
            <xm:f>"Value Missing"</xm:f>
            <x14:dxf>
              <font>
                <color rgb="FF006100"/>
              </font>
              <fill>
                <patternFill>
                  <bgColor rgb="FFC6EFCE"/>
                </patternFill>
              </fill>
            </x14:dxf>
          </x14:cfRule>
          <x14:cfRule type="containsText" priority="206" operator="containsText" id="{DE8BD9DD-9B0C-1646-BAA7-4526A23D74EF}">
            <xm:f>NOT(ISERROR(SEARCH("Value Missing",F122)))</xm:f>
            <xm:f>"Value Missing"</xm:f>
            <x14:dxf>
              <font>
                <color rgb="FF9C0006"/>
              </font>
              <fill>
                <patternFill>
                  <bgColor rgb="FFFFC7CE"/>
                </patternFill>
              </fill>
            </x14:dxf>
          </x14:cfRule>
          <xm:sqref>F122:F124</xm:sqref>
        </x14:conditionalFormatting>
        <x14:conditionalFormatting xmlns:xm="http://schemas.microsoft.com/office/excel/2006/main">
          <x14:cfRule type="containsText" priority="199" stopIfTrue="1" operator="containsText" id="{552043C1-5FB6-7E43-96A8-7C25AC814931}">
            <xm:f>NOT(ISERROR(SEARCH("Value Missing",F122)))</xm:f>
            <xm:f>"Value Missing"</xm:f>
            <x14:dxf>
              <font>
                <color rgb="FF0E223A"/>
              </font>
              <fill>
                <patternFill>
                  <bgColor rgb="FFFFBE29"/>
                </patternFill>
              </fill>
            </x14:dxf>
          </x14:cfRule>
          <xm:sqref>F122:F126</xm:sqref>
        </x14:conditionalFormatting>
        <x14:conditionalFormatting xmlns:xm="http://schemas.microsoft.com/office/excel/2006/main">
          <x14:cfRule type="notContainsText" priority="530" operator="notContains" id="{FDEE7712-1B7F-E84D-BFB0-D15565043ABA}">
            <xm:f>ISERROR(SEARCH("Value Missing",F130))</xm:f>
            <xm:f>"Value Missing"</xm:f>
            <x14:dxf>
              <font>
                <color rgb="FF006100"/>
              </font>
              <fill>
                <patternFill>
                  <bgColor rgb="FFC6EFCE"/>
                </patternFill>
              </fill>
            </x14:dxf>
          </x14:cfRule>
          <x14:cfRule type="containsText" priority="531" operator="containsText" id="{C8BE7839-1B90-7842-B71E-1502F9D95B6C}">
            <xm:f>NOT(ISERROR(SEARCH("Value Missing",F130)))</xm:f>
            <xm:f>"Value Missing"</xm:f>
            <x14:dxf>
              <font>
                <color rgb="FF9C0006"/>
              </font>
              <fill>
                <patternFill>
                  <bgColor rgb="FFFFC7CE"/>
                </patternFill>
              </fill>
            </x14:dxf>
          </x14:cfRule>
          <xm:sqref>F130:F135</xm:sqref>
        </x14:conditionalFormatting>
        <x14:conditionalFormatting xmlns:xm="http://schemas.microsoft.com/office/excel/2006/main">
          <x14:cfRule type="containsText" priority="528" operator="containsText" id="{2888012B-9C4E-5346-A49B-A7E828140017}">
            <xm:f>NOT(ISERROR(SEARCH("Value Missing",F132)))</xm:f>
            <xm:f>"Value Missing"</xm:f>
            <x14:dxf>
              <font>
                <color rgb="FF9C0006"/>
              </font>
              <fill>
                <patternFill>
                  <bgColor rgb="FFFFC7CE"/>
                </patternFill>
              </fill>
            </x14:dxf>
          </x14:cfRule>
          <x14:cfRule type="containsText" priority="526" operator="containsText" id="{8931243A-09C6-2044-B7C4-A6618315635F}">
            <xm:f>NOT(ISERROR(SEARCH("Value Missing",F132)))</xm:f>
            <xm:f>"Value Missing"</xm:f>
            <x14:dxf>
              <font>
                <color rgb="FF9C0006"/>
              </font>
              <fill>
                <patternFill>
                  <bgColor rgb="FFFFC7CE"/>
                </patternFill>
              </fill>
            </x14:dxf>
          </x14:cfRule>
          <x14:cfRule type="notContainsText" priority="527" operator="notContains" id="{4FE517B1-0047-2245-ACB6-55A2DA6B0BF5}">
            <xm:f>ISERROR(SEARCH("Value Missing",F132))</xm:f>
            <xm:f>"Value Missing"</xm:f>
            <x14:dxf>
              <font>
                <color rgb="FF006100"/>
              </font>
              <fill>
                <patternFill>
                  <bgColor rgb="FFC6EFCE"/>
                </patternFill>
              </fill>
            </x14:dxf>
          </x14:cfRule>
          <x14:cfRule type="notContainsText" priority="525" operator="notContains" id="{EEC65140-B91D-354F-BA82-9D88A22FD84B}">
            <xm:f>ISERROR(SEARCH("Value Missing",F132))</xm:f>
            <xm:f>"Value Missing"</xm:f>
            <x14:dxf>
              <font>
                <color rgb="FF006100"/>
              </font>
              <fill>
                <patternFill>
                  <bgColor rgb="FFC6EFCE"/>
                </patternFill>
              </fill>
            </x14:dxf>
          </x14:cfRule>
          <xm:sqref>F132:F137</xm:sqref>
        </x14:conditionalFormatting>
        <x14:conditionalFormatting xmlns:xm="http://schemas.microsoft.com/office/excel/2006/main">
          <x14:cfRule type="containsText" priority="179" stopIfTrue="1" operator="containsText" id="{378A49C7-A79F-D445-96C7-4ACB2F1CE767}">
            <xm:f>NOT(ISERROR(SEARCH("Value Missing",C132)))</xm:f>
            <xm:f>"Value Missing"</xm:f>
            <x14:dxf>
              <font>
                <color rgb="FF0E223A"/>
              </font>
              <fill>
                <patternFill>
                  <bgColor rgb="FFFFBE29"/>
                </patternFill>
              </fill>
            </x14:dxf>
          </x14:cfRule>
          <xm:sqref>F132:F140 C232:C242 C244:C251 L254:L262 L330:L365</xm:sqref>
        </x14:conditionalFormatting>
        <x14:conditionalFormatting xmlns:xm="http://schemas.microsoft.com/office/excel/2006/main">
          <x14:cfRule type="containsText" priority="194" operator="containsText" id="{A01C0CFD-6D39-E144-8B18-669CE399AD51}">
            <xm:f>NOT(ISERROR(SEARCH("Value Missing",C136)))</xm:f>
            <xm:f>"Value Missing"</xm:f>
            <x14:dxf>
              <font>
                <color rgb="FF9C0006"/>
              </font>
              <fill>
                <patternFill>
                  <bgColor rgb="FFFFC7CE"/>
                </patternFill>
              </fill>
            </x14:dxf>
          </x14:cfRule>
          <xm:sqref>F136:F137 C213:C218</xm:sqref>
        </x14:conditionalFormatting>
        <x14:conditionalFormatting xmlns:xm="http://schemas.microsoft.com/office/excel/2006/main">
          <x14:cfRule type="notContainsText" priority="849" operator="notContains" id="{5CDC1DE4-3224-C14F-BC98-7CA9086C50F5}">
            <xm:f>ISERROR(SEARCH("Value Missing",F144))</xm:f>
            <xm:f>"Value Missing"</xm:f>
            <x14:dxf>
              <font>
                <color rgb="FF006100"/>
              </font>
              <fill>
                <patternFill>
                  <bgColor rgb="FFC6EFCE"/>
                </patternFill>
              </fill>
            </x14:dxf>
          </x14:cfRule>
          <x14:cfRule type="containsText" priority="853" operator="containsText" id="{D0CCDC81-55F3-A24C-BBC3-82AD64C9691F}">
            <xm:f>NOT(ISERROR(SEARCH("Value Missing",F144)))</xm:f>
            <xm:f>"Value Missing"</xm:f>
            <x14:dxf>
              <font>
                <color rgb="FF9C0006"/>
              </font>
              <fill>
                <patternFill>
                  <bgColor rgb="FFFFC7CE"/>
                </patternFill>
              </fill>
            </x14:dxf>
          </x14:cfRule>
          <x14:cfRule type="notContainsText" priority="852" operator="notContains" id="{EB100480-97AC-4649-AE2D-7AD127E9F904}">
            <xm:f>ISERROR(SEARCH("Value Missing",F144))</xm:f>
            <xm:f>"Value Missing"</xm:f>
            <x14:dxf>
              <font>
                <color rgb="FF006100"/>
              </font>
              <fill>
                <patternFill>
                  <bgColor rgb="FFC6EFCE"/>
                </patternFill>
              </fill>
            </x14:dxf>
          </x14:cfRule>
          <x14:cfRule type="containsText" priority="850" operator="containsText" id="{6F505483-B797-E84A-B1C0-3EA1C7AB5DDA}">
            <xm:f>NOT(ISERROR(SEARCH("Value Missing",F144)))</xm:f>
            <xm:f>"Value Missing"</xm:f>
            <x14:dxf>
              <font>
                <color rgb="FF9C0006"/>
              </font>
              <fill>
                <patternFill>
                  <bgColor rgb="FFFFC7CE"/>
                </patternFill>
              </fill>
            </x14:dxf>
          </x14:cfRule>
          <xm:sqref>F144:F146</xm:sqref>
        </x14:conditionalFormatting>
        <x14:conditionalFormatting xmlns:xm="http://schemas.microsoft.com/office/excel/2006/main">
          <x14:cfRule type="notContainsText" priority="518" operator="notContains" id="{B5D7AAEF-EA09-214C-9209-41E16B51867F}">
            <xm:f>ISERROR(SEARCH("Value Missing",F144))</xm:f>
            <xm:f>"Value Missing"</xm:f>
            <x14:dxf>
              <font>
                <color rgb="FF006100"/>
              </font>
              <fill>
                <patternFill>
                  <bgColor rgb="FFC6EFCE"/>
                </patternFill>
              </fill>
            </x14:dxf>
          </x14:cfRule>
          <x14:cfRule type="containsText" priority="519" operator="containsText" id="{90B845BC-4A54-B949-A6B8-8602D72496DC}">
            <xm:f>NOT(ISERROR(SEARCH("Value Missing",F144)))</xm:f>
            <xm:f>"Value Missing"</xm:f>
            <x14:dxf>
              <font>
                <color rgb="FF9C0006"/>
              </font>
              <fill>
                <patternFill>
                  <bgColor rgb="FFFFC7CE"/>
                </patternFill>
              </fill>
            </x14:dxf>
          </x14:cfRule>
          <xm:sqref>F144:F152</xm:sqref>
        </x14:conditionalFormatting>
        <x14:conditionalFormatting xmlns:xm="http://schemas.microsoft.com/office/excel/2006/main">
          <x14:cfRule type="containsText" priority="509" stopIfTrue="1" operator="containsText" id="{0D168695-3B05-114E-9586-21A13CA44D46}">
            <xm:f>NOT(ISERROR(SEARCH("Value Missing",F144)))</xm:f>
            <xm:f>"Value Missing"</xm:f>
            <x14:dxf>
              <font>
                <color rgb="FF0E223A"/>
              </font>
              <fill>
                <patternFill>
                  <bgColor rgb="FFFFBE29"/>
                </patternFill>
              </fill>
            </x14:dxf>
          </x14:cfRule>
          <xm:sqref>F144:F158</xm:sqref>
        </x14:conditionalFormatting>
        <x14:conditionalFormatting xmlns:xm="http://schemas.microsoft.com/office/excel/2006/main">
          <x14:cfRule type="notContainsText" priority="513" operator="notContains" id="{DFAA3D8A-DA72-AE4D-BDD0-1B4C31D4A7DF}">
            <xm:f>ISERROR(SEARCH("Value Missing",F147))</xm:f>
            <xm:f>"Value Missing"</xm:f>
            <x14:dxf>
              <font>
                <color rgb="FF006100"/>
              </font>
              <fill>
                <patternFill>
                  <bgColor rgb="FFC6EFCE"/>
                </patternFill>
              </fill>
            </x14:dxf>
          </x14:cfRule>
          <x14:cfRule type="containsText" priority="514" operator="containsText" id="{BB475915-5DC0-324C-A93A-88361A5D862E}">
            <xm:f>NOT(ISERROR(SEARCH("Value Missing",F147)))</xm:f>
            <xm:f>"Value Missing"</xm:f>
            <x14:dxf>
              <font>
                <color rgb="FF9C0006"/>
              </font>
              <fill>
                <patternFill>
                  <bgColor rgb="FFFFC7CE"/>
                </patternFill>
              </fill>
            </x14:dxf>
          </x14:cfRule>
          <x14:cfRule type="notContainsText" priority="515" operator="notContains" id="{75ED6FA6-1C27-F145-873D-3D21CFE5EB61}">
            <xm:f>ISERROR(SEARCH("Value Missing",F147))</xm:f>
            <xm:f>"Value Missing"</xm:f>
            <x14:dxf>
              <font>
                <color rgb="FF006100"/>
              </font>
              <fill>
                <patternFill>
                  <bgColor rgb="FFC6EFCE"/>
                </patternFill>
              </fill>
            </x14:dxf>
          </x14:cfRule>
          <x14:cfRule type="containsText" priority="516" operator="containsText" id="{B540085E-D37A-5047-BA45-F8C60776869D}">
            <xm:f>NOT(ISERROR(SEARCH("Value Missing",F147)))</xm:f>
            <xm:f>"Value Missing"</xm:f>
            <x14:dxf>
              <font>
                <color rgb="FF9C0006"/>
              </font>
              <fill>
                <patternFill>
                  <bgColor rgb="FFFFC7CE"/>
                </patternFill>
              </fill>
            </x14:dxf>
          </x14:cfRule>
          <xm:sqref>F147</xm:sqref>
        </x14:conditionalFormatting>
        <x14:conditionalFormatting xmlns:xm="http://schemas.microsoft.com/office/excel/2006/main">
          <x14:cfRule type="containsText" priority="540" operator="containsText" id="{1752516E-E5FD-A942-8B09-F686547CD638}">
            <xm:f>NOT(ISERROR(SEARCH("Value Missing",F148)))</xm:f>
            <xm:f>"Value Missing"</xm:f>
            <x14:dxf>
              <font>
                <color rgb="FF9C0006"/>
              </font>
              <fill>
                <patternFill>
                  <bgColor rgb="FFFFC7CE"/>
                </patternFill>
              </fill>
            </x14:dxf>
          </x14:cfRule>
          <x14:cfRule type="notContainsText" priority="539" operator="notContains" id="{9962C4FE-9FA8-704A-B0C0-23F78B2D2435}">
            <xm:f>ISERROR(SEARCH("Value Missing",F148))</xm:f>
            <xm:f>"Value Missing"</xm:f>
            <x14:dxf>
              <font>
                <color rgb="FF006100"/>
              </font>
              <fill>
                <patternFill>
                  <bgColor rgb="FFC6EFCE"/>
                </patternFill>
              </fill>
            </x14:dxf>
          </x14:cfRule>
          <xm:sqref>F148:F152</xm:sqref>
        </x14:conditionalFormatting>
        <x14:conditionalFormatting xmlns:xm="http://schemas.microsoft.com/office/excel/2006/main">
          <x14:cfRule type="containsText" priority="543" operator="containsText" id="{1DA3D34C-74C7-B549-B9E0-520C2FA14718}">
            <xm:f>NOT(ISERROR(SEARCH("Value Missing",F148)))</xm:f>
            <xm:f>"Value Missing"</xm:f>
            <x14:dxf>
              <font>
                <color rgb="FF9C0006"/>
              </font>
              <fill>
                <patternFill>
                  <bgColor rgb="FFFFC7CE"/>
                </patternFill>
              </fill>
            </x14:dxf>
          </x14:cfRule>
          <x14:cfRule type="notContainsText" priority="542" operator="notContains" id="{95450771-CDCE-704C-8AF4-0F274C35DA18}">
            <xm:f>ISERROR(SEARCH("Value Missing",F148))</xm:f>
            <xm:f>"Value Missing"</xm:f>
            <x14:dxf>
              <font>
                <color rgb="FF006100"/>
              </font>
              <fill>
                <patternFill>
                  <bgColor rgb="FFC6EFCE"/>
                </patternFill>
              </fill>
            </x14:dxf>
          </x14:cfRule>
          <xm:sqref>F148:F158</xm:sqref>
        </x14:conditionalFormatting>
        <x14:conditionalFormatting xmlns:xm="http://schemas.microsoft.com/office/excel/2006/main">
          <x14:cfRule type="containsText" priority="171" stopIfTrue="1" operator="containsText" id="{D2045D45-F790-4F46-90F4-DE7AA45872D7}">
            <xm:f>NOT(ISERROR(SEARCH("Value Missing",C160)))</xm:f>
            <xm:f>"Value Missing"</xm:f>
            <x14:dxf>
              <font>
                <color rgb="FF0E223A"/>
              </font>
              <fill>
                <patternFill>
                  <bgColor rgb="FFFFBE29"/>
                </patternFill>
              </fill>
            </x14:dxf>
          </x14:cfRule>
          <xm:sqref>F160:F192 C253:C260</xm:sqref>
        </x14:conditionalFormatting>
        <x14:conditionalFormatting xmlns:xm="http://schemas.microsoft.com/office/excel/2006/main">
          <x14:cfRule type="notContainsText" priority="156" operator="notContains" id="{1A134DFF-DA55-274A-9289-0D37AFF5E12E}">
            <xm:f>ISERROR(SEARCH("Value Missing",F191))</xm:f>
            <xm:f>"Value Missing"</xm:f>
            <x14:dxf>
              <font>
                <color rgb="FF006100"/>
              </font>
              <fill>
                <patternFill>
                  <bgColor rgb="FFC6EFCE"/>
                </patternFill>
              </fill>
            </x14:dxf>
          </x14:cfRule>
          <x14:cfRule type="containsText" priority="157" operator="containsText" id="{8056AF2E-9C5F-6F47-A4A3-00568163C277}">
            <xm:f>NOT(ISERROR(SEARCH("Value Missing",F191)))</xm:f>
            <xm:f>"Value Missing"</xm:f>
            <x14:dxf>
              <font>
                <color rgb="FF9C0006"/>
              </font>
              <fill>
                <patternFill>
                  <bgColor rgb="FFFFC7CE"/>
                </patternFill>
              </fill>
            </x14:dxf>
          </x14:cfRule>
          <x14:cfRule type="notContainsText" priority="151" operator="notContains" id="{124710C1-A5A7-6D41-BB32-FCC3646701CE}">
            <xm:f>ISERROR(SEARCH("Value Missing",F191))</xm:f>
            <xm:f>"Value Missing"</xm:f>
            <x14:dxf>
              <font>
                <color rgb="FF006100"/>
              </font>
              <fill>
                <patternFill>
                  <bgColor rgb="FFC6EFCE"/>
                </patternFill>
              </fill>
            </x14:dxf>
          </x14:cfRule>
          <x14:cfRule type="containsText" priority="152" operator="containsText" id="{C6324A02-D0EA-6A48-B3D6-9C7CF26279BD}">
            <xm:f>NOT(ISERROR(SEARCH("Value Missing",F191)))</xm:f>
            <xm:f>"Value Missing"</xm:f>
            <x14:dxf>
              <font>
                <color rgb="FF9C0006"/>
              </font>
              <fill>
                <patternFill>
                  <bgColor rgb="FFFFC7CE"/>
                </patternFill>
              </fill>
            </x14:dxf>
          </x14:cfRule>
          <x14:cfRule type="notContainsText" priority="153" operator="notContains" id="{112E4F9D-3F37-1946-B8FB-F9C6D10B2DBA}">
            <xm:f>ISERROR(SEARCH("Value Missing",F191))</xm:f>
            <xm:f>"Value Missing"</xm:f>
            <x14:dxf>
              <font>
                <color rgb="FF006100"/>
              </font>
              <fill>
                <patternFill>
                  <bgColor rgb="FFC6EFCE"/>
                </patternFill>
              </fill>
            </x14:dxf>
          </x14:cfRule>
          <x14:cfRule type="containsText" priority="154" operator="containsText" id="{04C79DC9-F5D5-0C48-8171-397832D5F516}">
            <xm:f>NOT(ISERROR(SEARCH("Value Missing",F191)))</xm:f>
            <xm:f>"Value Missing"</xm:f>
            <x14:dxf>
              <font>
                <color rgb="FF9C0006"/>
              </font>
              <fill>
                <patternFill>
                  <bgColor rgb="FFFFC7CE"/>
                </patternFill>
              </fill>
            </x14:dxf>
          </x14:cfRule>
          <xm:sqref>F191:F192</xm:sqref>
        </x14:conditionalFormatting>
        <x14:conditionalFormatting xmlns:xm="http://schemas.microsoft.com/office/excel/2006/main">
          <x14:cfRule type="containsText" priority="482" stopIfTrue="1" operator="containsText" id="{B3480505-F41F-5E4F-90A1-8A245E3728B3}">
            <xm:f>NOT(ISERROR(SEARCH("Value Missing",C8)))</xm:f>
            <xm:f>"Value Missing"</xm:f>
            <x14:dxf>
              <font>
                <color rgb="FF0E223A"/>
              </font>
              <fill>
                <patternFill>
                  <bgColor rgb="FFFFBE29"/>
                </patternFill>
              </fill>
            </x14:dxf>
          </x14:cfRule>
          <xm:sqref>I8:I10 I12:I15 I17:I24 I26:I33 I35:I42 I53:I69 C147:C188</xm:sqref>
        </x14:conditionalFormatting>
        <x14:conditionalFormatting xmlns:xm="http://schemas.microsoft.com/office/excel/2006/main">
          <x14:cfRule type="containsText" priority="327" stopIfTrue="1" operator="containsText" id="{46B8FBB6-0D1E-3242-A27E-8C60957F4A43}">
            <xm:f>NOT(ISERROR(SEARCH("Value Missing",I17)))</xm:f>
            <xm:f>"Value Missing"</xm:f>
            <x14:dxf>
              <font>
                <color rgb="FF0E223A"/>
              </font>
              <fill>
                <patternFill>
                  <bgColor rgb="FFFFBE29"/>
                </patternFill>
              </fill>
            </x14:dxf>
          </x14:cfRule>
          <xm:sqref>I17:I24</xm:sqref>
        </x14:conditionalFormatting>
        <x14:conditionalFormatting xmlns:xm="http://schemas.microsoft.com/office/excel/2006/main">
          <x14:cfRule type="containsText" priority="323" stopIfTrue="1" operator="containsText" id="{AF6F50A4-1656-9D4C-8FE0-74EC44684F7E}">
            <xm:f>NOT(ISERROR(SEARCH("Value Missing",I26)))</xm:f>
            <xm:f>"Value Missing"</xm:f>
            <x14:dxf>
              <font>
                <color rgb="FF0E223A"/>
              </font>
              <fill>
                <patternFill>
                  <bgColor rgb="FFFFBE29"/>
                </patternFill>
              </fill>
            </x14:dxf>
          </x14:cfRule>
          <xm:sqref>I26:I33</xm:sqref>
        </x14:conditionalFormatting>
        <x14:conditionalFormatting xmlns:xm="http://schemas.microsoft.com/office/excel/2006/main">
          <x14:cfRule type="containsText" priority="319" stopIfTrue="1" operator="containsText" id="{98A6BAA6-E888-AD49-B6EE-D5EBD126932D}">
            <xm:f>NOT(ISERROR(SEARCH("Value Missing",I35)))</xm:f>
            <xm:f>"Value Missing"</xm:f>
            <x14:dxf>
              <font>
                <color rgb="FF0E223A"/>
              </font>
              <fill>
                <patternFill>
                  <bgColor rgb="FFFFBE29"/>
                </patternFill>
              </fill>
            </x14:dxf>
          </x14:cfRule>
          <xm:sqref>I35:I42</xm:sqref>
        </x14:conditionalFormatting>
        <x14:conditionalFormatting xmlns:xm="http://schemas.microsoft.com/office/excel/2006/main">
          <x14:cfRule type="containsText" priority="29" stopIfTrue="1" operator="containsText" id="{0B5A3707-83AB-CE4C-BF05-4A22BD5EC31E}">
            <xm:f>NOT(ISERROR(SEARCH("Value Missing",I44)))</xm:f>
            <xm:f>"Value Missing"</xm:f>
            <x14:dxf>
              <font>
                <color rgb="FF0E223A"/>
              </font>
              <fill>
                <patternFill>
                  <bgColor rgb="FFFFBE29"/>
                </patternFill>
              </fill>
            </x14:dxf>
          </x14:cfRule>
          <x14:cfRule type="containsText" priority="33" stopIfTrue="1" operator="containsText" id="{62581B00-3EFD-F541-8923-006A0F175BA3}">
            <xm:f>NOT(ISERROR(SEARCH("Value Missing",I44)))</xm:f>
            <xm:f>"Value Missing"</xm:f>
            <x14:dxf>
              <font>
                <color rgb="FF0E223A"/>
              </font>
              <fill>
                <patternFill>
                  <bgColor rgb="FFFFBE29"/>
                </patternFill>
              </fill>
            </x14:dxf>
          </x14:cfRule>
          <xm:sqref>I44:I51</xm:sqref>
        </x14:conditionalFormatting>
        <x14:conditionalFormatting xmlns:xm="http://schemas.microsoft.com/office/excel/2006/main">
          <x14:cfRule type="containsText" priority="933" stopIfTrue="1" operator="containsText" id="{204CD7AE-62CC-754C-B8E1-193695724F5A}">
            <xm:f>NOT(ISERROR(SEARCH("Value Missing",C14)))</xm:f>
            <xm:f>"Value Missing"</xm:f>
            <x14:dxf>
              <font>
                <color rgb="FF0E223A"/>
              </font>
              <fill>
                <patternFill>
                  <bgColor rgb="FFFFBE29"/>
                </patternFill>
              </fill>
            </x14:dxf>
          </x14:cfRule>
          <xm:sqref>I71:I125 O93:O130 C128:C135 I201:I221 I223:I230 I232:I239 I241:I247 C14:C33 C92:C97 C99:C104 C106:C111 C118:C124 I178:I197 L183:L224 L288:L327</xm:sqref>
        </x14:conditionalFormatting>
        <x14:conditionalFormatting xmlns:xm="http://schemas.microsoft.com/office/excel/2006/main">
          <x14:cfRule type="containsText" priority="458" stopIfTrue="1" operator="containsText" id="{C789315B-3C2F-5646-9AD8-0F27393EC8BD}">
            <xm:f>NOT(ISERROR(SEARCH("Value Missing",I127)))</xm:f>
            <xm:f>"Value Missing"</xm:f>
            <x14:dxf>
              <font>
                <color rgb="FF0E223A"/>
              </font>
              <fill>
                <patternFill>
                  <bgColor rgb="FFFFBE29"/>
                </patternFill>
              </fill>
            </x14:dxf>
          </x14:cfRule>
          <x14:cfRule type="notContainsText" priority="462" operator="notContains" id="{ED209BA6-CC88-7C4A-8424-B646164BB160}">
            <xm:f>ISERROR(SEARCH("Value Missing",I127))</xm:f>
            <xm:f>"Value Missing"</xm:f>
            <x14:dxf>
              <font>
                <color rgb="FF006100"/>
              </font>
              <fill>
                <patternFill>
                  <bgColor rgb="FFC6EFCE"/>
                </patternFill>
              </fill>
            </x14:dxf>
          </x14:cfRule>
          <x14:cfRule type="notContainsText" priority="466" operator="notContains" id="{22805672-15DA-0647-B566-A8CD618CB73D}">
            <xm:f>ISERROR(SEARCH("Value Missing",I127))</xm:f>
            <xm:f>"Value Missing"</xm:f>
            <x14:dxf>
              <font>
                <color rgb="FF006100"/>
              </font>
              <fill>
                <patternFill>
                  <bgColor rgb="FFC6EFCE"/>
                </patternFill>
              </fill>
            </x14:dxf>
          </x14:cfRule>
          <xm:sqref>I127:I130 I132:I135 I137:I140</xm:sqref>
        </x14:conditionalFormatting>
        <x14:conditionalFormatting xmlns:xm="http://schemas.microsoft.com/office/excel/2006/main">
          <x14:cfRule type="containsText" priority="451" operator="containsText" id="{B84D4832-E658-B34D-AE9C-6A01507CF641}">
            <xm:f>NOT(ISERROR(SEARCH("Value Missing",I142)))</xm:f>
            <xm:f>"Value Missing"</xm:f>
            <x14:dxf>
              <font>
                <color rgb="FF9C0006"/>
              </font>
              <fill>
                <patternFill>
                  <bgColor rgb="FFFFC7CE"/>
                </patternFill>
              </fill>
            </x14:dxf>
          </x14:cfRule>
          <x14:cfRule type="containsText" priority="455" operator="containsText" id="{873E9D5E-8A00-FE41-BCD2-5F5B76C34A7E}">
            <xm:f>NOT(ISERROR(SEARCH("Value Missing",I142)))</xm:f>
            <xm:f>"Value Missing"</xm:f>
            <x14:dxf>
              <font>
                <color rgb="FF9C0006"/>
              </font>
              <fill>
                <patternFill>
                  <bgColor rgb="FFFFC7CE"/>
                </patternFill>
              </fill>
            </x14:dxf>
          </x14:cfRule>
          <x14:cfRule type="notContainsText" priority="456" operator="notContains" id="{64A936E1-A0B4-3344-B823-B0C88A30F083}">
            <xm:f>ISERROR(SEARCH("Value Missing",I142))</xm:f>
            <xm:f>"Value Missing"</xm:f>
            <x14:dxf>
              <font>
                <color rgb="FF006100"/>
              </font>
              <fill>
                <patternFill>
                  <bgColor rgb="FFC6EFCE"/>
                </patternFill>
              </fill>
            </x14:dxf>
          </x14:cfRule>
          <x14:cfRule type="containsText" priority="446" stopIfTrue="1" operator="containsText" id="{E4E21A47-7B7F-CA46-8138-0AA41F01E253}">
            <xm:f>NOT(ISERROR(SEARCH("Value Missing",I142)))</xm:f>
            <xm:f>"Value Missing"</xm:f>
            <x14:dxf>
              <font>
                <color rgb="FF0E223A"/>
              </font>
              <fill>
                <patternFill>
                  <bgColor rgb="FFFFBE29"/>
                </patternFill>
              </fill>
            </x14:dxf>
          </x14:cfRule>
          <x14:cfRule type="notContainsText" priority="450" operator="notContains" id="{E7FC1F43-E9EB-F74D-855A-7B0AF5E580EE}">
            <xm:f>ISERROR(SEARCH("Value Missing",I142))</xm:f>
            <xm:f>"Value Missing"</xm:f>
            <x14:dxf>
              <font>
                <color rgb="FF006100"/>
              </font>
              <fill>
                <patternFill>
                  <bgColor rgb="FFC6EFCE"/>
                </patternFill>
              </fill>
            </x14:dxf>
          </x14:cfRule>
          <x14:cfRule type="notContainsText" priority="454" operator="notContains" id="{24CE4B8E-0F75-DE4E-9244-56D548F9DB62}">
            <xm:f>ISERROR(SEARCH("Value Missing",I142))</xm:f>
            <xm:f>"Value Missing"</xm:f>
            <x14:dxf>
              <font>
                <color rgb="FF006100"/>
              </font>
              <fill>
                <patternFill>
                  <bgColor rgb="FFC6EFCE"/>
                </patternFill>
              </fill>
            </x14:dxf>
          </x14:cfRule>
          <xm:sqref>I142:I145 I147:I150</xm:sqref>
        </x14:conditionalFormatting>
        <x14:conditionalFormatting xmlns:xm="http://schemas.microsoft.com/office/excel/2006/main">
          <x14:cfRule type="notContainsText" priority="432" operator="notContains" id="{B92AADED-222D-D74C-AAC7-4EE8D0075BB2}">
            <xm:f>ISERROR(SEARCH("Value Missing",I152))</xm:f>
            <xm:f>"Value Missing"</xm:f>
            <x14:dxf>
              <font>
                <color rgb="FF006100"/>
              </font>
              <fill>
                <patternFill>
                  <bgColor rgb="FFC6EFCE"/>
                </patternFill>
              </fill>
            </x14:dxf>
          </x14:cfRule>
          <x14:cfRule type="containsText" priority="431" operator="containsText" id="{2AB77698-F427-3741-8EB2-9695AFFC60A0}">
            <xm:f>NOT(ISERROR(SEARCH("Value Missing",I152)))</xm:f>
            <xm:f>"Value Missing"</xm:f>
            <x14:dxf>
              <font>
                <color rgb="FF9C0006"/>
              </font>
              <fill>
                <patternFill>
                  <bgColor rgb="FFFFC7CE"/>
                </patternFill>
              </fill>
            </x14:dxf>
          </x14:cfRule>
          <x14:cfRule type="notContainsText" priority="430" operator="notContains" id="{413F5A94-9277-FB4A-B341-05746C3BE9C5}">
            <xm:f>ISERROR(SEARCH("Value Missing",I152))</xm:f>
            <xm:f>"Value Missing"</xm:f>
            <x14:dxf>
              <font>
                <color rgb="FF006100"/>
              </font>
              <fill>
                <patternFill>
                  <bgColor rgb="FFC6EFCE"/>
                </patternFill>
              </fill>
            </x14:dxf>
          </x14:cfRule>
          <x14:cfRule type="containsText" priority="427" operator="containsText" id="{4E6045F5-D4C0-6B4C-AF3F-4505D3DBDE87}">
            <xm:f>NOT(ISERROR(SEARCH("Value Missing",I152)))</xm:f>
            <xm:f>"Value Missing"</xm:f>
            <x14:dxf>
              <font>
                <color rgb="FF9C0006"/>
              </font>
              <fill>
                <patternFill>
                  <bgColor rgb="FFFFC7CE"/>
                </patternFill>
              </fill>
            </x14:dxf>
          </x14:cfRule>
          <x14:cfRule type="notContainsText" priority="426" operator="notContains" id="{E108BEA6-3444-4C41-88F4-78478F0D3CA1}">
            <xm:f>ISERROR(SEARCH("Value Missing",I152))</xm:f>
            <xm:f>"Value Missing"</xm:f>
            <x14:dxf>
              <font>
                <color rgb="FF006100"/>
              </font>
              <fill>
                <patternFill>
                  <bgColor rgb="FFC6EFCE"/>
                </patternFill>
              </fill>
            </x14:dxf>
          </x14:cfRule>
          <x14:cfRule type="containsText" priority="422" stopIfTrue="1" operator="containsText" id="{191BE838-4409-4C46-BAC7-098F77322DA1}">
            <xm:f>NOT(ISERROR(SEARCH("Value Missing",I152)))</xm:f>
            <xm:f>"Value Missing"</xm:f>
            <x14:dxf>
              <font>
                <color rgb="FF0E223A"/>
              </font>
              <fill>
                <patternFill>
                  <bgColor rgb="FFFFBE29"/>
                </patternFill>
              </fill>
            </x14:dxf>
          </x14:cfRule>
          <xm:sqref>I152:I155</xm:sqref>
        </x14:conditionalFormatting>
        <x14:conditionalFormatting xmlns:xm="http://schemas.microsoft.com/office/excel/2006/main">
          <x14:cfRule type="containsText" priority="419" operator="containsText" id="{C95A0006-2520-3F4E-8CAC-C2C2B91DA98E}">
            <xm:f>NOT(ISERROR(SEARCH("Value Missing",I157)))</xm:f>
            <xm:f>"Value Missing"</xm:f>
            <x14:dxf>
              <font>
                <color rgb="FF9C0006"/>
              </font>
              <fill>
                <patternFill>
                  <bgColor rgb="FFFFC7CE"/>
                </patternFill>
              </fill>
            </x14:dxf>
          </x14:cfRule>
          <x14:cfRule type="containsText" priority="415" operator="containsText" id="{7FBCC206-B9DE-AC44-8812-6BCEC04A5615}">
            <xm:f>NOT(ISERROR(SEARCH("Value Missing",I157)))</xm:f>
            <xm:f>"Value Missing"</xm:f>
            <x14:dxf>
              <font>
                <color rgb="FF9C0006"/>
              </font>
              <fill>
                <patternFill>
                  <bgColor rgb="FFFFC7CE"/>
                </patternFill>
              </fill>
            </x14:dxf>
          </x14:cfRule>
          <x14:cfRule type="notContainsText" priority="414" operator="notContains" id="{081475AE-57A1-6C41-8EE7-BE81E7FE8043}">
            <xm:f>ISERROR(SEARCH("Value Missing",I157))</xm:f>
            <xm:f>"Value Missing"</xm:f>
            <x14:dxf>
              <font>
                <color rgb="FF006100"/>
              </font>
              <fill>
                <patternFill>
                  <bgColor rgb="FFC6EFCE"/>
                </patternFill>
              </fill>
            </x14:dxf>
          </x14:cfRule>
          <x14:cfRule type="notContainsText" priority="418" operator="notContains" id="{5651096A-8902-254B-9F26-84D63DC63B53}">
            <xm:f>ISERROR(SEARCH("Value Missing",I157))</xm:f>
            <xm:f>"Value Missing"</xm:f>
            <x14:dxf>
              <font>
                <color rgb="FF006100"/>
              </font>
              <fill>
                <patternFill>
                  <bgColor rgb="FFC6EFCE"/>
                </patternFill>
              </fill>
            </x14:dxf>
          </x14:cfRule>
          <xm:sqref>I157:I160</xm:sqref>
        </x14:conditionalFormatting>
        <x14:conditionalFormatting xmlns:xm="http://schemas.microsoft.com/office/excel/2006/main">
          <x14:cfRule type="notContainsText" priority="420" operator="notContains" id="{12F73065-1FB0-8F43-9664-4FE0D76D9171}">
            <xm:f>ISERROR(SEARCH("Value Missing",I157))</xm:f>
            <xm:f>"Value Missing"</xm:f>
            <x14:dxf>
              <font>
                <color rgb="FF006100"/>
              </font>
              <fill>
                <patternFill>
                  <bgColor rgb="FFC6EFCE"/>
                </patternFill>
              </fill>
            </x14:dxf>
          </x14:cfRule>
          <xm:sqref>I157:I174 L254:L260 L330:L351 L354:L365</xm:sqref>
        </x14:conditionalFormatting>
        <x14:conditionalFormatting xmlns:xm="http://schemas.microsoft.com/office/excel/2006/main">
          <x14:cfRule type="containsText" priority="410" stopIfTrue="1" operator="containsText" id="{F82BCA92-014B-4345-9BE3-0A41EE3E7F4A}">
            <xm:f>NOT(ISERROR(SEARCH("Value Missing",I157)))</xm:f>
            <xm:f>"Value Missing"</xm:f>
            <x14:dxf>
              <font>
                <color rgb="FF0E223A"/>
              </font>
              <fill>
                <patternFill>
                  <bgColor rgb="FFFFBE29"/>
                </patternFill>
              </fill>
            </x14:dxf>
          </x14:cfRule>
          <xm:sqref>I157:I174</xm:sqref>
        </x14:conditionalFormatting>
        <x14:conditionalFormatting xmlns:xm="http://schemas.microsoft.com/office/excel/2006/main">
          <x14:cfRule type="containsText" priority="439" operator="containsText" id="{239CAEC7-D309-6C48-A18D-7B77D75F398F}">
            <xm:f>NOT(ISERROR(SEARCH("Value Missing",I161)))</xm:f>
            <xm:f>"Value Missing"</xm:f>
            <x14:dxf>
              <font>
                <color rgb="FF9C0006"/>
              </font>
              <fill>
                <patternFill>
                  <bgColor rgb="FFFFC7CE"/>
                </patternFill>
              </fill>
            </x14:dxf>
          </x14:cfRule>
          <x14:cfRule type="notContainsText" priority="442" operator="notContains" id="{A1D2A634-4810-E74B-9D2C-CC179641CF8A}">
            <xm:f>ISERROR(SEARCH("Value Missing",I161))</xm:f>
            <xm:f>"Value Missing"</xm:f>
            <x14:dxf>
              <font>
                <color rgb="FF006100"/>
              </font>
              <fill>
                <patternFill>
                  <bgColor rgb="FFC6EFCE"/>
                </patternFill>
              </fill>
            </x14:dxf>
          </x14:cfRule>
          <x14:cfRule type="containsText" priority="443" operator="containsText" id="{6C9C07AE-C97F-FD46-9128-64816771FD8E}">
            <xm:f>NOT(ISERROR(SEARCH("Value Missing",I161)))</xm:f>
            <xm:f>"Value Missing"</xm:f>
            <x14:dxf>
              <font>
                <color rgb="FF9C0006"/>
              </font>
              <fill>
                <patternFill>
                  <bgColor rgb="FFFFC7CE"/>
                </patternFill>
              </fill>
            </x14:dxf>
          </x14:cfRule>
          <x14:cfRule type="notContainsText" priority="444" operator="notContains" id="{AC5ABB67-C7EA-5A4C-8F40-03B08E402E6A}">
            <xm:f>ISERROR(SEARCH("Value Missing",I161))</xm:f>
            <xm:f>"Value Missing"</xm:f>
            <x14:dxf>
              <font>
                <color rgb="FF006100"/>
              </font>
              <fill>
                <patternFill>
                  <bgColor rgb="FFC6EFCE"/>
                </patternFill>
              </fill>
            </x14:dxf>
          </x14:cfRule>
          <xm:sqref>I161:I174</xm:sqref>
        </x14:conditionalFormatting>
        <x14:conditionalFormatting xmlns:xm="http://schemas.microsoft.com/office/excel/2006/main">
          <x14:cfRule type="containsText" priority="21" stopIfTrue="1" operator="containsText" id="{D3968600-DF2E-A64E-9A13-728ED6465ECD}">
            <xm:f>NOT(ISERROR(SEARCH("Value Missing",I249)))</xm:f>
            <xm:f>"Value Missing"</xm:f>
            <x14:dxf>
              <font>
                <color rgb="FF0E223A"/>
              </font>
              <fill>
                <patternFill>
                  <bgColor rgb="FFFFBE29"/>
                </patternFill>
              </fill>
            </x14:dxf>
          </x14:cfRule>
          <xm:sqref>I249:I256</xm:sqref>
        </x14:conditionalFormatting>
        <x14:conditionalFormatting xmlns:xm="http://schemas.microsoft.com/office/excel/2006/main">
          <x14:cfRule type="containsText" priority="25" stopIfTrue="1" operator="containsText" id="{35BDBE70-989F-F64A-BE43-71DD42A8701D}">
            <xm:f>NOT(ISERROR(SEARCH("Value Missing",I249)))</xm:f>
            <xm:f>"Value Missing"</xm:f>
            <x14:dxf>
              <font>
                <color rgb="FF0E223A"/>
              </font>
              <fill>
                <patternFill>
                  <bgColor rgb="FFFFBE29"/>
                </patternFill>
              </fill>
            </x14:dxf>
          </x14:cfRule>
          <xm:sqref>I249:I312</xm:sqref>
        </x14:conditionalFormatting>
        <x14:conditionalFormatting xmlns:xm="http://schemas.microsoft.com/office/excel/2006/main">
          <x14:cfRule type="containsText" priority="617" operator="containsText" id="{8026684D-F4C9-9543-B6C3-1F7DB5FB8FC0}">
            <xm:f>NOT(ISERROR(SEARCH("Value Missing",L39)))</xm:f>
            <xm:f>"Value Missing"</xm:f>
            <x14:dxf>
              <font>
                <color rgb="FF9C0006"/>
              </font>
              <fill>
                <patternFill>
                  <bgColor rgb="FFFFC7CE"/>
                </patternFill>
              </fill>
            </x14:dxf>
          </x14:cfRule>
          <xm:sqref>L39</xm:sqref>
        </x14:conditionalFormatting>
        <x14:conditionalFormatting xmlns:xm="http://schemas.microsoft.com/office/excel/2006/main">
          <x14:cfRule type="containsText" priority="1768" operator="containsText" id="{A8286C1F-9D94-414E-ACED-700995BD9EA7}">
            <xm:f>NOT(ISERROR(SEARCH("Value Missing",L44)))</xm:f>
            <xm:f>"Value Missing"</xm:f>
            <x14:dxf>
              <font>
                <color rgb="FF9C0006"/>
              </font>
              <fill>
                <patternFill>
                  <bgColor rgb="FFFFC7CE"/>
                </patternFill>
              </fill>
            </x14:dxf>
          </x14:cfRule>
          <xm:sqref>L44:L62</xm:sqref>
        </x14:conditionalFormatting>
        <x14:conditionalFormatting xmlns:xm="http://schemas.microsoft.com/office/excel/2006/main">
          <x14:cfRule type="notContainsText" priority="1767" operator="notContains" id="{0404F85F-A291-6944-8CC8-EAB1103020B2}">
            <xm:f>ISERROR(SEARCH("Value Missing",L57))</xm:f>
            <xm:f>"Value Missing"</xm:f>
            <x14:dxf>
              <font>
                <color rgb="FF006100"/>
              </font>
              <fill>
                <patternFill>
                  <bgColor rgb="FFC6EFCE"/>
                </patternFill>
              </fill>
            </x14:dxf>
          </x14:cfRule>
          <xm:sqref>L57</xm:sqref>
        </x14:conditionalFormatting>
        <x14:conditionalFormatting xmlns:xm="http://schemas.microsoft.com/office/excel/2006/main">
          <x14:cfRule type="notContainsText" priority="1938" operator="notContains" id="{EB06B408-D343-1C45-A9DA-11348E40217A}">
            <xm:f>ISERROR(SEARCH("Value Missing",L66))</xm:f>
            <xm:f>"Value Missing"</xm:f>
            <x14:dxf>
              <font>
                <color rgb="FF006100"/>
              </font>
              <fill>
                <patternFill>
                  <bgColor rgb="FFC6EFCE"/>
                </patternFill>
              </fill>
            </x14:dxf>
          </x14:cfRule>
          <x14:cfRule type="containsText" priority="1939" operator="containsText" id="{C28561CE-3D71-7E47-BA51-7A5F77A95858}">
            <xm:f>NOT(ISERROR(SEARCH("Value Missing",L66)))</xm:f>
            <xm:f>"Value Missing"</xm:f>
            <x14:dxf>
              <font>
                <color rgb="FF9C0006"/>
              </font>
              <fill>
                <patternFill>
                  <bgColor rgb="FFFFC7CE"/>
                </patternFill>
              </fill>
            </x14:dxf>
          </x14:cfRule>
          <xm:sqref>L66:L67</xm:sqref>
        </x14:conditionalFormatting>
        <x14:conditionalFormatting xmlns:xm="http://schemas.microsoft.com/office/excel/2006/main">
          <x14:cfRule type="notContainsText" priority="5349" operator="notContains" id="{EB06B408-D343-1C45-A9DA-11348E40217A}">
            <xm:f>ISERROR(SEARCH("Value Missing",L68))</xm:f>
            <xm:f>"Value Missing"</xm:f>
            <x14:dxf>
              <font>
                <color rgb="FF006100"/>
              </font>
              <fill>
                <patternFill>
                  <bgColor rgb="FFC6EFCE"/>
                </patternFill>
              </fill>
            </x14:dxf>
          </x14:cfRule>
          <x14:cfRule type="containsText" priority="5350" operator="containsText" id="{C28561CE-3D71-7E47-BA51-7A5F77A95858}">
            <xm:f>NOT(ISERROR(SEARCH("Value Missing",L68)))</xm:f>
            <xm:f>"Value Missing"</xm:f>
            <x14:dxf>
              <font>
                <color rgb="FF9C0006"/>
              </font>
              <fill>
                <patternFill>
                  <bgColor rgb="FFFFC7CE"/>
                </patternFill>
              </fill>
            </x14:dxf>
          </x14:cfRule>
          <xm:sqref>L68</xm:sqref>
        </x14:conditionalFormatting>
        <x14:conditionalFormatting xmlns:xm="http://schemas.microsoft.com/office/excel/2006/main">
          <x14:cfRule type="notContainsText" priority="2285" operator="notContains" id="{A6055999-7341-FD44-A821-28C6EA375C58}">
            <xm:f>ISERROR(SEARCH("Value Missing",L72))</xm:f>
            <xm:f>"Value Missing"</xm:f>
            <x14:dxf>
              <font>
                <color rgb="FF006100"/>
              </font>
              <fill>
                <patternFill>
                  <bgColor rgb="FFC6EFCE"/>
                </patternFill>
              </fill>
            </x14:dxf>
          </x14:cfRule>
          <x14:cfRule type="containsText" priority="2286" operator="containsText" id="{F667AE56-B058-E742-B5A0-59BD3DD17B9D}">
            <xm:f>NOT(ISERROR(SEARCH("Value Missing",L72)))</xm:f>
            <xm:f>"Value Missing"</xm:f>
            <x14:dxf>
              <font>
                <color rgb="FF9C0006"/>
              </font>
              <fill>
                <patternFill>
                  <bgColor rgb="FFFFC7CE"/>
                </patternFill>
              </fill>
            </x14:dxf>
          </x14:cfRule>
          <xm:sqref>L72:L73</xm:sqref>
        </x14:conditionalFormatting>
        <x14:conditionalFormatting xmlns:xm="http://schemas.microsoft.com/office/excel/2006/main">
          <x14:cfRule type="notContainsText" priority="2283" operator="notContains" id="{CF9A5631-84E5-A242-9D11-EC5251E412F3}">
            <xm:f>ISERROR(SEARCH("Value Missing",L77))</xm:f>
            <xm:f>"Value Missing"</xm:f>
            <x14:dxf>
              <font>
                <color rgb="FF006100"/>
              </font>
              <fill>
                <patternFill>
                  <bgColor rgb="FFC6EFCE"/>
                </patternFill>
              </fill>
            </x14:dxf>
          </x14:cfRule>
          <x14:cfRule type="containsText" priority="2284" operator="containsText" id="{A190E3DF-8B8A-AE41-955D-4EEA5D5A7A9E}">
            <xm:f>NOT(ISERROR(SEARCH("Value Missing",L77)))</xm:f>
            <xm:f>"Value Missing"</xm:f>
            <x14:dxf>
              <font>
                <color rgb="FF9C0006"/>
              </font>
              <fill>
                <patternFill>
                  <bgColor rgb="FFFFC7CE"/>
                </patternFill>
              </fill>
            </x14:dxf>
          </x14:cfRule>
          <xm:sqref>L77:L78</xm:sqref>
        </x14:conditionalFormatting>
        <x14:conditionalFormatting xmlns:xm="http://schemas.microsoft.com/office/excel/2006/main">
          <x14:cfRule type="containsText" priority="2282" operator="containsText" id="{D8BA5D82-4AAB-684F-B3E8-B855F9C5CBDF}">
            <xm:f>NOT(ISERROR(SEARCH("Value Missing",L82)))</xm:f>
            <xm:f>"Value Missing"</xm:f>
            <x14:dxf>
              <font>
                <color rgb="FF9C0006"/>
              </font>
              <fill>
                <patternFill>
                  <bgColor rgb="FFFFC7CE"/>
                </patternFill>
              </fill>
            </x14:dxf>
          </x14:cfRule>
          <x14:cfRule type="notContainsText" priority="2281" operator="notContains" id="{4C2CED3A-085D-7C4A-A30D-527DBB1A2B94}">
            <xm:f>ISERROR(SEARCH("Value Missing",L82))</xm:f>
            <xm:f>"Value Missing"</xm:f>
            <x14:dxf>
              <font>
                <color rgb="FF006100"/>
              </font>
              <fill>
                <patternFill>
                  <bgColor rgb="FFC6EFCE"/>
                </patternFill>
              </fill>
            </x14:dxf>
          </x14:cfRule>
          <xm:sqref>L82:L83</xm:sqref>
        </x14:conditionalFormatting>
        <x14:conditionalFormatting xmlns:xm="http://schemas.microsoft.com/office/excel/2006/main">
          <x14:cfRule type="notContainsText" priority="2279" operator="notContains" id="{5162A225-94BA-E648-8021-C9746B852834}">
            <xm:f>ISERROR(SEARCH("Value Missing",L87))</xm:f>
            <xm:f>"Value Missing"</xm:f>
            <x14:dxf>
              <font>
                <color rgb="FF006100"/>
              </font>
              <fill>
                <patternFill>
                  <bgColor rgb="FFC6EFCE"/>
                </patternFill>
              </fill>
            </x14:dxf>
          </x14:cfRule>
          <x14:cfRule type="containsText" priority="2280" operator="containsText" id="{1E360F40-5887-A546-85AA-CE1919341AD2}">
            <xm:f>NOT(ISERROR(SEARCH("Value Missing",L87)))</xm:f>
            <xm:f>"Value Missing"</xm:f>
            <x14:dxf>
              <font>
                <color rgb="FF9C0006"/>
              </font>
              <fill>
                <patternFill>
                  <bgColor rgb="FFFFC7CE"/>
                </patternFill>
              </fill>
            </x14:dxf>
          </x14:cfRule>
          <xm:sqref>L87:L88</xm:sqref>
        </x14:conditionalFormatting>
        <x14:conditionalFormatting xmlns:xm="http://schemas.microsoft.com/office/excel/2006/main">
          <x14:cfRule type="containsText" priority="1854" operator="containsText" id="{B16C308F-57F7-454A-9EAA-C915315EA5EE}">
            <xm:f>NOT(ISERROR(SEARCH("Value Missing",L92)))</xm:f>
            <xm:f>"Value Missing"</xm:f>
            <x14:dxf>
              <font>
                <color rgb="FF9C0006"/>
              </font>
              <fill>
                <patternFill>
                  <bgColor rgb="FFFFC7CE"/>
                </patternFill>
              </fill>
            </x14:dxf>
          </x14:cfRule>
          <x14:cfRule type="notContainsText" priority="1853" operator="notContains" id="{66D7A8B4-DFA1-0F44-AF45-F6DFE73B10D7}">
            <xm:f>ISERROR(SEARCH("Value Missing",L92))</xm:f>
            <xm:f>"Value Missing"</xm:f>
            <x14:dxf>
              <font>
                <color rgb="FF006100"/>
              </font>
              <fill>
                <patternFill>
                  <bgColor rgb="FFC6EFCE"/>
                </patternFill>
              </fill>
            </x14:dxf>
          </x14:cfRule>
          <xm:sqref>L92:L93</xm:sqref>
        </x14:conditionalFormatting>
        <x14:conditionalFormatting xmlns:xm="http://schemas.microsoft.com/office/excel/2006/main">
          <x14:cfRule type="containsText" priority="1534" operator="containsText" id="{BEF954B9-E159-C54D-B02B-A152B6A1554C}">
            <xm:f>NOT(ISERROR(SEARCH("Value Missing",L97)))</xm:f>
            <xm:f>"Value Missing"</xm:f>
            <x14:dxf>
              <font>
                <color rgb="FF9C0006"/>
              </font>
              <fill>
                <patternFill>
                  <bgColor rgb="FFFFC7CE"/>
                </patternFill>
              </fill>
            </x14:dxf>
          </x14:cfRule>
          <x14:cfRule type="notContainsText" priority="1533" operator="notContains" id="{527EF464-5776-B14A-8F20-4E71DC2B6BE8}">
            <xm:f>ISERROR(SEARCH("Value Missing",L97))</xm:f>
            <xm:f>"Value Missing"</xm:f>
            <x14:dxf>
              <font>
                <color rgb="FF006100"/>
              </font>
              <fill>
                <patternFill>
                  <bgColor rgb="FFC6EFCE"/>
                </patternFill>
              </fill>
            </x14:dxf>
          </x14:cfRule>
          <xm:sqref>L97:L98 L111:L122</xm:sqref>
        </x14:conditionalFormatting>
        <x14:conditionalFormatting xmlns:xm="http://schemas.microsoft.com/office/excel/2006/main">
          <x14:cfRule type="notContainsText" priority="2023" operator="notContains" id="{0BC9AB65-82BA-7F40-931A-DB297ED9FE28}">
            <xm:f>ISERROR(SEARCH("Value Missing",L105))</xm:f>
            <xm:f>"Value Missing"</xm:f>
            <x14:dxf>
              <font>
                <color rgb="FF006100"/>
              </font>
              <fill>
                <patternFill>
                  <bgColor rgb="FFC6EFCE"/>
                </patternFill>
              </fill>
            </x14:dxf>
          </x14:cfRule>
          <x14:cfRule type="containsText" priority="2024" operator="containsText" id="{EB634813-7434-9946-AC83-1C209EEC6624}">
            <xm:f>NOT(ISERROR(SEARCH("Value Missing",L105)))</xm:f>
            <xm:f>"Value Missing"</xm:f>
            <x14:dxf>
              <font>
                <color rgb="FF9C0006"/>
              </font>
              <fill>
                <patternFill>
                  <bgColor rgb="FFFFC7CE"/>
                </patternFill>
              </fill>
            </x14:dxf>
          </x14:cfRule>
          <xm:sqref>L105</xm:sqref>
        </x14:conditionalFormatting>
        <x14:conditionalFormatting xmlns:xm="http://schemas.microsoft.com/office/excel/2006/main">
          <x14:cfRule type="notContainsText" priority="2031" operator="notContains" id="{F29D4069-301D-E541-B3E3-18BFB9A7143B}">
            <xm:f>ISERROR(SEARCH("Value Missing",L106))</xm:f>
            <xm:f>"Value Missing"</xm:f>
            <x14:dxf>
              <font>
                <color rgb="FF006100"/>
              </font>
              <fill>
                <patternFill>
                  <bgColor rgb="FFC6EFCE"/>
                </patternFill>
              </fill>
            </x14:dxf>
          </x14:cfRule>
          <x14:cfRule type="containsText" priority="2032" operator="containsText" id="{9383DBED-1A97-434D-93BA-864E6F154708}">
            <xm:f>NOT(ISERROR(SEARCH("Value Missing",L106)))</xm:f>
            <xm:f>"Value Missing"</xm:f>
            <x14:dxf>
              <font>
                <color rgb="FF9C0006"/>
              </font>
              <fill>
                <patternFill>
                  <bgColor rgb="FFFFC7CE"/>
                </patternFill>
              </fill>
            </x14:dxf>
          </x14:cfRule>
          <xm:sqref>L106:L107</xm:sqref>
        </x14:conditionalFormatting>
        <x14:conditionalFormatting xmlns:xm="http://schemas.microsoft.com/office/excel/2006/main">
          <x14:cfRule type="notContainsText" priority="2691" operator="notContains" id="{FF52140E-5BBD-4944-AD51-FD2984E05DF2}">
            <xm:f>ISERROR(SEARCH("Value Missing",L12))</xm:f>
            <xm:f>"Value Missing"</xm:f>
            <x14:dxf>
              <font>
                <color rgb="FF006100"/>
              </font>
              <fill>
                <patternFill>
                  <bgColor rgb="FFC6EFCE"/>
                </patternFill>
              </fill>
            </x14:dxf>
          </x14:cfRule>
          <xm:sqref>L126:L127 R56:R59 R77:R81 AA12 L99:L104 U103:U108 U121 R70:R73 U52:U54 AA62:AA67</xm:sqref>
        </x14:conditionalFormatting>
        <x14:conditionalFormatting xmlns:xm="http://schemas.microsoft.com/office/excel/2006/main">
          <x14:cfRule type="containsText" priority="2086" operator="containsText" id="{27C6D238-65C9-3445-A866-E072F0BBF0AF}">
            <xm:f>NOT(ISERROR(SEARCH("Value Missing",L131)))</xm:f>
            <xm:f>"Value Missing"</xm:f>
            <x14:dxf>
              <font>
                <color rgb="FF9C0006"/>
              </font>
              <fill>
                <patternFill>
                  <bgColor rgb="FFFFC7CE"/>
                </patternFill>
              </fill>
            </x14:dxf>
          </x14:cfRule>
          <x14:cfRule type="notContainsText" priority="2085" operator="notContains" id="{3F8F241C-E223-8A48-8406-E7B18BA564FA}">
            <xm:f>ISERROR(SEARCH("Value Missing",L131))</xm:f>
            <xm:f>"Value Missing"</xm:f>
            <x14:dxf>
              <font>
                <color rgb="FF006100"/>
              </font>
              <fill>
                <patternFill>
                  <bgColor rgb="FFC6EFCE"/>
                </patternFill>
              </fill>
            </x14:dxf>
          </x14:cfRule>
          <xm:sqref>L131:L132</xm:sqref>
        </x14:conditionalFormatting>
        <x14:conditionalFormatting xmlns:xm="http://schemas.microsoft.com/office/excel/2006/main">
          <x14:cfRule type="notContainsText" priority="1530" operator="notContains" id="{485F175F-22A5-F241-B988-F11B3EDEBBFC}">
            <xm:f>ISERROR(SEARCH("Value Missing",L164))</xm:f>
            <xm:f>"Value Missing"</xm:f>
            <x14:dxf>
              <font>
                <color rgb="FF006100"/>
              </font>
              <fill>
                <patternFill>
                  <bgColor rgb="FFC6EFCE"/>
                </patternFill>
              </fill>
            </x14:dxf>
          </x14:cfRule>
          <x14:cfRule type="containsText" priority="1531" operator="containsText" id="{ACAD98C9-C2F0-E64E-8332-154EA7A5DF00}">
            <xm:f>NOT(ISERROR(SEARCH("Value Missing",L164)))</xm:f>
            <xm:f>"Value Missing"</xm:f>
            <x14:dxf>
              <font>
                <color rgb="FF9C0006"/>
              </font>
              <fill>
                <patternFill>
                  <bgColor rgb="FFFFC7CE"/>
                </patternFill>
              </fill>
            </x14:dxf>
          </x14:cfRule>
          <xm:sqref>L164</xm:sqref>
        </x14:conditionalFormatting>
        <x14:conditionalFormatting xmlns:xm="http://schemas.microsoft.com/office/excel/2006/main">
          <x14:cfRule type="containsText" priority="581" operator="containsText" id="{40A5DED4-AB86-3146-B09E-D311A5B044FB}">
            <xm:f>NOT(ISERROR(SEARCH("Value Missing",L179)))</xm:f>
            <xm:f>"Value Missing"</xm:f>
            <x14:dxf>
              <font>
                <color rgb="FF9C0006"/>
              </font>
              <fill>
                <patternFill>
                  <bgColor rgb="FFFFC7CE"/>
                </patternFill>
              </fill>
            </x14:dxf>
          </x14:cfRule>
          <xm:sqref>L179</xm:sqref>
        </x14:conditionalFormatting>
        <x14:conditionalFormatting xmlns:xm="http://schemas.microsoft.com/office/excel/2006/main">
          <x14:cfRule type="notContainsText" priority="101" operator="notContains" id="{642EEB73-90AA-4840-8D2E-077B98AEE888}">
            <xm:f>ISERROR(SEARCH("Value Missing",L229))</xm:f>
            <xm:f>"Value Missing"</xm:f>
            <x14:dxf>
              <font>
                <color rgb="FF006100"/>
              </font>
              <fill>
                <patternFill>
                  <bgColor rgb="FFC6EFCE"/>
                </patternFill>
              </fill>
            </x14:dxf>
          </x14:cfRule>
          <x14:cfRule type="containsText" priority="97" stopIfTrue="1" operator="containsText" id="{E22FD3A8-CD2A-8E4A-8E4F-C8233B5E87A5}">
            <xm:f>NOT(ISERROR(SEARCH("Value Missing",L229)))</xm:f>
            <xm:f>"Value Missing"</xm:f>
            <x14:dxf>
              <font>
                <color rgb="FF0E223A"/>
              </font>
              <fill>
                <patternFill>
                  <bgColor rgb="FFFFBE29"/>
                </patternFill>
              </fill>
            </x14:dxf>
          </x14:cfRule>
          <xm:sqref>L229</xm:sqref>
        </x14:conditionalFormatting>
        <x14:conditionalFormatting xmlns:xm="http://schemas.microsoft.com/office/excel/2006/main">
          <x14:cfRule type="containsText" priority="103" stopIfTrue="1" operator="containsText" id="{4B8A7FCC-DBDD-614C-B831-A527E7102D19}">
            <xm:f>NOT(ISERROR(SEARCH("Value Missing",L234)))</xm:f>
            <xm:f>"Value Missing"</xm:f>
            <x14:dxf>
              <font>
                <color rgb="FF0E223A"/>
              </font>
              <fill>
                <patternFill>
                  <bgColor rgb="FFFFBE29"/>
                </patternFill>
              </fill>
            </x14:dxf>
          </x14:cfRule>
          <x14:cfRule type="notContainsText" priority="107" operator="notContains" id="{E44706DF-631C-7149-B354-D0E72DBE283F}">
            <xm:f>ISERROR(SEARCH("Value Missing",L234))</xm:f>
            <xm:f>"Value Missing"</xm:f>
            <x14:dxf>
              <font>
                <color rgb="FF006100"/>
              </font>
              <fill>
                <patternFill>
                  <bgColor rgb="FFC6EFCE"/>
                </patternFill>
              </fill>
            </x14:dxf>
          </x14:cfRule>
          <xm:sqref>L234:L252</xm:sqref>
        </x14:conditionalFormatting>
        <x14:conditionalFormatting xmlns:xm="http://schemas.microsoft.com/office/excel/2006/main">
          <x14:cfRule type="containsText" priority="79" stopIfTrue="1" operator="containsText" id="{E5CEA684-26C7-D448-AC49-AF58FB1D4C89}">
            <xm:f>NOT(ISERROR(SEARCH("Value Missing",L269)))</xm:f>
            <xm:f>"Value Missing"</xm:f>
            <x14:dxf>
              <font>
                <color rgb="FF0E223A"/>
              </font>
              <fill>
                <patternFill>
                  <bgColor rgb="FFFFBE29"/>
                </patternFill>
              </fill>
            </x14:dxf>
          </x14:cfRule>
          <x14:cfRule type="notContainsText" priority="83" operator="notContains" id="{ACDC23A2-F6B0-1944-AB8D-46CC999DFF47}">
            <xm:f>ISERROR(SEARCH("Value Missing",L269))</xm:f>
            <xm:f>"Value Missing"</xm:f>
            <x14:dxf>
              <font>
                <color rgb="FF006100"/>
              </font>
              <fill>
                <patternFill>
                  <bgColor rgb="FFC6EFCE"/>
                </patternFill>
              </fill>
            </x14:dxf>
          </x14:cfRule>
          <xm:sqref>L269:L272</xm:sqref>
        </x14:conditionalFormatting>
        <x14:conditionalFormatting xmlns:xm="http://schemas.microsoft.com/office/excel/2006/main">
          <x14:cfRule type="notContainsText" priority="77" operator="notContains" id="{EA8EE2D5-55D7-8F43-921B-1B83A0E4D1EE}">
            <xm:f>ISERROR(SEARCH("Value Missing",L274))</xm:f>
            <xm:f>"Value Missing"</xm:f>
            <x14:dxf>
              <font>
                <color rgb="FF006100"/>
              </font>
              <fill>
                <patternFill>
                  <bgColor rgb="FFC6EFCE"/>
                </patternFill>
              </fill>
            </x14:dxf>
          </x14:cfRule>
          <x14:cfRule type="containsText" priority="73" stopIfTrue="1" operator="containsText" id="{4CB8A0CE-A2B2-B446-9E6B-8ECF54515776}">
            <xm:f>NOT(ISERROR(SEARCH("Value Missing",L274)))</xm:f>
            <xm:f>"Value Missing"</xm:f>
            <x14:dxf>
              <font>
                <color rgb="FF0E223A"/>
              </font>
              <fill>
                <patternFill>
                  <bgColor rgb="FFFFBE29"/>
                </patternFill>
              </fill>
            </x14:dxf>
          </x14:cfRule>
          <xm:sqref>L274:L284</xm:sqref>
        </x14:conditionalFormatting>
        <x14:conditionalFormatting xmlns:xm="http://schemas.microsoft.com/office/excel/2006/main">
          <x14:cfRule type="containsText" priority="15" operator="containsText" id="{F1DAE2D5-CC9C-D147-8D1B-3061D1B2DD33}">
            <xm:f>NOT(ISERROR(SEARCH("Value Missing",O32)))</xm:f>
            <xm:f>"Value Missing"</xm:f>
            <x14:dxf>
              <font>
                <color rgb="FF9C0006"/>
              </font>
              <fill>
                <patternFill>
                  <bgColor rgb="FFFFC7CE"/>
                </patternFill>
              </fill>
            </x14:dxf>
          </x14:cfRule>
          <xm:sqref>O32:O33</xm:sqref>
        </x14:conditionalFormatting>
        <x14:conditionalFormatting xmlns:xm="http://schemas.microsoft.com/office/excel/2006/main">
          <x14:cfRule type="notContainsText" priority="2090" operator="notContains" id="{C5780161-3794-614B-A865-2D97ECFAFAA4}">
            <xm:f>ISERROR(SEARCH("Value Missing",L8))</xm:f>
            <xm:f>"Value Missing"</xm:f>
            <x14:dxf>
              <font>
                <color rgb="FF006100"/>
              </font>
              <fill>
                <patternFill>
                  <bgColor rgb="FFC6EFCE"/>
                </patternFill>
              </fill>
            </x14:dxf>
          </x14:cfRule>
          <xm:sqref>R8 R12 L44:L62</xm:sqref>
        </x14:conditionalFormatting>
        <x14:conditionalFormatting xmlns:xm="http://schemas.microsoft.com/office/excel/2006/main">
          <x14:cfRule type="notContainsText" priority="1024" operator="notContains" id="{D833FB44-6E5C-004B-9AB4-C0621EC6A7D6}">
            <xm:f>ISERROR(SEARCH("Value Missing",R8))</xm:f>
            <xm:f>"Value Missing"</xm:f>
            <x14:dxf>
              <font>
                <color rgb="FF006100"/>
              </font>
              <fill>
                <patternFill>
                  <bgColor rgb="FFC6EFCE"/>
                </patternFill>
              </fill>
            </x14:dxf>
          </x14:cfRule>
          <x14:cfRule type="containsText" priority="1023" operator="containsText" id="{D53AA8E6-9CD2-3A4D-8B55-FCEBD19BC852}">
            <xm:f>NOT(ISERROR(SEARCH("Value Missing",R8)))</xm:f>
            <xm:f>"Value Missing"</xm:f>
            <x14:dxf>
              <font>
                <color rgb="FF9C0006"/>
              </font>
              <fill>
                <patternFill>
                  <bgColor rgb="FFFFC7CE"/>
                </patternFill>
              </fill>
            </x14:dxf>
          </x14:cfRule>
          <x14:cfRule type="notContainsText" priority="1022" operator="notContains" id="{9BCF9790-E186-9747-92CF-1BBDFB7A4594}">
            <xm:f>ISERROR(SEARCH("Value Missing",R8))</xm:f>
            <xm:f>"Value Missing"</xm:f>
            <x14:dxf>
              <font>
                <color rgb="FF006100"/>
              </font>
              <fill>
                <patternFill>
                  <bgColor rgb="FFC6EFCE"/>
                </patternFill>
              </fill>
            </x14:dxf>
          </x14:cfRule>
          <x14:cfRule type="containsText" priority="1018" stopIfTrue="1" operator="containsText" id="{B406923D-C246-5846-93BF-5470F483BABD}">
            <xm:f>NOT(ISERROR(SEARCH("Value Missing",R8)))</xm:f>
            <xm:f>"Value Missing"</xm:f>
            <x14:dxf>
              <font>
                <color rgb="FF0E223A"/>
              </font>
              <fill>
                <patternFill>
                  <bgColor rgb="FFFFBE29"/>
                </patternFill>
              </fill>
            </x14:dxf>
          </x14:cfRule>
          <xm:sqref>R8</xm:sqref>
        </x14:conditionalFormatting>
        <x14:conditionalFormatting xmlns:xm="http://schemas.microsoft.com/office/excel/2006/main">
          <x14:cfRule type="notContainsText" priority="1003" operator="notContains" id="{77327FD0-8A72-544F-8C5A-9BD189CE4CE0}">
            <xm:f>ISERROR(SEARCH("Value Missing",R12))</xm:f>
            <xm:f>"Value Missing"</xm:f>
            <x14:dxf>
              <font>
                <color rgb="FF006100"/>
              </font>
              <fill>
                <patternFill>
                  <bgColor rgb="FFC6EFCE"/>
                </patternFill>
              </fill>
            </x14:dxf>
          </x14:cfRule>
          <x14:cfRule type="notContainsText" priority="996" operator="notContains" id="{B6592FAD-741E-3644-A0B1-3432664B23CD}">
            <xm:f>ISERROR(SEARCH("Value Missing",R12))</xm:f>
            <xm:f>"Value Missing"</xm:f>
            <x14:dxf>
              <font>
                <color rgb="FF006100"/>
              </font>
              <fill>
                <patternFill>
                  <bgColor rgb="FFC6EFCE"/>
                </patternFill>
              </fill>
            </x14:dxf>
          </x14:cfRule>
          <x14:cfRule type="containsText" priority="997" operator="containsText" id="{7FF05F1D-5ABA-E644-932D-13D308B83AC9}">
            <xm:f>NOT(ISERROR(SEARCH("Value Missing",R12)))</xm:f>
            <xm:f>"Value Missing"</xm:f>
            <x14:dxf>
              <font>
                <color rgb="FF9C0006"/>
              </font>
              <fill>
                <patternFill>
                  <bgColor rgb="FFFFC7CE"/>
                </patternFill>
              </fill>
            </x14:dxf>
          </x14:cfRule>
          <x14:cfRule type="notContainsText" priority="998" operator="notContains" id="{785BEFB9-10CA-A64C-8873-3DC94B3539CD}">
            <xm:f>ISERROR(SEARCH("Value Missing",R12))</xm:f>
            <xm:f>"Value Missing"</xm:f>
            <x14:dxf>
              <font>
                <color rgb="FF006100"/>
              </font>
              <fill>
                <patternFill>
                  <bgColor rgb="FFC6EFCE"/>
                </patternFill>
              </fill>
            </x14:dxf>
          </x14:cfRule>
          <x14:cfRule type="containsText" priority="999" operator="containsText" id="{6826B5C3-CB2E-404F-B109-2BC592FDE3FA}">
            <xm:f>NOT(ISERROR(SEARCH("Value Missing",R12)))</xm:f>
            <xm:f>"Value Missing"</xm:f>
            <x14:dxf>
              <font>
                <color rgb="FF9C0006"/>
              </font>
              <fill>
                <patternFill>
                  <bgColor rgb="FFFFC7CE"/>
                </patternFill>
              </fill>
            </x14:dxf>
          </x14:cfRule>
          <x14:cfRule type="notContainsText" priority="1000" operator="notContains" id="{92C2ED50-3AAD-724E-9E80-D1C6009F25AB}">
            <xm:f>ISERROR(SEARCH("Value Missing",R12))</xm:f>
            <xm:f>"Value Missing"</xm:f>
            <x14:dxf>
              <font>
                <color rgb="FF006100"/>
              </font>
              <fill>
                <patternFill>
                  <bgColor rgb="FFC6EFCE"/>
                </patternFill>
              </fill>
            </x14:dxf>
          </x14:cfRule>
          <x14:cfRule type="containsText" priority="1002" operator="containsText" id="{10DDAFFC-71B2-A140-B2B6-251F02547530}">
            <xm:f>NOT(ISERROR(SEARCH("Value Missing",R12)))</xm:f>
            <xm:f>"Value Missing"</xm:f>
            <x14:dxf>
              <font>
                <color rgb="FF9C0006"/>
              </font>
              <fill>
                <patternFill>
                  <bgColor rgb="FFFFC7CE"/>
                </patternFill>
              </fill>
            </x14:dxf>
          </x14:cfRule>
          <x14:cfRule type="containsText" priority="1004" operator="containsText" id="{C7BFB2D0-6CDB-774B-B621-A88B49EE2CCE}">
            <xm:f>NOT(ISERROR(SEARCH("Value Missing",R12)))</xm:f>
            <xm:f>"Value Missing"</xm:f>
            <x14:dxf>
              <font>
                <color rgb="FF9C0006"/>
              </font>
              <fill>
                <patternFill>
                  <bgColor rgb="FFFFC7CE"/>
                </patternFill>
              </fill>
            </x14:dxf>
          </x14:cfRule>
          <x14:cfRule type="containsText" priority="992" stopIfTrue="1" operator="containsText" id="{D78B6AE8-CD43-844F-B66B-39AAC8AA71AF}">
            <xm:f>NOT(ISERROR(SEARCH("Value Missing",R12)))</xm:f>
            <xm:f>"Value Missing"</xm:f>
            <x14:dxf>
              <font>
                <color rgb="FF0E223A"/>
              </font>
              <fill>
                <patternFill>
                  <bgColor rgb="FFFFBE29"/>
                </patternFill>
              </fill>
            </x14:dxf>
          </x14:cfRule>
          <xm:sqref>R12</xm:sqref>
        </x14:conditionalFormatting>
        <x14:conditionalFormatting xmlns:xm="http://schemas.microsoft.com/office/excel/2006/main">
          <x14:cfRule type="containsText" priority="1011" operator="containsText" id="{DCDE40FF-C586-484C-B924-34F66B3B068E}">
            <xm:f>NOT(ISERROR(SEARCH("Value Missing",R16)))</xm:f>
            <xm:f>"Value Missing"</xm:f>
            <x14:dxf>
              <font>
                <color rgb="FF9C0006"/>
              </font>
              <fill>
                <patternFill>
                  <bgColor rgb="FFFFC7CE"/>
                </patternFill>
              </fill>
            </x14:dxf>
          </x14:cfRule>
          <x14:cfRule type="notContainsText" priority="1010" operator="notContains" id="{D3AE1155-B827-0A4B-A649-BA481E3EC7BD}">
            <xm:f>ISERROR(SEARCH("Value Missing",R16))</xm:f>
            <xm:f>"Value Missing"</xm:f>
            <x14:dxf>
              <font>
                <color rgb="FF006100"/>
              </font>
              <fill>
                <patternFill>
                  <bgColor rgb="FFC6EFCE"/>
                </patternFill>
              </fill>
            </x14:dxf>
          </x14:cfRule>
          <x14:cfRule type="notContainsText" priority="1012" operator="notContains" id="{18F2AC8A-AEF9-4E44-86FE-BDBC21EC94AE}">
            <xm:f>ISERROR(SEARCH("Value Missing",R16))</xm:f>
            <xm:f>"Value Missing"</xm:f>
            <x14:dxf>
              <font>
                <color rgb="FF006100"/>
              </font>
              <fill>
                <patternFill>
                  <bgColor rgb="FFC6EFCE"/>
                </patternFill>
              </fill>
            </x14:dxf>
          </x14:cfRule>
          <x14:cfRule type="containsText" priority="1013" operator="containsText" id="{69ED969C-9D8F-8B48-9827-33657E653FA7}">
            <xm:f>NOT(ISERROR(SEARCH("Value Missing",R16)))</xm:f>
            <xm:f>"Value Missing"</xm:f>
            <x14:dxf>
              <font>
                <color rgb="FF9C0006"/>
              </font>
              <fill>
                <patternFill>
                  <bgColor rgb="FFFFC7CE"/>
                </patternFill>
              </fill>
            </x14:dxf>
          </x14:cfRule>
          <x14:cfRule type="notContainsText" priority="1014" operator="notContains" id="{4AAC2819-150F-1541-BA57-BCE0B4143A1D}">
            <xm:f>ISERROR(SEARCH("Value Missing",R16))</xm:f>
            <xm:f>"Value Missing"</xm:f>
            <x14:dxf>
              <font>
                <color rgb="FF006100"/>
              </font>
              <fill>
                <patternFill>
                  <bgColor rgb="FFC6EFCE"/>
                </patternFill>
              </fill>
            </x14:dxf>
          </x14:cfRule>
          <x14:cfRule type="containsText" priority="1016" operator="containsText" id="{9F7740C2-9D29-6548-93EF-BEC8AEC9587B}">
            <xm:f>NOT(ISERROR(SEARCH("Value Missing",R16)))</xm:f>
            <xm:f>"Value Missing"</xm:f>
            <x14:dxf>
              <font>
                <color rgb="FF9C0006"/>
              </font>
              <fill>
                <patternFill>
                  <bgColor rgb="FFFFC7CE"/>
                </patternFill>
              </fill>
            </x14:dxf>
          </x14:cfRule>
          <x14:cfRule type="notContainsText" priority="1073" operator="notContains" id="{958DC334-9CD1-694A-890D-EC68E6032E87}">
            <xm:f>ISERROR(SEARCH("Value Missing",R16))</xm:f>
            <xm:f>"Value Missing"</xm:f>
            <x14:dxf>
              <font>
                <color rgb="FF006100"/>
              </font>
              <fill>
                <patternFill>
                  <bgColor rgb="FFC6EFCE"/>
                </patternFill>
              </fill>
            </x14:dxf>
          </x14:cfRule>
          <x14:cfRule type="containsText" priority="1006" stopIfTrue="1" operator="containsText" id="{C4F967B8-AACC-EA4F-9444-9D141C0F4C6D}">
            <xm:f>NOT(ISERROR(SEARCH("Value Missing",R16)))</xm:f>
            <xm:f>"Value Missing"</xm:f>
            <x14:dxf>
              <font>
                <color rgb="FF0E223A"/>
              </font>
              <fill>
                <patternFill>
                  <bgColor rgb="FFFFBE29"/>
                </patternFill>
              </fill>
            </x14:dxf>
          </x14:cfRule>
          <x14:cfRule type="containsText" priority="1074" operator="containsText" id="{67BB18E0-38CA-B84F-8DB1-660AAAD7C505}">
            <xm:f>NOT(ISERROR(SEARCH("Value Missing",R16)))</xm:f>
            <xm:f>"Value Missing"</xm:f>
            <x14:dxf>
              <font>
                <color rgb="FF9C0006"/>
              </font>
              <fill>
                <patternFill>
                  <bgColor rgb="FFFFC7CE"/>
                </patternFill>
              </fill>
            </x14:dxf>
          </x14:cfRule>
          <xm:sqref>R16</xm:sqref>
        </x14:conditionalFormatting>
        <x14:conditionalFormatting xmlns:xm="http://schemas.microsoft.com/office/excel/2006/main">
          <x14:cfRule type="notContainsText" priority="1094" operator="notContains" id="{0462A11E-4843-CA4A-87BA-F11FB7A6D40C}">
            <xm:f>ISERROR(SEARCH("Value Missing",R28))</xm:f>
            <xm:f>"Value Missing"</xm:f>
            <x14:dxf>
              <font>
                <color rgb="FF006100"/>
              </font>
              <fill>
                <patternFill>
                  <bgColor rgb="FFC6EFCE"/>
                </patternFill>
              </fill>
            </x14:dxf>
          </x14:cfRule>
          <x14:cfRule type="containsText" priority="1095" operator="containsText" id="{950A25C2-CB87-7C43-A757-5255B44FEA2F}">
            <xm:f>NOT(ISERROR(SEARCH("Value Missing",R28)))</xm:f>
            <xm:f>"Value Missing"</xm:f>
            <x14:dxf>
              <font>
                <color rgb="FF9C0006"/>
              </font>
              <fill>
                <patternFill>
                  <bgColor rgb="FFFFC7CE"/>
                </patternFill>
              </fill>
            </x14:dxf>
          </x14:cfRule>
          <x14:cfRule type="notContainsText" priority="1096" operator="notContains" id="{58795953-E013-904D-9B4F-EDD0EAB8FAA8}">
            <xm:f>ISERROR(SEARCH("Value Missing",R28))</xm:f>
            <xm:f>"Value Missing"</xm:f>
            <x14:dxf>
              <font>
                <color rgb="FF006100"/>
              </font>
              <fill>
                <patternFill>
                  <bgColor rgb="FFC6EFCE"/>
                </patternFill>
              </fill>
            </x14:dxf>
          </x14:cfRule>
          <xm:sqref>R28 R31</xm:sqref>
        </x14:conditionalFormatting>
        <x14:conditionalFormatting xmlns:xm="http://schemas.microsoft.com/office/excel/2006/main">
          <x14:cfRule type="notContainsText" priority="1043" operator="notContains" id="{CE7C93E2-A89C-F643-81B3-3A61239AB6A3}">
            <xm:f>ISERROR(SEARCH("Value Missing",R34))</xm:f>
            <xm:f>"Value Missing"</xm:f>
            <x14:dxf>
              <font>
                <color rgb="FF006100"/>
              </font>
              <fill>
                <patternFill>
                  <bgColor rgb="FFC6EFCE"/>
                </patternFill>
              </fill>
            </x14:dxf>
          </x14:cfRule>
          <x14:cfRule type="notContainsText" priority="1045" operator="notContains" id="{9155DD1D-4E54-3244-9BFE-3DAE93E16F42}">
            <xm:f>ISERROR(SEARCH("Value Missing",R34))</xm:f>
            <xm:f>"Value Missing"</xm:f>
            <x14:dxf>
              <font>
                <color rgb="FF006100"/>
              </font>
              <fill>
                <patternFill>
                  <bgColor rgb="FFC6EFCE"/>
                </patternFill>
              </fill>
            </x14:dxf>
          </x14:cfRule>
          <x14:cfRule type="containsText" priority="1044" operator="containsText" id="{AD968792-2099-0740-9F7A-7FA682C87A01}">
            <xm:f>NOT(ISERROR(SEARCH("Value Missing",R34)))</xm:f>
            <xm:f>"Value Missing"</xm:f>
            <x14:dxf>
              <font>
                <color rgb="FF9C0006"/>
              </font>
              <fill>
                <patternFill>
                  <bgColor rgb="FFFFC7CE"/>
                </patternFill>
              </fill>
            </x14:dxf>
          </x14:cfRule>
          <xm:sqref>R34</xm:sqref>
        </x14:conditionalFormatting>
        <x14:conditionalFormatting xmlns:xm="http://schemas.microsoft.com/office/excel/2006/main">
          <x14:cfRule type="containsText" priority="989" operator="containsText" id="{2E49C2E7-4B71-D144-A68D-FB239272EED9}">
            <xm:f>NOT(ISERROR(SEARCH("Value Missing",R38)))</xm:f>
            <xm:f>"Value Missing"</xm:f>
            <x14:dxf>
              <font>
                <color rgb="FF9C0006"/>
              </font>
              <fill>
                <patternFill>
                  <bgColor rgb="FFFFC7CE"/>
                </patternFill>
              </fill>
            </x14:dxf>
          </x14:cfRule>
          <x14:cfRule type="notContainsText" priority="981" operator="notContains" id="{FE6EE06D-EA32-B947-998A-40AFDBE9E1E8}">
            <xm:f>ISERROR(SEARCH("Value Missing",R38))</xm:f>
            <xm:f>"Value Missing"</xm:f>
            <x14:dxf>
              <font>
                <color rgb="FF006100"/>
              </font>
              <fill>
                <patternFill>
                  <bgColor rgb="FFC6EFCE"/>
                </patternFill>
              </fill>
            </x14:dxf>
          </x14:cfRule>
          <x14:cfRule type="notContainsText" priority="985" operator="notContains" id="{4768D170-703F-8547-A1E7-8341537CD6C9}">
            <xm:f>ISERROR(SEARCH("Value Missing",R38))</xm:f>
            <xm:f>"Value Missing"</xm:f>
            <x14:dxf>
              <font>
                <color rgb="FF006100"/>
              </font>
              <fill>
                <patternFill>
                  <bgColor rgb="FFC6EFCE"/>
                </patternFill>
              </fill>
            </x14:dxf>
          </x14:cfRule>
          <x14:cfRule type="containsText" priority="984" operator="containsText" id="{D29B1B6B-E041-9246-A224-9937CA143CAD}">
            <xm:f>NOT(ISERROR(SEARCH("Value Missing",R38)))</xm:f>
            <xm:f>"Value Missing"</xm:f>
            <x14:dxf>
              <font>
                <color rgb="FF9C0006"/>
              </font>
              <fill>
                <patternFill>
                  <bgColor rgb="FFFFC7CE"/>
                </patternFill>
              </fill>
            </x14:dxf>
          </x14:cfRule>
          <x14:cfRule type="containsText" priority="977" stopIfTrue="1" operator="containsText" id="{98ACDE98-E5A2-C045-B534-9A34C89285A5}">
            <xm:f>NOT(ISERROR(SEARCH("Value Missing",R38)))</xm:f>
            <xm:f>"Value Missing"</xm:f>
            <x14:dxf>
              <font>
                <color rgb="FF0E223A"/>
              </font>
              <fill>
                <patternFill>
                  <bgColor rgb="FFFFBE29"/>
                </patternFill>
              </fill>
            </x14:dxf>
          </x14:cfRule>
          <x14:cfRule type="notContainsText" priority="983" operator="notContains" id="{E80D44C7-1812-D945-85D1-2DABC512CB4B}">
            <xm:f>ISERROR(SEARCH("Value Missing",R38))</xm:f>
            <xm:f>"Value Missing"</xm:f>
            <x14:dxf>
              <font>
                <color rgb="FF006100"/>
              </font>
              <fill>
                <patternFill>
                  <bgColor rgb="FFC6EFCE"/>
                </patternFill>
              </fill>
            </x14:dxf>
          </x14:cfRule>
          <x14:cfRule type="containsText" priority="982" operator="containsText" id="{5EDDF8D9-9A16-AF47-AEA8-F8A269E1A9B3}">
            <xm:f>NOT(ISERROR(SEARCH("Value Missing",R38)))</xm:f>
            <xm:f>"Value Missing"</xm:f>
            <x14:dxf>
              <font>
                <color rgb="FF9C0006"/>
              </font>
              <fill>
                <patternFill>
                  <bgColor rgb="FFFFC7CE"/>
                </patternFill>
              </fill>
            </x14:dxf>
          </x14:cfRule>
          <x14:cfRule type="notContainsText" priority="988" operator="notContains" id="{A1950AB6-1A88-3146-B81F-F825765630B1}">
            <xm:f>ISERROR(SEARCH("Value Missing",R38))</xm:f>
            <xm:f>"Value Missing"</xm:f>
            <x14:dxf>
              <font>
                <color rgb="FF006100"/>
              </font>
              <fill>
                <patternFill>
                  <bgColor rgb="FFC6EFCE"/>
                </patternFill>
              </fill>
            </x14:dxf>
          </x14:cfRule>
          <x14:cfRule type="containsText" priority="987" operator="containsText" id="{F2AC1772-D526-7B4C-B1EE-0CB89CFC50D8}">
            <xm:f>NOT(ISERROR(SEARCH("Value Missing",R38)))</xm:f>
            <xm:f>"Value Missing"</xm:f>
            <x14:dxf>
              <font>
                <color rgb="FF9C0006"/>
              </font>
              <fill>
                <patternFill>
                  <bgColor rgb="FFFFC7CE"/>
                </patternFill>
              </fill>
            </x14:dxf>
          </x14:cfRule>
          <xm:sqref>R38:R43</xm:sqref>
        </x14:conditionalFormatting>
        <x14:conditionalFormatting xmlns:xm="http://schemas.microsoft.com/office/excel/2006/main">
          <x14:cfRule type="notContainsText" priority="968" operator="notContains" id="{84DB17FC-53A1-6747-8965-5E11BD0C40DA}">
            <xm:f>ISERROR(SEARCH("Value Missing",R48))</xm:f>
            <xm:f>"Value Missing"</xm:f>
            <x14:dxf>
              <font>
                <color rgb="FF006100"/>
              </font>
              <fill>
                <patternFill>
                  <bgColor rgb="FFC6EFCE"/>
                </patternFill>
              </fill>
            </x14:dxf>
          </x14:cfRule>
          <x14:cfRule type="containsText" priority="974" operator="containsText" id="{8506232F-B1D9-104C-84F0-4BA74D12743F}">
            <xm:f>NOT(ISERROR(SEARCH("Value Missing",R48)))</xm:f>
            <xm:f>"Value Missing"</xm:f>
            <x14:dxf>
              <font>
                <color rgb="FF9C0006"/>
              </font>
              <fill>
                <patternFill>
                  <bgColor rgb="FFFFC7CE"/>
                </patternFill>
              </fill>
            </x14:dxf>
          </x14:cfRule>
          <x14:cfRule type="notContainsText" priority="973" operator="notContains" id="{5FB9FF32-6D6A-C940-ACAD-7DD4FB3558DD}">
            <xm:f>ISERROR(SEARCH("Value Missing",R48))</xm:f>
            <xm:f>"Value Missing"</xm:f>
            <x14:dxf>
              <font>
                <color rgb="FF006100"/>
              </font>
              <fill>
                <patternFill>
                  <bgColor rgb="FFC6EFCE"/>
                </patternFill>
              </fill>
            </x14:dxf>
          </x14:cfRule>
          <x14:cfRule type="containsText" priority="972" operator="containsText" id="{10C53C1A-5B9B-2044-AEF1-588D5B16A688}">
            <xm:f>NOT(ISERROR(SEARCH("Value Missing",R48)))</xm:f>
            <xm:f>"Value Missing"</xm:f>
            <x14:dxf>
              <font>
                <color rgb="FF9C0006"/>
              </font>
              <fill>
                <patternFill>
                  <bgColor rgb="FFFFC7CE"/>
                </patternFill>
              </fill>
            </x14:dxf>
          </x14:cfRule>
          <x14:cfRule type="notContainsText" priority="970" operator="notContains" id="{868F8CA5-3D23-1341-8908-EB70EADC09F9}">
            <xm:f>ISERROR(SEARCH("Value Missing",R48))</xm:f>
            <xm:f>"Value Missing"</xm:f>
            <x14:dxf>
              <font>
                <color rgb="FF006100"/>
              </font>
              <fill>
                <patternFill>
                  <bgColor rgb="FFC6EFCE"/>
                </patternFill>
              </fill>
            </x14:dxf>
          </x14:cfRule>
          <x14:cfRule type="containsText" priority="969" operator="containsText" id="{A281237B-1911-0149-ACCA-82A132054E66}">
            <xm:f>NOT(ISERROR(SEARCH("Value Missing",R48)))</xm:f>
            <xm:f>"Value Missing"</xm:f>
            <x14:dxf>
              <font>
                <color rgb="FF9C0006"/>
              </font>
              <fill>
                <patternFill>
                  <bgColor rgb="FFFFC7CE"/>
                </patternFill>
              </fill>
            </x14:dxf>
          </x14:cfRule>
          <x14:cfRule type="containsText" priority="967" operator="containsText" id="{ECDCC1A4-6C9A-C54E-A8CA-84D7FC45856A}">
            <xm:f>NOT(ISERROR(SEARCH("Value Missing",R48)))</xm:f>
            <xm:f>"Value Missing"</xm:f>
            <x14:dxf>
              <font>
                <color rgb="FF9C0006"/>
              </font>
              <fill>
                <patternFill>
                  <bgColor rgb="FFFFC7CE"/>
                </patternFill>
              </fill>
            </x14:dxf>
          </x14:cfRule>
          <x14:cfRule type="notContainsText" priority="966" operator="notContains" id="{04DB8987-1ADD-1E4B-B48D-A7607EC0457D}">
            <xm:f>ISERROR(SEARCH("Value Missing",R48))</xm:f>
            <xm:f>"Value Missing"</xm:f>
            <x14:dxf>
              <font>
                <color rgb="FF006100"/>
              </font>
              <fill>
                <patternFill>
                  <bgColor rgb="FFC6EFCE"/>
                </patternFill>
              </fill>
            </x14:dxf>
          </x14:cfRule>
          <x14:cfRule type="containsText" priority="962" stopIfTrue="1" operator="containsText" id="{C747A61D-F79D-9648-B908-E31999C7EBF1}">
            <xm:f>NOT(ISERROR(SEARCH("Value Missing",R48)))</xm:f>
            <xm:f>"Value Missing"</xm:f>
            <x14:dxf>
              <font>
                <color rgb="FF0E223A"/>
              </font>
              <fill>
                <patternFill>
                  <bgColor rgb="FFFFBE29"/>
                </patternFill>
              </fill>
            </x14:dxf>
          </x14:cfRule>
          <xm:sqref>R48</xm:sqref>
        </x14:conditionalFormatting>
        <x14:conditionalFormatting xmlns:xm="http://schemas.microsoft.com/office/excel/2006/main">
          <x14:cfRule type="containsText" priority="957" operator="containsText" id="{5903A377-0F9C-5D41-94D3-853E62433B68}">
            <xm:f>NOT(ISERROR(SEARCH("Value Missing",R52)))</xm:f>
            <xm:f>"Value Missing"</xm:f>
            <x14:dxf>
              <font>
                <color rgb="FF9C0006"/>
              </font>
              <fill>
                <patternFill>
                  <bgColor rgb="FFFFC7CE"/>
                </patternFill>
              </fill>
            </x14:dxf>
          </x14:cfRule>
          <x14:cfRule type="containsText" priority="959" operator="containsText" id="{D2F2F511-075C-454F-B151-ECF9FF4ABE26}">
            <xm:f>NOT(ISERROR(SEARCH("Value Missing",R52)))</xm:f>
            <xm:f>"Value Missing"</xm:f>
            <x14:dxf>
              <font>
                <color rgb="FF9C0006"/>
              </font>
              <fill>
                <patternFill>
                  <bgColor rgb="FFFFC7CE"/>
                </patternFill>
              </fill>
            </x14:dxf>
          </x14:cfRule>
          <x14:cfRule type="notContainsText" priority="958" operator="notContains" id="{CA8D24FB-4764-7F4B-A0EA-9D046968D4B0}">
            <xm:f>ISERROR(SEARCH("Value Missing",R52))</xm:f>
            <xm:f>"Value Missing"</xm:f>
            <x14:dxf>
              <font>
                <color rgb="FF006100"/>
              </font>
              <fill>
                <patternFill>
                  <bgColor rgb="FFC6EFCE"/>
                </patternFill>
              </fill>
            </x14:dxf>
          </x14:cfRule>
          <x14:cfRule type="notContainsText" priority="955" operator="notContains" id="{786FC343-4BB0-4F4C-99CF-C64EE4E37554}">
            <xm:f>ISERROR(SEARCH("Value Missing",R52))</xm:f>
            <xm:f>"Value Missing"</xm:f>
            <x14:dxf>
              <font>
                <color rgb="FF006100"/>
              </font>
              <fill>
                <patternFill>
                  <bgColor rgb="FFC6EFCE"/>
                </patternFill>
              </fill>
            </x14:dxf>
          </x14:cfRule>
          <x14:cfRule type="containsText" priority="954" operator="containsText" id="{BDE2240E-D23C-424E-9D78-DAD0989FBD63}">
            <xm:f>NOT(ISERROR(SEARCH("Value Missing",R52)))</xm:f>
            <xm:f>"Value Missing"</xm:f>
            <x14:dxf>
              <font>
                <color rgb="FF9C0006"/>
              </font>
              <fill>
                <patternFill>
                  <bgColor rgb="FFFFC7CE"/>
                </patternFill>
              </fill>
            </x14:dxf>
          </x14:cfRule>
          <x14:cfRule type="containsText" priority="947" stopIfTrue="1" operator="containsText" id="{2C2F8B9F-9DB2-3641-80BE-C6405821A35C}">
            <xm:f>NOT(ISERROR(SEARCH("Value Missing",R52)))</xm:f>
            <xm:f>"Value Missing"</xm:f>
            <x14:dxf>
              <font>
                <color rgb="FF0E223A"/>
              </font>
              <fill>
                <patternFill>
                  <bgColor rgb="FFFFBE29"/>
                </patternFill>
              </fill>
            </x14:dxf>
          </x14:cfRule>
          <x14:cfRule type="notContainsText" priority="953" operator="notContains" id="{DFB38067-77C1-9B4D-A8D8-3F8CA1CEF277}">
            <xm:f>ISERROR(SEARCH("Value Missing",R52))</xm:f>
            <xm:f>"Value Missing"</xm:f>
            <x14:dxf>
              <font>
                <color rgb="FF006100"/>
              </font>
              <fill>
                <patternFill>
                  <bgColor rgb="FFC6EFCE"/>
                </patternFill>
              </fill>
            </x14:dxf>
          </x14:cfRule>
          <x14:cfRule type="containsText" priority="952" operator="containsText" id="{CE219DAA-0DBF-A34A-9185-83325406B327}">
            <xm:f>NOT(ISERROR(SEARCH("Value Missing",R52)))</xm:f>
            <xm:f>"Value Missing"</xm:f>
            <x14:dxf>
              <font>
                <color rgb="FF9C0006"/>
              </font>
              <fill>
                <patternFill>
                  <bgColor rgb="FFFFC7CE"/>
                </patternFill>
              </fill>
            </x14:dxf>
          </x14:cfRule>
          <x14:cfRule type="notContainsText" priority="951" operator="notContains" id="{FB260DA2-188A-7346-A019-E10302DE1010}">
            <xm:f>ISERROR(SEARCH("Value Missing",R52))</xm:f>
            <xm:f>"Value Missing"</xm:f>
            <x14:dxf>
              <font>
                <color rgb="FF006100"/>
              </font>
              <fill>
                <patternFill>
                  <bgColor rgb="FFC6EFCE"/>
                </patternFill>
              </fill>
            </x14:dxf>
          </x14:cfRule>
          <xm:sqref>R52</xm:sqref>
        </x14:conditionalFormatting>
        <x14:conditionalFormatting xmlns:xm="http://schemas.microsoft.com/office/excel/2006/main">
          <x14:cfRule type="containsText" priority="2266" operator="containsText" id="{ED7E2262-5488-B642-9DA0-65E2362D54F3}">
            <xm:f>NOT(ISERROR(SEARCH("Value Missing",F56)))</xm:f>
            <xm:f>"Value Missing"</xm:f>
            <x14:dxf>
              <font>
                <color rgb="FF9C0006"/>
              </font>
              <fill>
                <patternFill>
                  <bgColor rgb="FFFFC7CE"/>
                </patternFill>
              </fill>
            </x14:dxf>
          </x14:cfRule>
          <xm:sqref>R56:R59 L66:L68 R77:R81 F130:F131</xm:sqref>
        </x14:conditionalFormatting>
        <x14:conditionalFormatting xmlns:xm="http://schemas.microsoft.com/office/excel/2006/main">
          <x14:cfRule type="notContainsText" priority="2448" operator="notContains" id="{B6A69EFC-05C0-BD4F-995E-E9D6ABB4EC9D}">
            <xm:f>ISERROR(SEARCH("Value Missing",C63))</xm:f>
            <xm:f>"Value Missing"</xm:f>
            <x14:dxf>
              <font>
                <color rgb="FF006100"/>
              </font>
              <fill>
                <patternFill>
                  <bgColor rgb="FFC6EFCE"/>
                </patternFill>
              </fill>
            </x14:dxf>
          </x14:cfRule>
          <xm:sqref>R63:R66 R85:R88 F106:F107 R114:R115 R119:R120 C192:C193</xm:sqref>
        </x14:conditionalFormatting>
        <x14:conditionalFormatting xmlns:xm="http://schemas.microsoft.com/office/excel/2006/main">
          <x14:cfRule type="notContainsText" priority="2265" operator="notContains" id="{7C40FA3B-7B98-2844-9240-562F2D8C5A34}">
            <xm:f>ISERROR(SEARCH("Value Missing",F56))</xm:f>
            <xm:f>"Value Missing"</xm:f>
            <x14:dxf>
              <font>
                <color rgb="FF006100"/>
              </font>
              <fill>
                <patternFill>
                  <bgColor rgb="FFC6EFCE"/>
                </patternFill>
              </fill>
            </x14:dxf>
          </x14:cfRule>
          <xm:sqref>R77:R81 R56:R59 L66:L68 F130:F131</xm:sqref>
        </x14:conditionalFormatting>
        <x14:conditionalFormatting xmlns:xm="http://schemas.microsoft.com/office/excel/2006/main">
          <x14:cfRule type="notContainsText" priority="2152" operator="notContains" id="{4608FEC1-ABA9-904E-AEAD-0D02A30F8056}">
            <xm:f>ISERROR(SEARCH("Value Missing",C63))</xm:f>
            <xm:f>"Value Missing"</xm:f>
            <x14:dxf>
              <font>
                <color rgb="FF006100"/>
              </font>
              <fill>
                <patternFill>
                  <bgColor rgb="FFC6EFCE"/>
                </patternFill>
              </fill>
            </x14:dxf>
          </x14:cfRule>
          <xm:sqref>R85:R88 R63:R66 R114:R115 R119:R120 F106:F107 C192:C193</xm:sqref>
        </x14:conditionalFormatting>
        <x14:conditionalFormatting xmlns:xm="http://schemas.microsoft.com/office/excel/2006/main">
          <x14:cfRule type="containsText" priority="1030" stopIfTrue="1" operator="containsText" id="{0B44FFC0-B5E3-6D49-93D4-D04FE9BB8EF3}">
            <xm:f>NOT(ISERROR(SEARCH("Value Missing",R85)))</xm:f>
            <xm:f>"Value Missing"</xm:f>
            <x14:dxf>
              <font>
                <color rgb="FF0E223A"/>
              </font>
              <fill>
                <patternFill>
                  <bgColor rgb="FFFFBE29"/>
                </patternFill>
              </fill>
            </x14:dxf>
          </x14:cfRule>
          <xm:sqref>R85:R89</xm:sqref>
        </x14:conditionalFormatting>
        <x14:conditionalFormatting xmlns:xm="http://schemas.microsoft.com/office/excel/2006/main">
          <x14:cfRule type="containsText" priority="1026" stopIfTrue="1" operator="containsText" id="{347C3D86-AD58-0F4F-BDB0-D329BCF87D81}">
            <xm:f>NOT(ISERROR(SEARCH("Value Missing",R93)))</xm:f>
            <xm:f>"Value Missing"</xm:f>
            <x14:dxf>
              <font>
                <color rgb="FF0E223A"/>
              </font>
              <fill>
                <patternFill>
                  <bgColor rgb="FFFFBE29"/>
                </patternFill>
              </fill>
            </x14:dxf>
          </x14:cfRule>
          <xm:sqref>R93:R97</xm:sqref>
        </x14:conditionalFormatting>
        <x14:conditionalFormatting xmlns:xm="http://schemas.microsoft.com/office/excel/2006/main">
          <x14:cfRule type="notContainsText" priority="1425" operator="notContains" id="{3334E1B8-527D-164D-A3DA-AE594F1829B5}">
            <xm:f>ISERROR(SEARCH("Value Missing",R101))</xm:f>
            <xm:f>"Value Missing"</xm:f>
            <x14:dxf>
              <font>
                <color rgb="FF006100"/>
              </font>
              <fill>
                <patternFill>
                  <bgColor rgb="FFC6EFCE"/>
                </patternFill>
              </fill>
            </x14:dxf>
          </x14:cfRule>
          <x14:cfRule type="containsText" priority="1426" operator="containsText" id="{147AD28B-CD9B-8043-BC38-424E2793FCDA}">
            <xm:f>NOT(ISERROR(SEARCH("Value Missing",R101)))</xm:f>
            <xm:f>"Value Missing"</xm:f>
            <x14:dxf>
              <font>
                <color rgb="FF9C0006"/>
              </font>
              <fill>
                <patternFill>
                  <bgColor rgb="FFFFC7CE"/>
                </patternFill>
              </fill>
            </x14:dxf>
          </x14:cfRule>
          <xm:sqref>R101:R104</xm:sqref>
        </x14:conditionalFormatting>
        <x14:conditionalFormatting xmlns:xm="http://schemas.microsoft.com/office/excel/2006/main">
          <x14:cfRule type="containsText" priority="1446" operator="containsText" id="{C96BE528-836B-CC44-ACC9-A66CE6FD51F2}">
            <xm:f>NOT(ISERROR(SEARCH("Value Missing",R108)))</xm:f>
            <xm:f>"Value Missing"</xm:f>
            <x14:dxf>
              <font>
                <color rgb="FF9C0006"/>
              </font>
              <fill>
                <patternFill>
                  <bgColor rgb="FFFFC7CE"/>
                </patternFill>
              </fill>
            </x14:dxf>
          </x14:cfRule>
          <x14:cfRule type="notContainsText" priority="1445" operator="notContains" id="{06F54E94-2D64-4144-88BD-ACC98259AA90}">
            <xm:f>ISERROR(SEARCH("Value Missing",R108))</xm:f>
            <xm:f>"Value Missing"</xm:f>
            <x14:dxf>
              <font>
                <color rgb="FF006100"/>
              </font>
              <fill>
                <patternFill>
                  <bgColor rgb="FFC6EFCE"/>
                </patternFill>
              </fill>
            </x14:dxf>
          </x14:cfRule>
          <xm:sqref>R108:R110</xm:sqref>
        </x14:conditionalFormatting>
        <x14:conditionalFormatting xmlns:xm="http://schemas.microsoft.com/office/excel/2006/main">
          <x14:cfRule type="containsText" priority="1440" operator="containsText" id="{C83E172E-5E47-C640-B63C-C6EC07BF94CA}">
            <xm:f>NOT(ISERROR(SEARCH("Value Missing",R114)))</xm:f>
            <xm:f>"Value Missing"</xm:f>
            <x14:dxf>
              <font>
                <color rgb="FF9C0006"/>
              </font>
              <fill>
                <patternFill>
                  <bgColor rgb="FFFFC7CE"/>
                </patternFill>
              </fill>
            </x14:dxf>
          </x14:cfRule>
          <x14:cfRule type="notContainsText" priority="1439" operator="notContains" id="{269182F5-E88F-9146-8A84-A06F97937521}">
            <xm:f>ISERROR(SEARCH("Value Missing",R114))</xm:f>
            <xm:f>"Value Missing"</xm:f>
            <x14:dxf>
              <font>
                <color rgb="FF006100"/>
              </font>
              <fill>
                <patternFill>
                  <bgColor rgb="FFC6EFCE"/>
                </patternFill>
              </fill>
            </x14:dxf>
          </x14:cfRule>
          <xm:sqref>R114:R115</xm:sqref>
        </x14:conditionalFormatting>
        <x14:conditionalFormatting xmlns:xm="http://schemas.microsoft.com/office/excel/2006/main">
          <x14:cfRule type="containsText" priority="1436" operator="containsText" id="{F6D18970-8014-0E46-A072-D76E96086786}">
            <xm:f>NOT(ISERROR(SEARCH("Value Missing",R119)))</xm:f>
            <xm:f>"Value Missing"</xm:f>
            <x14:dxf>
              <font>
                <color rgb="FF9C0006"/>
              </font>
              <fill>
                <patternFill>
                  <bgColor rgb="FFFFC7CE"/>
                </patternFill>
              </fill>
            </x14:dxf>
          </x14:cfRule>
          <x14:cfRule type="notContainsText" priority="1435" operator="notContains" id="{5BF99BCE-21AE-644B-9DD8-C38F98C0BA40}">
            <xm:f>ISERROR(SEARCH("Value Missing",R119))</xm:f>
            <xm:f>"Value Missing"</xm:f>
            <x14:dxf>
              <font>
                <color rgb="FF006100"/>
              </font>
              <fill>
                <patternFill>
                  <bgColor rgb="FFC6EFCE"/>
                </patternFill>
              </fill>
            </x14:dxf>
          </x14:cfRule>
          <xm:sqref>R119:R120</xm:sqref>
        </x14:conditionalFormatting>
        <x14:conditionalFormatting xmlns:xm="http://schemas.microsoft.com/office/excel/2006/main">
          <x14:cfRule type="containsText" priority="1432" operator="containsText" id="{2887FFCC-7AC0-1245-A4BB-A7D33A70D8DE}">
            <xm:f>NOT(ISERROR(SEARCH("Value Missing",R129)))</xm:f>
            <xm:f>"Value Missing"</xm:f>
            <x14:dxf>
              <font>
                <color rgb="FF9C0006"/>
              </font>
              <fill>
                <patternFill>
                  <bgColor rgb="FFFFC7CE"/>
                </patternFill>
              </fill>
            </x14:dxf>
          </x14:cfRule>
          <x14:cfRule type="notContainsText" priority="1431" operator="notContains" id="{5FAE5C21-9C4E-8849-860E-239D505855CF}">
            <xm:f>ISERROR(SEARCH("Value Missing",R129))</xm:f>
            <xm:f>"Value Missing"</xm:f>
            <x14:dxf>
              <font>
                <color rgb="FF006100"/>
              </font>
              <fill>
                <patternFill>
                  <bgColor rgb="FFC6EFCE"/>
                </patternFill>
              </fill>
            </x14:dxf>
          </x14:cfRule>
          <xm:sqref>R129:R130</xm:sqref>
        </x14:conditionalFormatting>
        <x14:conditionalFormatting xmlns:xm="http://schemas.microsoft.com/office/excel/2006/main">
          <x14:cfRule type="notContainsText" priority="1141" operator="notContains" id="{3193313F-8651-B24D-834D-AC9B4D630FC8}">
            <xm:f>ISERROR(SEARCH("Value Missing",R134))</xm:f>
            <xm:f>"Value Missing"</xm:f>
            <x14:dxf>
              <font>
                <color rgb="FF006100"/>
              </font>
              <fill>
                <patternFill>
                  <bgColor rgb="FFC6EFCE"/>
                </patternFill>
              </fill>
            </x14:dxf>
          </x14:cfRule>
          <x14:cfRule type="containsText" priority="1142" operator="containsText" id="{676353C6-A8CB-4A4B-84B4-0063B2C471FA}">
            <xm:f>NOT(ISERROR(SEARCH("Value Missing",R134)))</xm:f>
            <xm:f>"Value Missing"</xm:f>
            <x14:dxf>
              <font>
                <color rgb="FF9C0006"/>
              </font>
              <fill>
                <patternFill>
                  <bgColor rgb="FFFFC7CE"/>
                </patternFill>
              </fill>
            </x14:dxf>
          </x14:cfRule>
          <x14:cfRule type="containsText" priority="1144" operator="containsText" id="{469F9144-5B62-EF41-8995-4A6CC8AE7797}">
            <xm:f>NOT(ISERROR(SEARCH("Value Missing",R134)))</xm:f>
            <xm:f>"Value Missing"</xm:f>
            <x14:dxf>
              <font>
                <color rgb="FF9C0006"/>
              </font>
              <fill>
                <patternFill>
                  <bgColor rgb="FFFFC7CE"/>
                </patternFill>
              </fill>
            </x14:dxf>
          </x14:cfRule>
          <x14:cfRule type="notContainsText" priority="1143" operator="notContains" id="{CCA37073-18EA-B44E-A6A6-8498C2F7F36D}">
            <xm:f>ISERROR(SEARCH("Value Missing",R134))</xm:f>
            <xm:f>"Value Missing"</xm:f>
            <x14:dxf>
              <font>
                <color rgb="FF006100"/>
              </font>
              <fill>
                <patternFill>
                  <bgColor rgb="FFC6EFCE"/>
                </patternFill>
              </fill>
            </x14:dxf>
          </x14:cfRule>
          <xm:sqref>R134:R135</xm:sqref>
        </x14:conditionalFormatting>
        <x14:conditionalFormatting xmlns:xm="http://schemas.microsoft.com/office/excel/2006/main">
          <x14:cfRule type="containsText" priority="1149" operator="containsText" id="{104118BD-CB82-524E-9638-973BBE17838C}">
            <xm:f>NOT(ISERROR(SEARCH("Value Missing",R139)))</xm:f>
            <xm:f>"Value Missing"</xm:f>
            <x14:dxf>
              <font>
                <color rgb="FF9C0006"/>
              </font>
              <fill>
                <patternFill>
                  <bgColor rgb="FFFFC7CE"/>
                </patternFill>
              </fill>
            </x14:dxf>
          </x14:cfRule>
          <x14:cfRule type="notContainsText" priority="1148" operator="notContains" id="{3C5B06B0-4E82-0841-83A6-BBBE0C3BC3E9}">
            <xm:f>ISERROR(SEARCH("Value Missing",R139))</xm:f>
            <xm:f>"Value Missing"</xm:f>
            <x14:dxf>
              <font>
                <color rgb="FF006100"/>
              </font>
              <fill>
                <patternFill>
                  <bgColor rgb="FFC6EFCE"/>
                </patternFill>
              </fill>
            </x14:dxf>
          </x14:cfRule>
          <x14:cfRule type="containsText" priority="1147" operator="containsText" id="{3B77764A-B09C-2948-AE57-C5FA0599DE53}">
            <xm:f>NOT(ISERROR(SEARCH("Value Missing",R139)))</xm:f>
            <xm:f>"Value Missing"</xm:f>
            <x14:dxf>
              <font>
                <color rgb="FF9C0006"/>
              </font>
              <fill>
                <patternFill>
                  <bgColor rgb="FFFFC7CE"/>
                </patternFill>
              </fill>
            </x14:dxf>
          </x14:cfRule>
          <x14:cfRule type="notContainsText" priority="1146" operator="notContains" id="{31FF1EC6-C61B-F34D-8AFC-039532B93406}">
            <xm:f>ISERROR(SEARCH("Value Missing",R139))</xm:f>
            <xm:f>"Value Missing"</xm:f>
            <x14:dxf>
              <font>
                <color rgb="FF006100"/>
              </font>
              <fill>
                <patternFill>
                  <bgColor rgb="FFC6EFCE"/>
                </patternFill>
              </fill>
            </x14:dxf>
          </x14:cfRule>
          <xm:sqref>R139:R140</xm:sqref>
        </x14:conditionalFormatting>
        <x14:conditionalFormatting xmlns:xm="http://schemas.microsoft.com/office/excel/2006/main">
          <x14:cfRule type="containsText" priority="1628" operator="containsText" id="{81F8458F-0B16-0440-BFC1-DCE849E3AD30}">
            <xm:f>NOT(ISERROR(SEARCH("Value Missing",L8)))</xm:f>
            <xm:f>"Value Missing"</xm:f>
            <x14:dxf>
              <font>
                <color rgb="FF9C0006"/>
              </font>
              <fill>
                <patternFill>
                  <bgColor rgb="FFFFC7CE"/>
                </patternFill>
              </fill>
            </x14:dxf>
          </x14:cfRule>
          <x14:cfRule type="notContainsText" priority="1952" operator="notContains" id="{C9F8C065-134D-BB41-87E1-6E6F32D43543}">
            <xm:f>ISERROR(SEARCH("Value Missing",L8))</xm:f>
            <xm:f>"Value Missing"</xm:f>
            <x14:dxf>
              <font>
                <color rgb="FF006100"/>
              </font>
              <fill>
                <patternFill>
                  <bgColor rgb="FFC6EFCE"/>
                </patternFill>
              </fill>
            </x14:dxf>
          </x14:cfRule>
          <xm:sqref>U8:U40 L9</xm:sqref>
        </x14:conditionalFormatting>
        <x14:conditionalFormatting xmlns:xm="http://schemas.microsoft.com/office/excel/2006/main">
          <x14:cfRule type="notContainsText" priority="1627" operator="notContains" id="{8E2E5EB3-CEA9-2C43-8B2E-ECBA96A00BC9}">
            <xm:f>ISERROR(SEARCH("Value Missing",U8))</xm:f>
            <xm:f>"Value Missing"</xm:f>
            <x14:dxf>
              <font>
                <color rgb="FF006100"/>
              </font>
              <fill>
                <patternFill>
                  <bgColor rgb="FFC6EFCE"/>
                </patternFill>
              </fill>
            </x14:dxf>
          </x14:cfRule>
          <xm:sqref>U8:U40</xm:sqref>
        </x14:conditionalFormatting>
        <x14:conditionalFormatting xmlns:xm="http://schemas.microsoft.com/office/excel/2006/main">
          <x14:cfRule type="containsText" priority="1171" operator="containsText" id="{9582BDDB-AE4E-E249-9264-DBFF4B29545C}">
            <xm:f>NOT(ISERROR(SEARCH("Value Missing",R28)))</xm:f>
            <xm:f>"Value Missing"</xm:f>
            <x14:dxf>
              <font>
                <color rgb="FF9C0006"/>
              </font>
              <fill>
                <patternFill>
                  <bgColor rgb="FFFFC7CE"/>
                </patternFill>
              </fill>
            </x14:dxf>
          </x14:cfRule>
          <xm:sqref>U44:U47 R28 R31 R34</xm:sqref>
        </x14:conditionalFormatting>
        <x14:conditionalFormatting xmlns:xm="http://schemas.microsoft.com/office/excel/2006/main">
          <x14:cfRule type="notContainsText" priority="1170" operator="notContains" id="{D087A155-83CB-394F-B329-47BE90F9E34E}">
            <xm:f>ISERROR(SEARCH("Value Missing",U44))</xm:f>
            <xm:f>"Value Missing"</xm:f>
            <x14:dxf>
              <font>
                <color rgb="FF006100"/>
              </font>
              <fill>
                <patternFill>
                  <bgColor rgb="FFC6EFCE"/>
                </patternFill>
              </fill>
            </x14:dxf>
          </x14:cfRule>
          <xm:sqref>U44:U47</xm:sqref>
        </x14:conditionalFormatting>
        <x14:conditionalFormatting xmlns:xm="http://schemas.microsoft.com/office/excel/2006/main">
          <x14:cfRule type="notContainsText" priority="1428" operator="notContains" id="{57C8A54C-69CA-324C-99BE-1DE795AFE07B}">
            <xm:f>ISERROR(SEARCH("Value Missing",U52))</xm:f>
            <xm:f>"Value Missing"</xm:f>
            <x14:dxf>
              <font>
                <color rgb="FF006100"/>
              </font>
              <fill>
                <patternFill>
                  <bgColor rgb="FFC6EFCE"/>
                </patternFill>
              </fill>
            </x14:dxf>
          </x14:cfRule>
          <x14:cfRule type="containsText" priority="1429" operator="containsText" id="{6BD79D30-FD50-3642-88E9-B1B1B76EB5C5}">
            <xm:f>NOT(ISERROR(SEARCH("Value Missing",U52)))</xm:f>
            <xm:f>"Value Missing"</xm:f>
            <x14:dxf>
              <font>
                <color rgb="FF9C0006"/>
              </font>
              <fill>
                <patternFill>
                  <bgColor rgb="FFFFC7CE"/>
                </patternFill>
              </fill>
            </x14:dxf>
          </x14:cfRule>
          <xm:sqref>U52:U60</xm:sqref>
        </x14:conditionalFormatting>
        <x14:conditionalFormatting xmlns:xm="http://schemas.microsoft.com/office/excel/2006/main">
          <x14:cfRule type="containsText" priority="1329" operator="containsText" id="{981BEB68-FB6E-3646-A16C-1224A3F8253B}">
            <xm:f>NOT(ISERROR(SEARCH("Value Missing",U55)))</xm:f>
            <xm:f>"Value Missing"</xm:f>
            <x14:dxf>
              <font>
                <color rgb="FF9C0006"/>
              </font>
              <fill>
                <patternFill>
                  <bgColor rgb="FFFFC7CE"/>
                </patternFill>
              </fill>
            </x14:dxf>
          </x14:cfRule>
          <x14:cfRule type="notContainsText" priority="1328" operator="notContains" id="{48BF000C-DAA1-9A49-BABE-FB79BA2E9FDA}">
            <xm:f>ISERROR(SEARCH("Value Missing",U55))</xm:f>
            <xm:f>"Value Missing"</xm:f>
            <x14:dxf>
              <font>
                <color rgb="FF006100"/>
              </font>
              <fill>
                <patternFill>
                  <bgColor rgb="FFC6EFCE"/>
                </patternFill>
              </fill>
            </x14:dxf>
          </x14:cfRule>
          <xm:sqref>U55:U60</xm:sqref>
        </x14:conditionalFormatting>
        <x14:conditionalFormatting xmlns:xm="http://schemas.microsoft.com/office/excel/2006/main">
          <x14:cfRule type="containsText" priority="1374" operator="containsText" id="{A328C2EF-F06B-214C-B15D-3A74354AE8D1}">
            <xm:f>NOT(ISERROR(SEARCH("Value Missing",U64)))</xm:f>
            <xm:f>"Value Missing"</xm:f>
            <x14:dxf>
              <font>
                <color rgb="FF9C0006"/>
              </font>
              <fill>
                <patternFill>
                  <bgColor rgb="FFFFC7CE"/>
                </patternFill>
              </fill>
            </x14:dxf>
          </x14:cfRule>
          <x14:cfRule type="notContainsText" priority="1373" operator="notContains" id="{689D6E64-E929-B041-AAA0-CD56000FB8C9}">
            <xm:f>ISERROR(SEARCH("Value Missing",U64))</xm:f>
            <xm:f>"Value Missing"</xm:f>
            <x14:dxf>
              <font>
                <color rgb="FF006100"/>
              </font>
              <fill>
                <patternFill>
                  <bgColor rgb="FFC6EFCE"/>
                </patternFill>
              </fill>
            </x14:dxf>
          </x14:cfRule>
          <xm:sqref>U64</xm:sqref>
        </x14:conditionalFormatting>
        <x14:conditionalFormatting xmlns:xm="http://schemas.microsoft.com/office/excel/2006/main">
          <x14:cfRule type="containsText" priority="1953" operator="containsText" id="{95F646E6-B74B-5A47-A718-34D3BA316CC8}">
            <xm:f>NOT(ISERROR(SEARCH("Value Missing",R8)))</xm:f>
            <xm:f>"Value Missing"</xm:f>
            <x14:dxf>
              <font>
                <color rgb="FF9C0006"/>
              </font>
              <fill>
                <patternFill>
                  <bgColor rgb="FFFFC7CE"/>
                </patternFill>
              </fill>
            </x14:dxf>
          </x14:cfRule>
          <xm:sqref>U64:U98 U109:U122 R8</xm:sqref>
        </x14:conditionalFormatting>
        <x14:conditionalFormatting xmlns:xm="http://schemas.microsoft.com/office/excel/2006/main">
          <x14:cfRule type="notContainsText" priority="1417" operator="notContains" id="{68EA98EC-C7D3-574A-BAAB-6E4045192DAF}">
            <xm:f>ISERROR(SEARCH("Value Missing",U64))</xm:f>
            <xm:f>"Value Missing"</xm:f>
            <x14:dxf>
              <font>
                <color rgb="FF006100"/>
              </font>
              <fill>
                <patternFill>
                  <bgColor rgb="FFC6EFCE"/>
                </patternFill>
              </fill>
            </x14:dxf>
          </x14:cfRule>
          <xm:sqref>U64:U98</xm:sqref>
        </x14:conditionalFormatting>
        <x14:conditionalFormatting xmlns:xm="http://schemas.microsoft.com/office/excel/2006/main">
          <x14:cfRule type="notContainsText" priority="1414" operator="notContains" id="{9E68E843-A3A4-7944-93D1-748A9854A463}">
            <xm:f>ISERROR(SEARCH("Value Missing",U79))</xm:f>
            <xm:f>"Value Missing"</xm:f>
            <x14:dxf>
              <font>
                <color rgb="FF006100"/>
              </font>
              <fill>
                <patternFill>
                  <bgColor rgb="FFC6EFCE"/>
                </patternFill>
              </fill>
            </x14:dxf>
          </x14:cfRule>
          <x14:cfRule type="containsText" priority="1415" operator="containsText" id="{EE0C5DB8-7946-5547-9B63-1F5CF03206F0}">
            <xm:f>NOT(ISERROR(SEARCH("Value Missing",U79)))</xm:f>
            <xm:f>"Value Missing"</xm:f>
            <x14:dxf>
              <font>
                <color rgb="FF9C0006"/>
              </font>
              <fill>
                <patternFill>
                  <bgColor rgb="FFFFC7CE"/>
                </patternFill>
              </fill>
            </x14:dxf>
          </x14:cfRule>
          <xm:sqref>U79</xm:sqref>
        </x14:conditionalFormatting>
        <x14:conditionalFormatting xmlns:xm="http://schemas.microsoft.com/office/excel/2006/main">
          <x14:cfRule type="containsText" priority="1994" operator="containsText" id="{AA601A5E-A136-704B-BA9B-294C341E50BC}">
            <xm:f>NOT(ISERROR(SEARCH("Value Missing",L80)))</xm:f>
            <xm:f>"Value Missing"</xm:f>
            <x14:dxf>
              <font>
                <color rgb="FF9C0006"/>
              </font>
              <fill>
                <patternFill>
                  <bgColor rgb="FFFFC7CE"/>
                </patternFill>
              </fill>
            </x14:dxf>
          </x14:cfRule>
          <x14:cfRule type="notContainsText" priority="1993" operator="notContains" id="{35C67C57-0F0F-2C49-AFEB-C171FD6A3F5A}">
            <xm:f>ISERROR(SEARCH("Value Missing",L80))</xm:f>
            <xm:f>"Value Missing"</xm:f>
            <x14:dxf>
              <font>
                <color rgb="FF006100"/>
              </font>
              <fill>
                <patternFill>
                  <bgColor rgb="FFC6EFCE"/>
                </patternFill>
              </fill>
            </x14:dxf>
          </x14:cfRule>
          <xm:sqref>U80 L139:L141</xm:sqref>
        </x14:conditionalFormatting>
        <x14:conditionalFormatting xmlns:xm="http://schemas.microsoft.com/office/excel/2006/main">
          <x14:cfRule type="notContainsText" priority="1381" operator="notContains" id="{4E045DA0-FD53-5E40-BBF0-2CDC4CE9F47E}">
            <xm:f>ISERROR(SEARCH("Value Missing",U91))</xm:f>
            <xm:f>"Value Missing"</xm:f>
            <x14:dxf>
              <font>
                <color rgb="FF006100"/>
              </font>
              <fill>
                <patternFill>
                  <bgColor rgb="FFC6EFCE"/>
                </patternFill>
              </fill>
            </x14:dxf>
          </x14:cfRule>
          <x14:cfRule type="containsText" priority="1382" operator="containsText" id="{E9C1603B-D4AE-874E-BAE9-48086556B6CE}">
            <xm:f>NOT(ISERROR(SEARCH("Value Missing",U91)))</xm:f>
            <xm:f>"Value Missing"</xm:f>
            <x14:dxf>
              <font>
                <color rgb="FF9C0006"/>
              </font>
              <fill>
                <patternFill>
                  <bgColor rgb="FFFFC7CE"/>
                </patternFill>
              </fill>
            </x14:dxf>
          </x14:cfRule>
          <xm:sqref>U91:U99</xm:sqref>
        </x14:conditionalFormatting>
        <x14:conditionalFormatting xmlns:xm="http://schemas.microsoft.com/office/excel/2006/main">
          <x14:cfRule type="notContainsText" priority="1102" operator="notContains" id="{37EB2435-523C-504A-BAAB-E62CE9A7DD52}">
            <xm:f>ISERROR(SEARCH("Value Missing",L103))</xm:f>
            <xm:f>"Value Missing"</xm:f>
            <x14:dxf>
              <font>
                <color rgb="FF006100"/>
              </font>
              <fill>
                <patternFill>
                  <bgColor rgb="FFC6EFCE"/>
                </patternFill>
              </fill>
            </x14:dxf>
          </x14:cfRule>
          <x14:cfRule type="containsText" priority="1103" operator="containsText" id="{E22536AA-527A-854B-8152-1A4EDF21B2F5}">
            <xm:f>NOT(ISERROR(SEARCH("Value Missing",L103)))</xm:f>
            <xm:f>"Value Missing"</xm:f>
            <x14:dxf>
              <font>
                <color rgb="FF9C0006"/>
              </font>
              <fill>
                <patternFill>
                  <bgColor rgb="FFFFC7CE"/>
                </patternFill>
              </fill>
            </x14:dxf>
          </x14:cfRule>
          <xm:sqref>U103:U120 U127:U153 L142:L160</xm:sqref>
        </x14:conditionalFormatting>
        <x14:conditionalFormatting xmlns:xm="http://schemas.microsoft.com/office/excel/2006/main">
          <x14:cfRule type="notContainsText" priority="1393" operator="notContains" id="{4DFFBA2C-D6A5-5B41-93FF-957BBC667C53}">
            <xm:f>ISERROR(SEARCH("Value Missing",U122))</xm:f>
            <xm:f>"Value Missing"</xm:f>
            <x14:dxf>
              <font>
                <color rgb="FF006100"/>
              </font>
              <fill>
                <patternFill>
                  <bgColor rgb="FFC6EFCE"/>
                </patternFill>
              </fill>
            </x14:dxf>
          </x14:cfRule>
          <xm:sqref>U122</xm:sqref>
        </x14:conditionalFormatting>
        <x14:conditionalFormatting xmlns:xm="http://schemas.microsoft.com/office/excel/2006/main">
          <x14:cfRule type="containsText" priority="175" stopIfTrue="1" operator="containsText" id="{422572CD-22A8-BE4B-BD68-28022998FE10}">
            <xm:f>NOT(ISERROR(SEARCH("Value Missing",U191)))</xm:f>
            <xm:f>"Value Missing"</xm:f>
            <x14:dxf>
              <font>
                <color rgb="FF0E223A"/>
              </font>
              <fill>
                <patternFill>
                  <bgColor rgb="FFFFBE29"/>
                </patternFill>
              </fill>
            </x14:dxf>
          </x14:cfRule>
          <xm:sqref>U191:U211</xm:sqref>
        </x14:conditionalFormatting>
        <x14:conditionalFormatting xmlns:xm="http://schemas.microsoft.com/office/excel/2006/main">
          <x14:cfRule type="containsText" priority="44" operator="containsText" id="{7B648180-8E2D-6144-8B66-30293AF9926D}">
            <xm:f>NOT(ISERROR(SEARCH("Value Missing",U212)))</xm:f>
            <xm:f>"Value Missing"</xm:f>
            <x14:dxf>
              <font>
                <color theme="1"/>
              </font>
              <fill>
                <patternFill>
                  <bgColor rgb="FFFFBE29"/>
                </patternFill>
              </fill>
            </x14:dxf>
          </x14:cfRule>
          <xm:sqref>U212</xm:sqref>
        </x14:conditionalFormatting>
        <x14:conditionalFormatting xmlns:xm="http://schemas.microsoft.com/office/excel/2006/main">
          <x14:cfRule type="notContainsText" priority="2626" operator="notContains" id="{44931D3D-915C-8641-915A-39E8A8EBF7A6}">
            <xm:f>ISERROR(SEARCH("Value Missing",X8))</xm:f>
            <xm:f>"Value Missing"</xm:f>
            <x14:dxf>
              <font>
                <color rgb="FF006100"/>
              </font>
              <fill>
                <patternFill>
                  <bgColor rgb="FFC6EFCE"/>
                </patternFill>
              </fill>
            </x14:dxf>
          </x14:cfRule>
          <x14:cfRule type="containsText" priority="2627" operator="containsText" id="{4DE0EAC0-D6C1-A24D-A0A3-E69D3875A170}">
            <xm:f>NOT(ISERROR(SEARCH("Value Missing",X8)))</xm:f>
            <xm:f>"Value Missing"</xm:f>
            <x14:dxf>
              <font>
                <color rgb="FF9C0006"/>
              </font>
              <fill>
                <patternFill>
                  <bgColor rgb="FFFFC7CE"/>
                </patternFill>
              </fill>
            </x14:dxf>
          </x14:cfRule>
          <xm:sqref>X8:X9</xm:sqref>
        </x14:conditionalFormatting>
        <x14:conditionalFormatting xmlns:xm="http://schemas.microsoft.com/office/excel/2006/main">
          <x14:cfRule type="notContainsText" priority="2619" operator="notContains" id="{44EEBB87-F811-BB4B-BC11-6001152F69BD}">
            <xm:f>ISERROR(SEARCH("Value Missing",X13))</xm:f>
            <xm:f>"Value Missing"</xm:f>
            <x14:dxf>
              <font>
                <color rgb="FF006100"/>
              </font>
              <fill>
                <patternFill>
                  <bgColor rgb="FFC6EFCE"/>
                </patternFill>
              </fill>
            </x14:dxf>
          </x14:cfRule>
          <x14:cfRule type="containsText" priority="2620" operator="containsText" id="{1997DC49-A5D2-B441-B9B0-FF9C99CFD8F7}">
            <xm:f>NOT(ISERROR(SEARCH("Value Missing",X13)))</xm:f>
            <xm:f>"Value Missing"</xm:f>
            <x14:dxf>
              <font>
                <color rgb="FF9C0006"/>
              </font>
              <fill>
                <patternFill>
                  <bgColor rgb="FFFFC7CE"/>
                </patternFill>
              </fill>
            </x14:dxf>
          </x14:cfRule>
          <xm:sqref>X13:X14</xm:sqref>
        </x14:conditionalFormatting>
        <x14:conditionalFormatting xmlns:xm="http://schemas.microsoft.com/office/excel/2006/main">
          <x14:cfRule type="notContainsText" priority="2614" operator="notContains" id="{E9F5C35D-6DF6-A04D-BB7D-C236297DA160}">
            <xm:f>ISERROR(SEARCH("Value Missing",X18))</xm:f>
            <xm:f>"Value Missing"</xm:f>
            <x14:dxf>
              <font>
                <color rgb="FF006100"/>
              </font>
              <fill>
                <patternFill>
                  <bgColor rgb="FFC6EFCE"/>
                </patternFill>
              </fill>
            </x14:dxf>
          </x14:cfRule>
          <x14:cfRule type="containsText" priority="2615" operator="containsText" id="{CECA1DF2-AE4F-F840-9E9E-93FE60797373}">
            <xm:f>NOT(ISERROR(SEARCH("Value Missing",X18)))</xm:f>
            <xm:f>"Value Missing"</xm:f>
            <x14:dxf>
              <font>
                <color rgb="FF9C0006"/>
              </font>
              <fill>
                <patternFill>
                  <bgColor rgb="FFFFC7CE"/>
                </patternFill>
              </fill>
            </x14:dxf>
          </x14:cfRule>
          <xm:sqref>X18:X19</xm:sqref>
        </x14:conditionalFormatting>
        <x14:conditionalFormatting xmlns:xm="http://schemas.microsoft.com/office/excel/2006/main">
          <x14:cfRule type="notContainsText" priority="2624" operator="notContains" id="{9A37B9CE-9E40-D64A-9357-1CA33AD79BDB}">
            <xm:f>ISERROR(SEARCH("Value Missing",X28))</xm:f>
            <xm:f>"Value Missing"</xm:f>
            <x14:dxf>
              <font>
                <color rgb="FF006100"/>
              </font>
              <fill>
                <patternFill>
                  <bgColor rgb="FFC6EFCE"/>
                </patternFill>
              </fill>
            </x14:dxf>
          </x14:cfRule>
          <x14:cfRule type="containsText" priority="2625" operator="containsText" id="{8B7CD512-9743-1441-9F6D-E37ADFBA5B05}">
            <xm:f>NOT(ISERROR(SEARCH("Value Missing",X28)))</xm:f>
            <xm:f>"Value Missing"</xm:f>
            <x14:dxf>
              <font>
                <color rgb="FF9C0006"/>
              </font>
              <fill>
                <patternFill>
                  <bgColor rgb="FFFFC7CE"/>
                </patternFill>
              </fill>
            </x14:dxf>
          </x14:cfRule>
          <xm:sqref>X28</xm:sqref>
        </x14:conditionalFormatting>
        <x14:conditionalFormatting xmlns:xm="http://schemas.microsoft.com/office/excel/2006/main">
          <x14:cfRule type="containsText" priority="2426" operator="containsText" id="{A222DF2A-8F10-D84C-97F7-EA18995B3CB2}">
            <xm:f>NOT(ISERROR(SEARCH("Value Missing",X32)))</xm:f>
            <xm:f>"Value Missing"</xm:f>
            <x14:dxf>
              <font>
                <color rgb="FF9C0006"/>
              </font>
              <fill>
                <patternFill>
                  <bgColor rgb="FFFFC7CE"/>
                </patternFill>
              </fill>
            </x14:dxf>
          </x14:cfRule>
          <x14:cfRule type="notContainsText" priority="2425" operator="notContains" id="{664328CD-3C4C-C34A-8A3F-F609646C6E1B}">
            <xm:f>ISERROR(SEARCH("Value Missing",X32))</xm:f>
            <xm:f>"Value Missing"</xm:f>
            <x14:dxf>
              <font>
                <color rgb="FF006100"/>
              </font>
              <fill>
                <patternFill>
                  <bgColor rgb="FFC6EFCE"/>
                </patternFill>
              </fill>
            </x14:dxf>
          </x14:cfRule>
          <xm:sqref>X32</xm:sqref>
        </x14:conditionalFormatting>
        <x14:conditionalFormatting xmlns:xm="http://schemas.microsoft.com/office/excel/2006/main">
          <x14:cfRule type="containsText" priority="2424" operator="containsText" id="{334DF228-2CB6-FE42-AFB7-9F61BB732FAC}">
            <xm:f>NOT(ISERROR(SEARCH("Value Missing",X36)))</xm:f>
            <xm:f>"Value Missing"</xm:f>
            <x14:dxf>
              <font>
                <color rgb="FF9C0006"/>
              </font>
              <fill>
                <patternFill>
                  <bgColor rgb="FFFFC7CE"/>
                </patternFill>
              </fill>
            </x14:dxf>
          </x14:cfRule>
          <x14:cfRule type="notContainsText" priority="2423" operator="notContains" id="{BBAD9CE7-DF50-0E41-9999-71B5DA30D888}">
            <xm:f>ISERROR(SEARCH("Value Missing",X36))</xm:f>
            <xm:f>"Value Missing"</xm:f>
            <x14:dxf>
              <font>
                <color rgb="FF006100"/>
              </font>
              <fill>
                <patternFill>
                  <bgColor rgb="FFC6EFCE"/>
                </patternFill>
              </fill>
            </x14:dxf>
          </x14:cfRule>
          <xm:sqref>X36</xm:sqref>
        </x14:conditionalFormatting>
        <x14:conditionalFormatting xmlns:xm="http://schemas.microsoft.com/office/excel/2006/main">
          <x14:cfRule type="notContainsText" priority="2421" operator="notContains" id="{3799A907-1A1C-414E-A7DA-DF8415A7E5F9}">
            <xm:f>ISERROR(SEARCH("Value Missing",X40))</xm:f>
            <xm:f>"Value Missing"</xm:f>
            <x14:dxf>
              <font>
                <color rgb="FF006100"/>
              </font>
              <fill>
                <patternFill>
                  <bgColor rgb="FFC6EFCE"/>
                </patternFill>
              </fill>
            </x14:dxf>
          </x14:cfRule>
          <x14:cfRule type="containsText" priority="2422" operator="containsText" id="{6BE37C52-268E-3148-B071-7D0754434044}">
            <xm:f>NOT(ISERROR(SEARCH("Value Missing",X40)))</xm:f>
            <xm:f>"Value Missing"</xm:f>
            <x14:dxf>
              <font>
                <color rgb="FF9C0006"/>
              </font>
              <fill>
                <patternFill>
                  <bgColor rgb="FFFFC7CE"/>
                </patternFill>
              </fill>
            </x14:dxf>
          </x14:cfRule>
          <xm:sqref>X40</xm:sqref>
        </x14:conditionalFormatting>
        <x14:conditionalFormatting xmlns:xm="http://schemas.microsoft.com/office/excel/2006/main">
          <x14:cfRule type="notContainsText" priority="2419" operator="notContains" id="{5FBEE526-4A6A-784F-BBF8-727EC75975D0}">
            <xm:f>ISERROR(SEARCH("Value Missing",X44))</xm:f>
            <xm:f>"Value Missing"</xm:f>
            <x14:dxf>
              <font>
                <color rgb="FF006100"/>
              </font>
              <fill>
                <patternFill>
                  <bgColor rgb="FFC6EFCE"/>
                </patternFill>
              </fill>
            </x14:dxf>
          </x14:cfRule>
          <x14:cfRule type="containsText" priority="2420" operator="containsText" id="{7014DB30-1F0E-5140-88DF-02CE068A49DB}">
            <xm:f>NOT(ISERROR(SEARCH("Value Missing",X44)))</xm:f>
            <xm:f>"Value Missing"</xm:f>
            <x14:dxf>
              <font>
                <color rgb="FF9C0006"/>
              </font>
              <fill>
                <patternFill>
                  <bgColor rgb="FFFFC7CE"/>
                </patternFill>
              </fill>
            </x14:dxf>
          </x14:cfRule>
          <xm:sqref>X44</xm:sqref>
        </x14:conditionalFormatting>
        <x14:conditionalFormatting xmlns:xm="http://schemas.microsoft.com/office/excel/2006/main">
          <x14:cfRule type="containsText" priority="2418" operator="containsText" id="{FB431EDF-E94E-034E-9114-1BF618B35CE5}">
            <xm:f>NOT(ISERROR(SEARCH("Value Missing",X48)))</xm:f>
            <xm:f>"Value Missing"</xm:f>
            <x14:dxf>
              <font>
                <color rgb="FF9C0006"/>
              </font>
              <fill>
                <patternFill>
                  <bgColor rgb="FFFFC7CE"/>
                </patternFill>
              </fill>
            </x14:dxf>
          </x14:cfRule>
          <x14:cfRule type="notContainsText" priority="2417" operator="notContains" id="{D92FE75C-5A72-1D44-901E-112F40D295E8}">
            <xm:f>ISERROR(SEARCH("Value Missing",X48))</xm:f>
            <xm:f>"Value Missing"</xm:f>
            <x14:dxf>
              <font>
                <color rgb="FF006100"/>
              </font>
              <fill>
                <patternFill>
                  <bgColor rgb="FFC6EFCE"/>
                </patternFill>
              </fill>
            </x14:dxf>
          </x14:cfRule>
          <xm:sqref>X48</xm:sqref>
        </x14:conditionalFormatting>
        <x14:conditionalFormatting xmlns:xm="http://schemas.microsoft.com/office/excel/2006/main">
          <x14:cfRule type="containsText" priority="2416" operator="containsText" id="{B2B9AD9B-1514-8D45-A723-8F4B7BEAFC9B}">
            <xm:f>NOT(ISERROR(SEARCH("Value Missing",X52)))</xm:f>
            <xm:f>"Value Missing"</xm:f>
            <x14:dxf>
              <font>
                <color rgb="FF9C0006"/>
              </font>
              <fill>
                <patternFill>
                  <bgColor rgb="FFFFC7CE"/>
                </patternFill>
              </fill>
            </x14:dxf>
          </x14:cfRule>
          <x14:cfRule type="notContainsText" priority="2415" operator="notContains" id="{BFC63F22-6362-154A-B0E7-18BAC33E7DE0}">
            <xm:f>ISERROR(SEARCH("Value Missing",X52))</xm:f>
            <xm:f>"Value Missing"</xm:f>
            <x14:dxf>
              <font>
                <color rgb="FF006100"/>
              </font>
              <fill>
                <patternFill>
                  <bgColor rgb="FFC6EFCE"/>
                </patternFill>
              </fill>
            </x14:dxf>
          </x14:cfRule>
          <xm:sqref>X52</xm:sqref>
        </x14:conditionalFormatting>
        <x14:conditionalFormatting xmlns:xm="http://schemas.microsoft.com/office/excel/2006/main">
          <x14:cfRule type="containsText" priority="2414" operator="containsText" id="{3DE87D87-B424-734D-9E1A-3FD8A64C60F7}">
            <xm:f>NOT(ISERROR(SEARCH("Value Missing",X56)))</xm:f>
            <xm:f>"Value Missing"</xm:f>
            <x14:dxf>
              <font>
                <color rgb="FF9C0006"/>
              </font>
              <fill>
                <patternFill>
                  <bgColor rgb="FFFFC7CE"/>
                </patternFill>
              </fill>
            </x14:dxf>
          </x14:cfRule>
          <x14:cfRule type="notContainsText" priority="2413" operator="notContains" id="{D6276D16-CCE7-D346-A67C-9F325C3A0D00}">
            <xm:f>ISERROR(SEARCH("Value Missing",X56))</xm:f>
            <xm:f>"Value Missing"</xm:f>
            <x14:dxf>
              <font>
                <color rgb="FF006100"/>
              </font>
              <fill>
                <patternFill>
                  <bgColor rgb="FFC6EFCE"/>
                </patternFill>
              </fill>
            </x14:dxf>
          </x14:cfRule>
          <xm:sqref>X56</xm:sqref>
        </x14:conditionalFormatting>
        <x14:conditionalFormatting xmlns:xm="http://schemas.microsoft.com/office/excel/2006/main">
          <x14:cfRule type="containsText" priority="2412" operator="containsText" id="{F66C3292-F1DC-B94A-A53B-D1B4592CDD9F}">
            <xm:f>NOT(ISERROR(SEARCH("Value Missing",X60)))</xm:f>
            <xm:f>"Value Missing"</xm:f>
            <x14:dxf>
              <font>
                <color rgb="FF9C0006"/>
              </font>
              <fill>
                <patternFill>
                  <bgColor rgb="FFFFC7CE"/>
                </patternFill>
              </fill>
            </x14:dxf>
          </x14:cfRule>
          <x14:cfRule type="notContainsText" priority="2411" operator="notContains" id="{E8E52FD7-DFD5-454C-BD56-561E415F20FF}">
            <xm:f>ISERROR(SEARCH("Value Missing",X60))</xm:f>
            <xm:f>"Value Missing"</xm:f>
            <x14:dxf>
              <font>
                <color rgb="FF006100"/>
              </font>
              <fill>
                <patternFill>
                  <bgColor rgb="FFC6EFCE"/>
                </patternFill>
              </fill>
            </x14:dxf>
          </x14:cfRule>
          <xm:sqref>X60</xm:sqref>
        </x14:conditionalFormatting>
        <x14:conditionalFormatting xmlns:xm="http://schemas.microsoft.com/office/excel/2006/main">
          <x14:cfRule type="containsText" priority="2410" operator="containsText" id="{9A4CE4C9-7EEF-F247-843A-D8F447B441FC}">
            <xm:f>NOT(ISERROR(SEARCH("Value Missing",X64)))</xm:f>
            <xm:f>"Value Missing"</xm:f>
            <x14:dxf>
              <font>
                <color rgb="FF9C0006"/>
              </font>
              <fill>
                <patternFill>
                  <bgColor rgb="FFFFC7CE"/>
                </patternFill>
              </fill>
            </x14:dxf>
          </x14:cfRule>
          <x14:cfRule type="notContainsText" priority="2409" operator="notContains" id="{6E00A636-58DA-874E-9F4D-2A18FDF33177}">
            <xm:f>ISERROR(SEARCH("Value Missing",X64))</xm:f>
            <xm:f>"Value Missing"</xm:f>
            <x14:dxf>
              <font>
                <color rgb="FF006100"/>
              </font>
              <fill>
                <patternFill>
                  <bgColor rgb="FFC6EFCE"/>
                </patternFill>
              </fill>
            </x14:dxf>
          </x14:cfRule>
          <xm:sqref>X64</xm:sqref>
        </x14:conditionalFormatting>
        <x14:conditionalFormatting xmlns:xm="http://schemas.microsoft.com/office/excel/2006/main">
          <x14:cfRule type="containsText" priority="2408" operator="containsText" id="{8C22B40F-307A-014E-81A5-8C924E8B8637}">
            <xm:f>NOT(ISERROR(SEARCH("Value Missing",X68)))</xm:f>
            <xm:f>"Value Missing"</xm:f>
            <x14:dxf>
              <font>
                <color rgb="FF9C0006"/>
              </font>
              <fill>
                <patternFill>
                  <bgColor rgb="FFFFC7CE"/>
                </patternFill>
              </fill>
            </x14:dxf>
          </x14:cfRule>
          <x14:cfRule type="notContainsText" priority="2407" operator="notContains" id="{9AF8A23A-5F46-5C41-AB50-41F56FF84FB2}">
            <xm:f>ISERROR(SEARCH("Value Missing",X68))</xm:f>
            <xm:f>"Value Missing"</xm:f>
            <x14:dxf>
              <font>
                <color rgb="FF006100"/>
              </font>
              <fill>
                <patternFill>
                  <bgColor rgb="FFC6EFCE"/>
                </patternFill>
              </fill>
            </x14:dxf>
          </x14:cfRule>
          <xm:sqref>X68</xm:sqref>
        </x14:conditionalFormatting>
        <x14:conditionalFormatting xmlns:xm="http://schemas.microsoft.com/office/excel/2006/main">
          <x14:cfRule type="notContainsText" priority="2126" operator="notContains" id="{DD5398D3-EA12-B243-BCD6-A23EFF664D3C}">
            <xm:f>ISERROR(SEARCH("Value Missing",C8))</xm:f>
            <xm:f>"Value Missing"</xm:f>
            <x14:dxf>
              <font>
                <color rgb="FF006100"/>
              </font>
              <fill>
                <patternFill>
                  <bgColor rgb="FFC6EFCE"/>
                </patternFill>
              </fill>
            </x14:dxf>
          </x14:cfRule>
          <x14:cfRule type="containsText" priority="2127" operator="containsText" id="{DF52A004-968D-844F-8C87-105273187820}">
            <xm:f>NOT(ISERROR(SEARCH("Value Missing",C8)))</xm:f>
            <xm:f>"Value Missing"</xm:f>
            <x14:dxf>
              <font>
                <color rgb="FF9C0006"/>
              </font>
              <fill>
                <patternFill>
                  <bgColor rgb="FFFFC7CE"/>
                </patternFill>
              </fill>
            </x14:dxf>
          </x14:cfRule>
          <xm:sqref>AA8:AA16 C206:C209</xm:sqref>
        </x14:conditionalFormatting>
        <x14:conditionalFormatting xmlns:xm="http://schemas.microsoft.com/office/excel/2006/main">
          <x14:cfRule type="containsText" priority="1690" operator="containsText" id="{69EF0644-407D-0C47-8B54-B5288C8A965B}">
            <xm:f>NOT(ISERROR(SEARCH("Value Missing",AA11)))</xm:f>
            <xm:f>"Value Missing"</xm:f>
            <x14:dxf>
              <font>
                <color rgb="FF9C0006"/>
              </font>
              <fill>
                <patternFill>
                  <bgColor rgb="FFFFC7CE"/>
                </patternFill>
              </fill>
            </x14:dxf>
          </x14:cfRule>
          <xm:sqref>AA11 AA30:AA32</xm:sqref>
        </x14:conditionalFormatting>
        <x14:conditionalFormatting xmlns:xm="http://schemas.microsoft.com/office/excel/2006/main">
          <x14:cfRule type="containsText" priority="2692" operator="containsText" id="{BC91E0E0-4C4D-5D44-A855-25B6E4FD2964}">
            <xm:f>NOT(ISERROR(SEARCH("Value Missing",L8)))</xm:f>
            <xm:f>"Value Missing"</xm:f>
            <x14:dxf>
              <font>
                <color rgb="FF9C0006"/>
              </font>
              <fill>
                <patternFill>
                  <bgColor rgb="FFFFC7CE"/>
                </patternFill>
              </fill>
            </x14:dxf>
          </x14:cfRule>
          <xm:sqref>AA12 U52:U54 R56:R59 AA62:AA67 R70:R73 R77:R81 L99:L104 U103:U108 U121 L126:L127 R63:R66 R85:R88 R8 R12 L58:L62 U65:U70</xm:sqref>
        </x14:conditionalFormatting>
        <x14:conditionalFormatting xmlns:xm="http://schemas.microsoft.com/office/excel/2006/main">
          <x14:cfRule type="containsText" priority="487" operator="containsText" id="{87FA1E82-6173-8548-91C8-8B9EEF1A4303}">
            <xm:f>NOT(ISERROR(SEARCH("Value Missing",R17)))</xm:f>
            <xm:f>"Value Missing"</xm:f>
            <x14:dxf>
              <font>
                <color rgb="FF9C0006"/>
              </font>
              <fill>
                <patternFill>
                  <bgColor rgb="FFFFC7CE"/>
                </patternFill>
              </fill>
            </x14:dxf>
          </x14:cfRule>
          <xm:sqref>AA17:AA28 R20:R25 X23:X24</xm:sqref>
        </x14:conditionalFormatting>
        <x14:conditionalFormatting xmlns:xm="http://schemas.microsoft.com/office/excel/2006/main">
          <x14:cfRule type="notContainsText" priority="1905" operator="notContains" id="{4425913C-C1FE-844D-9ACF-F7B6611D440C}">
            <xm:f>ISERROR(SEARCH("Value Missing",AA29))</xm:f>
            <xm:f>"Value Missing"</xm:f>
            <x14:dxf>
              <font>
                <color rgb="FF006100"/>
              </font>
              <fill>
                <patternFill>
                  <bgColor rgb="FFC6EFCE"/>
                </patternFill>
              </fill>
            </x14:dxf>
          </x14:cfRule>
          <xm:sqref>AA29</xm:sqref>
        </x14:conditionalFormatting>
        <x14:conditionalFormatting xmlns:xm="http://schemas.microsoft.com/office/excel/2006/main">
          <x14:cfRule type="notContainsText" priority="1689" operator="notContains" id="{87F80119-6159-4441-AD08-241729F04ACE}">
            <xm:f>ISERROR(SEARCH("Value Missing",AA11))</xm:f>
            <xm:f>"Value Missing"</xm:f>
            <x14:dxf>
              <font>
                <color rgb="FF006100"/>
              </font>
              <fill>
                <patternFill>
                  <bgColor rgb="FFC6EFCE"/>
                </patternFill>
              </fill>
            </x14:dxf>
          </x14:cfRule>
          <xm:sqref>AA30:AA32 AA11</xm:sqref>
        </x14:conditionalFormatting>
        <x14:conditionalFormatting xmlns:xm="http://schemas.microsoft.com/office/excel/2006/main">
          <x14:cfRule type="notContainsText" priority="1945" operator="notContains" id="{7CF55370-F370-CB45-9457-9C4A5CC08C4F}">
            <xm:f>ISERROR(SEARCH("Value Missing",AA36))</xm:f>
            <xm:f>"Value Missing"</xm:f>
            <x14:dxf>
              <font>
                <color rgb="FF006100"/>
              </font>
              <fill>
                <patternFill>
                  <bgColor rgb="FFC6EFCE"/>
                </patternFill>
              </fill>
            </x14:dxf>
          </x14:cfRule>
          <x14:cfRule type="containsText" priority="1946" operator="containsText" id="{8B7311FB-B1C0-9647-9369-36C4179FEE64}">
            <xm:f>NOT(ISERROR(SEARCH("Value Missing",AA36)))</xm:f>
            <xm:f>"Value Missing"</xm:f>
            <x14:dxf>
              <font>
                <color rgb="FF9C0006"/>
              </font>
              <fill>
                <patternFill>
                  <bgColor rgb="FFFFC7CE"/>
                </patternFill>
              </fill>
            </x14:dxf>
          </x14:cfRule>
          <xm:sqref>AA36</xm:sqref>
        </x14:conditionalFormatting>
        <x14:conditionalFormatting xmlns:xm="http://schemas.microsoft.com/office/excel/2006/main">
          <x14:cfRule type="notContainsText" priority="1770" operator="notContains" id="{9CFCCADB-0D4F-1649-9DDA-8820303729DE}">
            <xm:f>ISERROR(SEARCH("Value Missing",AA36))</xm:f>
            <xm:f>"Value Missing"</xm:f>
            <x14:dxf>
              <font>
                <color rgb="FF006100"/>
              </font>
              <fill>
                <patternFill>
                  <bgColor rgb="FFC6EFCE"/>
                </patternFill>
              </fill>
            </x14:dxf>
          </x14:cfRule>
          <x14:cfRule type="containsText" priority="1805" operator="containsText" id="{372593AD-5990-5E4F-984D-2425FFEA4C40}">
            <xm:f>NOT(ISERROR(SEARCH("Value Missing",AA36)))</xm:f>
            <xm:f>"Value Missing"</xm:f>
            <x14:dxf>
              <font>
                <color rgb="FF9C0006"/>
              </font>
              <fill>
                <patternFill>
                  <bgColor rgb="FFFFC7CE"/>
                </patternFill>
              </fill>
            </x14:dxf>
          </x14:cfRule>
          <x14:cfRule type="notContainsText" priority="1851" operator="notContains" id="{FDE05BF0-EB6C-6948-A8A4-7FD7AA9FA81C}">
            <xm:f>ISERROR(SEARCH("Value Missing",AA36))</xm:f>
            <xm:f>"Value Missing"</xm:f>
            <x14:dxf>
              <font>
                <color rgb="FF006100"/>
              </font>
              <fill>
                <patternFill>
                  <bgColor rgb="FFC6EFCE"/>
                </patternFill>
              </fill>
            </x14:dxf>
          </x14:cfRule>
          <x14:cfRule type="containsText" priority="1852" operator="containsText" id="{6696D501-A536-F143-83FA-0D29AB85D63F}">
            <xm:f>NOT(ISERROR(SEARCH("Value Missing",AA36)))</xm:f>
            <xm:f>"Value Missing"</xm:f>
            <x14:dxf>
              <font>
                <color rgb="FF9C0006"/>
              </font>
              <fill>
                <patternFill>
                  <bgColor rgb="FFFFC7CE"/>
                </patternFill>
              </fill>
            </x14:dxf>
          </x14:cfRule>
          <xm:sqref>AA36:AA50</xm:sqref>
        </x14:conditionalFormatting>
        <x14:conditionalFormatting xmlns:xm="http://schemas.microsoft.com/office/excel/2006/main">
          <x14:cfRule type="notContainsText" priority="1653" operator="notContains" id="{4644EA75-0466-4949-9622-C2C9B6A15EA2}">
            <xm:f>ISERROR(SEARCH("Value Missing",AA38))</xm:f>
            <xm:f>"Value Missing"</xm:f>
            <x14:dxf>
              <font>
                <color rgb="FF006100"/>
              </font>
              <fill>
                <patternFill>
                  <bgColor rgb="FFC6EFCE"/>
                </patternFill>
              </fill>
            </x14:dxf>
          </x14:cfRule>
          <x14:cfRule type="containsText" priority="1654" operator="containsText" id="{39C87DB9-06E5-644F-AFCE-985CAA262F1F}">
            <xm:f>NOT(ISERROR(SEARCH("Value Missing",AA38)))</xm:f>
            <xm:f>"Value Missing"</xm:f>
            <x14:dxf>
              <font>
                <color rgb="FF9C0006"/>
              </font>
              <fill>
                <patternFill>
                  <bgColor rgb="FFFFC7CE"/>
                </patternFill>
              </fill>
            </x14:dxf>
          </x14:cfRule>
          <xm:sqref>AA38:AA39</xm:sqref>
        </x14:conditionalFormatting>
        <x14:conditionalFormatting xmlns:xm="http://schemas.microsoft.com/office/excel/2006/main">
          <x14:cfRule type="notContainsText" priority="1804" operator="notContains" id="{ABA98C35-62DF-464A-ACDA-35E352CEA1D0}">
            <xm:f>ISERROR(SEARCH("Value Missing",AA40))</xm:f>
            <xm:f>"Value Missing"</xm:f>
            <x14:dxf>
              <font>
                <color rgb="FF006100"/>
              </font>
              <fill>
                <patternFill>
                  <bgColor rgb="FFC6EFCE"/>
                </patternFill>
              </fill>
            </x14:dxf>
          </x14:cfRule>
          <xm:sqref>AA40:AA50</xm:sqref>
        </x14:conditionalFormatting>
        <x14:conditionalFormatting xmlns:xm="http://schemas.microsoft.com/office/excel/2006/main">
          <x14:cfRule type="containsText" priority="1771" operator="containsText" id="{CB8A1822-3108-A04C-822A-2BC74103D2E2}">
            <xm:f>NOT(ISERROR(SEARCH("Value Missing",AA44)))</xm:f>
            <xm:f>"Value Missing"</xm:f>
            <x14:dxf>
              <font>
                <color rgb="FF9C0006"/>
              </font>
              <fill>
                <patternFill>
                  <bgColor rgb="FFFFC7CE"/>
                </patternFill>
              </fill>
            </x14:dxf>
          </x14:cfRule>
          <xm:sqref>AA44:AA50</xm:sqref>
        </x14:conditionalFormatting>
        <x14:conditionalFormatting xmlns:xm="http://schemas.microsoft.com/office/excel/2006/main">
          <x14:cfRule type="containsText" priority="1402" operator="containsText" id="{4C19A037-4CE8-A640-9E66-9707F917C538}">
            <xm:f>NOT(ISERROR(SEARCH("Value Missing",AA46)))</xm:f>
            <xm:f>"Value Missing"</xm:f>
            <x14:dxf>
              <font>
                <color rgb="FF9C0006"/>
              </font>
              <fill>
                <patternFill>
                  <bgColor rgb="FFFFC7CE"/>
                </patternFill>
              </fill>
            </x14:dxf>
          </x14:cfRule>
          <xm:sqref>AA46:AA50</xm:sqref>
        </x14:conditionalFormatting>
        <x14:conditionalFormatting xmlns:xm="http://schemas.microsoft.com/office/excel/2006/main">
          <x14:cfRule type="containsText" priority="728" operator="containsText" id="{BA24E059-0A8E-CA49-8D81-BB1C4C11E7F6}">
            <xm:f>NOT(ISERROR(SEARCH("Value Missing",AA59)))</xm:f>
            <xm:f>"Value Missing"</xm:f>
            <x14:dxf>
              <font>
                <color rgb="FF9C0006"/>
              </font>
              <fill>
                <patternFill>
                  <bgColor rgb="FFFFC7CE"/>
                </patternFill>
              </fill>
            </x14:dxf>
          </x14:cfRule>
          <xm:sqref>AA59:AA87</xm:sqref>
        </x14:conditionalFormatting>
        <x14:conditionalFormatting xmlns:xm="http://schemas.microsoft.com/office/excel/2006/main">
          <x14:cfRule type="containsText" priority="1468" operator="containsText" id="{222C26CC-4905-4D4B-9E56-04B6432864D5}">
            <xm:f>NOT(ISERROR(SEARCH("Value Missing",AA86)))</xm:f>
            <xm:f>"Value Missing"</xm:f>
            <x14:dxf>
              <font>
                <color rgb="FF9C0006"/>
              </font>
              <fill>
                <patternFill>
                  <bgColor rgb="FFFFC7CE"/>
                </patternFill>
              </fill>
            </x14:dxf>
          </x14:cfRule>
          <x14:cfRule type="notContainsText" priority="1467" operator="notContains" id="{F0B59E40-E6DB-D94E-ACC1-C5F51B42942B}">
            <xm:f>ISERROR(SEARCH("Value Missing",AA86))</xm:f>
            <xm:f>"Value Missing"</xm:f>
            <x14:dxf>
              <font>
                <color rgb="FF006100"/>
              </font>
              <fill>
                <patternFill>
                  <bgColor rgb="FFC6EFCE"/>
                </patternFill>
              </fill>
            </x14:dxf>
          </x14:cfRule>
          <xm:sqref>AA86:AA87</xm:sqref>
        </x14:conditionalFormatting>
        <x14:conditionalFormatting xmlns:xm="http://schemas.microsoft.com/office/excel/2006/main">
          <x14:cfRule type="containsText" priority="2000" operator="containsText" id="{3310644F-19CB-2540-9167-ADA445DA9855}">
            <xm:f>NOT(ISERROR(SEARCH("Value Missing",L94)))</xm:f>
            <xm:f>"Value Missing"</xm:f>
            <x14:dxf>
              <font>
                <color rgb="FF9C0006"/>
              </font>
              <fill>
                <patternFill>
                  <bgColor rgb="FFFFC7CE"/>
                </patternFill>
              </fill>
            </x14:dxf>
          </x14:cfRule>
          <x14:cfRule type="notContainsText" priority="1999" operator="notContains" id="{5D77C4D5-3A10-0141-87E6-EC09827A7370}">
            <xm:f>ISERROR(SEARCH("Value Missing",L94))</xm:f>
            <xm:f>"Value Missing"</xm:f>
            <x14:dxf>
              <font>
                <color rgb="FF006100"/>
              </font>
              <fill>
                <patternFill>
                  <bgColor rgb="FFC6EFCE"/>
                </patternFill>
              </fill>
            </x14:dxf>
          </x14:cfRule>
          <xm:sqref>AA94:AA106 L133:L138</xm:sqref>
        </x14:conditionalFormatting>
        <x14:conditionalFormatting xmlns:xm="http://schemas.microsoft.com/office/excel/2006/main">
          <x14:cfRule type="notContainsText" priority="1131" operator="notContains" id="{D136C9DA-39AF-684F-B931-090F0DE80EB8}">
            <xm:f>ISERROR(SEARCH("Value Missing",AD8))</xm:f>
            <xm:f>"Value Missing"</xm:f>
            <x14:dxf>
              <font>
                <color rgb="FF006100"/>
              </font>
              <fill>
                <patternFill>
                  <bgColor rgb="FFC6EFCE"/>
                </patternFill>
              </fill>
            </x14:dxf>
          </x14:cfRule>
          <x14:cfRule type="containsText" priority="1132" operator="containsText" id="{710DD210-C5F7-9648-AD30-6B65C6130D83}">
            <xm:f>NOT(ISERROR(SEARCH("Value Missing",AD8)))</xm:f>
            <xm:f>"Value Missing"</xm:f>
            <x14:dxf>
              <font>
                <color rgb="FF9C0006"/>
              </font>
              <fill>
                <patternFill>
                  <bgColor rgb="FFFFC7CE"/>
                </patternFill>
              </fill>
            </x14:dxf>
          </x14:cfRule>
          <x14:cfRule type="notContainsText" priority="1133" operator="notContains" id="{462F0E7A-F056-DD45-8FA9-CB8CB9D73537}">
            <xm:f>ISERROR(SEARCH("Value Missing",AD8))</xm:f>
            <xm:f>"Value Missing"</xm:f>
            <x14:dxf>
              <font>
                <color rgb="FF006100"/>
              </font>
              <fill>
                <patternFill>
                  <bgColor rgb="FFC6EFCE"/>
                </patternFill>
              </fill>
            </x14:dxf>
          </x14:cfRule>
          <xm:sqref>AD8:AE10</xm:sqref>
        </x14:conditionalFormatting>
        <x14:conditionalFormatting xmlns:xm="http://schemas.microsoft.com/office/excel/2006/main">
          <x14:cfRule type="notContainsText" priority="1214" operator="notContains" id="{917B724E-5459-2041-B285-D24C387C9831}">
            <xm:f>ISERROR(SEARCH("Value Missing",AD17))</xm:f>
            <xm:f>"Value Missing"</xm:f>
            <x14:dxf>
              <font>
                <color rgb="FF006100"/>
              </font>
              <fill>
                <patternFill>
                  <bgColor rgb="FFC6EFCE"/>
                </patternFill>
              </fill>
            </x14:dxf>
          </x14:cfRule>
          <x14:cfRule type="containsText" priority="1215" operator="containsText" id="{2FF7DEA5-38D3-4244-8C2A-D599AD7E627F}">
            <xm:f>NOT(ISERROR(SEARCH("Value Missing",AD17)))</xm:f>
            <xm:f>"Value Missing"</xm:f>
            <x14:dxf>
              <font>
                <color rgb="FF9C0006"/>
              </font>
              <fill>
                <patternFill>
                  <bgColor rgb="FFFFC7CE"/>
                </patternFill>
              </fill>
            </x14:dxf>
          </x14:cfRule>
          <xm:sqref>AD17:AE17</xm:sqref>
        </x14:conditionalFormatting>
        <x14:conditionalFormatting xmlns:xm="http://schemas.microsoft.com/office/excel/2006/main">
          <x14:cfRule type="notContainsText" priority="1188" operator="notContains" id="{CCDE91C0-5115-5546-9569-388F081C3C55}">
            <xm:f>ISERROR(SEARCH("Value Missing",AA21))</xm:f>
            <xm:f>"Value Missing"</xm:f>
            <x14:dxf>
              <font>
                <color rgb="FF006100"/>
              </font>
              <fill>
                <patternFill>
                  <bgColor rgb="FFC6EFCE"/>
                </patternFill>
              </fill>
            </x14:dxf>
          </x14:cfRule>
          <xm:sqref>AD21:AE21 AA46:AA50</xm:sqref>
        </x14:conditionalFormatting>
        <x14:conditionalFormatting xmlns:xm="http://schemas.microsoft.com/office/excel/2006/main">
          <x14:cfRule type="containsText" priority="1189" operator="containsText" id="{EDF8C0A2-F3E3-9D48-B813-7A551DA0C7FF}">
            <xm:f>NOT(ISERROR(SEARCH("Value Missing",AD21)))</xm:f>
            <xm:f>"Value Missing"</xm:f>
            <x14:dxf>
              <font>
                <color rgb="FF9C0006"/>
              </font>
              <fill>
                <patternFill>
                  <bgColor rgb="FFFFC7CE"/>
                </patternFill>
              </fill>
            </x14:dxf>
          </x14:cfRule>
          <xm:sqref>AD21:AE21</xm:sqref>
        </x14:conditionalFormatting>
        <x14:conditionalFormatting xmlns:xm="http://schemas.microsoft.com/office/excel/2006/main">
          <x14:cfRule type="notContainsText" priority="1186" operator="notContains" id="{871E156B-5CEA-E241-B3EA-F929B77D0F2C}">
            <xm:f>ISERROR(SEARCH("Value Missing",AD25))</xm:f>
            <xm:f>"Value Missing"</xm:f>
            <x14:dxf>
              <font>
                <color rgb="FF006100"/>
              </font>
              <fill>
                <patternFill>
                  <bgColor rgb="FFC6EFCE"/>
                </patternFill>
              </fill>
            </x14:dxf>
          </x14:cfRule>
          <x14:cfRule type="containsText" priority="1187" operator="containsText" id="{792995C6-CFBD-9A43-BF33-175CFD67583D}">
            <xm:f>NOT(ISERROR(SEARCH("Value Missing",AD25)))</xm:f>
            <xm:f>"Value Missing"</xm:f>
            <x14:dxf>
              <font>
                <color rgb="FF9C0006"/>
              </font>
              <fill>
                <patternFill>
                  <bgColor rgb="FFFFC7CE"/>
                </patternFill>
              </fill>
            </x14:dxf>
          </x14:cfRule>
          <xm:sqref>AD25:AE25</xm:sqref>
        </x14:conditionalFormatting>
        <x14:conditionalFormatting xmlns:xm="http://schemas.microsoft.com/office/excel/2006/main">
          <x14:cfRule type="notContainsText" priority="1182" operator="notContains" id="{C5AE94E0-85E8-0247-A25F-2C67E6BD3A89}">
            <xm:f>ISERROR(SEARCH("Value Missing",AD29))</xm:f>
            <xm:f>"Value Missing"</xm:f>
            <x14:dxf>
              <font>
                <color rgb="FF006100"/>
              </font>
              <fill>
                <patternFill>
                  <bgColor rgb="FFC6EFCE"/>
                </patternFill>
              </fill>
            </x14:dxf>
          </x14:cfRule>
          <x14:cfRule type="containsText" priority="1183" operator="containsText" id="{99F086BA-0E53-6745-892D-C8931839D241}">
            <xm:f>NOT(ISERROR(SEARCH("Value Missing",AD29)))</xm:f>
            <xm:f>"Value Missing"</xm:f>
            <x14:dxf>
              <font>
                <color rgb="FF9C0006"/>
              </font>
              <fill>
                <patternFill>
                  <bgColor rgb="FFFFC7CE"/>
                </patternFill>
              </fill>
            </x14:dxf>
          </x14:cfRule>
          <xm:sqref>AD29:AE29</xm:sqref>
        </x14:conditionalFormatting>
        <x14:conditionalFormatting xmlns:xm="http://schemas.microsoft.com/office/excel/2006/main">
          <x14:cfRule type="containsText" priority="1817" operator="containsText" id="{3B827EB2-2A8F-C747-9F49-11D59159CC80}">
            <xm:f>NOT(ISERROR(SEARCH("Value Missing",AD33)))</xm:f>
            <xm:f>"Value Missing"</xm:f>
            <x14:dxf>
              <font>
                <color rgb="FF9C0006"/>
              </font>
              <fill>
                <patternFill>
                  <bgColor rgb="FFFFC7CE"/>
                </patternFill>
              </fill>
            </x14:dxf>
          </x14:cfRule>
          <x14:cfRule type="notContainsText" priority="1816" operator="notContains" id="{DBA93385-0C50-FB49-9628-3C8443955D7F}">
            <xm:f>ISERROR(SEARCH("Value Missing",AD33))</xm:f>
            <xm:f>"Value Missing"</xm:f>
            <x14:dxf>
              <font>
                <color rgb="FF006100"/>
              </font>
              <fill>
                <patternFill>
                  <bgColor rgb="FFC6EFCE"/>
                </patternFill>
              </fill>
            </x14:dxf>
          </x14:cfRule>
          <xm:sqref>AD33:AE33</xm:sqref>
        </x14:conditionalFormatting>
        <x14:conditionalFormatting xmlns:xm="http://schemas.microsoft.com/office/excel/2006/main">
          <x14:cfRule type="notContainsText" priority="1206" operator="notContains" id="{7E609425-F091-0240-A677-9FA723C11EAF}">
            <xm:f>ISERROR(SEARCH("Value Missing",AD37))</xm:f>
            <xm:f>"Value Missing"</xm:f>
            <x14:dxf>
              <font>
                <color rgb="FF006100"/>
              </font>
              <fill>
                <patternFill>
                  <bgColor rgb="FFC6EFCE"/>
                </patternFill>
              </fill>
            </x14:dxf>
          </x14:cfRule>
          <x14:cfRule type="containsText" priority="1207" operator="containsText" id="{3F5ED746-A181-BF43-AAB8-44543530893E}">
            <xm:f>NOT(ISERROR(SEARCH("Value Missing",AD37)))</xm:f>
            <xm:f>"Value Missing"</xm:f>
            <x14:dxf>
              <font>
                <color rgb="FF9C0006"/>
              </font>
              <fill>
                <patternFill>
                  <bgColor rgb="FFFFC7CE"/>
                </patternFill>
              </fill>
            </x14:dxf>
          </x14:cfRule>
          <xm:sqref>AD37:AE37</xm:sqref>
        </x14:conditionalFormatting>
        <x14:conditionalFormatting xmlns:xm="http://schemas.microsoft.com/office/excel/2006/main">
          <x14:cfRule type="containsText" priority="1191" operator="containsText" id="{70F6B6DD-FA0C-C549-8CC7-063876CCA5EC}">
            <xm:f>NOT(ISERROR(SEARCH("Value Missing",AD42)))</xm:f>
            <xm:f>"Value Missing"</xm:f>
            <x14:dxf>
              <font>
                <color rgb="FF9C0006"/>
              </font>
              <fill>
                <patternFill>
                  <bgColor rgb="FFFFC7CE"/>
                </patternFill>
              </fill>
            </x14:dxf>
          </x14:cfRule>
          <x14:cfRule type="notContainsText" priority="1190" operator="notContains" id="{9A1D59FB-DFAA-1043-8046-D0E7880C86DB}">
            <xm:f>ISERROR(SEARCH("Value Missing",AD42))</xm:f>
            <xm:f>"Value Missing"</xm:f>
            <x14:dxf>
              <font>
                <color rgb="FF006100"/>
              </font>
              <fill>
                <patternFill>
                  <bgColor rgb="FFC6EFCE"/>
                </patternFill>
              </fill>
            </x14:dxf>
          </x14:cfRule>
          <xm:sqref>AD42:AE42 AE43</xm:sqref>
        </x14:conditionalFormatting>
        <x14:conditionalFormatting xmlns:xm="http://schemas.microsoft.com/office/excel/2006/main">
          <x14:cfRule type="notContainsText" priority="1194" operator="notContains" id="{69519E85-40AC-F64E-B098-034C65152F0F}">
            <xm:f>ISERROR(SEARCH("Value Missing",AD47))</xm:f>
            <xm:f>"Value Missing"</xm:f>
            <x14:dxf>
              <font>
                <color rgb="FF006100"/>
              </font>
              <fill>
                <patternFill>
                  <bgColor rgb="FFC6EFCE"/>
                </patternFill>
              </fill>
            </x14:dxf>
          </x14:cfRule>
          <x14:cfRule type="containsText" priority="1195" operator="containsText" id="{A2DF7135-BFB0-4346-9E8D-9A6DFA64468A}">
            <xm:f>NOT(ISERROR(SEARCH("Value Missing",AD47)))</xm:f>
            <xm:f>"Value Missing"</xm:f>
            <x14:dxf>
              <font>
                <color rgb="FF9C0006"/>
              </font>
              <fill>
                <patternFill>
                  <bgColor rgb="FFFFC7CE"/>
                </patternFill>
              </fill>
            </x14:dxf>
          </x14:cfRule>
          <xm:sqref>AD47:AE47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467"/>
  <sheetViews>
    <sheetView showGridLines="0" zoomScaleNormal="100" workbookViewId="0">
      <pane ySplit="4" topLeftCell="A5" activePane="bottomLeft" state="frozen"/>
      <selection pane="bottomLeft" activeCell="E34" sqref="E34:G37"/>
    </sheetView>
  </sheetViews>
  <sheetFormatPr baseColWidth="10" defaultColWidth="10.83203125" defaultRowHeight="16" x14ac:dyDescent="0.2"/>
  <cols>
    <col min="1" max="1" width="2.83203125" style="2" customWidth="1"/>
    <col min="2" max="2" width="51" style="2" customWidth="1"/>
    <col min="3" max="3" width="34.33203125" style="2" bestFit="1" customWidth="1"/>
    <col min="4" max="4" width="24.1640625" style="10" bestFit="1" customWidth="1"/>
    <col min="5" max="5" width="28.83203125" style="3" customWidth="1"/>
    <col min="6" max="6" width="23.5" style="2" bestFit="1" customWidth="1"/>
    <col min="7" max="7" width="29.5" style="2" bestFit="1" customWidth="1"/>
    <col min="8" max="8" width="44.33203125" style="2" bestFit="1" customWidth="1"/>
    <col min="9" max="9" width="22.6640625" style="2" customWidth="1"/>
    <col min="10" max="10" width="23" style="2" bestFit="1" customWidth="1"/>
    <col min="11" max="11" width="26.1640625" style="2" bestFit="1" customWidth="1"/>
    <col min="12" max="21" width="22.83203125" style="2" customWidth="1"/>
    <col min="22" max="29" width="10.83203125" style="2" customWidth="1"/>
    <col min="30" max="16384" width="10.83203125" style="2"/>
  </cols>
  <sheetData>
    <row r="1" spans="1:21" ht="16" customHeight="1" x14ac:dyDescent="0.2">
      <c r="A1" s="2" t="s">
        <v>1027</v>
      </c>
      <c r="D1" s="2"/>
      <c r="E1" s="2"/>
    </row>
    <row r="2" spans="1:21" ht="54" customHeight="1" x14ac:dyDescent="0.2">
      <c r="B2" s="597" t="s">
        <v>2470</v>
      </c>
      <c r="C2" s="597"/>
      <c r="D2" s="597"/>
      <c r="E2" s="597"/>
      <c r="F2" s="597"/>
      <c r="G2" s="597"/>
      <c r="H2" s="597"/>
      <c r="I2" s="597"/>
      <c r="J2" s="597"/>
      <c r="K2" s="597"/>
      <c r="L2" s="597"/>
      <c r="M2" s="597"/>
      <c r="N2" s="597"/>
      <c r="O2" s="597"/>
      <c r="P2" s="597"/>
      <c r="Q2" s="597"/>
      <c r="R2" s="597"/>
      <c r="S2" s="597"/>
      <c r="T2" s="597"/>
      <c r="U2" s="597"/>
    </row>
    <row r="3" spans="1:21" ht="20" customHeight="1" x14ac:dyDescent="0.2">
      <c r="B3" s="420" t="s">
        <v>2471</v>
      </c>
      <c r="C3" s="420"/>
      <c r="D3" s="420"/>
      <c r="E3" s="420"/>
      <c r="F3" s="420"/>
      <c r="G3" s="420"/>
      <c r="H3" s="420"/>
      <c r="I3" s="420"/>
      <c r="J3" s="420"/>
      <c r="K3" s="420"/>
      <c r="L3" s="420"/>
      <c r="M3" s="420"/>
      <c r="N3" s="420"/>
      <c r="O3" s="420"/>
      <c r="P3" s="420"/>
      <c r="Q3" s="420"/>
      <c r="R3" s="420"/>
      <c r="S3" s="420"/>
      <c r="T3" s="420"/>
      <c r="U3" s="420"/>
    </row>
    <row r="6" spans="1:21" s="104" customFormat="1" ht="34" customHeight="1" x14ac:dyDescent="0.2">
      <c r="B6" s="589" t="s">
        <v>2472</v>
      </c>
      <c r="C6" s="589"/>
      <c r="D6" s="10"/>
      <c r="E6" s="395" t="s">
        <v>2473</v>
      </c>
      <c r="F6" s="2"/>
      <c r="L6" s="598" t="s">
        <v>2474</v>
      </c>
      <c r="M6" s="599"/>
      <c r="N6" s="599"/>
      <c r="O6" s="599"/>
      <c r="P6" s="600"/>
    </row>
    <row r="7" spans="1:21" ht="20" customHeight="1" x14ac:dyDescent="0.2">
      <c r="B7" s="166" t="s">
        <v>2475</v>
      </c>
      <c r="C7" s="166" t="s">
        <v>1268</v>
      </c>
      <c r="E7" s="337" t="s">
        <v>183</v>
      </c>
      <c r="L7" s="601" t="s">
        <v>2476</v>
      </c>
      <c r="M7" s="604" t="s">
        <v>2477</v>
      </c>
      <c r="N7" s="605"/>
      <c r="O7" s="605"/>
      <c r="P7" s="606"/>
    </row>
    <row r="8" spans="1:21" ht="20" customHeight="1" x14ac:dyDescent="0.2">
      <c r="B8" s="190" t="s">
        <v>2478</v>
      </c>
      <c r="C8" s="190" t="s">
        <v>2479</v>
      </c>
      <c r="E8" s="337" t="s">
        <v>13</v>
      </c>
      <c r="F8" s="2" t="s">
        <v>2480</v>
      </c>
      <c r="L8" s="602"/>
      <c r="M8" s="607"/>
      <c r="N8" s="608"/>
      <c r="O8" s="608"/>
      <c r="P8" s="609"/>
    </row>
    <row r="9" spans="1:21" ht="17" x14ac:dyDescent="0.2">
      <c r="B9" s="190" t="s">
        <v>2478</v>
      </c>
      <c r="C9" s="190" t="s">
        <v>581</v>
      </c>
      <c r="L9" s="602"/>
      <c r="M9" s="607"/>
      <c r="N9" s="608"/>
      <c r="O9" s="608"/>
      <c r="P9" s="609"/>
    </row>
    <row r="10" spans="1:21" ht="17" x14ac:dyDescent="0.2">
      <c r="B10" s="190" t="s">
        <v>2478</v>
      </c>
      <c r="C10" s="190" t="s">
        <v>93</v>
      </c>
      <c r="E10" s="395" t="s">
        <v>2481</v>
      </c>
      <c r="F10" s="395" t="s">
        <v>2482</v>
      </c>
      <c r="G10" s="395" t="s">
        <v>2483</v>
      </c>
      <c r="H10" s="395" t="s">
        <v>2484</v>
      </c>
      <c r="L10" s="602"/>
      <c r="M10" s="607"/>
      <c r="N10" s="608"/>
      <c r="O10" s="608"/>
      <c r="P10" s="609"/>
    </row>
    <row r="11" spans="1:21" ht="17" x14ac:dyDescent="0.2">
      <c r="B11" s="190" t="s">
        <v>2478</v>
      </c>
      <c r="C11" s="190" t="s">
        <v>751</v>
      </c>
      <c r="E11" s="331" t="s">
        <v>2485</v>
      </c>
      <c r="F11" s="331" t="s">
        <v>2483</v>
      </c>
      <c r="G11" s="331" t="s">
        <v>2486</v>
      </c>
      <c r="H11" s="32" t="s">
        <v>2487</v>
      </c>
      <c r="I11" s="2" t="s">
        <v>2488</v>
      </c>
      <c r="L11" s="602"/>
      <c r="M11" s="607"/>
      <c r="N11" s="608"/>
      <c r="O11" s="608"/>
      <c r="P11" s="609"/>
    </row>
    <row r="12" spans="1:21" ht="17" x14ac:dyDescent="0.2">
      <c r="B12" s="190" t="s">
        <v>2478</v>
      </c>
      <c r="C12" s="190" t="s">
        <v>2489</v>
      </c>
      <c r="E12" s="331" t="s">
        <v>101</v>
      </c>
      <c r="F12" s="331" t="s">
        <v>2484</v>
      </c>
      <c r="G12" s="331" t="s">
        <v>2490</v>
      </c>
      <c r="H12" s="32" t="s">
        <v>2490</v>
      </c>
      <c r="L12" s="602"/>
      <c r="M12" s="607"/>
      <c r="N12" s="608"/>
      <c r="O12" s="608"/>
      <c r="P12" s="609"/>
    </row>
    <row r="13" spans="1:21" ht="17" x14ac:dyDescent="0.2">
      <c r="B13" s="190" t="s">
        <v>2491</v>
      </c>
      <c r="C13" s="190" t="s">
        <v>852</v>
      </c>
      <c r="G13" s="331" t="s">
        <v>2492</v>
      </c>
      <c r="H13" s="32" t="s">
        <v>2492</v>
      </c>
      <c r="L13" s="602"/>
      <c r="M13" s="607"/>
      <c r="N13" s="608"/>
      <c r="O13" s="608"/>
      <c r="P13" s="609"/>
    </row>
    <row r="14" spans="1:21" ht="17" x14ac:dyDescent="0.2">
      <c r="B14" s="190" t="s">
        <v>2491</v>
      </c>
      <c r="C14" s="190" t="s">
        <v>751</v>
      </c>
      <c r="E14" s="192" t="s">
        <v>1306</v>
      </c>
      <c r="G14" s="331" t="s">
        <v>2493</v>
      </c>
      <c r="H14" s="32" t="s">
        <v>2493</v>
      </c>
      <c r="L14" s="602"/>
      <c r="M14" s="607"/>
      <c r="N14" s="608"/>
      <c r="O14" s="608"/>
      <c r="P14" s="609"/>
    </row>
    <row r="15" spans="1:21" ht="17" x14ac:dyDescent="0.2">
      <c r="B15" s="190" t="s">
        <v>2491</v>
      </c>
      <c r="C15" s="190" t="s">
        <v>2489</v>
      </c>
      <c r="E15" s="331" t="s">
        <v>2494</v>
      </c>
      <c r="G15" s="331" t="s">
        <v>2495</v>
      </c>
      <c r="H15" s="32" t="s">
        <v>2495</v>
      </c>
      <c r="L15" s="602"/>
      <c r="M15" s="607"/>
      <c r="N15" s="608"/>
      <c r="O15" s="608"/>
      <c r="P15" s="609"/>
    </row>
    <row r="16" spans="1:21" ht="17" x14ac:dyDescent="0.2">
      <c r="B16" s="190" t="s">
        <v>2496</v>
      </c>
      <c r="C16" s="190" t="s">
        <v>2497</v>
      </c>
      <c r="E16" s="331" t="s">
        <v>2498</v>
      </c>
      <c r="L16" s="602"/>
      <c r="M16" s="607"/>
      <c r="N16" s="608"/>
      <c r="O16" s="608"/>
      <c r="P16" s="609"/>
    </row>
    <row r="17" spans="2:16" ht="17" x14ac:dyDescent="0.2">
      <c r="B17" s="190" t="s">
        <v>2496</v>
      </c>
      <c r="C17" s="190" t="s">
        <v>581</v>
      </c>
      <c r="E17" s="331" t="s">
        <v>2499</v>
      </c>
      <c r="L17" s="602"/>
      <c r="M17" s="607"/>
      <c r="N17" s="608"/>
      <c r="O17" s="608"/>
      <c r="P17" s="609"/>
    </row>
    <row r="18" spans="2:16" ht="17" x14ac:dyDescent="0.2">
      <c r="B18" s="190" t="s">
        <v>2496</v>
      </c>
      <c r="C18" s="190" t="s">
        <v>93</v>
      </c>
      <c r="E18" s="331" t="s">
        <v>732</v>
      </c>
      <c r="L18" s="602"/>
      <c r="M18" s="607"/>
      <c r="N18" s="608"/>
      <c r="O18" s="608"/>
      <c r="P18" s="609"/>
    </row>
    <row r="19" spans="2:16" ht="17" x14ac:dyDescent="0.2">
      <c r="B19" s="190" t="s">
        <v>2496</v>
      </c>
      <c r="C19" s="190" t="s">
        <v>751</v>
      </c>
      <c r="E19" s="331" t="s">
        <v>2495</v>
      </c>
      <c r="L19" s="602"/>
      <c r="M19" s="607"/>
      <c r="N19" s="608"/>
      <c r="O19" s="608"/>
      <c r="P19" s="609"/>
    </row>
    <row r="20" spans="2:16" ht="17" x14ac:dyDescent="0.2">
      <c r="B20" s="190" t="s">
        <v>2496</v>
      </c>
      <c r="C20" s="190" t="s">
        <v>2489</v>
      </c>
      <c r="L20" s="602"/>
      <c r="M20" s="607"/>
      <c r="N20" s="608"/>
      <c r="O20" s="608"/>
      <c r="P20" s="609"/>
    </row>
    <row r="21" spans="2:16" ht="17" x14ac:dyDescent="0.2">
      <c r="B21" s="190" t="s">
        <v>2500</v>
      </c>
      <c r="C21" s="190" t="s">
        <v>2480</v>
      </c>
      <c r="E21" s="395" t="s">
        <v>1306</v>
      </c>
      <c r="L21" s="602"/>
      <c r="M21" s="607"/>
      <c r="N21" s="608"/>
      <c r="O21" s="608"/>
      <c r="P21" s="609"/>
    </row>
    <row r="22" spans="2:16" ht="17" x14ac:dyDescent="0.2">
      <c r="B22" s="190" t="s">
        <v>2500</v>
      </c>
      <c r="C22" s="190" t="s">
        <v>581</v>
      </c>
      <c r="E22" s="331" t="s">
        <v>2498</v>
      </c>
      <c r="L22" s="602"/>
      <c r="M22" s="607"/>
      <c r="N22" s="608"/>
      <c r="O22" s="608"/>
      <c r="P22" s="609"/>
    </row>
    <row r="23" spans="2:16" ht="17" x14ac:dyDescent="0.2">
      <c r="B23" s="190" t="s">
        <v>2500</v>
      </c>
      <c r="C23" s="190" t="s">
        <v>93</v>
      </c>
      <c r="E23" s="331" t="s">
        <v>2494</v>
      </c>
      <c r="L23" s="602"/>
      <c r="M23" s="607"/>
      <c r="N23" s="608"/>
      <c r="O23" s="608"/>
      <c r="P23" s="609"/>
    </row>
    <row r="24" spans="2:16" ht="17" x14ac:dyDescent="0.2">
      <c r="B24" s="190" t="s">
        <v>2500</v>
      </c>
      <c r="C24" s="190" t="s">
        <v>751</v>
      </c>
      <c r="E24" s="331" t="s">
        <v>732</v>
      </c>
      <c r="L24" s="602"/>
      <c r="M24" s="607"/>
      <c r="N24" s="608"/>
      <c r="O24" s="608"/>
      <c r="P24" s="609"/>
    </row>
    <row r="25" spans="2:16" ht="20" customHeight="1" x14ac:dyDescent="0.2">
      <c r="B25" s="190" t="s">
        <v>2500</v>
      </c>
      <c r="C25" s="190" t="s">
        <v>2489</v>
      </c>
      <c r="F25" s="616"/>
      <c r="G25" s="616"/>
      <c r="L25" s="602"/>
      <c r="M25" s="607"/>
      <c r="N25" s="608"/>
      <c r="O25" s="608"/>
      <c r="P25" s="609"/>
    </row>
    <row r="26" spans="2:16" ht="17" x14ac:dyDescent="0.2">
      <c r="B26" s="190" t="s">
        <v>2500</v>
      </c>
      <c r="C26" s="190" t="s">
        <v>2501</v>
      </c>
      <c r="D26" s="3"/>
      <c r="E26" s="395" t="s">
        <v>2502</v>
      </c>
      <c r="F26" s="613" t="s">
        <v>2503</v>
      </c>
      <c r="G26" s="613"/>
      <c r="L26" s="602"/>
      <c r="M26" s="607"/>
      <c r="N26" s="608"/>
      <c r="O26" s="608"/>
      <c r="P26" s="609"/>
    </row>
    <row r="27" spans="2:16" x14ac:dyDescent="0.2">
      <c r="B27" s="191"/>
      <c r="C27" s="191"/>
      <c r="D27" s="3"/>
      <c r="E27" s="337" t="s">
        <v>2479</v>
      </c>
      <c r="F27" s="614" t="s">
        <v>2504</v>
      </c>
      <c r="G27" s="615"/>
      <c r="L27" s="602"/>
      <c r="M27" s="607"/>
      <c r="N27" s="608"/>
      <c r="O27" s="608"/>
      <c r="P27" s="609"/>
    </row>
    <row r="28" spans="2:16" ht="18" x14ac:dyDescent="0.2">
      <c r="B28" s="579" t="s">
        <v>2505</v>
      </c>
      <c r="C28" s="580"/>
      <c r="D28" s="3"/>
      <c r="E28" s="337" t="s">
        <v>581</v>
      </c>
      <c r="F28" s="614" t="s">
        <v>2506</v>
      </c>
      <c r="G28" s="615"/>
      <c r="L28" s="602"/>
      <c r="M28" s="607"/>
      <c r="N28" s="608"/>
      <c r="O28" s="608"/>
      <c r="P28" s="609"/>
    </row>
    <row r="29" spans="2:16" ht="17" x14ac:dyDescent="0.2">
      <c r="B29" s="395" t="s">
        <v>1664</v>
      </c>
      <c r="C29" s="166" t="s">
        <v>1268</v>
      </c>
      <c r="D29" s="3"/>
      <c r="E29" s="337" t="s">
        <v>93</v>
      </c>
      <c r="F29" s="614" t="s">
        <v>2507</v>
      </c>
      <c r="G29" s="615"/>
      <c r="L29" s="602"/>
      <c r="M29" s="607"/>
      <c r="N29" s="608"/>
      <c r="O29" s="608"/>
      <c r="P29" s="609"/>
    </row>
    <row r="30" spans="2:16" ht="17" x14ac:dyDescent="0.2">
      <c r="B30" s="331" t="s">
        <v>2508</v>
      </c>
      <c r="C30" s="337">
        <v>4</v>
      </c>
      <c r="D30" s="3"/>
      <c r="E30" s="337" t="s">
        <v>751</v>
      </c>
      <c r="F30" s="614" t="s">
        <v>2509</v>
      </c>
      <c r="G30" s="615"/>
      <c r="L30" s="602"/>
      <c r="M30" s="607"/>
      <c r="N30" s="608"/>
      <c r="O30" s="608"/>
      <c r="P30" s="609"/>
    </row>
    <row r="31" spans="2:16" ht="17" x14ac:dyDescent="0.2">
      <c r="B31" s="331" t="s">
        <v>2510</v>
      </c>
      <c r="C31" s="337">
        <v>16</v>
      </c>
      <c r="D31" s="3"/>
      <c r="E31" s="337" t="s">
        <v>2489</v>
      </c>
      <c r="F31" s="614" t="s">
        <v>2511</v>
      </c>
      <c r="G31" s="615"/>
      <c r="L31" s="602"/>
      <c r="M31" s="607"/>
      <c r="N31" s="608"/>
      <c r="O31" s="608"/>
      <c r="P31" s="609"/>
    </row>
    <row r="32" spans="2:16" ht="17" x14ac:dyDescent="0.2">
      <c r="B32" s="331" t="s">
        <v>2512</v>
      </c>
      <c r="C32" s="337">
        <v>914</v>
      </c>
      <c r="D32" s="3"/>
      <c r="E32" s="2"/>
      <c r="L32" s="602"/>
      <c r="M32" s="607"/>
      <c r="N32" s="608"/>
      <c r="O32" s="608"/>
      <c r="P32" s="609"/>
    </row>
    <row r="33" spans="2:16" ht="17" x14ac:dyDescent="0.2">
      <c r="B33" s="166" t="s">
        <v>2513</v>
      </c>
      <c r="C33" s="166" t="s">
        <v>1268</v>
      </c>
      <c r="D33" s="3"/>
      <c r="E33" s="395" t="s">
        <v>2514</v>
      </c>
      <c r="F33" s="617" t="s">
        <v>2503</v>
      </c>
      <c r="G33" s="617"/>
      <c r="L33" s="602"/>
      <c r="M33" s="607"/>
      <c r="N33" s="608"/>
      <c r="O33" s="608"/>
      <c r="P33" s="609"/>
    </row>
    <row r="34" spans="2:16" ht="17" x14ac:dyDescent="0.2">
      <c r="B34" s="331" t="s">
        <v>2479</v>
      </c>
      <c r="C34" s="331">
        <v>2</v>
      </c>
      <c r="D34" s="3"/>
      <c r="E34" s="337" t="s">
        <v>2497</v>
      </c>
      <c r="F34" s="337" t="s">
        <v>2515</v>
      </c>
      <c r="G34" s="337"/>
      <c r="L34" s="602"/>
      <c r="M34" s="607"/>
      <c r="N34" s="608"/>
      <c r="O34" s="608"/>
      <c r="P34" s="609"/>
    </row>
    <row r="35" spans="2:16" ht="17" x14ac:dyDescent="0.2">
      <c r="B35" s="331" t="s">
        <v>581</v>
      </c>
      <c r="C35" s="331">
        <v>4</v>
      </c>
      <c r="D35" s="3"/>
      <c r="E35" s="337" t="s">
        <v>581</v>
      </c>
      <c r="F35" s="428" t="s">
        <v>2516</v>
      </c>
      <c r="G35" s="430"/>
      <c r="L35" s="602"/>
      <c r="M35" s="607"/>
      <c r="N35" s="608"/>
      <c r="O35" s="608"/>
      <c r="P35" s="609"/>
    </row>
    <row r="36" spans="2:16" ht="17" x14ac:dyDescent="0.2">
      <c r="B36" s="331" t="s">
        <v>93</v>
      </c>
      <c r="C36" s="331">
        <v>8</v>
      </c>
      <c r="D36" s="3"/>
      <c r="E36" s="337" t="s">
        <v>93</v>
      </c>
      <c r="F36" s="337" t="s">
        <v>2517</v>
      </c>
      <c r="G36" s="337"/>
      <c r="L36" s="602"/>
      <c r="M36" s="607"/>
      <c r="N36" s="608"/>
      <c r="O36" s="608"/>
      <c r="P36" s="609"/>
    </row>
    <row r="37" spans="2:16" ht="17" x14ac:dyDescent="0.2">
      <c r="B37" s="331" t="s">
        <v>751</v>
      </c>
      <c r="C37" s="331">
        <v>16</v>
      </c>
      <c r="D37" s="3"/>
      <c r="E37" s="337" t="s">
        <v>751</v>
      </c>
      <c r="F37" s="337" t="s">
        <v>2518</v>
      </c>
      <c r="G37" s="337"/>
      <c r="L37" s="602"/>
      <c r="M37" s="607"/>
      <c r="N37" s="608"/>
      <c r="O37" s="608"/>
      <c r="P37" s="609"/>
    </row>
    <row r="38" spans="2:16" ht="17" x14ac:dyDescent="0.2">
      <c r="B38" s="331" t="s">
        <v>2489</v>
      </c>
      <c r="C38" s="331">
        <v>24</v>
      </c>
      <c r="D38" s="3"/>
      <c r="E38" s="337" t="s">
        <v>2489</v>
      </c>
      <c r="F38" s="337" t="s">
        <v>2519</v>
      </c>
      <c r="G38" s="337"/>
      <c r="L38" s="602"/>
      <c r="M38" s="607"/>
      <c r="N38" s="608"/>
      <c r="O38" s="608"/>
      <c r="P38" s="609"/>
    </row>
    <row r="39" spans="2:16" ht="17" x14ac:dyDescent="0.2">
      <c r="B39" s="166" t="s">
        <v>2520</v>
      </c>
      <c r="C39" s="166" t="s">
        <v>1268</v>
      </c>
      <c r="L39" s="602"/>
      <c r="M39" s="607"/>
      <c r="N39" s="608"/>
      <c r="O39" s="608"/>
      <c r="P39" s="609"/>
    </row>
    <row r="40" spans="2:16" ht="17" x14ac:dyDescent="0.2">
      <c r="B40" s="331" t="s">
        <v>2479</v>
      </c>
      <c r="C40" s="331">
        <v>14</v>
      </c>
      <c r="L40" s="602"/>
      <c r="M40" s="607"/>
      <c r="N40" s="608"/>
      <c r="O40" s="608"/>
      <c r="P40" s="609"/>
    </row>
    <row r="41" spans="2:16" ht="17" x14ac:dyDescent="0.2">
      <c r="B41" s="331" t="s">
        <v>581</v>
      </c>
      <c r="C41" s="331">
        <v>21</v>
      </c>
      <c r="L41" s="602"/>
      <c r="M41" s="607"/>
      <c r="N41" s="608"/>
      <c r="O41" s="608"/>
      <c r="P41" s="609"/>
    </row>
    <row r="42" spans="2:16" ht="17" x14ac:dyDescent="0.2">
      <c r="B42" s="331" t="s">
        <v>93</v>
      </c>
      <c r="C42" s="331">
        <v>30</v>
      </c>
      <c r="L42" s="602"/>
      <c r="M42" s="607"/>
      <c r="N42" s="608"/>
      <c r="O42" s="608"/>
      <c r="P42" s="609"/>
    </row>
    <row r="43" spans="2:16" ht="17" x14ac:dyDescent="0.2">
      <c r="B43" s="331" t="s">
        <v>751</v>
      </c>
      <c r="C43" s="331">
        <v>39</v>
      </c>
      <c r="E43" s="395" t="s">
        <v>2521</v>
      </c>
      <c r="F43" s="395" t="s">
        <v>2522</v>
      </c>
      <c r="G43" s="395" t="s">
        <v>2523</v>
      </c>
      <c r="L43" s="602"/>
      <c r="M43" s="607"/>
      <c r="N43" s="608"/>
      <c r="O43" s="608"/>
      <c r="P43" s="609"/>
    </row>
    <row r="44" spans="2:16" ht="17" x14ac:dyDescent="0.2">
      <c r="B44" s="331" t="s">
        <v>2489</v>
      </c>
      <c r="C44" s="331">
        <v>58</v>
      </c>
      <c r="E44" s="337" t="s">
        <v>2524</v>
      </c>
      <c r="F44" s="337" t="s">
        <v>852</v>
      </c>
      <c r="G44" s="337" t="s">
        <v>852</v>
      </c>
      <c r="L44" s="602"/>
      <c r="M44" s="607"/>
      <c r="N44" s="608"/>
      <c r="O44" s="608"/>
      <c r="P44" s="609"/>
    </row>
    <row r="45" spans="2:16" ht="17" x14ac:dyDescent="0.2">
      <c r="B45" s="166" t="s">
        <v>2525</v>
      </c>
      <c r="C45" s="166" t="s">
        <v>1268</v>
      </c>
      <c r="E45" s="337" t="s">
        <v>2526</v>
      </c>
      <c r="F45" s="337" t="s">
        <v>2527</v>
      </c>
      <c r="G45" s="337" t="s">
        <v>2527</v>
      </c>
      <c r="L45" s="602"/>
      <c r="M45" s="607"/>
      <c r="N45" s="608"/>
      <c r="O45" s="608"/>
      <c r="P45" s="609"/>
    </row>
    <row r="46" spans="2:16" ht="17" x14ac:dyDescent="0.2">
      <c r="B46" s="331" t="s">
        <v>2528</v>
      </c>
      <c r="C46" s="331">
        <v>579</v>
      </c>
      <c r="E46" s="337"/>
      <c r="F46" s="337" t="s">
        <v>2529</v>
      </c>
      <c r="G46" s="337" t="s">
        <v>2530</v>
      </c>
      <c r="L46" s="602"/>
      <c r="M46" s="607"/>
      <c r="N46" s="608"/>
      <c r="O46" s="608"/>
      <c r="P46" s="609"/>
    </row>
    <row r="47" spans="2:16" ht="17" x14ac:dyDescent="0.2">
      <c r="B47" s="331" t="s">
        <v>2531</v>
      </c>
      <c r="C47" s="331">
        <v>2019</v>
      </c>
      <c r="E47" s="337"/>
      <c r="F47" s="337" t="s">
        <v>2532</v>
      </c>
      <c r="G47" s="337"/>
      <c r="L47" s="602"/>
      <c r="M47" s="607"/>
      <c r="N47" s="608"/>
      <c r="O47" s="608"/>
      <c r="P47" s="609"/>
    </row>
    <row r="48" spans="2:16" ht="17" x14ac:dyDescent="0.2">
      <c r="B48" s="331" t="s">
        <v>2533</v>
      </c>
      <c r="C48" s="331">
        <v>4279</v>
      </c>
      <c r="E48" s="337"/>
      <c r="F48" s="337" t="s">
        <v>2530</v>
      </c>
      <c r="G48" s="337"/>
      <c r="L48" s="602"/>
      <c r="M48" s="607"/>
      <c r="N48" s="608"/>
      <c r="O48" s="608"/>
      <c r="P48" s="609"/>
    </row>
    <row r="49" spans="2:16" ht="17" x14ac:dyDescent="0.2">
      <c r="B49" s="331" t="s">
        <v>2534</v>
      </c>
      <c r="C49" s="331">
        <v>694</v>
      </c>
      <c r="L49" s="602"/>
      <c r="M49" s="607"/>
      <c r="N49" s="608"/>
      <c r="O49" s="608"/>
      <c r="P49" s="609"/>
    </row>
    <row r="50" spans="2:16" ht="17" x14ac:dyDescent="0.2">
      <c r="B50" s="331" t="s">
        <v>2535</v>
      </c>
      <c r="C50" s="331">
        <v>2044</v>
      </c>
      <c r="L50" s="602"/>
      <c r="M50" s="607"/>
      <c r="N50" s="608"/>
      <c r="O50" s="608"/>
      <c r="P50" s="609"/>
    </row>
    <row r="51" spans="2:16" ht="17" x14ac:dyDescent="0.2">
      <c r="B51" s="331" t="s">
        <v>2536</v>
      </c>
      <c r="C51" s="331">
        <v>4304</v>
      </c>
      <c r="L51" s="602"/>
      <c r="M51" s="607"/>
      <c r="N51" s="608"/>
      <c r="O51" s="608"/>
      <c r="P51" s="609"/>
    </row>
    <row r="52" spans="2:16" ht="17" x14ac:dyDescent="0.2">
      <c r="B52" s="331" t="s">
        <v>2537</v>
      </c>
      <c r="C52" s="331">
        <v>908</v>
      </c>
      <c r="E52" s="331"/>
      <c r="F52" s="331"/>
      <c r="L52" s="602"/>
      <c r="M52" s="607"/>
      <c r="N52" s="608"/>
      <c r="O52" s="608"/>
      <c r="P52" s="609"/>
    </row>
    <row r="53" spans="2:16" ht="17" x14ac:dyDescent="0.2">
      <c r="B53" s="331" t="s">
        <v>2538</v>
      </c>
      <c r="C53" s="331">
        <v>2208</v>
      </c>
      <c r="E53" s="331"/>
      <c r="F53" s="331"/>
      <c r="G53" s="2" t="s">
        <v>2539</v>
      </c>
      <c r="L53" s="602"/>
      <c r="M53" s="607"/>
      <c r="N53" s="608"/>
      <c r="O53" s="608"/>
      <c r="P53" s="609"/>
    </row>
    <row r="54" spans="2:16" ht="17" x14ac:dyDescent="0.2">
      <c r="B54" s="331" t="s">
        <v>2540</v>
      </c>
      <c r="C54" s="331">
        <v>4468</v>
      </c>
      <c r="E54" s="331" t="s">
        <v>2539</v>
      </c>
      <c r="L54" s="602"/>
      <c r="M54" s="607"/>
      <c r="N54" s="608"/>
      <c r="O54" s="608"/>
      <c r="P54" s="609"/>
    </row>
    <row r="55" spans="2:16" ht="17" x14ac:dyDescent="0.2">
      <c r="B55" s="331" t="s">
        <v>2541</v>
      </c>
      <c r="C55" s="331">
        <v>1358</v>
      </c>
      <c r="L55" s="602"/>
      <c r="M55" s="607"/>
      <c r="N55" s="608"/>
      <c r="O55" s="608"/>
      <c r="P55" s="609"/>
    </row>
    <row r="56" spans="2:16" ht="17" x14ac:dyDescent="0.2">
      <c r="B56" s="331" t="s">
        <v>2542</v>
      </c>
      <c r="C56" s="331">
        <v>2258</v>
      </c>
      <c r="L56" s="602"/>
      <c r="M56" s="607"/>
      <c r="N56" s="608"/>
      <c r="O56" s="608"/>
      <c r="P56" s="609"/>
    </row>
    <row r="57" spans="2:16" ht="17" x14ac:dyDescent="0.2">
      <c r="B57" s="331" t="s">
        <v>2543</v>
      </c>
      <c r="C57" s="331">
        <v>4518</v>
      </c>
      <c r="L57" s="602"/>
      <c r="M57" s="607"/>
      <c r="N57" s="608"/>
      <c r="O57" s="608"/>
      <c r="P57" s="609"/>
    </row>
    <row r="58" spans="2:16" ht="17" x14ac:dyDescent="0.2">
      <c r="B58" s="331" t="s">
        <v>2544</v>
      </c>
      <c r="C58" s="331">
        <v>2283</v>
      </c>
      <c r="L58" s="602"/>
      <c r="M58" s="607"/>
      <c r="N58" s="608"/>
      <c r="O58" s="608"/>
      <c r="P58" s="609"/>
    </row>
    <row r="59" spans="2:16" ht="17" x14ac:dyDescent="0.2">
      <c r="B59" s="331" t="s">
        <v>2545</v>
      </c>
      <c r="C59" s="331">
        <v>2383</v>
      </c>
      <c r="L59" s="602"/>
      <c r="M59" s="607"/>
      <c r="N59" s="608"/>
      <c r="O59" s="608"/>
      <c r="P59" s="609"/>
    </row>
    <row r="60" spans="2:16" ht="17" x14ac:dyDescent="0.2">
      <c r="B60" s="331" t="s">
        <v>2546</v>
      </c>
      <c r="C60" s="331">
        <v>4643</v>
      </c>
      <c r="L60" s="602"/>
      <c r="M60" s="607"/>
      <c r="N60" s="608"/>
      <c r="O60" s="608"/>
      <c r="P60" s="609"/>
    </row>
    <row r="61" spans="2:16" ht="17" x14ac:dyDescent="0.2">
      <c r="B61" s="166" t="s">
        <v>2547</v>
      </c>
      <c r="C61" s="166" t="s">
        <v>1268</v>
      </c>
      <c r="L61" s="602"/>
      <c r="M61" s="607"/>
      <c r="N61" s="608"/>
      <c r="O61" s="608"/>
      <c r="P61" s="609"/>
    </row>
    <row r="62" spans="2:16" ht="17" x14ac:dyDescent="0.2">
      <c r="B62" s="331" t="s">
        <v>2497</v>
      </c>
      <c r="C62" s="331">
        <v>2</v>
      </c>
      <c r="L62" s="602"/>
      <c r="M62" s="607"/>
      <c r="N62" s="608"/>
      <c r="O62" s="608"/>
      <c r="P62" s="609"/>
    </row>
    <row r="63" spans="2:16" ht="17" x14ac:dyDescent="0.2">
      <c r="B63" s="331" t="s">
        <v>581</v>
      </c>
      <c r="C63" s="331">
        <v>4</v>
      </c>
      <c r="L63" s="602"/>
      <c r="M63" s="607"/>
      <c r="N63" s="608"/>
      <c r="O63" s="608"/>
      <c r="P63" s="609"/>
    </row>
    <row r="64" spans="2:16" ht="17" x14ac:dyDescent="0.2">
      <c r="B64" s="331" t="s">
        <v>93</v>
      </c>
      <c r="C64" s="331">
        <v>6</v>
      </c>
      <c r="L64" s="602"/>
      <c r="M64" s="607"/>
      <c r="N64" s="608"/>
      <c r="O64" s="608"/>
      <c r="P64" s="609"/>
    </row>
    <row r="65" spans="2:16" ht="17" x14ac:dyDescent="0.2">
      <c r="B65" s="331" t="s">
        <v>751</v>
      </c>
      <c r="C65" s="331">
        <v>12</v>
      </c>
      <c r="L65" s="602"/>
      <c r="M65" s="607"/>
      <c r="N65" s="608"/>
      <c r="O65" s="608"/>
      <c r="P65" s="609"/>
    </row>
    <row r="66" spans="2:16" ht="17" x14ac:dyDescent="0.2">
      <c r="B66" s="331" t="s">
        <v>2489</v>
      </c>
      <c r="C66" s="331">
        <v>24</v>
      </c>
      <c r="L66" s="602"/>
      <c r="M66" s="607"/>
      <c r="N66" s="608"/>
      <c r="O66" s="608"/>
      <c r="P66" s="609"/>
    </row>
    <row r="67" spans="2:16" ht="17" x14ac:dyDescent="0.2">
      <c r="B67" s="166" t="s">
        <v>2548</v>
      </c>
      <c r="C67" s="166" t="s">
        <v>1268</v>
      </c>
      <c r="L67" s="602"/>
      <c r="M67" s="607"/>
      <c r="N67" s="608"/>
      <c r="O67" s="608"/>
      <c r="P67" s="609"/>
    </row>
    <row r="68" spans="2:16" ht="17" x14ac:dyDescent="0.2">
      <c r="B68" s="331" t="s">
        <v>2497</v>
      </c>
      <c r="C68" s="331">
        <v>8</v>
      </c>
      <c r="L68" s="603"/>
      <c r="M68" s="610"/>
      <c r="N68" s="611"/>
      <c r="O68" s="611"/>
      <c r="P68" s="612"/>
    </row>
    <row r="69" spans="2:16" ht="17" x14ac:dyDescent="0.2">
      <c r="B69" s="331" t="s">
        <v>581</v>
      </c>
      <c r="C69" s="331">
        <v>16</v>
      </c>
    </row>
    <row r="70" spans="2:16" ht="17" x14ac:dyDescent="0.2">
      <c r="B70" s="331" t="s">
        <v>93</v>
      </c>
      <c r="C70" s="331">
        <v>24</v>
      </c>
    </row>
    <row r="71" spans="2:16" ht="17" x14ac:dyDescent="0.2">
      <c r="B71" s="331" t="s">
        <v>751</v>
      </c>
      <c r="C71" s="331">
        <v>48</v>
      </c>
      <c r="D71" s="3"/>
    </row>
    <row r="72" spans="2:16" ht="17" x14ac:dyDescent="0.2">
      <c r="B72" s="331" t="s">
        <v>2489</v>
      </c>
      <c r="C72" s="331">
        <v>96</v>
      </c>
      <c r="D72" s="2"/>
    </row>
    <row r="73" spans="2:16" ht="17" x14ac:dyDescent="0.2">
      <c r="B73" s="166" t="s">
        <v>2549</v>
      </c>
      <c r="C73" s="166" t="s">
        <v>1268</v>
      </c>
      <c r="D73" s="2"/>
    </row>
    <row r="74" spans="2:16" ht="17" x14ac:dyDescent="0.2">
      <c r="B74" s="331" t="s">
        <v>2497</v>
      </c>
      <c r="C74" s="331">
        <v>300</v>
      </c>
    </row>
    <row r="75" spans="2:16" ht="17" x14ac:dyDescent="0.2">
      <c r="B75" s="331" t="s">
        <v>581</v>
      </c>
      <c r="C75" s="331">
        <v>300</v>
      </c>
    </row>
    <row r="76" spans="2:16" ht="17" x14ac:dyDescent="0.2">
      <c r="B76" s="331" t="s">
        <v>93</v>
      </c>
      <c r="C76" s="331">
        <v>300</v>
      </c>
    </row>
    <row r="77" spans="2:16" ht="17" x14ac:dyDescent="0.2">
      <c r="B77" s="331" t="s">
        <v>751</v>
      </c>
      <c r="C77" s="331">
        <v>300</v>
      </c>
    </row>
    <row r="78" spans="2:16" ht="17" x14ac:dyDescent="0.2">
      <c r="B78" s="331" t="s">
        <v>2489</v>
      </c>
      <c r="C78" s="331">
        <v>400</v>
      </c>
    </row>
    <row r="79" spans="2:16" ht="17" x14ac:dyDescent="0.2">
      <c r="B79" s="166" t="s">
        <v>2550</v>
      </c>
      <c r="C79" s="166" t="s">
        <v>1268</v>
      </c>
    </row>
    <row r="80" spans="2:16" ht="17" x14ac:dyDescent="0.2">
      <c r="B80" s="331" t="s">
        <v>581</v>
      </c>
      <c r="C80" s="331">
        <v>2</v>
      </c>
    </row>
    <row r="81" spans="2:3" ht="17" x14ac:dyDescent="0.2">
      <c r="B81" s="331" t="s">
        <v>93</v>
      </c>
      <c r="C81" s="331">
        <v>4</v>
      </c>
    </row>
    <row r="82" spans="2:3" ht="17" x14ac:dyDescent="0.2">
      <c r="B82" s="331" t="s">
        <v>751</v>
      </c>
      <c r="C82" s="331">
        <v>8</v>
      </c>
    </row>
    <row r="83" spans="2:3" ht="17" x14ac:dyDescent="0.2">
      <c r="B83" s="331" t="s">
        <v>2489</v>
      </c>
      <c r="C83" s="331">
        <v>16</v>
      </c>
    </row>
    <row r="84" spans="2:3" ht="17" x14ac:dyDescent="0.2">
      <c r="B84" s="331" t="s">
        <v>2501</v>
      </c>
      <c r="C84" s="331"/>
    </row>
    <row r="85" spans="2:3" ht="17" x14ac:dyDescent="0.2">
      <c r="B85" s="166" t="s">
        <v>2551</v>
      </c>
      <c r="C85" s="166" t="s">
        <v>1268</v>
      </c>
    </row>
    <row r="86" spans="2:3" ht="17" x14ac:dyDescent="0.2">
      <c r="B86" s="331" t="s">
        <v>581</v>
      </c>
      <c r="C86" s="331">
        <v>4</v>
      </c>
    </row>
    <row r="87" spans="2:3" ht="17" x14ac:dyDescent="0.2">
      <c r="B87" s="331" t="s">
        <v>93</v>
      </c>
      <c r="C87" s="331">
        <v>8</v>
      </c>
    </row>
    <row r="88" spans="2:3" ht="17" x14ac:dyDescent="0.2">
      <c r="B88" s="331" t="s">
        <v>751</v>
      </c>
      <c r="C88" s="331">
        <v>32</v>
      </c>
    </row>
    <row r="89" spans="2:3" ht="17" x14ac:dyDescent="0.2">
      <c r="B89" s="331" t="s">
        <v>2489</v>
      </c>
      <c r="C89" s="331">
        <v>64</v>
      </c>
    </row>
    <row r="90" spans="2:3" ht="17" x14ac:dyDescent="0.2">
      <c r="B90" s="331" t="s">
        <v>2501</v>
      </c>
      <c r="C90" s="331"/>
    </row>
    <row r="91" spans="2:3" ht="17" x14ac:dyDescent="0.2">
      <c r="B91" s="166" t="s">
        <v>2552</v>
      </c>
      <c r="C91" s="166" t="s">
        <v>1268</v>
      </c>
    </row>
    <row r="92" spans="2:3" ht="17" x14ac:dyDescent="0.2">
      <c r="B92" s="331" t="s">
        <v>581</v>
      </c>
      <c r="C92" s="331">
        <v>200</v>
      </c>
    </row>
    <row r="93" spans="2:3" ht="17" x14ac:dyDescent="0.2">
      <c r="B93" s="331" t="s">
        <v>93</v>
      </c>
      <c r="C93" s="331">
        <v>200</v>
      </c>
    </row>
    <row r="94" spans="2:3" ht="17" x14ac:dyDescent="0.2">
      <c r="B94" s="331" t="s">
        <v>751</v>
      </c>
      <c r="C94" s="331">
        <v>200</v>
      </c>
    </row>
    <row r="95" spans="2:3" ht="17" x14ac:dyDescent="0.2">
      <c r="B95" s="331" t="s">
        <v>2489</v>
      </c>
      <c r="C95" s="331">
        <v>200</v>
      </c>
    </row>
    <row r="96" spans="2:3" ht="17" x14ac:dyDescent="0.2">
      <c r="B96" s="331" t="s">
        <v>2501</v>
      </c>
      <c r="C96" s="331"/>
    </row>
    <row r="97" spans="2:3" ht="17" x14ac:dyDescent="0.2">
      <c r="B97" s="166" t="s">
        <v>2553</v>
      </c>
      <c r="C97" s="166" t="s">
        <v>1268</v>
      </c>
    </row>
    <row r="98" spans="2:3" ht="17" x14ac:dyDescent="0.2">
      <c r="B98" s="331" t="s">
        <v>2508</v>
      </c>
      <c r="C98" s="337">
        <v>4</v>
      </c>
    </row>
    <row r="99" spans="2:3" ht="17" x14ac:dyDescent="0.2">
      <c r="B99" s="331" t="s">
        <v>2510</v>
      </c>
      <c r="C99" s="337">
        <v>12</v>
      </c>
    </row>
    <row r="100" spans="2:3" ht="17" x14ac:dyDescent="0.2">
      <c r="B100" s="331" t="s">
        <v>2512</v>
      </c>
      <c r="C100" s="337">
        <v>194</v>
      </c>
    </row>
    <row r="101" spans="2:3" ht="17" x14ac:dyDescent="0.2">
      <c r="B101" s="395" t="s">
        <v>2554</v>
      </c>
      <c r="C101" s="166" t="s">
        <v>1268</v>
      </c>
    </row>
    <row r="102" spans="2:3" ht="17" x14ac:dyDescent="0.2">
      <c r="B102" s="331" t="s">
        <v>2508</v>
      </c>
      <c r="C102" s="337">
        <v>1</v>
      </c>
    </row>
    <row r="103" spans="2:3" ht="17" x14ac:dyDescent="0.2">
      <c r="B103" s="331" t="s">
        <v>2510</v>
      </c>
      <c r="C103" s="337">
        <v>0.125</v>
      </c>
    </row>
    <row r="104" spans="2:3" ht="17" x14ac:dyDescent="0.2">
      <c r="B104" s="331" t="s">
        <v>2512</v>
      </c>
      <c r="C104" s="337">
        <v>2</v>
      </c>
    </row>
    <row r="105" spans="2:3" ht="17" x14ac:dyDescent="0.2">
      <c r="B105" s="395" t="s">
        <v>2555</v>
      </c>
      <c r="C105" s="166" t="s">
        <v>1268</v>
      </c>
    </row>
    <row r="106" spans="2:3" x14ac:dyDescent="0.2">
      <c r="B106" s="337" t="s">
        <v>2556</v>
      </c>
      <c r="C106" s="337">
        <v>4</v>
      </c>
    </row>
    <row r="107" spans="2:3" x14ac:dyDescent="0.2">
      <c r="B107" s="337" t="s">
        <v>581</v>
      </c>
      <c r="C107" s="337">
        <v>8</v>
      </c>
    </row>
    <row r="108" spans="2:3" x14ac:dyDescent="0.2">
      <c r="B108" s="337" t="s">
        <v>93</v>
      </c>
      <c r="C108" s="337">
        <v>8</v>
      </c>
    </row>
    <row r="109" spans="2:3" x14ac:dyDescent="0.2">
      <c r="B109" s="337" t="s">
        <v>751</v>
      </c>
      <c r="C109" s="337">
        <v>10</v>
      </c>
    </row>
    <row r="110" spans="2:3" x14ac:dyDescent="0.2">
      <c r="B110" s="337" t="s">
        <v>2557</v>
      </c>
      <c r="C110" s="337">
        <v>12</v>
      </c>
    </row>
    <row r="111" spans="2:3" x14ac:dyDescent="0.2">
      <c r="B111" s="337" t="s">
        <v>2558</v>
      </c>
      <c r="C111" s="337">
        <v>14</v>
      </c>
    </row>
    <row r="112" spans="2:3" ht="17" x14ac:dyDescent="0.2">
      <c r="B112" s="395" t="s">
        <v>2559</v>
      </c>
      <c r="C112" s="166" t="s">
        <v>1268</v>
      </c>
    </row>
    <row r="113" spans="2:3" x14ac:dyDescent="0.2">
      <c r="B113" s="337" t="s">
        <v>2556</v>
      </c>
      <c r="C113" s="337">
        <v>8</v>
      </c>
    </row>
    <row r="114" spans="2:3" x14ac:dyDescent="0.2">
      <c r="B114" s="337" t="s">
        <v>581</v>
      </c>
      <c r="C114" s="337">
        <v>16</v>
      </c>
    </row>
    <row r="115" spans="2:3" x14ac:dyDescent="0.2">
      <c r="B115" s="337" t="s">
        <v>93</v>
      </c>
      <c r="C115" s="337">
        <v>16</v>
      </c>
    </row>
    <row r="116" spans="2:3" x14ac:dyDescent="0.2">
      <c r="B116" s="337" t="s">
        <v>751</v>
      </c>
      <c r="C116" s="337">
        <v>16</v>
      </c>
    </row>
    <row r="117" spans="2:3" x14ac:dyDescent="0.2">
      <c r="B117" s="337" t="s">
        <v>2557</v>
      </c>
      <c r="C117" s="337">
        <v>32</v>
      </c>
    </row>
    <row r="118" spans="2:3" x14ac:dyDescent="0.2">
      <c r="B118" s="337" t="s">
        <v>2558</v>
      </c>
      <c r="C118" s="337">
        <v>48</v>
      </c>
    </row>
    <row r="119" spans="2:3" ht="17" x14ac:dyDescent="0.2">
      <c r="B119" s="395" t="s">
        <v>2560</v>
      </c>
      <c r="C119" s="166" t="s">
        <v>1268</v>
      </c>
    </row>
    <row r="120" spans="2:3" x14ac:dyDescent="0.2">
      <c r="B120" s="337" t="s">
        <v>2556</v>
      </c>
      <c r="C120" s="337">
        <v>100</v>
      </c>
    </row>
    <row r="121" spans="2:3" x14ac:dyDescent="0.2">
      <c r="B121" s="337" t="s">
        <v>581</v>
      </c>
      <c r="C121" s="337">
        <v>290</v>
      </c>
    </row>
    <row r="122" spans="2:3" x14ac:dyDescent="0.2">
      <c r="B122" s="337" t="s">
        <v>93</v>
      </c>
      <c r="C122" s="337">
        <v>220</v>
      </c>
    </row>
    <row r="123" spans="2:3" x14ac:dyDescent="0.2">
      <c r="B123" s="337" t="s">
        <v>751</v>
      </c>
      <c r="C123" s="337">
        <v>100</v>
      </c>
    </row>
    <row r="124" spans="2:3" x14ac:dyDescent="0.2">
      <c r="B124" s="337" t="s">
        <v>2557</v>
      </c>
      <c r="C124" s="337">
        <v>100</v>
      </c>
    </row>
    <row r="125" spans="2:3" x14ac:dyDescent="0.2">
      <c r="B125" s="337" t="s">
        <v>2558</v>
      </c>
      <c r="C125" s="337">
        <v>100</v>
      </c>
    </row>
    <row r="126" spans="2:3" ht="17" x14ac:dyDescent="0.2">
      <c r="B126" s="395" t="s">
        <v>2561</v>
      </c>
      <c r="C126" s="166" t="s">
        <v>1268</v>
      </c>
    </row>
    <row r="127" spans="2:3" x14ac:dyDescent="0.2">
      <c r="B127" s="337" t="s">
        <v>581</v>
      </c>
      <c r="C127" s="337">
        <v>24</v>
      </c>
    </row>
    <row r="128" spans="2:3" ht="17" customHeight="1" x14ac:dyDescent="0.2">
      <c r="B128" s="337" t="s">
        <v>93</v>
      </c>
      <c r="C128" s="337">
        <v>24</v>
      </c>
    </row>
    <row r="129" spans="2:3" ht="17" customHeight="1" x14ac:dyDescent="0.2">
      <c r="B129" s="337" t="s">
        <v>751</v>
      </c>
      <c r="C129" s="337">
        <v>32</v>
      </c>
    </row>
    <row r="130" spans="2:3" ht="17" x14ac:dyDescent="0.2">
      <c r="B130" s="395" t="s">
        <v>2562</v>
      </c>
      <c r="C130" s="166" t="s">
        <v>1268</v>
      </c>
    </row>
    <row r="131" spans="2:3" x14ac:dyDescent="0.2">
      <c r="B131" s="337" t="s">
        <v>581</v>
      </c>
      <c r="C131" s="337">
        <v>96</v>
      </c>
    </row>
    <row r="132" spans="2:3" x14ac:dyDescent="0.2">
      <c r="B132" s="337" t="s">
        <v>93</v>
      </c>
      <c r="C132" s="337">
        <v>96</v>
      </c>
    </row>
    <row r="133" spans="2:3" x14ac:dyDescent="0.2">
      <c r="B133" s="337" t="s">
        <v>751</v>
      </c>
      <c r="C133" s="337">
        <v>128</v>
      </c>
    </row>
    <row r="134" spans="2:3" ht="17" x14ac:dyDescent="0.2">
      <c r="B134" s="395" t="s">
        <v>2563</v>
      </c>
      <c r="C134" s="166" t="s">
        <v>1268</v>
      </c>
    </row>
    <row r="135" spans="2:3" x14ac:dyDescent="0.2">
      <c r="B135" s="337" t="s">
        <v>581</v>
      </c>
      <c r="C135" s="337">
        <v>455</v>
      </c>
    </row>
    <row r="136" spans="2:3" x14ac:dyDescent="0.2">
      <c r="B136" s="337" t="s">
        <v>93</v>
      </c>
      <c r="C136" s="337">
        <v>334</v>
      </c>
    </row>
    <row r="137" spans="2:3" x14ac:dyDescent="0.2">
      <c r="B137" s="337" t="s">
        <v>751</v>
      </c>
      <c r="C137" s="337">
        <v>430</v>
      </c>
    </row>
    <row r="138" spans="2:3" ht="17" x14ac:dyDescent="0.2">
      <c r="B138" s="395" t="s">
        <v>2564</v>
      </c>
      <c r="C138" s="166" t="s">
        <v>1268</v>
      </c>
    </row>
    <row r="139" spans="2:3" x14ac:dyDescent="0.2">
      <c r="B139" s="337" t="s">
        <v>581</v>
      </c>
      <c r="C139" s="337">
        <v>4</v>
      </c>
    </row>
    <row r="140" spans="2:3" x14ac:dyDescent="0.2">
      <c r="B140" s="337" t="s">
        <v>93</v>
      </c>
      <c r="C140" s="337">
        <v>8</v>
      </c>
    </row>
    <row r="141" spans="2:3" x14ac:dyDescent="0.2">
      <c r="B141" s="337" t="s">
        <v>751</v>
      </c>
      <c r="C141" s="337">
        <v>16</v>
      </c>
    </row>
    <row r="142" spans="2:3" ht="17" x14ac:dyDescent="0.2">
      <c r="B142" s="395" t="s">
        <v>2565</v>
      </c>
      <c r="C142" s="166" t="s">
        <v>1268</v>
      </c>
    </row>
    <row r="143" spans="2:3" x14ac:dyDescent="0.2">
      <c r="B143" s="337" t="s">
        <v>581</v>
      </c>
      <c r="C143" s="337">
        <v>8</v>
      </c>
    </row>
    <row r="144" spans="2:3" x14ac:dyDescent="0.2">
      <c r="B144" s="337" t="s">
        <v>93</v>
      </c>
      <c r="C144" s="337">
        <v>16</v>
      </c>
    </row>
    <row r="145" spans="2:3" x14ac:dyDescent="0.2">
      <c r="B145" s="337" t="s">
        <v>751</v>
      </c>
      <c r="C145" s="337">
        <v>32</v>
      </c>
    </row>
    <row r="146" spans="2:3" ht="17" x14ac:dyDescent="0.2">
      <c r="B146" s="395" t="s">
        <v>2566</v>
      </c>
      <c r="C146" s="166" t="s">
        <v>1268</v>
      </c>
    </row>
    <row r="147" spans="2:3" x14ac:dyDescent="0.2">
      <c r="B147" s="337" t="s">
        <v>581</v>
      </c>
      <c r="C147" s="337">
        <v>530</v>
      </c>
    </row>
    <row r="148" spans="2:3" x14ac:dyDescent="0.2">
      <c r="B148" s="337" t="s">
        <v>93</v>
      </c>
      <c r="C148" s="337">
        <v>530</v>
      </c>
    </row>
    <row r="149" spans="2:3" x14ac:dyDescent="0.2">
      <c r="B149" s="337" t="s">
        <v>751</v>
      </c>
      <c r="C149" s="337">
        <v>530</v>
      </c>
    </row>
    <row r="150" spans="2:3" ht="17" x14ac:dyDescent="0.2">
      <c r="B150" s="395" t="s">
        <v>2567</v>
      </c>
      <c r="C150" s="166" t="s">
        <v>1268</v>
      </c>
    </row>
    <row r="151" spans="2:3" x14ac:dyDescent="0.2">
      <c r="B151" s="337" t="s">
        <v>2556</v>
      </c>
      <c r="C151" s="337">
        <v>2</v>
      </c>
    </row>
    <row r="152" spans="2:3" x14ac:dyDescent="0.2">
      <c r="B152" s="337" t="s">
        <v>581</v>
      </c>
      <c r="C152" s="337">
        <v>4</v>
      </c>
    </row>
    <row r="153" spans="2:3" x14ac:dyDescent="0.2">
      <c r="B153" s="337" t="s">
        <v>93</v>
      </c>
      <c r="C153" s="337">
        <v>8</v>
      </c>
    </row>
    <row r="154" spans="2:3" x14ac:dyDescent="0.2">
      <c r="B154" s="337" t="s">
        <v>751</v>
      </c>
      <c r="C154" s="337">
        <v>16</v>
      </c>
    </row>
    <row r="155" spans="2:3" x14ac:dyDescent="0.2">
      <c r="B155" s="337" t="s">
        <v>2557</v>
      </c>
      <c r="C155" s="337">
        <v>24</v>
      </c>
    </row>
    <row r="156" spans="2:3" ht="17" x14ac:dyDescent="0.2">
      <c r="B156" s="395" t="s">
        <v>2568</v>
      </c>
      <c r="C156" s="166" t="s">
        <v>1268</v>
      </c>
    </row>
    <row r="157" spans="2:3" x14ac:dyDescent="0.2">
      <c r="B157" s="337" t="s">
        <v>2556</v>
      </c>
      <c r="C157" s="337">
        <v>8</v>
      </c>
    </row>
    <row r="158" spans="2:3" x14ac:dyDescent="0.2">
      <c r="B158" s="337" t="s">
        <v>581</v>
      </c>
      <c r="C158" s="337">
        <v>16</v>
      </c>
    </row>
    <row r="159" spans="2:3" x14ac:dyDescent="0.2">
      <c r="B159" s="337" t="s">
        <v>93</v>
      </c>
      <c r="C159" s="337">
        <v>32</v>
      </c>
    </row>
    <row r="160" spans="2:3" x14ac:dyDescent="0.2">
      <c r="B160" s="337" t="s">
        <v>751</v>
      </c>
      <c r="C160" s="337">
        <v>48</v>
      </c>
    </row>
    <row r="161" spans="2:3" x14ac:dyDescent="0.2">
      <c r="B161" s="337" t="s">
        <v>2557</v>
      </c>
      <c r="C161" s="337">
        <v>128</v>
      </c>
    </row>
    <row r="162" spans="2:3" ht="17" x14ac:dyDescent="0.2">
      <c r="B162" s="395" t="s">
        <v>2569</v>
      </c>
      <c r="C162" s="166" t="s">
        <v>1268</v>
      </c>
    </row>
    <row r="163" spans="2:3" x14ac:dyDescent="0.2">
      <c r="B163" s="337" t="s">
        <v>2556</v>
      </c>
      <c r="C163" s="337">
        <v>274</v>
      </c>
    </row>
    <row r="164" spans="2:3" x14ac:dyDescent="0.2">
      <c r="B164" s="337" t="s">
        <v>581</v>
      </c>
      <c r="C164" s="337">
        <v>274</v>
      </c>
    </row>
    <row r="165" spans="2:3" x14ac:dyDescent="0.2">
      <c r="B165" s="337" t="s">
        <v>93</v>
      </c>
      <c r="C165" s="337">
        <v>274</v>
      </c>
    </row>
    <row r="166" spans="2:3" x14ac:dyDescent="0.2">
      <c r="B166" s="337" t="s">
        <v>751</v>
      </c>
      <c r="C166" s="337">
        <v>274</v>
      </c>
    </row>
    <row r="167" spans="2:3" x14ac:dyDescent="0.2">
      <c r="B167" s="337" t="s">
        <v>2557</v>
      </c>
      <c r="C167" s="337">
        <v>274</v>
      </c>
    </row>
    <row r="168" spans="2:3" ht="17" x14ac:dyDescent="0.2">
      <c r="B168" s="395" t="s">
        <v>2570</v>
      </c>
      <c r="C168" s="166" t="s">
        <v>1268</v>
      </c>
    </row>
    <row r="169" spans="2:3" x14ac:dyDescent="0.2">
      <c r="B169" s="337" t="s">
        <v>581</v>
      </c>
      <c r="C169" s="337">
        <v>4</v>
      </c>
    </row>
    <row r="170" spans="2:3" x14ac:dyDescent="0.2">
      <c r="B170" s="337" t="s">
        <v>538</v>
      </c>
      <c r="C170" s="337">
        <v>8</v>
      </c>
    </row>
    <row r="171" spans="2:3" ht="17" x14ac:dyDescent="0.2">
      <c r="B171" s="395" t="s">
        <v>2571</v>
      </c>
      <c r="C171" s="166" t="s">
        <v>1268</v>
      </c>
    </row>
    <row r="172" spans="2:3" x14ac:dyDescent="0.2">
      <c r="B172" s="337" t="s">
        <v>581</v>
      </c>
      <c r="C172" s="337">
        <v>16</v>
      </c>
    </row>
    <row r="173" spans="2:3" x14ac:dyDescent="0.2">
      <c r="B173" s="337" t="s">
        <v>538</v>
      </c>
      <c r="C173" s="337">
        <v>48</v>
      </c>
    </row>
    <row r="174" spans="2:3" ht="17" x14ac:dyDescent="0.2">
      <c r="B174" s="395" t="s">
        <v>2572</v>
      </c>
      <c r="C174" s="166" t="s">
        <v>1268</v>
      </c>
    </row>
    <row r="175" spans="2:3" x14ac:dyDescent="0.2">
      <c r="B175" s="337" t="s">
        <v>581</v>
      </c>
      <c r="C175" s="337">
        <v>264</v>
      </c>
    </row>
    <row r="176" spans="2:3" x14ac:dyDescent="0.2">
      <c r="B176" s="337" t="s">
        <v>538</v>
      </c>
      <c r="C176" s="337">
        <v>264</v>
      </c>
    </row>
    <row r="177" spans="2:3" ht="17" x14ac:dyDescent="0.2">
      <c r="B177" s="395" t="s">
        <v>2573</v>
      </c>
      <c r="C177" s="166" t="s">
        <v>1268</v>
      </c>
    </row>
    <row r="178" spans="2:3" x14ac:dyDescent="0.2">
      <c r="B178" s="337" t="s">
        <v>2574</v>
      </c>
      <c r="C178" s="337">
        <v>2</v>
      </c>
    </row>
    <row r="179" spans="2:3" x14ac:dyDescent="0.2">
      <c r="B179" s="337" t="s">
        <v>538</v>
      </c>
      <c r="C179" s="337">
        <v>4</v>
      </c>
    </row>
    <row r="180" spans="2:3" ht="17" x14ac:dyDescent="0.2">
      <c r="B180" s="395" t="s">
        <v>2575</v>
      </c>
      <c r="C180" s="166" t="s">
        <v>1268</v>
      </c>
    </row>
    <row r="181" spans="2:3" x14ac:dyDescent="0.2">
      <c r="B181" s="337" t="s">
        <v>2574</v>
      </c>
      <c r="C181" s="337">
        <v>8</v>
      </c>
    </row>
    <row r="182" spans="2:3" x14ac:dyDescent="0.2">
      <c r="B182" s="337" t="s">
        <v>538</v>
      </c>
      <c r="C182" s="337">
        <v>8</v>
      </c>
    </row>
    <row r="183" spans="2:3" ht="17" x14ac:dyDescent="0.2">
      <c r="B183" s="395" t="s">
        <v>2576</v>
      </c>
      <c r="C183" s="166" t="s">
        <v>1268</v>
      </c>
    </row>
    <row r="184" spans="2:3" x14ac:dyDescent="0.2">
      <c r="B184" s="337" t="s">
        <v>2574</v>
      </c>
      <c r="C184" s="337">
        <v>33</v>
      </c>
    </row>
    <row r="185" spans="2:3" x14ac:dyDescent="0.2">
      <c r="B185" s="337" t="s">
        <v>538</v>
      </c>
      <c r="C185" s="337">
        <v>33</v>
      </c>
    </row>
    <row r="186" spans="2:3" ht="17" x14ac:dyDescent="0.2">
      <c r="B186" s="395" t="s">
        <v>2577</v>
      </c>
      <c r="C186" s="166" t="s">
        <v>1268</v>
      </c>
    </row>
    <row r="187" spans="2:3" x14ac:dyDescent="0.2">
      <c r="B187" s="337" t="s">
        <v>2574</v>
      </c>
      <c r="C187" s="337">
        <v>2</v>
      </c>
    </row>
    <row r="188" spans="2:3" x14ac:dyDescent="0.2">
      <c r="B188" s="337" t="s">
        <v>538</v>
      </c>
      <c r="C188" s="337">
        <v>8</v>
      </c>
    </row>
    <row r="189" spans="2:3" ht="17" x14ac:dyDescent="0.2">
      <c r="B189" s="395" t="s">
        <v>2578</v>
      </c>
      <c r="C189" s="166" t="s">
        <v>1268</v>
      </c>
    </row>
    <row r="190" spans="2:3" x14ac:dyDescent="0.2">
      <c r="B190" s="337" t="s">
        <v>2574</v>
      </c>
      <c r="C190" s="337">
        <v>8</v>
      </c>
    </row>
    <row r="191" spans="2:3" x14ac:dyDescent="0.2">
      <c r="B191" s="337" t="s">
        <v>538</v>
      </c>
      <c r="C191" s="337">
        <v>24</v>
      </c>
    </row>
    <row r="192" spans="2:3" ht="17" x14ac:dyDescent="0.2">
      <c r="B192" s="395" t="s">
        <v>2579</v>
      </c>
      <c r="C192" s="166" t="s">
        <v>1268</v>
      </c>
    </row>
    <row r="193" spans="2:3" x14ac:dyDescent="0.2">
      <c r="B193" s="337" t="s">
        <v>2574</v>
      </c>
      <c r="C193" s="337">
        <v>20</v>
      </c>
    </row>
    <row r="194" spans="2:3" x14ac:dyDescent="0.2">
      <c r="B194" s="337" t="s">
        <v>538</v>
      </c>
      <c r="C194" s="337">
        <v>800</v>
      </c>
    </row>
    <row r="195" spans="2:3" ht="17" x14ac:dyDescent="0.2">
      <c r="B195" s="395" t="s">
        <v>2580</v>
      </c>
      <c r="C195" s="166" t="s">
        <v>1268</v>
      </c>
    </row>
    <row r="196" spans="2:3" ht="17" x14ac:dyDescent="0.2">
      <c r="B196" s="331" t="s">
        <v>2508</v>
      </c>
      <c r="C196" s="337">
        <v>2</v>
      </c>
    </row>
    <row r="197" spans="2:3" ht="17" x14ac:dyDescent="0.2">
      <c r="B197" s="331" t="s">
        <v>2510</v>
      </c>
      <c r="C197" s="337">
        <v>8</v>
      </c>
    </row>
    <row r="198" spans="2:3" ht="17" x14ac:dyDescent="0.2">
      <c r="B198" s="331" t="s">
        <v>2512</v>
      </c>
      <c r="C198" s="337">
        <v>20</v>
      </c>
    </row>
    <row r="199" spans="2:3" ht="17" x14ac:dyDescent="0.2">
      <c r="B199" s="395" t="s">
        <v>2581</v>
      </c>
      <c r="C199" s="166" t="s">
        <v>1268</v>
      </c>
    </row>
    <row r="200" spans="2:3" ht="17" x14ac:dyDescent="0.2">
      <c r="B200" s="331" t="s">
        <v>581</v>
      </c>
      <c r="C200" s="337">
        <v>4</v>
      </c>
    </row>
    <row r="201" spans="2:3" ht="17" x14ac:dyDescent="0.2">
      <c r="B201" s="331" t="s">
        <v>93</v>
      </c>
      <c r="C201" s="337">
        <v>8</v>
      </c>
    </row>
    <row r="202" spans="2:3" ht="17" x14ac:dyDescent="0.2">
      <c r="B202" s="331" t="s">
        <v>751</v>
      </c>
      <c r="C202" s="337">
        <v>12</v>
      </c>
    </row>
    <row r="203" spans="2:3" ht="17" x14ac:dyDescent="0.2">
      <c r="B203" s="331" t="s">
        <v>2557</v>
      </c>
      <c r="C203" s="337">
        <v>16</v>
      </c>
    </row>
    <row r="204" spans="2:3" ht="17" x14ac:dyDescent="0.2">
      <c r="B204" s="331" t="s">
        <v>2558</v>
      </c>
      <c r="C204" s="337">
        <v>24</v>
      </c>
    </row>
    <row r="205" spans="2:3" ht="17" x14ac:dyDescent="0.2">
      <c r="B205" s="395" t="s">
        <v>2582</v>
      </c>
      <c r="C205" s="166" t="s">
        <v>1268</v>
      </c>
    </row>
    <row r="206" spans="2:3" ht="17" x14ac:dyDescent="0.2">
      <c r="B206" s="331" t="s">
        <v>581</v>
      </c>
      <c r="C206" s="337">
        <v>16</v>
      </c>
    </row>
    <row r="207" spans="2:3" ht="17" x14ac:dyDescent="0.2">
      <c r="B207" s="331" t="s">
        <v>93</v>
      </c>
      <c r="C207" s="337">
        <v>32</v>
      </c>
    </row>
    <row r="208" spans="2:3" ht="17" x14ac:dyDescent="0.2">
      <c r="B208" s="331" t="s">
        <v>751</v>
      </c>
      <c r="C208" s="337">
        <v>48</v>
      </c>
    </row>
    <row r="209" spans="2:3" ht="17" x14ac:dyDescent="0.2">
      <c r="B209" s="331" t="s">
        <v>2557</v>
      </c>
      <c r="C209" s="337">
        <v>64</v>
      </c>
    </row>
    <row r="210" spans="2:3" ht="17" x14ac:dyDescent="0.2">
      <c r="B210" s="331" t="s">
        <v>2558</v>
      </c>
      <c r="C210" s="337">
        <v>128</v>
      </c>
    </row>
    <row r="211" spans="2:3" ht="17" x14ac:dyDescent="0.2">
      <c r="B211" s="395" t="s">
        <v>2583</v>
      </c>
      <c r="C211" s="166" t="s">
        <v>1268</v>
      </c>
    </row>
    <row r="212" spans="2:3" ht="17" x14ac:dyDescent="0.2">
      <c r="B212" s="331" t="s">
        <v>581</v>
      </c>
      <c r="C212" s="337">
        <v>1024</v>
      </c>
    </row>
    <row r="213" spans="2:3" ht="17" x14ac:dyDescent="0.2">
      <c r="B213" s="331" t="s">
        <v>93</v>
      </c>
      <c r="C213" s="337">
        <v>1024</v>
      </c>
    </row>
    <row r="214" spans="2:3" ht="17" x14ac:dyDescent="0.2">
      <c r="B214" s="331" t="s">
        <v>751</v>
      </c>
      <c r="C214" s="337">
        <v>1024</v>
      </c>
    </row>
    <row r="215" spans="2:3" ht="17" x14ac:dyDescent="0.2">
      <c r="B215" s="331" t="s">
        <v>2557</v>
      </c>
      <c r="C215" s="337">
        <v>1024</v>
      </c>
    </row>
    <row r="216" spans="2:3" ht="17" x14ac:dyDescent="0.2">
      <c r="B216" s="331" t="s">
        <v>2558</v>
      </c>
      <c r="C216" s="337">
        <v>1024</v>
      </c>
    </row>
    <row r="217" spans="2:3" ht="17" x14ac:dyDescent="0.2">
      <c r="B217" s="395" t="s">
        <v>2584</v>
      </c>
      <c r="C217" s="166" t="s">
        <v>1268</v>
      </c>
    </row>
    <row r="218" spans="2:3" ht="17" x14ac:dyDescent="0.2">
      <c r="B218" s="331" t="s">
        <v>581</v>
      </c>
      <c r="C218" s="331">
        <v>2</v>
      </c>
    </row>
    <row r="219" spans="2:3" ht="17" x14ac:dyDescent="0.2">
      <c r="B219" s="331" t="s">
        <v>93</v>
      </c>
      <c r="C219" s="337">
        <v>4</v>
      </c>
    </row>
    <row r="220" spans="2:3" ht="17" x14ac:dyDescent="0.2">
      <c r="B220" s="331" t="s">
        <v>751</v>
      </c>
      <c r="C220" s="337">
        <v>8</v>
      </c>
    </row>
    <row r="221" spans="2:3" ht="17" x14ac:dyDescent="0.2">
      <c r="B221" s="331" t="s">
        <v>2557</v>
      </c>
      <c r="C221" s="337">
        <v>8</v>
      </c>
    </row>
    <row r="222" spans="2:3" ht="17" x14ac:dyDescent="0.2">
      <c r="B222" s="331" t="s">
        <v>2558</v>
      </c>
      <c r="C222" s="337">
        <v>16</v>
      </c>
    </row>
    <row r="223" spans="2:3" ht="17" x14ac:dyDescent="0.2">
      <c r="B223" s="395" t="s">
        <v>2585</v>
      </c>
      <c r="C223" s="166" t="s">
        <v>1268</v>
      </c>
    </row>
    <row r="224" spans="2:3" ht="17" x14ac:dyDescent="0.2">
      <c r="B224" s="331" t="s">
        <v>581</v>
      </c>
      <c r="C224" s="331">
        <v>4</v>
      </c>
    </row>
    <row r="225" spans="2:3" ht="17" x14ac:dyDescent="0.2">
      <c r="B225" s="331" t="s">
        <v>93</v>
      </c>
      <c r="C225" s="337">
        <v>12</v>
      </c>
    </row>
    <row r="226" spans="2:3" ht="17" x14ac:dyDescent="0.2">
      <c r="B226" s="331" t="s">
        <v>751</v>
      </c>
      <c r="C226" s="337">
        <v>16</v>
      </c>
    </row>
    <row r="227" spans="2:3" ht="17" x14ac:dyDescent="0.2">
      <c r="B227" s="331" t="s">
        <v>2557</v>
      </c>
      <c r="C227" s="337">
        <v>24</v>
      </c>
    </row>
    <row r="228" spans="2:3" ht="17" x14ac:dyDescent="0.2">
      <c r="B228" s="331" t="s">
        <v>2558</v>
      </c>
      <c r="C228" s="337">
        <v>48</v>
      </c>
    </row>
    <row r="229" spans="2:3" ht="17" x14ac:dyDescent="0.2">
      <c r="B229" s="395" t="s">
        <v>2586</v>
      </c>
      <c r="C229" s="166" t="s">
        <v>1268</v>
      </c>
    </row>
    <row r="230" spans="2:3" ht="17" x14ac:dyDescent="0.2">
      <c r="B230" s="331" t="s">
        <v>581</v>
      </c>
      <c r="C230" s="337">
        <v>250</v>
      </c>
    </row>
    <row r="231" spans="2:3" ht="17" x14ac:dyDescent="0.2">
      <c r="B231" s="331" t="s">
        <v>93</v>
      </c>
      <c r="C231" s="337">
        <v>250</v>
      </c>
    </row>
    <row r="232" spans="2:3" ht="17" x14ac:dyDescent="0.2">
      <c r="B232" s="331" t="s">
        <v>751</v>
      </c>
      <c r="C232" s="337">
        <v>250</v>
      </c>
    </row>
    <row r="233" spans="2:3" ht="17" x14ac:dyDescent="0.2">
      <c r="B233" s="331" t="s">
        <v>2557</v>
      </c>
      <c r="C233" s="337">
        <v>250</v>
      </c>
    </row>
    <row r="234" spans="2:3" ht="17" x14ac:dyDescent="0.2">
      <c r="B234" s="331" t="s">
        <v>2558</v>
      </c>
      <c r="C234" s="337">
        <v>250</v>
      </c>
    </row>
    <row r="235" spans="2:3" ht="17" x14ac:dyDescent="0.2">
      <c r="B235" s="395" t="s">
        <v>2587</v>
      </c>
      <c r="C235" s="166" t="s">
        <v>1268</v>
      </c>
    </row>
    <row r="236" spans="2:3" ht="17" x14ac:dyDescent="0.2">
      <c r="B236" s="331" t="s">
        <v>2508</v>
      </c>
      <c r="C236" s="153">
        <v>8</v>
      </c>
    </row>
    <row r="237" spans="2:3" ht="17" x14ac:dyDescent="0.2">
      <c r="B237" s="331" t="s">
        <v>2510</v>
      </c>
      <c r="C237" s="193">
        <v>12</v>
      </c>
    </row>
    <row r="238" spans="2:3" ht="17" x14ac:dyDescent="0.2">
      <c r="B238" s="331" t="s">
        <v>2512</v>
      </c>
      <c r="C238" s="193">
        <v>100</v>
      </c>
    </row>
    <row r="239" spans="2:3" ht="17" x14ac:dyDescent="0.2">
      <c r="B239" s="395" t="s">
        <v>2588</v>
      </c>
      <c r="C239" s="166" t="s">
        <v>1268</v>
      </c>
    </row>
    <row r="240" spans="2:3" ht="17" x14ac:dyDescent="0.2">
      <c r="B240" s="194" t="s">
        <v>2508</v>
      </c>
      <c r="C240" s="337">
        <v>4</v>
      </c>
    </row>
    <row r="241" spans="2:3" ht="17" x14ac:dyDescent="0.2">
      <c r="B241" s="195" t="s">
        <v>2510</v>
      </c>
      <c r="C241" s="337">
        <v>12</v>
      </c>
    </row>
    <row r="242" spans="2:3" ht="17" x14ac:dyDescent="0.2">
      <c r="B242" s="195" t="s">
        <v>2512</v>
      </c>
      <c r="C242" s="337">
        <v>65</v>
      </c>
    </row>
    <row r="243" spans="2:3" ht="17" x14ac:dyDescent="0.2">
      <c r="B243" s="395" t="s">
        <v>2589</v>
      </c>
      <c r="C243" s="166" t="s">
        <v>1268</v>
      </c>
    </row>
    <row r="244" spans="2:3" ht="17" x14ac:dyDescent="0.2">
      <c r="B244" s="195" t="s">
        <v>581</v>
      </c>
      <c r="C244" s="337">
        <v>6</v>
      </c>
    </row>
    <row r="245" spans="2:3" ht="17" x14ac:dyDescent="0.2">
      <c r="B245" s="195" t="s">
        <v>751</v>
      </c>
      <c r="C245" s="337">
        <v>16</v>
      </c>
    </row>
    <row r="246" spans="2:3" ht="17" x14ac:dyDescent="0.2">
      <c r="B246" s="195" t="s">
        <v>2590</v>
      </c>
      <c r="C246" s="337">
        <v>16</v>
      </c>
    </row>
    <row r="247" spans="2:3" ht="17" x14ac:dyDescent="0.2">
      <c r="B247" s="395" t="s">
        <v>2591</v>
      </c>
      <c r="C247" s="166" t="s">
        <v>1268</v>
      </c>
    </row>
    <row r="248" spans="2:3" ht="17" x14ac:dyDescent="0.2">
      <c r="B248" s="195" t="s">
        <v>581</v>
      </c>
      <c r="C248" s="337">
        <v>32</v>
      </c>
    </row>
    <row r="249" spans="2:3" ht="17" x14ac:dyDescent="0.2">
      <c r="B249" s="195" t="s">
        <v>751</v>
      </c>
      <c r="C249" s="337">
        <v>48</v>
      </c>
    </row>
    <row r="250" spans="2:3" ht="17" x14ac:dyDescent="0.2">
      <c r="B250" s="195" t="s">
        <v>2590</v>
      </c>
      <c r="C250" s="337">
        <v>64</v>
      </c>
    </row>
    <row r="251" spans="2:3" ht="17" x14ac:dyDescent="0.2">
      <c r="B251" s="395" t="s">
        <v>2592</v>
      </c>
      <c r="C251" s="166" t="s">
        <v>1268</v>
      </c>
    </row>
    <row r="252" spans="2:3" ht="17" x14ac:dyDescent="0.2">
      <c r="B252" s="195" t="s">
        <v>581</v>
      </c>
      <c r="C252" s="337">
        <v>512</v>
      </c>
    </row>
    <row r="253" spans="2:3" ht="17" x14ac:dyDescent="0.2">
      <c r="B253" s="195" t="s">
        <v>751</v>
      </c>
      <c r="C253" s="337">
        <v>1400</v>
      </c>
    </row>
    <row r="254" spans="2:3" ht="17" x14ac:dyDescent="0.2">
      <c r="B254" s="195" t="s">
        <v>2590</v>
      </c>
      <c r="C254" s="337">
        <v>1750</v>
      </c>
    </row>
    <row r="255" spans="2:3" ht="17" x14ac:dyDescent="0.2">
      <c r="B255" s="395" t="s">
        <v>2593</v>
      </c>
      <c r="C255" s="166" t="s">
        <v>1268</v>
      </c>
    </row>
    <row r="256" spans="2:3" ht="17" x14ac:dyDescent="0.2">
      <c r="B256" s="318" t="s">
        <v>2480</v>
      </c>
      <c r="C256" s="166"/>
    </row>
    <row r="257" spans="2:4" ht="17" x14ac:dyDescent="0.2">
      <c r="B257" s="195" t="s">
        <v>93</v>
      </c>
      <c r="C257" s="337">
        <v>112</v>
      </c>
    </row>
    <row r="258" spans="2:4" ht="17" x14ac:dyDescent="0.2">
      <c r="B258" s="195" t="s">
        <v>751</v>
      </c>
      <c r="C258" s="337">
        <v>160</v>
      </c>
    </row>
    <row r="259" spans="2:4" ht="17" x14ac:dyDescent="0.2">
      <c r="B259" s="195" t="s">
        <v>2590</v>
      </c>
      <c r="C259" s="337">
        <v>192</v>
      </c>
    </row>
    <row r="260" spans="2:4" ht="17" x14ac:dyDescent="0.2">
      <c r="B260" s="395" t="s">
        <v>2594</v>
      </c>
      <c r="C260" s="166" t="s">
        <v>1268</v>
      </c>
    </row>
    <row r="261" spans="2:4" ht="17" x14ac:dyDescent="0.2">
      <c r="B261" s="195" t="s">
        <v>93</v>
      </c>
      <c r="C261" s="337">
        <v>414</v>
      </c>
    </row>
    <row r="262" spans="2:4" ht="17" x14ac:dyDescent="0.2">
      <c r="B262" s="195" t="s">
        <v>751</v>
      </c>
      <c r="C262" s="337">
        <v>606</v>
      </c>
    </row>
    <row r="263" spans="2:4" ht="17" x14ac:dyDescent="0.2">
      <c r="B263" s="195" t="s">
        <v>2590</v>
      </c>
      <c r="C263" s="337">
        <v>734</v>
      </c>
    </row>
    <row r="264" spans="2:4" ht="17" x14ac:dyDescent="0.2">
      <c r="B264" s="395" t="s">
        <v>2595</v>
      </c>
      <c r="C264" s="166" t="s">
        <v>1268</v>
      </c>
    </row>
    <row r="265" spans="2:4" ht="17" x14ac:dyDescent="0.2">
      <c r="B265" s="195" t="s">
        <v>93</v>
      </c>
      <c r="C265" s="337">
        <v>4096</v>
      </c>
    </row>
    <row r="266" spans="2:4" ht="17" x14ac:dyDescent="0.2">
      <c r="B266" s="195" t="s">
        <v>751</v>
      </c>
      <c r="C266" s="337">
        <v>5120</v>
      </c>
    </row>
    <row r="267" spans="2:4" ht="17" x14ac:dyDescent="0.2">
      <c r="B267" s="195" t="s">
        <v>2590</v>
      </c>
      <c r="C267" s="337">
        <v>6656</v>
      </c>
    </row>
    <row r="268" spans="2:4" ht="17" x14ac:dyDescent="0.2">
      <c r="B268" s="395" t="s">
        <v>460</v>
      </c>
      <c r="C268" s="395" t="s">
        <v>2596</v>
      </c>
      <c r="D268" s="395" t="s">
        <v>460</v>
      </c>
    </row>
    <row r="269" spans="2:4" x14ac:dyDescent="0.2">
      <c r="B269" s="196">
        <v>32</v>
      </c>
      <c r="C269" s="196" t="s">
        <v>2597</v>
      </c>
      <c r="D269" s="196">
        <v>32</v>
      </c>
    </row>
    <row r="270" spans="2:4" x14ac:dyDescent="0.2">
      <c r="B270" s="196">
        <v>31</v>
      </c>
      <c r="C270" s="196" t="s">
        <v>2598</v>
      </c>
      <c r="D270" s="196">
        <v>31</v>
      </c>
    </row>
    <row r="271" spans="2:4" x14ac:dyDescent="0.2">
      <c r="B271" s="196">
        <v>30</v>
      </c>
      <c r="C271" s="196" t="s">
        <v>2599</v>
      </c>
      <c r="D271" s="196">
        <v>30</v>
      </c>
    </row>
    <row r="272" spans="2:4" x14ac:dyDescent="0.2">
      <c r="B272" s="196">
        <v>29</v>
      </c>
      <c r="C272" s="196" t="s">
        <v>2600</v>
      </c>
      <c r="D272" s="196">
        <v>29</v>
      </c>
    </row>
    <row r="273" spans="2:4" x14ac:dyDescent="0.2">
      <c r="B273" s="196">
        <v>28</v>
      </c>
      <c r="C273" s="196" t="s">
        <v>2601</v>
      </c>
      <c r="D273" s="196">
        <v>28</v>
      </c>
    </row>
    <row r="274" spans="2:4" x14ac:dyDescent="0.2">
      <c r="B274" s="196">
        <v>27</v>
      </c>
      <c r="C274" s="196" t="s">
        <v>2602</v>
      </c>
      <c r="D274" s="196">
        <v>27</v>
      </c>
    </row>
    <row r="275" spans="2:4" x14ac:dyDescent="0.2">
      <c r="B275" s="196">
        <v>26</v>
      </c>
      <c r="C275" s="196" t="s">
        <v>2603</v>
      </c>
      <c r="D275" s="196">
        <v>26</v>
      </c>
    </row>
    <row r="276" spans="2:4" x14ac:dyDescent="0.2">
      <c r="B276" s="196">
        <v>25</v>
      </c>
      <c r="C276" s="196" t="s">
        <v>2604</v>
      </c>
      <c r="D276" s="196">
        <v>25</v>
      </c>
    </row>
    <row r="277" spans="2:4" x14ac:dyDescent="0.2">
      <c r="B277" s="196">
        <v>24</v>
      </c>
      <c r="C277" s="196" t="s">
        <v>128</v>
      </c>
      <c r="D277" s="196">
        <v>24</v>
      </c>
    </row>
    <row r="278" spans="2:4" x14ac:dyDescent="0.2">
      <c r="B278" s="196">
        <v>23</v>
      </c>
      <c r="C278" s="196" t="s">
        <v>2605</v>
      </c>
      <c r="D278" s="196">
        <v>23</v>
      </c>
    </row>
    <row r="279" spans="2:4" x14ac:dyDescent="0.2">
      <c r="B279" s="196">
        <v>22</v>
      </c>
      <c r="C279" s="196" t="s">
        <v>2606</v>
      </c>
      <c r="D279" s="196">
        <v>22</v>
      </c>
    </row>
    <row r="280" spans="2:4" x14ac:dyDescent="0.2">
      <c r="B280" s="196">
        <v>21</v>
      </c>
      <c r="C280" s="196" t="s">
        <v>2607</v>
      </c>
      <c r="D280" s="196">
        <v>21</v>
      </c>
    </row>
    <row r="281" spans="2:4" x14ac:dyDescent="0.2">
      <c r="B281" s="196">
        <v>20</v>
      </c>
      <c r="C281" s="196" t="s">
        <v>2608</v>
      </c>
      <c r="D281" s="196">
        <v>20</v>
      </c>
    </row>
    <row r="282" spans="2:4" x14ac:dyDescent="0.2">
      <c r="B282" s="196">
        <v>19</v>
      </c>
      <c r="C282" s="196" t="s">
        <v>2609</v>
      </c>
      <c r="D282" s="196">
        <v>19</v>
      </c>
    </row>
    <row r="283" spans="2:4" x14ac:dyDescent="0.2">
      <c r="B283" s="196">
        <v>18</v>
      </c>
      <c r="C283" s="196" t="s">
        <v>2610</v>
      </c>
      <c r="D283" s="196">
        <v>18</v>
      </c>
    </row>
    <row r="284" spans="2:4" x14ac:dyDescent="0.2">
      <c r="B284" s="196">
        <v>17</v>
      </c>
      <c r="C284" s="196" t="s">
        <v>2611</v>
      </c>
      <c r="D284" s="196">
        <v>17</v>
      </c>
    </row>
    <row r="285" spans="2:4" x14ac:dyDescent="0.2">
      <c r="B285" s="196">
        <v>16</v>
      </c>
      <c r="C285" s="196" t="s">
        <v>2612</v>
      </c>
      <c r="D285" s="196">
        <v>16</v>
      </c>
    </row>
    <row r="286" spans="2:4" x14ac:dyDescent="0.2">
      <c r="B286" s="196">
        <v>15</v>
      </c>
      <c r="C286" s="196" t="s">
        <v>2613</v>
      </c>
      <c r="D286" s="196">
        <v>15</v>
      </c>
    </row>
    <row r="287" spans="2:4" x14ac:dyDescent="0.2">
      <c r="B287" s="196">
        <v>14</v>
      </c>
      <c r="C287" s="196" t="s">
        <v>2614</v>
      </c>
      <c r="D287" s="196">
        <v>14</v>
      </c>
    </row>
    <row r="288" spans="2:4" x14ac:dyDescent="0.2">
      <c r="B288" s="196">
        <v>13</v>
      </c>
      <c r="C288" s="196" t="s">
        <v>2615</v>
      </c>
      <c r="D288" s="196">
        <v>13</v>
      </c>
    </row>
    <row r="289" spans="2:4" x14ac:dyDescent="0.2">
      <c r="B289" s="196">
        <v>12</v>
      </c>
      <c r="C289" s="196" t="s">
        <v>2616</v>
      </c>
      <c r="D289" s="196">
        <v>12</v>
      </c>
    </row>
    <row r="290" spans="2:4" x14ac:dyDescent="0.2">
      <c r="B290" s="196">
        <v>11</v>
      </c>
      <c r="C290" s="196" t="s">
        <v>2617</v>
      </c>
      <c r="D290" s="196">
        <v>11</v>
      </c>
    </row>
    <row r="291" spans="2:4" x14ac:dyDescent="0.2">
      <c r="B291" s="196">
        <v>10</v>
      </c>
      <c r="C291" s="196" t="s">
        <v>2618</v>
      </c>
      <c r="D291" s="196">
        <v>10</v>
      </c>
    </row>
    <row r="292" spans="2:4" x14ac:dyDescent="0.2">
      <c r="B292" s="196">
        <v>9</v>
      </c>
      <c r="C292" s="196" t="s">
        <v>2619</v>
      </c>
      <c r="D292" s="196">
        <v>9</v>
      </c>
    </row>
    <row r="293" spans="2:4" x14ac:dyDescent="0.2">
      <c r="B293" s="196">
        <v>8</v>
      </c>
      <c r="C293" s="196" t="s">
        <v>2620</v>
      </c>
      <c r="D293" s="196">
        <v>8</v>
      </c>
    </row>
    <row r="294" spans="2:4" x14ac:dyDescent="0.2">
      <c r="B294" s="196">
        <v>7</v>
      </c>
      <c r="C294" s="196" t="s">
        <v>2621</v>
      </c>
      <c r="D294" s="196">
        <v>7</v>
      </c>
    </row>
    <row r="295" spans="2:4" x14ac:dyDescent="0.2">
      <c r="B295" s="196">
        <v>6</v>
      </c>
      <c r="C295" s="196" t="s">
        <v>2622</v>
      </c>
      <c r="D295" s="196">
        <v>6</v>
      </c>
    </row>
    <row r="296" spans="2:4" x14ac:dyDescent="0.2">
      <c r="B296" s="196">
        <v>5</v>
      </c>
      <c r="C296" s="196" t="s">
        <v>2623</v>
      </c>
      <c r="D296" s="196">
        <v>5</v>
      </c>
    </row>
    <row r="297" spans="2:4" x14ac:dyDescent="0.2">
      <c r="B297" s="196">
        <v>4</v>
      </c>
      <c r="C297" s="196" t="s">
        <v>2624</v>
      </c>
      <c r="D297" s="196">
        <v>4</v>
      </c>
    </row>
    <row r="298" spans="2:4" x14ac:dyDescent="0.2">
      <c r="B298" s="196">
        <v>3</v>
      </c>
      <c r="C298" s="196" t="s">
        <v>2625</v>
      </c>
      <c r="D298" s="196">
        <v>3</v>
      </c>
    </row>
    <row r="299" spans="2:4" x14ac:dyDescent="0.2">
      <c r="B299" s="196">
        <v>2</v>
      </c>
      <c r="C299" s="196" t="s">
        <v>2626</v>
      </c>
      <c r="D299" s="196">
        <v>2</v>
      </c>
    </row>
    <row r="300" spans="2:4" x14ac:dyDescent="0.2">
      <c r="B300" s="196">
        <v>1</v>
      </c>
      <c r="C300" s="196" t="s">
        <v>2627</v>
      </c>
      <c r="D300" s="196">
        <v>1</v>
      </c>
    </row>
    <row r="301" spans="2:4" x14ac:dyDescent="0.2">
      <c r="B301" s="196">
        <v>0</v>
      </c>
      <c r="C301" s="196" t="s">
        <v>2628</v>
      </c>
      <c r="D301" s="196">
        <v>0</v>
      </c>
    </row>
    <row r="302" spans="2:4" ht="17" x14ac:dyDescent="0.2">
      <c r="B302" s="395" t="s">
        <v>2629</v>
      </c>
      <c r="C302" s="395" t="s">
        <v>2629</v>
      </c>
    </row>
    <row r="303" spans="2:4" x14ac:dyDescent="0.2">
      <c r="B303" s="337"/>
      <c r="C303" s="337" t="s">
        <v>2630</v>
      </c>
    </row>
    <row r="304" spans="2:4" x14ac:dyDescent="0.2">
      <c r="B304" s="337"/>
      <c r="C304" s="337" t="s">
        <v>2631</v>
      </c>
    </row>
    <row r="305" spans="2:3" x14ac:dyDescent="0.2">
      <c r="B305" s="337"/>
      <c r="C305" s="337" t="s">
        <v>2632</v>
      </c>
    </row>
    <row r="306" spans="2:3" ht="17" x14ac:dyDescent="0.2">
      <c r="B306" s="395"/>
      <c r="C306" s="395" t="s">
        <v>2633</v>
      </c>
    </row>
    <row r="307" spans="2:3" x14ac:dyDescent="0.2">
      <c r="B307" s="337" t="s">
        <v>632</v>
      </c>
    </row>
    <row r="308" spans="2:3" x14ac:dyDescent="0.2">
      <c r="B308" s="337" t="s">
        <v>2634</v>
      </c>
    </row>
    <row r="309" spans="2:3" x14ac:dyDescent="0.2">
      <c r="B309" s="337" t="s">
        <v>2635</v>
      </c>
    </row>
    <row r="310" spans="2:3" x14ac:dyDescent="0.2">
      <c r="B310" s="337" t="s">
        <v>2636</v>
      </c>
    </row>
    <row r="311" spans="2:3" x14ac:dyDescent="0.2">
      <c r="B311" s="337" t="s">
        <v>2637</v>
      </c>
    </row>
    <row r="312" spans="2:3" x14ac:dyDescent="0.2">
      <c r="B312" s="337" t="s">
        <v>2638</v>
      </c>
    </row>
    <row r="313" spans="2:3" x14ac:dyDescent="0.2">
      <c r="B313" s="337" t="s">
        <v>2639</v>
      </c>
    </row>
    <row r="314" spans="2:3" x14ac:dyDescent="0.2">
      <c r="B314" s="337" t="s">
        <v>2640</v>
      </c>
    </row>
    <row r="315" spans="2:3" x14ac:dyDescent="0.2">
      <c r="B315" s="337" t="s">
        <v>2641</v>
      </c>
    </row>
    <row r="316" spans="2:3" x14ac:dyDescent="0.2">
      <c r="B316" s="337" t="s">
        <v>2642</v>
      </c>
    </row>
    <row r="317" spans="2:3" x14ac:dyDescent="0.2">
      <c r="B317" s="337" t="s">
        <v>2643</v>
      </c>
    </row>
    <row r="318" spans="2:3" x14ac:dyDescent="0.2">
      <c r="B318" s="337" t="s">
        <v>2644</v>
      </c>
    </row>
    <row r="319" spans="2:3" x14ac:dyDescent="0.2">
      <c r="B319" s="337" t="s">
        <v>2645</v>
      </c>
    </row>
    <row r="320" spans="2:3" x14ac:dyDescent="0.2">
      <c r="B320" s="337" t="s">
        <v>2646</v>
      </c>
    </row>
    <row r="321" spans="2:3" x14ac:dyDescent="0.2">
      <c r="B321" s="337" t="s">
        <v>2647</v>
      </c>
    </row>
    <row r="322" spans="2:3" x14ac:dyDescent="0.2">
      <c r="B322" s="337" t="s">
        <v>2648</v>
      </c>
    </row>
    <row r="323" spans="2:3" x14ac:dyDescent="0.2">
      <c r="B323" s="337" t="s">
        <v>2649</v>
      </c>
    </row>
    <row r="324" spans="2:3" x14ac:dyDescent="0.2">
      <c r="B324" s="337" t="s">
        <v>2650</v>
      </c>
    </row>
    <row r="325" spans="2:3" x14ac:dyDescent="0.2">
      <c r="B325" s="337" t="s">
        <v>2651</v>
      </c>
    </row>
    <row r="326" spans="2:3" x14ac:dyDescent="0.2">
      <c r="B326" s="337" t="s">
        <v>2652</v>
      </c>
    </row>
    <row r="327" spans="2:3" x14ac:dyDescent="0.2">
      <c r="B327" s="337" t="s">
        <v>2653</v>
      </c>
    </row>
    <row r="328" spans="2:3" x14ac:dyDescent="0.2">
      <c r="B328" s="337" t="s">
        <v>2654</v>
      </c>
    </row>
    <row r="329" spans="2:3" x14ac:dyDescent="0.2">
      <c r="B329" s="337" t="s">
        <v>2655</v>
      </c>
    </row>
    <row r="330" spans="2:3" x14ac:dyDescent="0.2">
      <c r="B330" s="337" t="s">
        <v>2656</v>
      </c>
    </row>
    <row r="331" spans="2:3" ht="17" x14ac:dyDescent="0.2">
      <c r="B331" s="395" t="s">
        <v>2657</v>
      </c>
    </row>
    <row r="332" spans="2:3" x14ac:dyDescent="0.2">
      <c r="B332" s="337" t="s">
        <v>762</v>
      </c>
    </row>
    <row r="333" spans="2:3" x14ac:dyDescent="0.2">
      <c r="B333" s="337" t="s">
        <v>2658</v>
      </c>
    </row>
    <row r="334" spans="2:3" ht="17" x14ac:dyDescent="0.2">
      <c r="B334" s="395" t="s">
        <v>2659</v>
      </c>
    </row>
    <row r="335" spans="2:3" x14ac:dyDescent="0.2">
      <c r="B335" s="337" t="s">
        <v>762</v>
      </c>
      <c r="C335" s="337" t="s">
        <v>762</v>
      </c>
    </row>
    <row r="336" spans="2:3" x14ac:dyDescent="0.2">
      <c r="B336" s="337" t="s">
        <v>2658</v>
      </c>
      <c r="C336" s="337" t="s">
        <v>2658</v>
      </c>
    </row>
    <row r="337" spans="2:5" x14ac:dyDescent="0.2">
      <c r="B337" s="337" t="s">
        <v>2660</v>
      </c>
      <c r="C337" s="337" t="s">
        <v>2661</v>
      </c>
    </row>
    <row r="338" spans="2:5" x14ac:dyDescent="0.2">
      <c r="B338" s="337" t="s">
        <v>2662</v>
      </c>
      <c r="C338" s="337" t="s">
        <v>2660</v>
      </c>
    </row>
    <row r="339" spans="2:5" x14ac:dyDescent="0.2">
      <c r="B339" s="337" t="s">
        <v>2663</v>
      </c>
      <c r="C339" s="337" t="s">
        <v>2662</v>
      </c>
    </row>
    <row r="340" spans="2:5" x14ac:dyDescent="0.2">
      <c r="B340" s="337"/>
      <c r="C340" s="337" t="s">
        <v>2663</v>
      </c>
    </row>
    <row r="341" spans="2:5" ht="17" x14ac:dyDescent="0.2">
      <c r="B341" s="395" t="s">
        <v>2664</v>
      </c>
    </row>
    <row r="342" spans="2:5" x14ac:dyDescent="0.2">
      <c r="B342" s="337" t="s">
        <v>2665</v>
      </c>
    </row>
    <row r="343" spans="2:5" x14ac:dyDescent="0.2">
      <c r="B343" s="337" t="s">
        <v>2666</v>
      </c>
    </row>
    <row r="344" spans="2:5" ht="17" x14ac:dyDescent="0.2">
      <c r="B344" s="395" t="s">
        <v>2667</v>
      </c>
    </row>
    <row r="345" spans="2:5" x14ac:dyDescent="0.2">
      <c r="B345" s="337" t="s">
        <v>2665</v>
      </c>
    </row>
    <row r="346" spans="2:5" ht="17" x14ac:dyDescent="0.2">
      <c r="B346" s="395" t="s">
        <v>2668</v>
      </c>
    </row>
    <row r="347" spans="2:5" x14ac:dyDescent="0.2">
      <c r="B347" s="337" t="s">
        <v>2669</v>
      </c>
    </row>
    <row r="348" spans="2:5" x14ac:dyDescent="0.2">
      <c r="B348" s="337" t="s">
        <v>2670</v>
      </c>
    </row>
    <row r="349" spans="2:5" x14ac:dyDescent="0.2">
      <c r="B349" s="337" t="s">
        <v>2671</v>
      </c>
    </row>
    <row r="350" spans="2:5" x14ac:dyDescent="0.2">
      <c r="B350" s="337" t="s">
        <v>2672</v>
      </c>
    </row>
    <row r="351" spans="2:5" x14ac:dyDescent="0.2">
      <c r="B351" s="337" t="s">
        <v>2673</v>
      </c>
      <c r="E351" s="2"/>
    </row>
    <row r="352" spans="2:5" x14ac:dyDescent="0.2">
      <c r="B352" s="337" t="s">
        <v>2674</v>
      </c>
      <c r="E352" s="2"/>
    </row>
    <row r="353" spans="2:5" x14ac:dyDescent="0.2">
      <c r="B353" s="337" t="s">
        <v>2675</v>
      </c>
      <c r="D353" s="3"/>
      <c r="E353" s="2"/>
    </row>
    <row r="354" spans="2:5" x14ac:dyDescent="0.2">
      <c r="B354" s="337" t="s">
        <v>2676</v>
      </c>
      <c r="D354" s="3"/>
      <c r="E354" s="2"/>
    </row>
    <row r="355" spans="2:5" x14ac:dyDescent="0.2">
      <c r="B355" s="337" t="s">
        <v>2677</v>
      </c>
      <c r="D355" s="3"/>
      <c r="E355" s="2"/>
    </row>
    <row r="356" spans="2:5" x14ac:dyDescent="0.2">
      <c r="B356" s="337" t="s">
        <v>2678</v>
      </c>
      <c r="D356" s="3"/>
      <c r="E356" s="2"/>
    </row>
    <row r="357" spans="2:5" x14ac:dyDescent="0.2">
      <c r="B357" s="337" t="s">
        <v>2679</v>
      </c>
      <c r="D357" s="3"/>
      <c r="E357" s="2"/>
    </row>
    <row r="358" spans="2:5" x14ac:dyDescent="0.2">
      <c r="B358" s="337" t="s">
        <v>2680</v>
      </c>
      <c r="D358" s="3"/>
      <c r="E358" s="2"/>
    </row>
    <row r="359" spans="2:5" x14ac:dyDescent="0.2">
      <c r="B359" s="337" t="s">
        <v>2681</v>
      </c>
      <c r="D359" s="3"/>
      <c r="E359" s="2"/>
    </row>
    <row r="360" spans="2:5" x14ac:dyDescent="0.2">
      <c r="B360" s="337" t="s">
        <v>2682</v>
      </c>
      <c r="D360" s="3"/>
      <c r="E360" s="2"/>
    </row>
    <row r="361" spans="2:5" x14ac:dyDescent="0.2">
      <c r="B361" s="337" t="s">
        <v>2683</v>
      </c>
      <c r="D361" s="3"/>
      <c r="E361" s="2"/>
    </row>
    <row r="362" spans="2:5" x14ac:dyDescent="0.2">
      <c r="B362" s="337" t="s">
        <v>2684</v>
      </c>
      <c r="D362" s="3"/>
      <c r="E362" s="2"/>
    </row>
    <row r="363" spans="2:5" x14ac:dyDescent="0.2">
      <c r="B363" s="337" t="s">
        <v>2685</v>
      </c>
      <c r="D363" s="3"/>
      <c r="E363" s="2"/>
    </row>
    <row r="364" spans="2:5" x14ac:dyDescent="0.2">
      <c r="B364" s="337" t="s">
        <v>2686</v>
      </c>
      <c r="D364" s="3"/>
      <c r="E364" s="2"/>
    </row>
    <row r="365" spans="2:5" x14ac:dyDescent="0.2">
      <c r="B365" s="337" t="s">
        <v>2687</v>
      </c>
      <c r="D365" s="3"/>
      <c r="E365" s="2"/>
    </row>
    <row r="366" spans="2:5" x14ac:dyDescent="0.2">
      <c r="B366" s="337" t="s">
        <v>2688</v>
      </c>
      <c r="D366" s="3"/>
      <c r="E366" s="2"/>
    </row>
    <row r="367" spans="2:5" x14ac:dyDescent="0.2">
      <c r="B367" s="337" t="s">
        <v>2689</v>
      </c>
      <c r="D367" s="3"/>
      <c r="E367" s="2"/>
    </row>
    <row r="368" spans="2:5" x14ac:dyDescent="0.2">
      <c r="B368" s="337" t="s">
        <v>2690</v>
      </c>
      <c r="D368" s="3"/>
      <c r="E368" s="2"/>
    </row>
    <row r="369" spans="2:5" x14ac:dyDescent="0.2">
      <c r="B369" s="337" t="s">
        <v>2691</v>
      </c>
      <c r="D369" s="3"/>
      <c r="E369" s="2"/>
    </row>
    <row r="370" spans="2:5" x14ac:dyDescent="0.2">
      <c r="B370" s="337" t="s">
        <v>2692</v>
      </c>
      <c r="D370" s="3"/>
      <c r="E370" s="2"/>
    </row>
    <row r="371" spans="2:5" x14ac:dyDescent="0.2">
      <c r="B371" s="337" t="s">
        <v>2693</v>
      </c>
      <c r="D371" s="3"/>
      <c r="E371" s="2"/>
    </row>
    <row r="372" spans="2:5" x14ac:dyDescent="0.2">
      <c r="B372" s="337" t="s">
        <v>2694</v>
      </c>
      <c r="D372" s="3"/>
      <c r="E372" s="2"/>
    </row>
    <row r="373" spans="2:5" x14ac:dyDescent="0.2">
      <c r="B373" s="337" t="s">
        <v>2695</v>
      </c>
      <c r="D373" s="3"/>
      <c r="E373" s="2"/>
    </row>
    <row r="374" spans="2:5" x14ac:dyDescent="0.2">
      <c r="B374" s="337" t="s">
        <v>2696</v>
      </c>
      <c r="D374" s="3"/>
      <c r="E374" s="2"/>
    </row>
    <row r="375" spans="2:5" ht="17" x14ac:dyDescent="0.2">
      <c r="B375" s="395" t="s">
        <v>2697</v>
      </c>
      <c r="C375" s="3"/>
      <c r="D375" s="3"/>
      <c r="E375" s="2"/>
    </row>
    <row r="376" spans="2:5" x14ac:dyDescent="0.2">
      <c r="B376" s="337">
        <v>1</v>
      </c>
      <c r="C376" s="3"/>
      <c r="D376" s="3"/>
      <c r="E376" s="2"/>
    </row>
    <row r="377" spans="2:5" x14ac:dyDescent="0.2">
      <c r="B377" s="337">
        <v>2</v>
      </c>
      <c r="C377" s="3"/>
      <c r="D377" s="3"/>
      <c r="E377" s="2"/>
    </row>
    <row r="378" spans="2:5" x14ac:dyDescent="0.2">
      <c r="B378" s="337">
        <v>3</v>
      </c>
      <c r="C378" s="3"/>
      <c r="D378" s="3"/>
      <c r="E378" s="2"/>
    </row>
    <row r="379" spans="2:5" x14ac:dyDescent="0.2">
      <c r="B379" s="197" t="s">
        <v>2698</v>
      </c>
      <c r="C379" s="3"/>
      <c r="D379" s="3"/>
      <c r="E379" s="2"/>
    </row>
    <row r="380" spans="2:5" ht="17" x14ac:dyDescent="0.2">
      <c r="B380" s="198" t="s">
        <v>2699</v>
      </c>
      <c r="C380" s="3"/>
      <c r="D380" s="3"/>
      <c r="E380" s="2"/>
    </row>
    <row r="381" spans="2:5" x14ac:dyDescent="0.2">
      <c r="B381" s="197" t="s">
        <v>2700</v>
      </c>
      <c r="C381" s="3"/>
      <c r="D381" s="3"/>
      <c r="E381" s="2"/>
    </row>
    <row r="382" spans="2:5" x14ac:dyDescent="0.2">
      <c r="B382" s="197" t="s">
        <v>2701</v>
      </c>
      <c r="D382" s="3"/>
      <c r="E382" s="2"/>
    </row>
    <row r="383" spans="2:5" x14ac:dyDescent="0.2">
      <c r="B383" s="197" t="s">
        <v>2702</v>
      </c>
      <c r="D383" s="3"/>
      <c r="E383" s="2"/>
    </row>
    <row r="384" spans="2:5" ht="17" x14ac:dyDescent="0.2">
      <c r="B384" s="395" t="s">
        <v>2703</v>
      </c>
      <c r="E384" s="2"/>
    </row>
    <row r="385" spans="2:5" x14ac:dyDescent="0.2">
      <c r="B385" s="337" t="s">
        <v>183</v>
      </c>
      <c r="E385" s="2"/>
    </row>
    <row r="386" spans="2:5" x14ac:dyDescent="0.2">
      <c r="B386" s="337" t="s">
        <v>13</v>
      </c>
      <c r="E386" s="2"/>
    </row>
    <row r="387" spans="2:5" ht="17" x14ac:dyDescent="0.2">
      <c r="B387" s="395" t="s">
        <v>863</v>
      </c>
      <c r="E387" s="2"/>
    </row>
    <row r="388" spans="2:5" x14ac:dyDescent="0.2">
      <c r="B388" s="337" t="s">
        <v>2704</v>
      </c>
      <c r="E388" s="2"/>
    </row>
    <row r="389" spans="2:5" x14ac:dyDescent="0.2">
      <c r="B389" s="337" t="s">
        <v>2705</v>
      </c>
      <c r="E389" s="2"/>
    </row>
    <row r="390" spans="2:5" x14ac:dyDescent="0.2">
      <c r="B390" s="337" t="s">
        <v>2706</v>
      </c>
      <c r="E390" s="2"/>
    </row>
    <row r="391" spans="2:5" x14ac:dyDescent="0.2">
      <c r="B391" s="337" t="s">
        <v>2707</v>
      </c>
      <c r="E391" s="2"/>
    </row>
    <row r="392" spans="2:5" x14ac:dyDescent="0.2">
      <c r="B392" s="337" t="s">
        <v>2708</v>
      </c>
      <c r="E392" s="2"/>
    </row>
    <row r="393" spans="2:5" x14ac:dyDescent="0.2">
      <c r="B393" s="337" t="s">
        <v>2709</v>
      </c>
    </row>
    <row r="394" spans="2:5" x14ac:dyDescent="0.2">
      <c r="B394" s="337" t="s">
        <v>2710</v>
      </c>
    </row>
    <row r="395" spans="2:5" x14ac:dyDescent="0.2">
      <c r="B395" s="337" t="s">
        <v>2711</v>
      </c>
    </row>
    <row r="396" spans="2:5" x14ac:dyDescent="0.2">
      <c r="B396" s="337" t="s">
        <v>2712</v>
      </c>
    </row>
    <row r="397" spans="2:5" x14ac:dyDescent="0.2">
      <c r="B397" s="337" t="s">
        <v>2713</v>
      </c>
    </row>
    <row r="398" spans="2:5" x14ac:dyDescent="0.2">
      <c r="B398" s="337" t="s">
        <v>2714</v>
      </c>
    </row>
    <row r="399" spans="2:5" x14ac:dyDescent="0.2">
      <c r="B399" s="337" t="s">
        <v>2715</v>
      </c>
    </row>
    <row r="400" spans="2:5" x14ac:dyDescent="0.2">
      <c r="B400" s="337" t="s">
        <v>2716</v>
      </c>
    </row>
    <row r="401" spans="2:2" x14ac:dyDescent="0.2">
      <c r="B401" s="337" t="s">
        <v>2717</v>
      </c>
    </row>
    <row r="402" spans="2:2" x14ac:dyDescent="0.2">
      <c r="B402" s="337" t="s">
        <v>864</v>
      </c>
    </row>
    <row r="403" spans="2:2" x14ac:dyDescent="0.2">
      <c r="B403" s="337" t="s">
        <v>2718</v>
      </c>
    </row>
    <row r="404" spans="2:2" x14ac:dyDescent="0.2">
      <c r="B404" s="337" t="s">
        <v>2719</v>
      </c>
    </row>
    <row r="405" spans="2:2" x14ac:dyDescent="0.2">
      <c r="B405" s="337" t="s">
        <v>2720</v>
      </c>
    </row>
    <row r="406" spans="2:2" x14ac:dyDescent="0.2">
      <c r="B406" s="337" t="s">
        <v>2721</v>
      </c>
    </row>
    <row r="407" spans="2:2" x14ac:dyDescent="0.2">
      <c r="B407" s="337" t="s">
        <v>2722</v>
      </c>
    </row>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sheetData>
  <sheetProtection algorithmName="SHA-512" hashValue="0FpMQA9+yznMAD510L+lumyXLr61jtNmhfSkFaewFliEMgEWJGrumhe0QMQpTkUAwJVZ3FqdSaHSJdZYS2KIcw==" saltValue="Wt9KXh4jYoSX6bWXplnq9w==" spinCount="100000" sheet="1" selectLockedCells="1"/>
  <mergeCells count="16">
    <mergeCell ref="F35:G35"/>
    <mergeCell ref="B6:C6"/>
    <mergeCell ref="B2:U2"/>
    <mergeCell ref="B3:U3"/>
    <mergeCell ref="B28:C28"/>
    <mergeCell ref="L6:P6"/>
    <mergeCell ref="L7:L68"/>
    <mergeCell ref="M7:P68"/>
    <mergeCell ref="F26:G26"/>
    <mergeCell ref="F27:G27"/>
    <mergeCell ref="F28:G28"/>
    <mergeCell ref="F29:G29"/>
    <mergeCell ref="F30:G30"/>
    <mergeCell ref="F25:G25"/>
    <mergeCell ref="F33:G33"/>
    <mergeCell ref="F31:G31"/>
  </mergeCells>
  <phoneticPr fontId="9" type="noConversion"/>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79" workbookViewId="0">
      <selection activeCell="C116" sqref="C116"/>
    </sheetView>
  </sheetViews>
  <sheetFormatPr baseColWidth="10" defaultColWidth="11" defaultRowHeight="16" x14ac:dyDescent="0.2"/>
  <cols>
    <col min="2" max="2" width="71.33203125" bestFit="1" customWidth="1"/>
    <col min="3" max="3" width="38.1640625" customWidth="1"/>
    <col min="4" max="4" width="24.1640625" customWidth="1"/>
    <col min="5" max="5" width="73.1640625" bestFit="1" customWidth="1"/>
    <col min="6" max="6" width="24" bestFit="1" customWidth="1"/>
    <col min="7" max="7" width="18.33203125" bestFit="1" customWidth="1"/>
    <col min="8" max="8" width="11" customWidth="1"/>
  </cols>
  <sheetData>
    <row r="1" spans="1:20" s="2" customFormat="1" ht="30" customHeight="1" x14ac:dyDescent="0.2">
      <c r="B1" s="425" t="s">
        <v>2723</v>
      </c>
      <c r="C1" s="426"/>
      <c r="D1" s="426"/>
      <c r="E1" s="426"/>
      <c r="F1" s="426"/>
      <c r="G1" s="426"/>
      <c r="H1" s="426"/>
      <c r="I1" s="426"/>
      <c r="J1" s="427"/>
    </row>
    <row r="2" spans="1:20" s="104" customFormat="1" ht="20" customHeight="1" x14ac:dyDescent="0.2">
      <c r="B2" s="468" t="s">
        <v>2724</v>
      </c>
      <c r="C2" s="469"/>
      <c r="D2" s="469"/>
      <c r="E2" s="469"/>
      <c r="F2" s="469"/>
      <c r="G2" s="469"/>
      <c r="H2" s="469"/>
      <c r="I2" s="469"/>
      <c r="J2" s="470"/>
      <c r="K2" s="2"/>
    </row>
    <row r="3" spans="1:20" s="2" customFormat="1" ht="20" customHeight="1" x14ac:dyDescent="0.2">
      <c r="B3" s="346" t="s">
        <v>2725</v>
      </c>
      <c r="C3" s="346" t="s">
        <v>2726</v>
      </c>
      <c r="D3" s="346" t="s">
        <v>2727</v>
      </c>
      <c r="E3" s="97" t="s">
        <v>2728</v>
      </c>
      <c r="F3" s="346" t="s">
        <v>940</v>
      </c>
      <c r="G3" s="97" t="s">
        <v>941</v>
      </c>
      <c r="H3" s="447" t="s">
        <v>20</v>
      </c>
      <c r="I3" s="448"/>
      <c r="J3" s="449"/>
    </row>
    <row r="4" spans="1:20" s="8" customFormat="1" ht="20" customHeight="1" x14ac:dyDescent="0.2">
      <c r="B4" s="361" t="s">
        <v>1291</v>
      </c>
      <c r="C4" s="9" t="s">
        <v>1905</v>
      </c>
      <c r="D4" s="89" t="str">
        <f>CONCATENATE(this_instance,"-m01-vrms01")</f>
        <v>sfo-m01-vrms01</v>
      </c>
      <c r="E4" s="347"/>
    </row>
    <row r="5" spans="1:20" s="2" customFormat="1" ht="20" customHeight="1" x14ac:dyDescent="0.2">
      <c r="B5" s="361"/>
      <c r="C5" s="9" t="s">
        <v>2729</v>
      </c>
      <c r="D5" s="89" t="s">
        <v>2729</v>
      </c>
      <c r="E5" s="206" t="s">
        <v>2729</v>
      </c>
      <c r="F5" s="89" t="str">
        <f>CONCATENATE(prefix_mgmt_az1_cidr,"16.125")</f>
        <v>10.11.16.125</v>
      </c>
      <c r="G5" s="347"/>
      <c r="H5" s="436" t="s">
        <v>2730</v>
      </c>
      <c r="I5" s="624"/>
      <c r="J5" s="437"/>
    </row>
    <row r="6" spans="1:20" s="2" customFormat="1" ht="20" customHeight="1" x14ac:dyDescent="0.2">
      <c r="B6" s="361" t="s">
        <v>2109</v>
      </c>
      <c r="C6" s="9" t="s">
        <v>1905</v>
      </c>
      <c r="F6" s="89" t="str">
        <f>IF(mgmt_dpg_reuse_result="Included",CONCATENATE(prefix_mgmt_az1_cidr,"10.126"),CONCATENATE(prefix_mgmt_az1_cidr,"11.126"))</f>
        <v>10.11.10.126</v>
      </c>
      <c r="G6" s="347"/>
      <c r="H6" s="436" t="s">
        <v>2731</v>
      </c>
      <c r="I6" s="624"/>
      <c r="J6" s="437"/>
    </row>
    <row r="7" spans="1:20" s="2" customFormat="1" ht="20" customHeight="1" x14ac:dyDescent="0.2">
      <c r="B7" s="361" t="s">
        <v>2732</v>
      </c>
      <c r="C7" s="9"/>
      <c r="D7" s="89" t="s">
        <v>2729</v>
      </c>
      <c r="E7" s="206" t="s">
        <v>2729</v>
      </c>
      <c r="F7" s="89" t="str">
        <f>IF(mgmt_vns_chosen="VLAN-Backed",CONCATENATE(prefix_mgmt_az1_cidr,"99.3"),CONCATENATE(prefix_xreg_cidr,".3"))</f>
        <v>192.168.11.3</v>
      </c>
      <c r="G7" s="347"/>
      <c r="H7" s="436"/>
      <c r="I7" s="624"/>
      <c r="J7" s="437"/>
      <c r="Q7" s="4" t="s">
        <v>1953</v>
      </c>
      <c r="R7" s="9" t="s">
        <v>632</v>
      </c>
      <c r="S7" s="347"/>
      <c r="T7" s="337"/>
    </row>
    <row r="8" spans="1:20" s="2" customFormat="1" ht="20" customHeight="1" x14ac:dyDescent="0.2">
      <c r="B8" s="468" t="s">
        <v>1617</v>
      </c>
      <c r="C8" s="469"/>
      <c r="D8" s="469"/>
      <c r="E8" s="469"/>
      <c r="F8" s="469"/>
      <c r="G8" s="469"/>
      <c r="H8" s="469"/>
      <c r="I8" s="469"/>
      <c r="J8" s="470"/>
    </row>
    <row r="9" spans="1:20" s="2" customFormat="1" ht="20" customHeight="1" x14ac:dyDescent="0.2">
      <c r="B9" s="346" t="s">
        <v>2725</v>
      </c>
      <c r="C9" s="346" t="s">
        <v>2726</v>
      </c>
      <c r="D9" s="346" t="s">
        <v>2727</v>
      </c>
      <c r="E9" s="97" t="s">
        <v>2728</v>
      </c>
      <c r="F9" s="346" t="s">
        <v>940</v>
      </c>
      <c r="G9" s="97" t="s">
        <v>941</v>
      </c>
      <c r="H9" s="447" t="s">
        <v>20</v>
      </c>
      <c r="I9" s="448"/>
      <c r="J9" s="449"/>
    </row>
    <row r="10" spans="1:20" s="2" customFormat="1" ht="20" customHeight="1" x14ac:dyDescent="0.2">
      <c r="B10" s="361" t="s">
        <v>1291</v>
      </c>
      <c r="C10" s="9" t="s">
        <v>1905</v>
      </c>
      <c r="D10" s="89" t="str">
        <f>CONCATENATE(this_instance,"-w0",wld_domain_number_chosen,"-vrms01")</f>
        <v>sfo-w01-vrms01</v>
      </c>
      <c r="E10" s="347"/>
      <c r="F10" s="89" t="str">
        <f>IF(mgmt_dpg_reuse_result="Included",CONCATENATE(prefix_wld_az1_cidr,"10.125"),CONCATENATE(prefix_wld_az1_cidr,"11.125"))</f>
        <v>10.13.10.125</v>
      </c>
      <c r="G10" s="347"/>
      <c r="H10" s="436" t="s">
        <v>2733</v>
      </c>
      <c r="I10" s="624"/>
      <c r="J10" s="437"/>
    </row>
    <row r="11" spans="1:20" s="2" customFormat="1" ht="16" customHeight="1" x14ac:dyDescent="0.2">
      <c r="B11" s="361"/>
      <c r="C11" s="9" t="s">
        <v>2729</v>
      </c>
      <c r="D11" s="89" t="s">
        <v>2729</v>
      </c>
      <c r="E11" s="206" t="s">
        <v>2729</v>
      </c>
      <c r="F11" s="89" t="str">
        <f>CONCATENATE(prefix_wld_az1_cidr,"16.125")</f>
        <v>10.13.16.125</v>
      </c>
      <c r="G11" s="347"/>
      <c r="H11" s="436" t="s">
        <v>2734</v>
      </c>
      <c r="I11" s="624"/>
      <c r="J11" s="437"/>
    </row>
    <row r="12" spans="1:20" s="8" customFormat="1" ht="30" customHeight="1" x14ac:dyDescent="0.2">
      <c r="B12" s="361" t="s">
        <v>2109</v>
      </c>
      <c r="C12" s="9" t="s">
        <v>1905</v>
      </c>
      <c r="D12" s="89" t="str">
        <f>CONCATENATE(this_instance,"-w0",wld_domain_number_chosen,"-srm01")</f>
        <v>sfo-w01-srm01</v>
      </c>
      <c r="E12" s="347"/>
      <c r="F12" s="89" t="str">
        <f>IF(mgmt_dpg_reuse_result="Included",CONCATENATE(prefix_mgmt_az1_cidr,"10.",(127 + (30*(wld_domain_number_chosen - 1)))),CONCATENATE(prefix_mgmt_az1_cidr,"11.",(127 + (30*(wld_domain_number_chosen - 1)))))</f>
        <v>10.11.10.127</v>
      </c>
      <c r="G12" s="347"/>
      <c r="H12" s="436" t="s">
        <v>2735</v>
      </c>
      <c r="I12" s="624"/>
      <c r="J12" s="437"/>
    </row>
    <row r="13" spans="1:20" s="8" customFormat="1" ht="30" customHeight="1" x14ac:dyDescent="0.2">
      <c r="B13" s="2"/>
      <c r="C13" s="2"/>
      <c r="D13" s="2"/>
      <c r="E13" s="2"/>
      <c r="F13" s="2"/>
      <c r="G13" s="2"/>
      <c r="H13" s="2"/>
      <c r="I13" s="2"/>
      <c r="J13" s="2"/>
      <c r="K13" s="2"/>
      <c r="L13" s="2"/>
    </row>
    <row r="14" spans="1:20" s="2" customFormat="1" ht="20" customHeight="1" x14ac:dyDescent="0.2">
      <c r="B14" s="579" t="s">
        <v>2736</v>
      </c>
      <c r="C14" s="592"/>
      <c r="D14" s="592"/>
      <c r="E14" s="580"/>
    </row>
    <row r="15" spans="1:20" s="2" customFormat="1" ht="20" customHeight="1" x14ac:dyDescent="0.2">
      <c r="A15" s="104"/>
      <c r="B15" s="166" t="s">
        <v>261</v>
      </c>
      <c r="C15" s="166" t="s">
        <v>262</v>
      </c>
      <c r="D15" s="167" t="s">
        <v>19</v>
      </c>
      <c r="E15" s="166" t="s">
        <v>20</v>
      </c>
    </row>
    <row r="16" spans="1:20" s="2" customFormat="1" ht="20" customHeight="1" x14ac:dyDescent="0.2">
      <c r="B16" s="621" t="s">
        <v>2737</v>
      </c>
      <c r="C16" s="622"/>
      <c r="D16" s="622"/>
      <c r="E16" s="623"/>
    </row>
    <row r="17" spans="1:9" s="2" customFormat="1" ht="20" customHeight="1" x14ac:dyDescent="0.2">
      <c r="A17" s="8"/>
      <c r="B17" s="4" t="s">
        <v>1845</v>
      </c>
      <c r="C17" s="9" t="str">
        <f>CONCATENATE(other_instance,"-vcf01.",other_instance,".",sample_parent_dns_zone)</f>
        <v>lax-vcf01.lax.rainpole.io</v>
      </c>
      <c r="D17" s="347"/>
      <c r="E17" s="337"/>
      <c r="F17" s="8"/>
      <c r="G17" s="8"/>
      <c r="H17" s="8"/>
      <c r="I17" s="8"/>
    </row>
    <row r="18" spans="1:9" s="2" customFormat="1" ht="20" customHeight="1" x14ac:dyDescent="0.2">
      <c r="B18" s="4" t="s">
        <v>1850</v>
      </c>
      <c r="C18" s="9" t="s">
        <v>1844</v>
      </c>
      <c r="D18" s="347"/>
      <c r="E18" s="337"/>
    </row>
    <row r="19" spans="1:9" s="2" customFormat="1" ht="20" customHeight="1" x14ac:dyDescent="0.2">
      <c r="B19" s="4" t="s">
        <v>1855</v>
      </c>
      <c r="C19" s="9" t="s">
        <v>30</v>
      </c>
      <c r="D19" s="347"/>
      <c r="E19" s="337"/>
    </row>
    <row r="20" spans="1:9" s="2" customFormat="1" ht="20" customHeight="1" x14ac:dyDescent="0.2">
      <c r="B20" s="4" t="s">
        <v>1867</v>
      </c>
      <c r="E20" s="337"/>
    </row>
    <row r="21" spans="1:9" s="8" customFormat="1" ht="20" customHeight="1" x14ac:dyDescent="0.2">
      <c r="A21" s="2"/>
      <c r="B21" s="4" t="s">
        <v>1871</v>
      </c>
      <c r="E21" s="337"/>
      <c r="F21" s="2"/>
      <c r="G21" s="2"/>
      <c r="H21" s="2"/>
      <c r="I21" s="2"/>
    </row>
    <row r="22" spans="1:9" s="2" customFormat="1" ht="20" customHeight="1" x14ac:dyDescent="0.2">
      <c r="B22" s="4" t="s">
        <v>1876</v>
      </c>
      <c r="E22" s="337"/>
    </row>
    <row r="23" spans="1:9" s="2" customFormat="1" ht="20" customHeight="1" x14ac:dyDescent="0.2">
      <c r="B23" s="4" t="s">
        <v>1879</v>
      </c>
      <c r="E23" s="337"/>
    </row>
    <row r="24" spans="1:9" s="2" customFormat="1" ht="20" customHeight="1" x14ac:dyDescent="0.2"/>
    <row r="25" spans="1:9" s="2" customFormat="1" ht="20" customHeight="1" x14ac:dyDescent="0.2">
      <c r="A25" s="8"/>
      <c r="B25" s="579" t="s">
        <v>2738</v>
      </c>
      <c r="C25" s="592"/>
      <c r="D25" s="592"/>
      <c r="E25" s="580"/>
      <c r="F25" s="8"/>
      <c r="G25" s="8"/>
      <c r="H25" s="8"/>
      <c r="I25" s="8"/>
    </row>
    <row r="26" spans="1:9" s="2" customFormat="1" ht="20" customHeight="1" x14ac:dyDescent="0.2">
      <c r="B26" s="166" t="s">
        <v>261</v>
      </c>
      <c r="C26" s="166" t="s">
        <v>262</v>
      </c>
      <c r="D26" s="167" t="s">
        <v>19</v>
      </c>
      <c r="E26" s="166" t="s">
        <v>20</v>
      </c>
    </row>
    <row r="27" spans="1:9" s="2" customFormat="1" ht="20" customHeight="1" x14ac:dyDescent="0.2">
      <c r="B27" s="621" t="s">
        <v>2739</v>
      </c>
      <c r="C27" s="622"/>
      <c r="D27" s="622"/>
      <c r="E27" s="623"/>
    </row>
    <row r="28" spans="1:9" s="2" customFormat="1" ht="20" customHeight="1" x14ac:dyDescent="0.2">
      <c r="B28" s="4" t="s">
        <v>2740</v>
      </c>
      <c r="C28" s="9" t="str">
        <f>CONCATENATE(this_instance,"-m01-fd-vrms")</f>
        <v>sfo-m01-fd-vrms</v>
      </c>
      <c r="D28" s="347"/>
      <c r="E28" s="337"/>
    </row>
    <row r="29" spans="1:9" s="2" customFormat="1" ht="20" customHeight="1" x14ac:dyDescent="0.2">
      <c r="B29" s="4" t="s">
        <v>2741</v>
      </c>
      <c r="C29" s="9" t="s">
        <v>30</v>
      </c>
      <c r="D29" s="347"/>
      <c r="E29" s="337"/>
    </row>
    <row r="30" spans="1:9" s="2" customFormat="1" ht="20" customHeight="1" x14ac:dyDescent="0.2">
      <c r="B30" s="4" t="s">
        <v>2742</v>
      </c>
      <c r="C30" s="9" t="s">
        <v>30</v>
      </c>
      <c r="D30" s="347"/>
      <c r="E30" s="337"/>
    </row>
    <row r="31" spans="1:9" s="2" customFormat="1" ht="20" customHeight="1" x14ac:dyDescent="0.2">
      <c r="B31" s="4" t="s">
        <v>2743</v>
      </c>
      <c r="E31" s="337"/>
    </row>
    <row r="32" spans="1:9" s="2" customFormat="1" ht="20" customHeight="1" x14ac:dyDescent="0.2">
      <c r="B32" s="4" t="s">
        <v>2744</v>
      </c>
      <c r="E32" s="337"/>
    </row>
    <row r="33" spans="1:9" s="2" customFormat="1" ht="20" customHeight="1" x14ac:dyDescent="0.2">
      <c r="A33" s="8"/>
      <c r="B33" s="4" t="s">
        <v>2745</v>
      </c>
      <c r="E33" s="337"/>
      <c r="F33" s="8"/>
      <c r="G33" s="8"/>
      <c r="H33" s="8"/>
      <c r="I33" s="8"/>
    </row>
    <row r="34" spans="1:9" s="2" customFormat="1" ht="20" customHeight="1" x14ac:dyDescent="0.2">
      <c r="B34" s="4" t="s">
        <v>2746</v>
      </c>
      <c r="C34" s="9" t="s">
        <v>30</v>
      </c>
      <c r="D34" s="347"/>
      <c r="E34" s="337"/>
    </row>
    <row r="35" spans="1:9" s="2" customFormat="1" ht="20" customHeight="1" x14ac:dyDescent="0.2">
      <c r="B35" s="621" t="s">
        <v>2109</v>
      </c>
      <c r="C35" s="622"/>
      <c r="D35" s="622"/>
      <c r="E35" s="623"/>
    </row>
    <row r="36" spans="1:9" s="2" customFormat="1" ht="20" customHeight="1" x14ac:dyDescent="0.2">
      <c r="B36" s="4" t="s">
        <v>2740</v>
      </c>
      <c r="C36" s="9" t="str">
        <f>CONCATENATE(this_instance,"-m01-fd-srm")</f>
        <v>sfo-m01-fd-srm</v>
      </c>
      <c r="D36" s="347"/>
      <c r="E36" s="337"/>
    </row>
    <row r="37" spans="1:9" s="2" customFormat="1" ht="20" customHeight="1" x14ac:dyDescent="0.2">
      <c r="B37" s="4" t="s">
        <v>2741</v>
      </c>
      <c r="C37" s="144" t="s">
        <v>141</v>
      </c>
      <c r="D37" s="347"/>
      <c r="E37" s="337"/>
    </row>
    <row r="38" spans="1:9" s="2" customFormat="1" ht="20" customHeight="1" x14ac:dyDescent="0.2">
      <c r="B38" s="4" t="s">
        <v>2742</v>
      </c>
      <c r="C38" s="144" t="s">
        <v>30</v>
      </c>
      <c r="D38" s="347"/>
      <c r="E38" s="337"/>
    </row>
    <row r="39" spans="1:9" s="2" customFormat="1" ht="20" customHeight="1" x14ac:dyDescent="0.2">
      <c r="B39" s="4" t="s">
        <v>2747</v>
      </c>
      <c r="C39" s="9" t="s">
        <v>30</v>
      </c>
      <c r="D39" s="347"/>
      <c r="E39" s="337"/>
    </row>
    <row r="40" spans="1:9" s="2" customFormat="1" ht="20" customHeight="1" x14ac:dyDescent="0.2">
      <c r="B40" s="4" t="s">
        <v>2743</v>
      </c>
      <c r="C40" s="9" t="str">
        <f>UPPER(sample_mgmt_sddc_domain)</f>
        <v>SFO-M01</v>
      </c>
      <c r="D40" s="347"/>
      <c r="E40" s="337"/>
    </row>
    <row r="41" spans="1:9" s="2" customFormat="1" ht="20" customHeight="1" x14ac:dyDescent="0.2">
      <c r="B41" s="4" t="s">
        <v>2744</v>
      </c>
      <c r="C41" s="9" t="str">
        <f>CONCATENATE("srm-administrator@",sample_parent_dns_zone)</f>
        <v>srm-administrator@rainpole.io</v>
      </c>
      <c r="D41" s="347"/>
      <c r="E41" s="337"/>
    </row>
    <row r="42" spans="1:9" s="2" customFormat="1" ht="20" customHeight="1" x14ac:dyDescent="0.2">
      <c r="B42" s="4" t="s">
        <v>2746</v>
      </c>
      <c r="C42" s="9" t="s">
        <v>30</v>
      </c>
      <c r="D42" s="347"/>
      <c r="E42" s="337"/>
    </row>
    <row r="43" spans="1:9" s="2" customFormat="1" ht="20" customHeight="1" x14ac:dyDescent="0.2">
      <c r="B43" s="4" t="s">
        <v>1973</v>
      </c>
      <c r="E43" s="337"/>
    </row>
    <row r="44" spans="1:9" s="2" customFormat="1" ht="20" customHeight="1" x14ac:dyDescent="0.2">
      <c r="B44" s="4" t="s">
        <v>1978</v>
      </c>
      <c r="E44" s="337"/>
    </row>
    <row r="45" spans="1:9" s="2" customFormat="1" ht="20" customHeight="1" x14ac:dyDescent="0.2">
      <c r="B45" s="4" t="s">
        <v>1984</v>
      </c>
      <c r="E45" s="337"/>
    </row>
    <row r="46" spans="1:9" s="2" customFormat="1" ht="20" customHeight="1" x14ac:dyDescent="0.2">
      <c r="B46" s="4" t="s">
        <v>2748</v>
      </c>
      <c r="C46" s="9" t="s">
        <v>2749</v>
      </c>
      <c r="D46" s="347"/>
      <c r="E46" s="337"/>
    </row>
    <row r="47" spans="1:9" s="2" customFormat="1" ht="20" customHeight="1" x14ac:dyDescent="0.2">
      <c r="B47" s="4" t="s">
        <v>2750</v>
      </c>
      <c r="C47" s="9" t="s">
        <v>2751</v>
      </c>
      <c r="D47" s="347"/>
      <c r="E47" s="337"/>
    </row>
    <row r="48" spans="1:9" s="2" customFormat="1" ht="20" customHeight="1" x14ac:dyDescent="0.2">
      <c r="B48" s="4" t="s">
        <v>1996</v>
      </c>
      <c r="E48" s="337"/>
    </row>
    <row r="49" spans="2:5" s="2" customFormat="1" ht="20" customHeight="1" x14ac:dyDescent="0.2">
      <c r="B49" s="4" t="s">
        <v>2000</v>
      </c>
      <c r="E49" s="337"/>
    </row>
    <row r="50" spans="2:5" s="2" customFormat="1" ht="20" customHeight="1" x14ac:dyDescent="0.2">
      <c r="B50" s="4" t="s">
        <v>2005</v>
      </c>
      <c r="C50" s="9" t="s">
        <v>2752</v>
      </c>
      <c r="D50" s="347"/>
      <c r="E50" s="337"/>
    </row>
    <row r="51" spans="2:5" s="2" customFormat="1" ht="20" customHeight="1" x14ac:dyDescent="0.2">
      <c r="B51" s="4" t="s">
        <v>2009</v>
      </c>
      <c r="C51" s="9" t="s">
        <v>2753</v>
      </c>
      <c r="D51" s="347"/>
      <c r="E51" s="337"/>
    </row>
    <row r="52" spans="2:5" s="2" customFormat="1" ht="20" customHeight="1" x14ac:dyDescent="0.2">
      <c r="B52" s="621" t="s">
        <v>2754</v>
      </c>
      <c r="C52" s="622"/>
      <c r="D52" s="622"/>
      <c r="E52" s="623"/>
    </row>
    <row r="53" spans="2:5" s="2" customFormat="1" ht="16" customHeight="1" x14ac:dyDescent="0.2">
      <c r="B53" s="4" t="s">
        <v>2755</v>
      </c>
      <c r="C53" s="9" t="s">
        <v>2756</v>
      </c>
      <c r="D53" s="347"/>
      <c r="E53" s="337" t="s">
        <v>2757</v>
      </c>
    </row>
    <row r="54" spans="2:5" s="2" customFormat="1" ht="30" customHeight="1" x14ac:dyDescent="0.2">
      <c r="B54" s="621" t="s">
        <v>2737</v>
      </c>
      <c r="C54" s="622"/>
      <c r="D54" s="622"/>
      <c r="E54" s="623"/>
    </row>
    <row r="55" spans="2:5" s="2" customFormat="1" ht="20" customHeight="1" x14ac:dyDescent="0.2">
      <c r="B55" s="4" t="s">
        <v>2015</v>
      </c>
      <c r="E55" s="337"/>
    </row>
    <row r="56" spans="2:5" s="2" customFormat="1" ht="20" customHeight="1" x14ac:dyDescent="0.2">
      <c r="B56" s="4" t="s">
        <v>2018</v>
      </c>
      <c r="E56" s="337"/>
    </row>
    <row r="57" spans="2:5" s="2" customFormat="1" ht="20" customHeight="1" x14ac:dyDescent="0.2">
      <c r="B57" s="4" t="s">
        <v>2020</v>
      </c>
      <c r="E57" s="337"/>
    </row>
    <row r="58" spans="2:5" s="2" customFormat="1" ht="20" customHeight="1" x14ac:dyDescent="0.2">
      <c r="B58" s="4" t="s">
        <v>2024</v>
      </c>
      <c r="C58" s="9" t="str">
        <f>CONCATENATE(other_instance,"-m01")</f>
        <v>lax-m01</v>
      </c>
      <c r="D58" s="347"/>
      <c r="E58" s="337"/>
    </row>
    <row r="59" spans="2:5" s="2" customFormat="1" ht="20" customHeight="1" x14ac:dyDescent="0.2">
      <c r="B59" s="4" t="s">
        <v>2029</v>
      </c>
      <c r="C59" s="9" t="str">
        <f>CONCATENATE(other_instance,"-m01")</f>
        <v>lax-m01</v>
      </c>
      <c r="D59" s="347"/>
      <c r="E59" s="337"/>
    </row>
    <row r="60" spans="2:5" s="2" customFormat="1" ht="20" customHeight="1" x14ac:dyDescent="0.2">
      <c r="B60" s="4" t="s">
        <v>2033</v>
      </c>
      <c r="C60" s="9" t="str">
        <f>CONCATENATE(other_instance,"-m01-ec01")</f>
        <v>lax-m01-ec01</v>
      </c>
      <c r="D60" s="347"/>
      <c r="E60" s="337"/>
    </row>
    <row r="61" spans="2:5" s="2" customFormat="1" ht="20" customHeight="1" x14ac:dyDescent="0.2">
      <c r="B61" s="4" t="s">
        <v>2037</v>
      </c>
      <c r="E61" s="337"/>
    </row>
    <row r="62" spans="2:5" s="2" customFormat="1" ht="20" customHeight="1" x14ac:dyDescent="0.2">
      <c r="B62" s="4" t="s">
        <v>2042</v>
      </c>
      <c r="E62" s="337"/>
    </row>
    <row r="63" spans="2:5" s="2" customFormat="1" ht="20" customHeight="1" x14ac:dyDescent="0.2">
      <c r="B63" s="4" t="s">
        <v>2046</v>
      </c>
      <c r="C63" s="9" t="str">
        <f>CONCATENATE(prefix_other_region_az1_cidr,"16.0/24")</f>
        <v>10.21.16.0/24</v>
      </c>
      <c r="D63" s="347"/>
      <c r="E63" s="337"/>
    </row>
    <row r="64" spans="2:5" s="2" customFormat="1" ht="20" customHeight="1" x14ac:dyDescent="0.2">
      <c r="B64" s="4" t="s">
        <v>2758</v>
      </c>
      <c r="C64" s="9" t="s">
        <v>2759</v>
      </c>
      <c r="D64" s="347"/>
      <c r="E64" s="337"/>
    </row>
    <row r="65" spans="1:9" s="2" customFormat="1" ht="20" customHeight="1" x14ac:dyDescent="0.2"/>
    <row r="66" spans="1:9" s="2" customFormat="1" ht="20" customHeight="1" x14ac:dyDescent="0.2">
      <c r="B66" s="579" t="s">
        <v>2760</v>
      </c>
      <c r="C66" s="592"/>
      <c r="D66" s="592"/>
      <c r="E66" s="580"/>
    </row>
    <row r="67" spans="1:9" s="2" customFormat="1" ht="20" customHeight="1" x14ac:dyDescent="0.2">
      <c r="B67" s="166" t="s">
        <v>261</v>
      </c>
      <c r="C67" s="166" t="s">
        <v>1027</v>
      </c>
      <c r="D67" s="167" t="s">
        <v>19</v>
      </c>
      <c r="E67" s="166" t="s">
        <v>20</v>
      </c>
    </row>
    <row r="68" spans="1:9" s="2" customFormat="1" ht="20" customHeight="1" x14ac:dyDescent="0.2">
      <c r="B68" s="621" t="s">
        <v>2739</v>
      </c>
      <c r="C68" s="622"/>
      <c r="D68" s="622"/>
      <c r="E68" s="623"/>
    </row>
    <row r="69" spans="1:9" s="2" customFormat="1" ht="20" customHeight="1" x14ac:dyDescent="0.2">
      <c r="B69" s="4" t="s">
        <v>2740</v>
      </c>
      <c r="C69" s="9" t="str">
        <f>CONCATENATE(this_instance,"-w0",wld_domain_number_chosen,"-fd-vrms")</f>
        <v>sfo-w01-fd-vrms</v>
      </c>
      <c r="D69" s="347"/>
      <c r="E69" s="337"/>
    </row>
    <row r="70" spans="1:9" s="2" customFormat="1" ht="20" customHeight="1" x14ac:dyDescent="0.2">
      <c r="B70" s="4" t="s">
        <v>2741</v>
      </c>
      <c r="C70" s="9" t="s">
        <v>30</v>
      </c>
      <c r="D70" s="347"/>
      <c r="E70" s="337"/>
    </row>
    <row r="71" spans="1:9" s="2" customFormat="1" ht="20" customHeight="1" x14ac:dyDescent="0.2">
      <c r="B71" s="4" t="s">
        <v>2742</v>
      </c>
      <c r="C71" s="9" t="s">
        <v>30</v>
      </c>
      <c r="D71" s="347"/>
      <c r="E71" s="337"/>
    </row>
    <row r="72" spans="1:9" s="2" customFormat="1" ht="20" customHeight="1" x14ac:dyDescent="0.2">
      <c r="B72" s="4" t="s">
        <v>2743</v>
      </c>
      <c r="C72" s="9" t="str">
        <f>UPPER(sample_wld_sddc_domain)</f>
        <v>SFO-W01</v>
      </c>
      <c r="D72" s="347"/>
      <c r="E72" s="337"/>
    </row>
    <row r="73" spans="1:9" s="2" customFormat="1" ht="20" customHeight="1" x14ac:dyDescent="0.2">
      <c r="B73" s="4" t="s">
        <v>2744</v>
      </c>
      <c r="C73" s="9" t="str">
        <f>CONCATENATE("vrms-administrator@",sample_parent_dns_zone)</f>
        <v>vrms-administrator@rainpole.io</v>
      </c>
      <c r="D73" s="347"/>
      <c r="E73" s="337"/>
    </row>
    <row r="74" spans="1:9" s="2" customFormat="1" ht="20" customHeight="1" x14ac:dyDescent="0.2">
      <c r="B74" s="4" t="s">
        <v>2745</v>
      </c>
      <c r="C74" s="9" t="str">
        <f>CONCATENATE(this_instance,"-w01-cl01-vds01-pg-vrms")</f>
        <v>sfo-w01-cl01-vds01-pg-vrms</v>
      </c>
      <c r="D74" s="347"/>
      <c r="E74" s="337"/>
    </row>
    <row r="75" spans="1:9" s="2" customFormat="1" ht="20" customHeight="1" x14ac:dyDescent="0.2">
      <c r="B75" s="4" t="s">
        <v>2746</v>
      </c>
      <c r="C75" s="9" t="s">
        <v>30</v>
      </c>
      <c r="D75" s="347"/>
      <c r="E75" s="337"/>
    </row>
    <row r="76" spans="1:9" s="2" customFormat="1" ht="20" customHeight="1" x14ac:dyDescent="0.2">
      <c r="B76" s="621" t="s">
        <v>2109</v>
      </c>
      <c r="C76" s="622"/>
      <c r="D76" s="622"/>
      <c r="E76" s="623"/>
    </row>
    <row r="77" spans="1:9" s="2" customFormat="1" ht="20" customHeight="1" x14ac:dyDescent="0.2">
      <c r="B77" s="4" t="s">
        <v>2740</v>
      </c>
      <c r="C77" s="9" t="str">
        <f>CONCATENATE(this_instance,"-w0",wld_domain_number_chosen,"-fd-srm")</f>
        <v>sfo-w01-fd-srm</v>
      </c>
      <c r="D77" s="347"/>
      <c r="E77" s="337"/>
    </row>
    <row r="78" spans="1:9" s="8" customFormat="1" ht="16" customHeight="1" x14ac:dyDescent="0.2">
      <c r="A78" s="2"/>
      <c r="B78" s="4" t="s">
        <v>2741</v>
      </c>
      <c r="C78" s="9" t="s">
        <v>30</v>
      </c>
      <c r="D78" s="347"/>
      <c r="E78" s="337"/>
      <c r="F78" s="2"/>
      <c r="G78" s="2"/>
      <c r="H78" s="2"/>
      <c r="I78" s="2"/>
    </row>
    <row r="79" spans="1:9" s="8" customFormat="1" ht="34" customHeight="1" x14ac:dyDescent="0.2">
      <c r="A79" s="2"/>
      <c r="B79" s="4" t="s">
        <v>2742</v>
      </c>
      <c r="C79" s="9" t="s">
        <v>30</v>
      </c>
      <c r="D79" s="347"/>
      <c r="E79" s="337"/>
      <c r="F79" s="2"/>
      <c r="G79" s="2"/>
      <c r="H79" s="2"/>
      <c r="I79" s="2"/>
    </row>
    <row r="80" spans="1:9" s="8" customFormat="1" ht="16" customHeight="1" x14ac:dyDescent="0.2">
      <c r="A80" s="2"/>
      <c r="B80" s="4" t="s">
        <v>2747</v>
      </c>
      <c r="C80" s="9" t="s">
        <v>30</v>
      </c>
      <c r="D80" s="347"/>
      <c r="E80" s="337"/>
      <c r="F80" s="2"/>
      <c r="G80" s="2"/>
      <c r="H80" s="2"/>
      <c r="I80" s="2"/>
    </row>
    <row r="81" spans="1:9" s="8" customFormat="1" ht="34" customHeight="1" x14ac:dyDescent="0.2">
      <c r="A81" s="2"/>
      <c r="B81" s="4" t="s">
        <v>2743</v>
      </c>
      <c r="C81" s="9" t="str">
        <f>UPPER(sample_wld_sddc_domain)</f>
        <v>SFO-W01</v>
      </c>
      <c r="D81" s="347"/>
      <c r="E81" s="337"/>
      <c r="F81" s="2"/>
      <c r="G81" s="2"/>
      <c r="H81" s="2"/>
      <c r="I81" s="2"/>
    </row>
    <row r="82" spans="1:9" s="8" customFormat="1" ht="16" customHeight="1" x14ac:dyDescent="0.2">
      <c r="A82" s="2"/>
      <c r="B82" s="4" t="s">
        <v>2744</v>
      </c>
      <c r="C82" s="9" t="str">
        <f>CONCATENATE("srm-administrator@",sample_parent_dns_zone)</f>
        <v>srm-administrator@rainpole.io</v>
      </c>
      <c r="D82" s="347"/>
      <c r="E82" s="337"/>
      <c r="F82" s="2"/>
      <c r="G82" s="2"/>
      <c r="H82" s="2"/>
      <c r="I82" s="2"/>
    </row>
    <row r="83" spans="1:9" s="8" customFormat="1" ht="34" customHeight="1" x14ac:dyDescent="0.2">
      <c r="A83" s="2"/>
      <c r="B83" s="4" t="s">
        <v>2746</v>
      </c>
      <c r="C83" s="9" t="s">
        <v>30</v>
      </c>
      <c r="D83" s="347"/>
      <c r="E83" s="337"/>
      <c r="F83" s="2"/>
      <c r="G83" s="2"/>
      <c r="H83" s="2"/>
      <c r="I83" s="2"/>
    </row>
    <row r="84" spans="1:9" s="8" customFormat="1" ht="20" customHeight="1" x14ac:dyDescent="0.2">
      <c r="A84" s="2"/>
      <c r="B84" s="621" t="s">
        <v>2737</v>
      </c>
      <c r="C84" s="622"/>
      <c r="D84" s="622"/>
      <c r="E84" s="623"/>
      <c r="F84" s="2"/>
      <c r="G84" s="2"/>
      <c r="H84" s="2"/>
      <c r="I84" s="2"/>
    </row>
    <row r="85" spans="1:9" s="8" customFormat="1" ht="20" customHeight="1" x14ac:dyDescent="0.2">
      <c r="A85" s="2"/>
      <c r="B85" s="4" t="s">
        <v>2015</v>
      </c>
      <c r="C85" s="9" t="str">
        <f>CONCATENATE(other_instance,"-w01-vc01.",other_instance,".",sample_parent_dns_zone)</f>
        <v>lax-w01-vc01.lax.rainpole.io</v>
      </c>
      <c r="D85" s="347"/>
      <c r="E85" s="337"/>
      <c r="F85" s="2"/>
      <c r="G85" s="2"/>
      <c r="H85" s="2"/>
      <c r="I85" s="2"/>
    </row>
    <row r="86" spans="1:9" s="8" customFormat="1" ht="20" customHeight="1" x14ac:dyDescent="0.2">
      <c r="A86" s="2"/>
      <c r="B86" s="4" t="s">
        <v>2018</v>
      </c>
      <c r="C86" s="9" t="s">
        <v>1844</v>
      </c>
      <c r="D86" s="347"/>
      <c r="E86" s="337"/>
      <c r="F86" s="2"/>
      <c r="G86" s="2"/>
      <c r="H86" s="2"/>
      <c r="I86" s="2"/>
    </row>
    <row r="87" spans="1:9" s="8" customFormat="1" ht="20" customHeight="1" x14ac:dyDescent="0.2">
      <c r="A87" s="2"/>
      <c r="B87" s="4" t="s">
        <v>2020</v>
      </c>
      <c r="C87" s="9" t="s">
        <v>30</v>
      </c>
      <c r="D87" s="347"/>
      <c r="E87" s="337"/>
      <c r="F87" s="2"/>
      <c r="G87" s="2"/>
      <c r="H87" s="2"/>
      <c r="I87" s="2"/>
    </row>
    <row r="88" spans="1:9" s="8" customFormat="1" ht="16" customHeight="1" x14ac:dyDescent="0.2">
      <c r="A88" s="2"/>
      <c r="B88" s="4" t="s">
        <v>2046</v>
      </c>
      <c r="C88" s="9" t="str">
        <f>CONCATENATE(prefix_other_region_az1_cidr,"9.0/24")</f>
        <v>10.21.9.0/24</v>
      </c>
      <c r="D88" s="347"/>
      <c r="E88" s="337"/>
      <c r="F88" s="2"/>
      <c r="G88" s="2"/>
      <c r="H88" s="2"/>
      <c r="I88" s="2"/>
    </row>
    <row r="89" spans="1:9" s="8" customFormat="1" ht="34" customHeight="1" x14ac:dyDescent="0.2">
      <c r="A89" s="2"/>
      <c r="B89" s="4" t="s">
        <v>2758</v>
      </c>
      <c r="C89" s="9" t="s">
        <v>2759</v>
      </c>
      <c r="D89" s="347"/>
      <c r="E89" s="337"/>
      <c r="F89" s="2"/>
      <c r="G89" s="2"/>
      <c r="H89" s="2"/>
      <c r="I89" s="2"/>
    </row>
    <row r="93" spans="1:9" s="8" customFormat="1" ht="20" customHeight="1" x14ac:dyDescent="0.2">
      <c r="B93" s="556" t="s">
        <v>2761</v>
      </c>
      <c r="C93" s="557"/>
      <c r="D93" s="557"/>
      <c r="E93" s="557"/>
    </row>
    <row r="94" spans="1:9" s="8" customFormat="1" ht="20" customHeight="1" x14ac:dyDescent="0.2"/>
    <row r="95" spans="1:9" s="8" customFormat="1" ht="20" customHeight="1" x14ac:dyDescent="0.2">
      <c r="B95" s="557" t="s">
        <v>2762</v>
      </c>
      <c r="C95" s="557"/>
      <c r="D95" s="557"/>
      <c r="E95" s="557"/>
    </row>
    <row r="96" spans="1:9" s="8" customFormat="1" ht="16" customHeight="1" x14ac:dyDescent="0.2">
      <c r="B96" s="43" t="s">
        <v>261</v>
      </c>
      <c r="C96" s="43" t="s">
        <v>262</v>
      </c>
      <c r="D96" s="130" t="s">
        <v>19</v>
      </c>
      <c r="E96" s="43" t="s">
        <v>20</v>
      </c>
    </row>
    <row r="97" spans="2:5" s="8" customFormat="1" ht="34" customHeight="1" x14ac:dyDescent="0.2">
      <c r="B97" s="4" t="s">
        <v>2763</v>
      </c>
      <c r="C97" s="362" t="str">
        <f>sample_mgmt_vc_fqdn</f>
        <v>sfo-m01-vc01.sfo.rainpole.io</v>
      </c>
      <c r="D97" s="337" t="str">
        <f>mgmt_vc_fqdn</f>
        <v>Value Missing</v>
      </c>
      <c r="E97" s="32"/>
    </row>
    <row r="98" spans="2:5" s="8" customFormat="1" ht="20" customHeight="1" x14ac:dyDescent="0.2">
      <c r="B98" s="4" t="s">
        <v>2764</v>
      </c>
      <c r="C98" s="362" t="s">
        <v>2765</v>
      </c>
      <c r="D98" s="337">
        <f>vrslcm_xreg_vm_folder</f>
        <v>0</v>
      </c>
      <c r="E98" s="32"/>
    </row>
    <row r="99" spans="2:5" s="8" customFormat="1" ht="20" customHeight="1" x14ac:dyDescent="0.2">
      <c r="B99" s="4" t="s">
        <v>725</v>
      </c>
      <c r="E99" s="32"/>
    </row>
    <row r="100" spans="2:5" s="8" customFormat="1" ht="20" customHeight="1" x14ac:dyDescent="0.2"/>
    <row r="101" spans="2:5" s="8" customFormat="1" ht="20" customHeight="1" x14ac:dyDescent="0.2">
      <c r="B101" s="557" t="s">
        <v>2766</v>
      </c>
      <c r="C101" s="557"/>
      <c r="D101" s="557"/>
      <c r="E101" s="557"/>
    </row>
    <row r="102" spans="2:5" s="8" customFormat="1" ht="20" customHeight="1" x14ac:dyDescent="0.2">
      <c r="B102" s="43" t="s">
        <v>261</v>
      </c>
      <c r="C102" s="43" t="s">
        <v>262</v>
      </c>
      <c r="D102" s="130" t="s">
        <v>19</v>
      </c>
      <c r="E102" s="43" t="s">
        <v>20</v>
      </c>
    </row>
    <row r="103" spans="2:5" s="8" customFormat="1" ht="20" customHeight="1" x14ac:dyDescent="0.2">
      <c r="B103" s="30" t="s">
        <v>2767</v>
      </c>
      <c r="C103" s="362" t="str">
        <f>sample_mgmt_srm_recovery_vcenter_fqdn</f>
        <v>lax-m01-vc01.lax.rainpole.io</v>
      </c>
      <c r="D103" s="99" t="str">
        <f>mgmt_srm_recovery_vcenter_fqdn</f>
        <v>Value Missing</v>
      </c>
      <c r="E103" s="204"/>
    </row>
    <row r="104" spans="2:5" s="8" customFormat="1" ht="20" customHeight="1" x14ac:dyDescent="0.2">
      <c r="B104" s="361" t="s">
        <v>2768</v>
      </c>
      <c r="C104" s="362" t="str">
        <f t="array" ref="C104">sample_vrslcm_xreg_vm_folder</f>
        <v>xint-m01-fd-lcm</v>
      </c>
      <c r="D104" s="337"/>
      <c r="E104" s="32"/>
    </row>
    <row r="105" spans="2:5" s="8" customFormat="1" ht="20" customHeight="1" x14ac:dyDescent="0.2">
      <c r="B105" s="4" t="s">
        <v>2769</v>
      </c>
      <c r="C105" s="362" t="s">
        <v>2770</v>
      </c>
      <c r="D105" s="337"/>
      <c r="E105" s="32"/>
    </row>
    <row r="106" spans="2:5" s="8" customFormat="1" ht="20" customHeight="1" x14ac:dyDescent="0.2">
      <c r="B106" s="4" t="s">
        <v>2771</v>
      </c>
      <c r="C106" s="362" t="s">
        <v>2772</v>
      </c>
      <c r="D106" s="337"/>
      <c r="E106" s="32"/>
    </row>
    <row r="107" spans="2:5" s="8" customFormat="1" ht="20" customHeight="1" x14ac:dyDescent="0.2">
      <c r="B107" s="361" t="s">
        <v>2773</v>
      </c>
      <c r="C107" s="362" t="s">
        <v>2774</v>
      </c>
      <c r="D107" s="337"/>
      <c r="E107" s="32"/>
    </row>
    <row r="108" spans="2:5" s="8" customFormat="1" ht="16" customHeight="1" x14ac:dyDescent="0.2"/>
    <row r="109" spans="2:5" s="8" customFormat="1" ht="34" customHeight="1" x14ac:dyDescent="0.2">
      <c r="B109" s="557" t="s">
        <v>2775</v>
      </c>
      <c r="C109" s="557"/>
      <c r="D109" s="557"/>
      <c r="E109" s="557"/>
    </row>
    <row r="110" spans="2:5" s="8" customFormat="1" ht="20" customHeight="1" x14ac:dyDescent="0.2">
      <c r="B110" s="43" t="s">
        <v>261</v>
      </c>
      <c r="C110" s="43" t="s">
        <v>262</v>
      </c>
      <c r="D110" s="130" t="s">
        <v>19</v>
      </c>
      <c r="E110" s="43" t="s">
        <v>20</v>
      </c>
    </row>
    <row r="111" spans="2:5" s="8" customFormat="1" ht="20" customHeight="1" x14ac:dyDescent="0.2">
      <c r="B111" s="4" t="s">
        <v>2776</v>
      </c>
      <c r="C111" s="362" t="str">
        <f>IF(mgmt_domain_chosen="First Instance",sample_mgmt_nsxt_gm_vip_fqdn,sample_mgmt_existing_active_nsx_gm)</f>
        <v>sfo-m01-nsx-gm01.sfo.rainpole.io</v>
      </c>
      <c r="D111" s="337" t="str">
        <f>_xlfn.SINGLE(IF(mgmt_domain_chosen="First Domain",mgmt_nsxt_gm_vip_fqdn,mgmt_existing_active_nsx_gm))</f>
        <v>Value Missing</v>
      </c>
      <c r="E111" s="32"/>
    </row>
    <row r="112" spans="2:5" s="8" customFormat="1" ht="20" customHeight="1" x14ac:dyDescent="0.2">
      <c r="B112" s="4" t="s">
        <v>2777</v>
      </c>
      <c r="C112" s="362" t="str">
        <f>sample_mgmt_srm_recovery_nsx_location</f>
        <v>lax-m01</v>
      </c>
      <c r="D112" s="337" t="str">
        <f>mgmt_srm_recovery_nsx_location</f>
        <v>Value Missing</v>
      </c>
      <c r="E112" s="32"/>
    </row>
    <row r="113" spans="2:5" s="8" customFormat="1" ht="20" customHeight="1" x14ac:dyDescent="0.2">
      <c r="B113" s="361" t="s">
        <v>480</v>
      </c>
      <c r="C113" s="362" t="s">
        <v>2778</v>
      </c>
      <c r="D113" s="337" t="str">
        <f>C113</f>
        <v>recovery-t1-gw01</v>
      </c>
      <c r="E113" s="32"/>
    </row>
    <row r="114" spans="2:5" s="8" customFormat="1" ht="16" customHeight="1" x14ac:dyDescent="0.2">
      <c r="B114" s="361" t="s">
        <v>88</v>
      </c>
      <c r="C114" s="362" t="str">
        <f>sample_mgmt_srm_recovery_nsx_ec_name</f>
        <v>lax-m01-ec01</v>
      </c>
      <c r="D114" s="337" t="str">
        <f>mgmt_srm_recovery_nsx_ec_name</f>
        <v>Value Missing</v>
      </c>
      <c r="E114" s="32"/>
    </row>
    <row r="115" spans="2:5" s="8" customFormat="1" ht="34" customHeight="1" x14ac:dyDescent="0.2">
      <c r="B115" s="361" t="s">
        <v>261</v>
      </c>
      <c r="C115" s="362" t="s">
        <v>2779</v>
      </c>
      <c r="D115" s="337" t="str">
        <f>C115</f>
        <v>recovery-t1-gw01-si01</v>
      </c>
      <c r="E115" s="32"/>
    </row>
    <row r="116" spans="2:5" s="8" customFormat="1" ht="20" customHeight="1" x14ac:dyDescent="0.2">
      <c r="B116" s="361" t="s">
        <v>2780</v>
      </c>
      <c r="C116" s="362" t="e">
        <f>IF(sample_reg_seg01_cidr&lt;&gt;"N/A",CONCATENATE(sample_mgmt_srm_recovery_t1_si_ip,"/",INT(RIGHT(sample_reg_seg01_cidr,LEN(sample_reg_seg01_cidr)-FIND("/",sample_reg_seg01_cidr)))),"N/A")</f>
        <v>#NAME?</v>
      </c>
      <c r="D116" s="337" t="e">
        <f>IF(OR((mgmt_srm_recovery_t1_si_ip="Value Missing"),(xreg_seg01_cidr="Value Missing")),"Value Missing",CONCATENATE(mgmt_srm_recovery_t1_si_ip,"/",INT(RIGHT(xreg_seg01_cidr,LEN(xreg_seg01_cidr)-FIND("/",xreg_seg01_cidr)))))</f>
        <v>#NAME?</v>
      </c>
      <c r="E116" s="32"/>
    </row>
    <row r="117" spans="2:5" s="8" customFormat="1" ht="20" customHeight="1" x14ac:dyDescent="0.2">
      <c r="B117" s="361" t="s">
        <v>2781</v>
      </c>
      <c r="C117" s="362">
        <f>sample_xreg_seg01_name</f>
        <v>0</v>
      </c>
      <c r="D117" s="337" t="e">
        <f>xreg_seg01_name</f>
        <v>#NAME?</v>
      </c>
      <c r="E117" s="32"/>
    </row>
    <row r="118" spans="2:5" s="8" customFormat="1" ht="20" customHeight="1" x14ac:dyDescent="0.2">
      <c r="B118" s="4" t="s">
        <v>283</v>
      </c>
      <c r="C118" s="362" t="e">
        <f>sample_xreg_seg01_gateway_ip</f>
        <v>#NAME?</v>
      </c>
      <c r="D118" s="337" t="e">
        <f>xreg_seg01_gateway_ip</f>
        <v>#NAME?</v>
      </c>
      <c r="E118" s="32"/>
    </row>
    <row r="119" spans="2:5" s="8" customFormat="1" ht="20" customHeight="1" x14ac:dyDescent="0.2">
      <c r="B119" s="4" t="s">
        <v>2782</v>
      </c>
      <c r="C119" s="362" t="s">
        <v>2779</v>
      </c>
      <c r="D119" s="337" t="str">
        <f>C119</f>
        <v>recovery-t1-gw01-si01</v>
      </c>
      <c r="E119" s="32"/>
    </row>
    <row r="120" spans="2:5" s="8" customFormat="1" ht="16" customHeight="1" x14ac:dyDescent="0.2"/>
    <row r="121" spans="2:5" s="8" customFormat="1" ht="34" customHeight="1" x14ac:dyDescent="0.2">
      <c r="B121" s="557" t="s">
        <v>2783</v>
      </c>
      <c r="C121" s="557"/>
      <c r="D121" s="557"/>
      <c r="E121" s="557"/>
    </row>
    <row r="122" spans="2:5" s="8" customFormat="1" ht="20" customHeight="1" x14ac:dyDescent="0.2">
      <c r="B122" s="43" t="s">
        <v>261</v>
      </c>
      <c r="C122" s="43" t="s">
        <v>262</v>
      </c>
      <c r="D122" s="130" t="s">
        <v>19</v>
      </c>
      <c r="E122" s="43" t="s">
        <v>20</v>
      </c>
    </row>
    <row r="123" spans="2:5" s="8" customFormat="1" ht="20" customHeight="1" x14ac:dyDescent="0.2">
      <c r="B123" s="4" t="s">
        <v>2776</v>
      </c>
      <c r="C123" s="362" t="str">
        <f t="array" ref="C123">IF(mgmt_domain_chosen="First Domain",CONCATENATE(sample_mgmt_nsxt_gm_hostname,".",sample_child_dns_zone),sample_mgmt_existing_active_nsx_gm)</f>
        <v>sfo-m01-nsx-gm01.sfo.rainpole.io</v>
      </c>
      <c r="D123" s="337" t="str">
        <f>_xlfn.SINGLE(IF(mgmt_domain_chosen="First Domain",mgmt_nsxt_gm_vip_fqdn,mgmt_existing_active_nsx_gm))</f>
        <v>Value Missing</v>
      </c>
      <c r="E123" s="32"/>
    </row>
    <row r="124" spans="2:5" s="8" customFormat="1" ht="20" customHeight="1" x14ac:dyDescent="0.2">
      <c r="B124" s="4" t="s">
        <v>2777</v>
      </c>
      <c r="C124" s="362" t="str">
        <f>sample_mgmt_srm_recovery_nsx_location</f>
        <v>lax-m01</v>
      </c>
      <c r="D124" s="337" t="str">
        <f>mgmt_srm_recovery_nsx_location</f>
        <v>Value Missing</v>
      </c>
      <c r="E124" s="32"/>
    </row>
    <row r="125" spans="2:5" s="8" customFormat="1" ht="20" customHeight="1" x14ac:dyDescent="0.2">
      <c r="B125" s="361" t="s">
        <v>261</v>
      </c>
      <c r="C125" s="362" t="s">
        <v>2784</v>
      </c>
      <c r="D125" s="337" t="str">
        <f>C125</f>
        <v>recovery-lb01</v>
      </c>
      <c r="E125" s="32"/>
    </row>
    <row r="126" spans="2:5" s="8" customFormat="1" ht="16" customHeight="1" x14ac:dyDescent="0.2"/>
    <row r="127" spans="2:5" s="8" customFormat="1" ht="34" customHeight="1" x14ac:dyDescent="0.2">
      <c r="B127" s="557" t="s">
        <v>2785</v>
      </c>
      <c r="C127" s="557"/>
      <c r="D127" s="557"/>
      <c r="E127" s="557"/>
    </row>
    <row r="128" spans="2:5" s="8" customFormat="1" ht="20" customHeight="1" x14ac:dyDescent="0.2">
      <c r="B128" s="43" t="s">
        <v>261</v>
      </c>
      <c r="C128" s="43" t="s">
        <v>262</v>
      </c>
      <c r="D128" s="130" t="s">
        <v>19</v>
      </c>
      <c r="E128" s="43" t="s">
        <v>20</v>
      </c>
    </row>
    <row r="129" spans="2:5" s="8" customFormat="1" ht="20" customHeight="1" x14ac:dyDescent="0.2">
      <c r="B129" s="4" t="s">
        <v>2776</v>
      </c>
      <c r="C129" s="362" t="str">
        <f t="array" ref="C129">IF(mgmt_domain_chosen="First Domain",CONCATENATE(sample_mgmt_nsxt_gm_hostname,".",sample_child_dns_zone),sample_mgmt_existing_active_nsx_gm)</f>
        <v>sfo-m01-nsx-gm01.sfo.rainpole.io</v>
      </c>
      <c r="D129" s="337" t="str">
        <f>_xlfn.SINGLE(IF(mgmt_domain_chosen="First Domain",mgmt_nsxt_gm_vip_fqdn,mgmt_existing_active_nsx_gm))</f>
        <v>Value Missing</v>
      </c>
      <c r="E129" s="32"/>
    </row>
    <row r="130" spans="2:5" s="8" customFormat="1" ht="20" customHeight="1" x14ac:dyDescent="0.2">
      <c r="B130" s="4" t="s">
        <v>2777</v>
      </c>
      <c r="C130" s="362" t="str">
        <f>sample_mgmt_srm_recovery_nsx_location</f>
        <v>lax-m01</v>
      </c>
      <c r="D130" s="337" t="str">
        <f>mgmt_srm_recovery_nsx_location</f>
        <v>Value Missing</v>
      </c>
      <c r="E130" s="32"/>
    </row>
    <row r="131" spans="2:5" s="8" customFormat="1" ht="20" customHeight="1" x14ac:dyDescent="0.2">
      <c r="B131" s="361" t="s">
        <v>261</v>
      </c>
      <c r="C131" s="362"/>
      <c r="D131" s="337"/>
      <c r="E131" s="32"/>
    </row>
    <row r="132" spans="2:5" s="8" customFormat="1" ht="20" customHeight="1" x14ac:dyDescent="0.2"/>
    <row r="133" spans="2:5" s="8" customFormat="1" ht="20" customHeight="1" x14ac:dyDescent="0.2">
      <c r="B133" s="557" t="s">
        <v>2786</v>
      </c>
      <c r="C133" s="557"/>
      <c r="D133" s="557"/>
      <c r="E133" s="557"/>
    </row>
    <row r="134" spans="2:5" s="8" customFormat="1" ht="20" customHeight="1" x14ac:dyDescent="0.2">
      <c r="B134" s="43" t="s">
        <v>261</v>
      </c>
      <c r="C134" s="43" t="s">
        <v>262</v>
      </c>
      <c r="D134" s="130" t="s">
        <v>19</v>
      </c>
      <c r="E134" s="43" t="s">
        <v>20</v>
      </c>
    </row>
    <row r="135" spans="2:5" s="8" customFormat="1" ht="20" customHeight="1" x14ac:dyDescent="0.2">
      <c r="B135" s="4" t="s">
        <v>2776</v>
      </c>
      <c r="C135" s="362" t="str">
        <f t="array" ref="C135">IF(mgmt_domain_chosen="First Domain",CONCATENATE(sample_mgmt_nsxt_gm_hostname,".",sample_child_dns_zone),sample_mgmt_existing_active_nsx_gm)</f>
        <v>sfo-m01-nsx-gm01.sfo.rainpole.io</v>
      </c>
      <c r="D135" s="337" t="str">
        <f>_xlfn.SINGLE(IF(mgmt_domain_chosen="First Domain",mgmt_nsxt_gm_vip_fqdn,mgmt_existing_active_nsx_gm))</f>
        <v>Value Missing</v>
      </c>
      <c r="E135" s="32"/>
    </row>
    <row r="136" spans="2:5" s="8" customFormat="1" ht="20" customHeight="1" x14ac:dyDescent="0.2">
      <c r="B136" s="4" t="s">
        <v>2777</v>
      </c>
      <c r="C136" s="362" t="str">
        <f>sample_mgmt_srm_recovery_nsx_location</f>
        <v>lax-m01</v>
      </c>
      <c r="D136" s="337" t="str">
        <f>mgmt_srm_recovery_nsx_location</f>
        <v>Value Missing</v>
      </c>
      <c r="E136" s="32"/>
    </row>
    <row r="137" spans="2:5" s="8" customFormat="1" ht="20" customHeight="1" x14ac:dyDescent="0.2">
      <c r="B137" s="361" t="s">
        <v>261</v>
      </c>
      <c r="C137" s="362" t="s">
        <v>2787</v>
      </c>
      <c r="D137" s="337" t="str">
        <f>C137</f>
        <v>vrops-https-monitor</v>
      </c>
      <c r="E137" s="32"/>
    </row>
    <row r="138" spans="2:5" s="8" customFormat="1" ht="20" customHeight="1" x14ac:dyDescent="0.2"/>
    <row r="139" spans="2:5" s="8" customFormat="1" ht="16" customHeight="1" x14ac:dyDescent="0.2">
      <c r="B139" s="557" t="s">
        <v>2788</v>
      </c>
      <c r="C139" s="557"/>
      <c r="D139" s="557"/>
      <c r="E139" s="557"/>
    </row>
    <row r="140" spans="2:5" s="8" customFormat="1" ht="34" customHeight="1" x14ac:dyDescent="0.2">
      <c r="B140" s="43" t="s">
        <v>261</v>
      </c>
      <c r="C140" s="43" t="s">
        <v>262</v>
      </c>
      <c r="D140" s="130" t="s">
        <v>19</v>
      </c>
      <c r="E140" s="43" t="s">
        <v>20</v>
      </c>
    </row>
    <row r="141" spans="2:5" s="8" customFormat="1" ht="20" customHeight="1" x14ac:dyDescent="0.2">
      <c r="B141" s="4" t="s">
        <v>2776</v>
      </c>
      <c r="C141" s="362" t="str">
        <f t="array" ref="C141">IF(mgmt_domain_chosen="First Domain",CONCATENATE(sample_mgmt_nsxt_gm_hostname,".",sample_child_dns_zone),sample_mgmt_existing_active_nsx_gm)</f>
        <v>sfo-m01-nsx-gm01.sfo.rainpole.io</v>
      </c>
      <c r="D141" s="337" t="str">
        <f>_xlfn.SINGLE(IF(mgmt_domain_chosen="First Domain",mgmt_nsxt_gm_vip_fqdn,mgmt_existing_active_nsx_gm))</f>
        <v>Value Missing</v>
      </c>
      <c r="E141" s="32"/>
    </row>
    <row r="142" spans="2:5" s="8" customFormat="1" ht="20" customHeight="1" x14ac:dyDescent="0.2">
      <c r="B142" s="4" t="s">
        <v>2777</v>
      </c>
      <c r="C142" s="362" t="str">
        <f>sample_mgmt_srm_recovery_nsx_location</f>
        <v>lax-m01</v>
      </c>
      <c r="D142" s="337" t="str">
        <f>mgmt_srm_recovery_nsx_location</f>
        <v>Value Missing</v>
      </c>
      <c r="E142" s="32"/>
    </row>
    <row r="143" spans="2:5" s="8" customFormat="1" ht="20" customHeight="1" x14ac:dyDescent="0.2">
      <c r="B143" s="361" t="s">
        <v>261</v>
      </c>
      <c r="C143" s="362" t="s">
        <v>2789</v>
      </c>
      <c r="D143" s="337" t="str">
        <f>C143</f>
        <v>vrops-server-pool</v>
      </c>
      <c r="E143" s="32"/>
    </row>
    <row r="144" spans="2:5" s="8" customFormat="1" ht="20" customHeight="1" x14ac:dyDescent="0.2">
      <c r="B144" s="361" t="s">
        <v>2790</v>
      </c>
      <c r="C144" s="362" t="s">
        <v>2791</v>
      </c>
      <c r="D144" s="337" t="str">
        <f>C144</f>
        <v>vrops01svr01a</v>
      </c>
      <c r="E144" s="32"/>
    </row>
    <row r="145" spans="2:5" s="8" customFormat="1" ht="20" customHeight="1" x14ac:dyDescent="0.2">
      <c r="B145" s="361" t="s">
        <v>2792</v>
      </c>
      <c r="C145" s="362" t="str">
        <f>sample_xreg_vrops_nodea_ip</f>
        <v>10.11.10.52</v>
      </c>
      <c r="D145" s="337" t="str">
        <f>xreg_vrops_nodea_ip</f>
        <v>Value Missing</v>
      </c>
      <c r="E145" s="32"/>
    </row>
    <row r="146" spans="2:5" s="8" customFormat="1" ht="20" customHeight="1" x14ac:dyDescent="0.2">
      <c r="B146" s="361" t="s">
        <v>2793</v>
      </c>
      <c r="C146" s="362" t="s">
        <v>2794</v>
      </c>
      <c r="D146" s="337" t="str">
        <f>C146</f>
        <v>vrops01svr01b</v>
      </c>
      <c r="E146" s="32"/>
    </row>
    <row r="147" spans="2:5" s="8" customFormat="1" ht="16" customHeight="1" x14ac:dyDescent="0.2">
      <c r="B147" s="361" t="s">
        <v>2795</v>
      </c>
      <c r="C147" s="362" t="str">
        <f>sample_xreg_vrops_nodeb_ip</f>
        <v>10.11.10.53</v>
      </c>
      <c r="D147" s="337" t="str">
        <f>xreg_vrops_nodeb_ip</f>
        <v>Value Missing</v>
      </c>
      <c r="E147" s="32"/>
    </row>
    <row r="148" spans="2:5" s="8" customFormat="1" ht="34" customHeight="1" x14ac:dyDescent="0.2">
      <c r="B148" s="4" t="s">
        <v>2796</v>
      </c>
      <c r="C148" s="362" t="s">
        <v>2797</v>
      </c>
      <c r="D148" s="337" t="str">
        <f>C148</f>
        <v>vrops01svr01c</v>
      </c>
      <c r="E148" s="32"/>
    </row>
    <row r="149" spans="2:5" s="8" customFormat="1" ht="20" customHeight="1" x14ac:dyDescent="0.2">
      <c r="B149" s="4" t="s">
        <v>2798</v>
      </c>
      <c r="C149" s="362" t="str">
        <f>sample_xreg_vrops_nodec_ip</f>
        <v>10.11.10.54</v>
      </c>
      <c r="D149" s="337" t="str">
        <f>xreg_vrops_nodec_ip</f>
        <v>Value Missing</v>
      </c>
      <c r="E149" s="32"/>
    </row>
    <row r="150" spans="2:5" s="8" customFormat="1" ht="20" customHeight="1" x14ac:dyDescent="0.2">
      <c r="B150" s="361" t="s">
        <v>2799</v>
      </c>
      <c r="C150" s="362" t="s">
        <v>2787</v>
      </c>
      <c r="D150" s="337" t="str">
        <f>C150</f>
        <v>vrops-https-monitor</v>
      </c>
      <c r="E150" s="32"/>
    </row>
    <row r="151" spans="2:5" s="8" customFormat="1" ht="20" customHeight="1" x14ac:dyDescent="0.2"/>
    <row r="152" spans="2:5" s="8" customFormat="1" ht="20" customHeight="1" x14ac:dyDescent="0.2">
      <c r="B152" s="557" t="s">
        <v>2800</v>
      </c>
      <c r="C152" s="557"/>
      <c r="D152" s="557"/>
      <c r="E152" s="557"/>
    </row>
    <row r="153" spans="2:5" s="8" customFormat="1" ht="20" customHeight="1" x14ac:dyDescent="0.2">
      <c r="B153" s="43" t="s">
        <v>261</v>
      </c>
      <c r="C153" s="43" t="s">
        <v>262</v>
      </c>
      <c r="D153" s="130" t="s">
        <v>19</v>
      </c>
      <c r="E153" s="43" t="s">
        <v>20</v>
      </c>
    </row>
    <row r="154" spans="2:5" s="8" customFormat="1" ht="20" customHeight="1" x14ac:dyDescent="0.2">
      <c r="B154" s="4" t="s">
        <v>2776</v>
      </c>
      <c r="C154" s="362" t="str">
        <f t="array" ref="C154">IF(mgmt_domain_chosen="First Domain",CONCATENATE(sample_mgmt_nsxt_gm_hostname,".",sample_child_dns_zone),sample_mgmt_existing_active_nsx_gm)</f>
        <v>sfo-m01-nsx-gm01.sfo.rainpole.io</v>
      </c>
      <c r="D154" s="337" t="str">
        <f>_xlfn.SINGLE(IF(mgmt_domain_chosen="First Domain",mgmt_nsxt_gm_vip_fqdn,mgmt_existing_active_nsx_gm))</f>
        <v>Value Missing</v>
      </c>
      <c r="E154" s="32"/>
    </row>
    <row r="155" spans="2:5" s="8" customFormat="1" ht="20" customHeight="1" x14ac:dyDescent="0.2">
      <c r="B155" s="4" t="s">
        <v>2777</v>
      </c>
      <c r="C155" s="362" t="str">
        <f>sample_mgmt_srm_recovery_nsx_location</f>
        <v>lax-m01</v>
      </c>
      <c r="D155" s="337" t="str">
        <f>mgmt_srm_recovery_nsx_location</f>
        <v>Value Missing</v>
      </c>
      <c r="E155" s="32"/>
    </row>
    <row r="156" spans="2:5" s="8" customFormat="1" ht="20" customHeight="1" x14ac:dyDescent="0.2">
      <c r="B156" s="361" t="s">
        <v>2801</v>
      </c>
      <c r="C156" s="362" t="s">
        <v>2802</v>
      </c>
      <c r="D156" s="337" t="str">
        <f>C156</f>
        <v>vrops-tcp-app-profile</v>
      </c>
      <c r="E156" s="32"/>
    </row>
    <row r="157" spans="2:5" s="8" customFormat="1" ht="20" customHeight="1" x14ac:dyDescent="0.2">
      <c r="B157" s="361" t="s">
        <v>2803</v>
      </c>
      <c r="C157" s="362" t="s">
        <v>2804</v>
      </c>
      <c r="D157" s="337" t="str">
        <f>C157</f>
        <v>vrops-http-app-profile-redirect</v>
      </c>
      <c r="E157" s="32"/>
    </row>
    <row r="158" spans="2:5" s="8" customFormat="1" ht="20" customHeight="1" x14ac:dyDescent="0.2">
      <c r="B158" s="361" t="s">
        <v>2805</v>
      </c>
      <c r="C158" s="362" t="s">
        <v>2806</v>
      </c>
      <c r="D158" s="337" t="str">
        <f>C158</f>
        <v>vrops-source-ip-persistence-profile</v>
      </c>
      <c r="E158" s="32"/>
    </row>
    <row r="159" spans="2:5" s="8" customFormat="1" ht="20" customHeight="1" x14ac:dyDescent="0.2"/>
    <row r="160" spans="2:5" s="8" customFormat="1" ht="20" customHeight="1" x14ac:dyDescent="0.2">
      <c r="B160" s="557" t="s">
        <v>2807</v>
      </c>
      <c r="C160" s="557"/>
      <c r="D160" s="557"/>
      <c r="E160" s="557"/>
    </row>
    <row r="161" spans="2:5" s="8" customFormat="1" ht="20" customHeight="1" x14ac:dyDescent="0.2">
      <c r="B161" s="43" t="s">
        <v>261</v>
      </c>
      <c r="C161" s="43" t="s">
        <v>262</v>
      </c>
      <c r="D161" s="130" t="s">
        <v>19</v>
      </c>
      <c r="E161" s="43" t="s">
        <v>20</v>
      </c>
    </row>
    <row r="162" spans="2:5" s="8" customFormat="1" ht="16" customHeight="1" x14ac:dyDescent="0.2">
      <c r="B162" s="4" t="s">
        <v>2776</v>
      </c>
      <c r="C162" s="362" t="str">
        <f t="array" ref="C162">IF(mgmt_domain_chosen="First Domain",CONCATENATE(sample_mgmt_nsxt_gm_hostname,".",sample_child_dns_zone),sample_mgmt_existing_active_nsx_gm)</f>
        <v>sfo-m01-nsx-gm01.sfo.rainpole.io</v>
      </c>
      <c r="D162" s="337" t="str">
        <f>_xlfn.SINGLE(IF(mgmt_domain_chosen="First Domain",mgmt_nsxt_gm_vip_fqdn,mgmt_existing_active_nsx_gm))</f>
        <v>Value Missing</v>
      </c>
      <c r="E162" s="32"/>
    </row>
    <row r="163" spans="2:5" s="8" customFormat="1" ht="34" customHeight="1" x14ac:dyDescent="0.2">
      <c r="B163" s="4" t="s">
        <v>2777</v>
      </c>
      <c r="C163" s="362" t="str">
        <f>sample_mgmt_srm_recovery_nsx_location</f>
        <v>lax-m01</v>
      </c>
      <c r="D163" s="337" t="str">
        <f>mgmt_srm_recovery_nsx_location</f>
        <v>Value Missing</v>
      </c>
      <c r="E163" s="32"/>
    </row>
    <row r="164" spans="2:5" s="8" customFormat="1" ht="20" customHeight="1" x14ac:dyDescent="0.2">
      <c r="B164" s="4" t="s">
        <v>2808</v>
      </c>
      <c r="C164" s="362" t="s">
        <v>2809</v>
      </c>
      <c r="D164" s="337" t="str">
        <f>C164</f>
        <v>vrops-https</v>
      </c>
      <c r="E164" s="32"/>
    </row>
    <row r="165" spans="2:5" s="8" customFormat="1" ht="20" customHeight="1" x14ac:dyDescent="0.2">
      <c r="B165" s="4" t="s">
        <v>2810</v>
      </c>
      <c r="C165" s="362" t="str">
        <f>sample_xreg_vrops_virtual_ip</f>
        <v>10.11.10.21</v>
      </c>
      <c r="D165" s="337" t="str">
        <f>xreg_vrops_virtual_ip</f>
        <v>Value Missing</v>
      </c>
      <c r="E165" s="32"/>
    </row>
    <row r="166" spans="2:5" s="8" customFormat="1" ht="20" customHeight="1" x14ac:dyDescent="0.2">
      <c r="B166" s="4" t="s">
        <v>2811</v>
      </c>
      <c r="C166" s="362" t="s">
        <v>2784</v>
      </c>
      <c r="D166" s="337" t="str">
        <f>C166</f>
        <v>recovery-lb01</v>
      </c>
      <c r="E166" s="32"/>
    </row>
    <row r="167" spans="2:5" s="8" customFormat="1" ht="20" customHeight="1" x14ac:dyDescent="0.2">
      <c r="B167" s="361" t="s">
        <v>2812</v>
      </c>
      <c r="C167" s="362" t="s">
        <v>2789</v>
      </c>
      <c r="D167" s="337" t="str">
        <f>C167</f>
        <v>vrops-server-pool</v>
      </c>
      <c r="E167" s="32"/>
    </row>
    <row r="168" spans="2:5" s="8" customFormat="1" ht="16" customHeight="1" x14ac:dyDescent="0.2">
      <c r="B168" s="361" t="s">
        <v>2813</v>
      </c>
      <c r="C168" s="362" t="s">
        <v>2806</v>
      </c>
      <c r="D168" s="337" t="str">
        <f>C168</f>
        <v>vrops-source-ip-persistence-profile</v>
      </c>
      <c r="E168" s="32"/>
    </row>
    <row r="169" spans="2:5" s="8" customFormat="1" ht="34" customHeight="1" x14ac:dyDescent="0.2">
      <c r="B169" s="361" t="s">
        <v>2814</v>
      </c>
      <c r="C169" s="362" t="s">
        <v>2802</v>
      </c>
      <c r="D169" s="337" t="str">
        <f>C169</f>
        <v>vrops-tcp-app-profile</v>
      </c>
      <c r="E169" s="32"/>
    </row>
    <row r="170" spans="2:5" s="8" customFormat="1" ht="20" customHeight="1" x14ac:dyDescent="0.2">
      <c r="B170" s="361" t="s">
        <v>2815</v>
      </c>
      <c r="C170" s="362" t="s">
        <v>2816</v>
      </c>
      <c r="D170" s="337" t="str">
        <f>C170</f>
        <v>vrops-http-redirect</v>
      </c>
      <c r="E170" s="32"/>
    </row>
    <row r="171" spans="2:5" s="8" customFormat="1" ht="20" customHeight="1" x14ac:dyDescent="0.2">
      <c r="B171" s="361" t="s">
        <v>2817</v>
      </c>
      <c r="C171" s="362" t="str">
        <f>sample_xreg_vrops_virtual_ip</f>
        <v>10.11.10.21</v>
      </c>
      <c r="D171" s="337" t="str">
        <f>xreg_vrops_virtual_ip</f>
        <v>Value Missing</v>
      </c>
      <c r="E171" s="32"/>
    </row>
    <row r="172" spans="2:5" s="8" customFormat="1" ht="20" customHeight="1" x14ac:dyDescent="0.2">
      <c r="B172" s="4" t="s">
        <v>2818</v>
      </c>
      <c r="C172" s="362" t="s">
        <v>2784</v>
      </c>
      <c r="D172" s="337" t="str">
        <f>C172</f>
        <v>recovery-lb01</v>
      </c>
      <c r="E172" s="32"/>
    </row>
    <row r="173" spans="2:5" s="8" customFormat="1" ht="20" customHeight="1" x14ac:dyDescent="0.2">
      <c r="B173" s="4" t="s">
        <v>2819</v>
      </c>
      <c r="C173" s="362" t="s">
        <v>2820</v>
      </c>
      <c r="D173" s="337" t="str">
        <f>C173</f>
        <v>wsa-http-app-profile-redirect</v>
      </c>
      <c r="E173" s="32"/>
    </row>
    <row r="174" spans="2:5" s="8" customFormat="1" ht="20" customHeight="1" x14ac:dyDescent="0.2"/>
    <row r="175" spans="2:5" s="8" customFormat="1" ht="20" customHeight="1" x14ac:dyDescent="0.2">
      <c r="B175" s="557" t="s">
        <v>2821</v>
      </c>
      <c r="C175" s="557"/>
      <c r="D175" s="557"/>
      <c r="E175" s="557"/>
    </row>
    <row r="176" spans="2:5" s="8" customFormat="1" ht="20" customHeight="1" x14ac:dyDescent="0.2">
      <c r="B176" s="43" t="s">
        <v>261</v>
      </c>
      <c r="C176" s="43" t="s">
        <v>262</v>
      </c>
      <c r="D176" s="130" t="s">
        <v>19</v>
      </c>
      <c r="E176" s="43" t="s">
        <v>20</v>
      </c>
    </row>
    <row r="177" spans="2:5" s="8" customFormat="1" ht="20" customHeight="1" x14ac:dyDescent="0.2">
      <c r="B177" s="4" t="s">
        <v>2776</v>
      </c>
      <c r="C177" s="362" t="str">
        <f t="array" ref="C177">IF(mgmt_domain_chosen="First Domain",CONCATENATE(sample_mgmt_nsxt_gm_hostname,".",sample_child_dns_zone),sample_mgmt_existing_active_nsx_gm)</f>
        <v>sfo-m01-nsx-gm01.sfo.rainpole.io</v>
      </c>
      <c r="D177" s="337" t="str">
        <f>_xlfn.SINGLE(IF(mgmt_domain_chosen="First Domain",mgmt_nsxt_gm_vip_fqdn,mgmt_existing_active_nsx_gm))</f>
        <v>Value Missing</v>
      </c>
      <c r="E177" s="32"/>
    </row>
    <row r="178" spans="2:5" s="8" customFormat="1" ht="20" customHeight="1" x14ac:dyDescent="0.2">
      <c r="B178" s="4" t="s">
        <v>2777</v>
      </c>
      <c r="C178" s="362" t="str">
        <f>sample_mgmt_srm_recovery_nsx_location</f>
        <v>lax-m01</v>
      </c>
      <c r="D178" s="337" t="str">
        <f>mgmt_srm_recovery_nsx_location</f>
        <v>Value Missing</v>
      </c>
      <c r="E178" s="32"/>
    </row>
    <row r="179" spans="2:5" s="8" customFormat="1" ht="20" customHeight="1" x14ac:dyDescent="0.2">
      <c r="B179" s="361" t="s">
        <v>261</v>
      </c>
      <c r="C179" s="362" t="s">
        <v>2822</v>
      </c>
      <c r="D179" s="337" t="str">
        <f>C179</f>
        <v>vra-http-monitor</v>
      </c>
      <c r="E179" s="32"/>
    </row>
    <row r="180" spans="2:5" s="8" customFormat="1" ht="20" customHeight="1" x14ac:dyDescent="0.2"/>
    <row r="181" spans="2:5" s="8" customFormat="1" ht="16" customHeight="1" x14ac:dyDescent="0.2">
      <c r="B181" s="557" t="s">
        <v>2823</v>
      </c>
      <c r="C181" s="557"/>
      <c r="D181" s="557"/>
      <c r="E181" s="557"/>
    </row>
    <row r="182" spans="2:5" s="8" customFormat="1" ht="34" customHeight="1" x14ac:dyDescent="0.2">
      <c r="B182" s="43" t="s">
        <v>261</v>
      </c>
      <c r="C182" s="43" t="s">
        <v>262</v>
      </c>
      <c r="D182" s="130" t="s">
        <v>19</v>
      </c>
      <c r="E182" s="43" t="s">
        <v>20</v>
      </c>
    </row>
    <row r="183" spans="2:5" s="8" customFormat="1" ht="20" customHeight="1" x14ac:dyDescent="0.2">
      <c r="B183" s="4" t="s">
        <v>2776</v>
      </c>
      <c r="C183" s="362" t="str">
        <f t="array" ref="C183">IF(mgmt_domain_chosen="First Domain",CONCATENATE(sample_mgmt_nsxt_gm_hostname,".",sample_child_dns_zone),sample_mgmt_existing_active_nsx_gm)</f>
        <v>sfo-m01-nsx-gm01.sfo.rainpole.io</v>
      </c>
      <c r="D183" s="337" t="str">
        <f>_xlfn.SINGLE(IF(mgmt_domain_chosen="First Domain",mgmt_nsxt_gm_vip_fqdn,mgmt_existing_active_nsx_gm))</f>
        <v>Value Missing</v>
      </c>
      <c r="E183" s="32"/>
    </row>
    <row r="184" spans="2:5" s="8" customFormat="1" ht="20" customHeight="1" x14ac:dyDescent="0.2">
      <c r="B184" s="4" t="s">
        <v>2777</v>
      </c>
      <c r="C184" s="362" t="str">
        <f>sample_mgmt_srm_recovery_nsx_location</f>
        <v>lax-m01</v>
      </c>
      <c r="D184" s="337" t="str">
        <f>mgmt_srm_recovery_nsx_location</f>
        <v>Value Missing</v>
      </c>
      <c r="E184" s="32"/>
    </row>
    <row r="185" spans="2:5" s="8" customFormat="1" ht="20" customHeight="1" x14ac:dyDescent="0.2">
      <c r="B185" s="361" t="s">
        <v>261</v>
      </c>
      <c r="C185" s="362" t="s">
        <v>2824</v>
      </c>
      <c r="D185" s="337" t="str">
        <f>C185</f>
        <v>vra-server-pool</v>
      </c>
      <c r="E185" s="32"/>
    </row>
    <row r="186" spans="2:5" s="8" customFormat="1" ht="20" customHeight="1" x14ac:dyDescent="0.2">
      <c r="B186" s="361" t="s">
        <v>2825</v>
      </c>
      <c r="C186" s="362" t="s">
        <v>2826</v>
      </c>
      <c r="D186" s="337" t="str">
        <f>C186</f>
        <v>vra01svr01a</v>
      </c>
      <c r="E186" s="32"/>
    </row>
    <row r="187" spans="2:5" s="8" customFormat="1" ht="20" customHeight="1" x14ac:dyDescent="0.2">
      <c r="B187" s="361" t="s">
        <v>2792</v>
      </c>
      <c r="C187" s="362" t="str">
        <f>sample_xreg_vra_nodea_ip</f>
        <v>10.11.10.46</v>
      </c>
      <c r="D187" s="337" t="str">
        <f>xreg_vra_nodea_ip</f>
        <v>Value Missing</v>
      </c>
      <c r="E187" s="32"/>
    </row>
    <row r="188" spans="2:5" s="8" customFormat="1" ht="16" customHeight="1" x14ac:dyDescent="0.2">
      <c r="B188" s="361" t="s">
        <v>2827</v>
      </c>
      <c r="C188" s="362" t="s">
        <v>2828</v>
      </c>
      <c r="D188" s="337" t="str">
        <f>C188</f>
        <v>vra01svr01b</v>
      </c>
      <c r="E188" s="32"/>
    </row>
    <row r="189" spans="2:5" s="8" customFormat="1" ht="34" customHeight="1" x14ac:dyDescent="0.2">
      <c r="B189" s="361" t="s">
        <v>2795</v>
      </c>
      <c r="C189" s="362" t="str">
        <f>sample_xreg_vra_nodeb_ip</f>
        <v>10.11.10.47</v>
      </c>
      <c r="D189" s="337" t="str">
        <f>xreg_vra_nodeb_ip</f>
        <v>Value Missing</v>
      </c>
      <c r="E189" s="32"/>
    </row>
    <row r="190" spans="2:5" s="8" customFormat="1" ht="20" customHeight="1" x14ac:dyDescent="0.2">
      <c r="B190" s="4" t="s">
        <v>2829</v>
      </c>
      <c r="C190" s="362" t="s">
        <v>2830</v>
      </c>
      <c r="D190" s="337" t="str">
        <f>C190</f>
        <v>vra01svr01c</v>
      </c>
      <c r="E190" s="32"/>
    </row>
    <row r="191" spans="2:5" s="8" customFormat="1" ht="20" customHeight="1" x14ac:dyDescent="0.2">
      <c r="B191" s="4" t="s">
        <v>2798</v>
      </c>
      <c r="C191" s="362" t="str">
        <f>sample_xreg_vra_nodec_ip</f>
        <v>10.11.10.48</v>
      </c>
      <c r="D191" s="337" t="str">
        <f>xreg_vra_nodec_ip</f>
        <v>Value Missing</v>
      </c>
      <c r="E191" s="32"/>
    </row>
    <row r="192" spans="2:5" s="8" customFormat="1" ht="20" customHeight="1" x14ac:dyDescent="0.2">
      <c r="B192" s="361" t="s">
        <v>2799</v>
      </c>
      <c r="C192" s="362" t="s">
        <v>2822</v>
      </c>
      <c r="D192" s="337" t="str">
        <f>C192</f>
        <v>vra-http-monitor</v>
      </c>
      <c r="E192" s="32"/>
    </row>
    <row r="193" spans="2:5" s="8" customFormat="1" ht="20" customHeight="1" x14ac:dyDescent="0.2"/>
    <row r="194" spans="2:5" s="8" customFormat="1" ht="20" customHeight="1" x14ac:dyDescent="0.2">
      <c r="B194" s="557" t="s">
        <v>2831</v>
      </c>
      <c r="C194" s="557"/>
      <c r="D194" s="557"/>
      <c r="E194" s="557"/>
    </row>
    <row r="195" spans="2:5" s="8" customFormat="1" ht="20" customHeight="1" x14ac:dyDescent="0.2">
      <c r="B195" s="43" t="s">
        <v>261</v>
      </c>
      <c r="C195" s="43" t="s">
        <v>262</v>
      </c>
      <c r="D195" s="130" t="s">
        <v>19</v>
      </c>
      <c r="E195" s="43" t="s">
        <v>20</v>
      </c>
    </row>
    <row r="196" spans="2:5" s="8" customFormat="1" ht="20" customHeight="1" x14ac:dyDescent="0.2">
      <c r="B196" s="4" t="s">
        <v>2776</v>
      </c>
      <c r="C196" s="362" t="str">
        <f t="array" ref="C196">IF(mgmt_domain_chosen="First Domain",CONCATENATE(sample_mgmt_nsxt_gm_hostname,".",sample_child_dns_zone),sample_mgmt_existing_active_nsx_gm)</f>
        <v>sfo-m01-nsx-gm01.sfo.rainpole.io</v>
      </c>
      <c r="D196" s="337" t="str">
        <f>_xlfn.SINGLE(IF(mgmt_domain_chosen="First Domain",mgmt_nsxt_gm_vip_fqdn,mgmt_existing_active_nsx_gm))</f>
        <v>Value Missing</v>
      </c>
      <c r="E196" s="32"/>
    </row>
    <row r="197" spans="2:5" s="8" customFormat="1" ht="20" customHeight="1" x14ac:dyDescent="0.2">
      <c r="B197" s="4" t="s">
        <v>2777</v>
      </c>
      <c r="C197" s="362" t="str">
        <f>sample_mgmt_srm_recovery_nsx_location</f>
        <v>lax-m01</v>
      </c>
      <c r="D197" s="337" t="str">
        <f>mgmt_srm_recovery_nsx_location</f>
        <v>Value Missing</v>
      </c>
      <c r="E197" s="32"/>
    </row>
    <row r="198" spans="2:5" s="8" customFormat="1" ht="20" customHeight="1" x14ac:dyDescent="0.2">
      <c r="B198" s="361" t="s">
        <v>2801</v>
      </c>
      <c r="C198" s="362" t="s">
        <v>2832</v>
      </c>
      <c r="D198" s="337" t="str">
        <f>C198</f>
        <v>vra-tcp-app-profile</v>
      </c>
      <c r="E198" s="32"/>
    </row>
    <row r="199" spans="2:5" s="8" customFormat="1" ht="20" customHeight="1" x14ac:dyDescent="0.2">
      <c r="B199" s="361" t="s">
        <v>2803</v>
      </c>
      <c r="C199" s="362" t="s">
        <v>2833</v>
      </c>
      <c r="D199" s="337" t="str">
        <f>C199</f>
        <v>vra-http-app-profile-redirect</v>
      </c>
      <c r="E199" s="32"/>
    </row>
    <row r="200" spans="2:5" s="8" customFormat="1" ht="20" customHeight="1" x14ac:dyDescent="0.2"/>
    <row r="201" spans="2:5" s="8" customFormat="1" ht="20" customHeight="1" x14ac:dyDescent="0.2">
      <c r="B201" s="557" t="s">
        <v>2834</v>
      </c>
      <c r="C201" s="557"/>
      <c r="D201" s="557"/>
      <c r="E201" s="557"/>
    </row>
    <row r="202" spans="2:5" s="8" customFormat="1" ht="16" customHeight="1" x14ac:dyDescent="0.2">
      <c r="B202" s="43" t="s">
        <v>261</v>
      </c>
      <c r="C202" s="43" t="s">
        <v>262</v>
      </c>
      <c r="D202" s="130" t="s">
        <v>19</v>
      </c>
      <c r="E202" s="43" t="s">
        <v>20</v>
      </c>
    </row>
    <row r="203" spans="2:5" s="8" customFormat="1" ht="34" customHeight="1" x14ac:dyDescent="0.2">
      <c r="B203" s="4" t="s">
        <v>2776</v>
      </c>
      <c r="C203" s="362" t="str">
        <f t="array" ref="C203">IF(mgmt_domain_chosen="First Domain",CONCATENATE(sample_mgmt_nsxt_gm_hostname,".",sample_child_dns_zone),sample_mgmt_existing_active_nsx_gm)</f>
        <v>sfo-m01-nsx-gm01.sfo.rainpole.io</v>
      </c>
      <c r="D203" s="337" t="str">
        <f>_xlfn.SINGLE(IF(mgmt_domain_chosen="First Domain",mgmt_nsxt_gm_vip_fqdn,mgmt_existing_active_nsx_gm))</f>
        <v>Value Missing</v>
      </c>
      <c r="E203" s="32"/>
    </row>
    <row r="204" spans="2:5" s="8" customFormat="1" ht="20" customHeight="1" x14ac:dyDescent="0.2">
      <c r="B204" s="4" t="s">
        <v>2777</v>
      </c>
      <c r="C204" s="362" t="str">
        <f>sample_mgmt_srm_recovery_nsx_location</f>
        <v>lax-m01</v>
      </c>
      <c r="D204" s="337" t="str">
        <f>mgmt_srm_recovery_nsx_location</f>
        <v>Value Missing</v>
      </c>
      <c r="E204" s="32"/>
    </row>
    <row r="205" spans="2:5" s="8" customFormat="1" ht="20" customHeight="1" x14ac:dyDescent="0.2">
      <c r="B205" s="361" t="s">
        <v>2808</v>
      </c>
      <c r="C205" s="362" t="s">
        <v>2835</v>
      </c>
      <c r="D205" s="337" t="str">
        <f>C205</f>
        <v>vra-https</v>
      </c>
      <c r="E205" s="32"/>
    </row>
    <row r="206" spans="2:5" s="8" customFormat="1" ht="20" customHeight="1" x14ac:dyDescent="0.2">
      <c r="B206" s="361" t="s">
        <v>2836</v>
      </c>
      <c r="C206" s="362" t="str">
        <f>sample_xreg_vra_virtual_ip</f>
        <v>10.11.10.25</v>
      </c>
      <c r="D206" s="337" t="str">
        <f>xreg_vra_virtual_ip</f>
        <v>Value Missing</v>
      </c>
      <c r="E206" s="32"/>
    </row>
    <row r="207" spans="2:5" s="8" customFormat="1" ht="20" customHeight="1" x14ac:dyDescent="0.2">
      <c r="B207" s="361" t="s">
        <v>2811</v>
      </c>
      <c r="C207" s="362" t="s">
        <v>2784</v>
      </c>
      <c r="D207" s="337" t="str">
        <f>C207</f>
        <v>recovery-lb01</v>
      </c>
      <c r="E207" s="32"/>
    </row>
    <row r="208" spans="2:5" s="8" customFormat="1" ht="20" customHeight="1" x14ac:dyDescent="0.2">
      <c r="B208" s="361" t="s">
        <v>2837</v>
      </c>
      <c r="C208" s="362" t="s">
        <v>2824</v>
      </c>
      <c r="D208" s="337" t="str">
        <f>C208</f>
        <v>vra-server-pool</v>
      </c>
      <c r="E208" s="32"/>
    </row>
    <row r="209" spans="2:5" s="8" customFormat="1" ht="20" customHeight="1" x14ac:dyDescent="0.2">
      <c r="B209" s="361" t="s">
        <v>2838</v>
      </c>
      <c r="C209" s="362" t="s">
        <v>2832</v>
      </c>
      <c r="D209" s="337" t="str">
        <f>C209</f>
        <v>vra-tcp-app-profile</v>
      </c>
      <c r="E209" s="32"/>
    </row>
    <row r="210" spans="2:5" s="8" customFormat="1" ht="16" customHeight="1" x14ac:dyDescent="0.2">
      <c r="B210" s="4" t="s">
        <v>2839</v>
      </c>
      <c r="C210" s="362" t="s">
        <v>2840</v>
      </c>
      <c r="D210" s="337" t="str">
        <f>C210</f>
        <v>vra-http-redirect</v>
      </c>
      <c r="E210" s="32"/>
    </row>
    <row r="211" spans="2:5" s="8" customFormat="1" ht="34" customHeight="1" x14ac:dyDescent="0.2">
      <c r="B211" s="4" t="s">
        <v>2817</v>
      </c>
      <c r="C211" s="362" t="str">
        <f>sample_xreg_vra_virtual_ip</f>
        <v>10.11.10.25</v>
      </c>
      <c r="D211" s="337" t="str">
        <f>xreg_vra_virtual_ip</f>
        <v>Value Missing</v>
      </c>
      <c r="E211" s="32"/>
    </row>
    <row r="212" spans="2:5" s="8" customFormat="1" ht="20" customHeight="1" x14ac:dyDescent="0.2">
      <c r="B212" s="361" t="s">
        <v>2818</v>
      </c>
      <c r="C212" s="362" t="s">
        <v>2784</v>
      </c>
      <c r="D212" s="337" t="str">
        <f>C212</f>
        <v>recovery-lb01</v>
      </c>
      <c r="E212" s="32"/>
    </row>
    <row r="213" spans="2:5" s="8" customFormat="1" ht="20" customHeight="1" x14ac:dyDescent="0.2">
      <c r="B213" s="361" t="s">
        <v>2841</v>
      </c>
      <c r="C213" s="362" t="s">
        <v>2833</v>
      </c>
      <c r="D213" s="337" t="str">
        <f>C213</f>
        <v>vra-http-app-profile-redirect</v>
      </c>
      <c r="E213" s="32"/>
    </row>
    <row r="214" spans="2:5" s="8" customFormat="1" ht="20" customHeight="1" x14ac:dyDescent="0.2"/>
    <row r="216" spans="2:5" s="8" customFormat="1" ht="14" customHeight="1" x14ac:dyDescent="0.2"/>
    <row r="217" spans="2:5" s="8" customFormat="1" ht="20" customHeight="1" x14ac:dyDescent="0.2">
      <c r="B217" s="556" t="s">
        <v>1617</v>
      </c>
      <c r="C217" s="557"/>
      <c r="D217" s="557"/>
      <c r="E217" s="557"/>
    </row>
    <row r="218" spans="2:5" s="8" customFormat="1" ht="20" customHeight="1" x14ac:dyDescent="0.2"/>
    <row r="219" spans="2:5" s="8" customFormat="1" ht="20" customHeight="1" x14ac:dyDescent="0.2">
      <c r="B219" s="556" t="s">
        <v>2842</v>
      </c>
      <c r="C219" s="557"/>
      <c r="D219" s="557"/>
      <c r="E219" s="557"/>
    </row>
    <row r="220" spans="2:5" s="8" customFormat="1" ht="20" customHeight="1" x14ac:dyDescent="0.2"/>
    <row r="221" spans="2:5" s="8" customFormat="1" ht="20" customHeight="1" x14ac:dyDescent="0.2">
      <c r="B221" s="557" t="s">
        <v>2843</v>
      </c>
      <c r="C221" s="557"/>
      <c r="D221" s="557"/>
      <c r="E221" s="557"/>
    </row>
    <row r="222" spans="2:5" s="8" customFormat="1" ht="20" customHeight="1" x14ac:dyDescent="0.2">
      <c r="B222" s="43" t="s">
        <v>261</v>
      </c>
      <c r="C222" s="43" t="s">
        <v>262</v>
      </c>
      <c r="D222" s="130" t="s">
        <v>19</v>
      </c>
      <c r="E222" s="43" t="s">
        <v>20</v>
      </c>
    </row>
    <row r="223" spans="2:5" s="8" customFormat="1" ht="20" customHeight="1" x14ac:dyDescent="0.2">
      <c r="B223" s="4" t="s">
        <v>368</v>
      </c>
      <c r="C223" s="362" t="str">
        <f>sample_wld_vc_fqdn</f>
        <v>sfo-w01-vc01.sfo.rainpole.io</v>
      </c>
      <c r="D223" s="337" t="str">
        <f>wld_vc_fqdn</f>
        <v>Value Missing</v>
      </c>
      <c r="E223" s="32"/>
    </row>
    <row r="224" spans="2:5" s="8" customFormat="1" ht="16" customHeight="1" x14ac:dyDescent="0.2">
      <c r="B224" s="4" t="s">
        <v>2764</v>
      </c>
      <c r="C224" s="362" t="str">
        <f>sample_wld_vrms_vm_folder</f>
        <v>sfo-w01-fd-vrms</v>
      </c>
      <c r="D224" s="337" t="str">
        <f>wld_vrms_vm_folder</f>
        <v>Value Missing</v>
      </c>
      <c r="E224" s="32"/>
    </row>
    <row r="225" spans="2:5" s="8" customFormat="1" ht="34" customHeight="1" x14ac:dyDescent="0.2"/>
    <row r="226" spans="2:5" s="8" customFormat="1" ht="20" customHeight="1" x14ac:dyDescent="0.2">
      <c r="B226" s="557" t="s">
        <v>2844</v>
      </c>
      <c r="C226" s="557"/>
      <c r="D226" s="557"/>
      <c r="E226" s="557"/>
    </row>
    <row r="227" spans="2:5" s="8" customFormat="1" ht="20" customHeight="1" x14ac:dyDescent="0.2">
      <c r="B227" s="43" t="s">
        <v>261</v>
      </c>
      <c r="C227" s="43" t="s">
        <v>262</v>
      </c>
      <c r="D227" s="130" t="s">
        <v>19</v>
      </c>
      <c r="E227" s="43" t="s">
        <v>20</v>
      </c>
    </row>
    <row r="228" spans="2:5" s="8" customFormat="1" ht="20" customHeight="1" x14ac:dyDescent="0.2">
      <c r="B228" s="4" t="s">
        <v>368</v>
      </c>
      <c r="C228" s="362" t="str">
        <f>sample_wld_vc_fqdn</f>
        <v>sfo-w01-vc01.sfo.rainpole.io</v>
      </c>
      <c r="D228" s="337" t="str">
        <f>wld_vc_fqdn</f>
        <v>Value Missing</v>
      </c>
      <c r="E228" s="32"/>
    </row>
    <row r="229" spans="2:5" s="8" customFormat="1" ht="20" customHeight="1" x14ac:dyDescent="0.2">
      <c r="B229" s="361" t="s">
        <v>732</v>
      </c>
      <c r="C229" s="362" t="str">
        <f>sample_wld_cl01_cluster</f>
        <v>sfo-w01-cl01</v>
      </c>
      <c r="D229" s="337" t="str">
        <f>wld_cl01_cluster</f>
        <v>Value Missing</v>
      </c>
      <c r="E229" s="32"/>
    </row>
    <row r="230" spans="2:5" s="8" customFormat="1" ht="20" customHeight="1" x14ac:dyDescent="0.2">
      <c r="B230" s="361" t="s">
        <v>2845</v>
      </c>
      <c r="C230" s="362" t="str">
        <f>sample_wld_vrms_hostname</f>
        <v>sfo-w01-vrms01</v>
      </c>
      <c r="D230" s="337" t="str">
        <f>wld_vrms_hostname</f>
        <v>Value Missing</v>
      </c>
      <c r="E230" s="32"/>
    </row>
    <row r="231" spans="2:5" s="8" customFormat="1" ht="20" customHeight="1" x14ac:dyDescent="0.2">
      <c r="B231" s="361" t="s">
        <v>2846</v>
      </c>
      <c r="C231" s="362" t="str">
        <f>sample_wld_vrms_vm_folder</f>
        <v>sfo-w01-fd-vrms</v>
      </c>
      <c r="D231" s="337" t="str">
        <f>wld_vrms_vm_folder</f>
        <v>Value Missing</v>
      </c>
      <c r="E231" s="32"/>
    </row>
    <row r="232" spans="2:5" s="8" customFormat="1" ht="20" customHeight="1" x14ac:dyDescent="0.2">
      <c r="B232" s="361" t="s">
        <v>2847</v>
      </c>
      <c r="C232" s="362" t="str">
        <f>sample_wld_cl01_cluster</f>
        <v>sfo-w01-cl01</v>
      </c>
      <c r="D232" s="337" t="str">
        <f>wld_cl01_cluster</f>
        <v>Value Missing</v>
      </c>
      <c r="E232" s="32"/>
    </row>
    <row r="233" spans="2:5" s="8" customFormat="1" ht="17" x14ac:dyDescent="0.2">
      <c r="B233" s="361" t="s">
        <v>103</v>
      </c>
      <c r="C233" s="362" t="str">
        <f>sample_wld_cl01_vsan_datastore</f>
        <v>sfo-w01-sfo-w01-cl01-vsan01</v>
      </c>
      <c r="D233" s="337" t="str">
        <f>wld_cl01_vsan_datastore</f>
        <v>Value Missing</v>
      </c>
      <c r="E233" s="32"/>
    </row>
    <row r="234" spans="2:5" s="8" customFormat="1" ht="34" customHeight="1" x14ac:dyDescent="0.2">
      <c r="B234" s="4" t="s">
        <v>2848</v>
      </c>
      <c r="C234" s="362" t="str">
        <f>sample_wld_cl01_az1_mgmt_pg</f>
        <v>sfo-w01-cl01-vds01-pg-esxi-mgmt</v>
      </c>
      <c r="D234" s="337" t="str">
        <f>wld_cl01_az1_mgmt_pg</f>
        <v>Value Missing</v>
      </c>
      <c r="E234" s="32"/>
    </row>
    <row r="235" spans="2:5" s="8" customFormat="1" ht="16" customHeight="1" x14ac:dyDescent="0.2">
      <c r="B235" s="4" t="s">
        <v>2849</v>
      </c>
      <c r="C235" s="362" t="str">
        <f>sample_wld_vrms_root_password</f>
        <v>VMw@re1!</v>
      </c>
      <c r="D235" s="337" t="str">
        <f>wld_vrms_root_password</f>
        <v>Value Missing</v>
      </c>
      <c r="E235" s="32"/>
    </row>
    <row r="236" spans="2:5" s="8" customFormat="1" ht="34" customHeight="1" x14ac:dyDescent="0.2">
      <c r="B236" s="361" t="s">
        <v>2850</v>
      </c>
      <c r="C236" s="362" t="str">
        <f>sample_wld_vrms_admin_password</f>
        <v>VMw@re1!</v>
      </c>
      <c r="D236" s="337" t="str">
        <f>wld_vrms_admin_password</f>
        <v>Value Missing</v>
      </c>
      <c r="E236" s="32"/>
    </row>
    <row r="237" spans="2:5" s="8" customFormat="1" ht="16" customHeight="1" x14ac:dyDescent="0.2">
      <c r="B237" s="361" t="s">
        <v>299</v>
      </c>
      <c r="C237" s="362" t="str">
        <f>sample_region_ntp1_server</f>
        <v>ntp0.sfo.rainpole.io</v>
      </c>
      <c r="D237" s="337" t="str">
        <f>region_ntp1_server</f>
        <v>Value Missing</v>
      </c>
      <c r="E237" s="32"/>
    </row>
    <row r="238" spans="2:5" s="8" customFormat="1" ht="34" customHeight="1" x14ac:dyDescent="0.2">
      <c r="B238" s="4" t="s">
        <v>302</v>
      </c>
      <c r="C238" s="362" t="str">
        <f>CONCATENATE(sample_wld_vrms_hostname,".",sample_child_dns_zone)</f>
        <v>sfo-w01-vrms01.sfo.rainpole.io</v>
      </c>
      <c r="D238" s="337" t="str">
        <f>wld_vrms_fqdn</f>
        <v>Value Missing.Value Missing</v>
      </c>
      <c r="E238" s="32"/>
    </row>
    <row r="239" spans="2:5" s="8" customFormat="1" ht="20" customHeight="1" x14ac:dyDescent="0.2">
      <c r="B239" s="4" t="s">
        <v>254</v>
      </c>
      <c r="C239" s="362" t="str">
        <f>sample_wld_az1_mgmt_vm_gateway_ip</f>
        <v>10.13.10.1</v>
      </c>
      <c r="D239" s="337" t="str">
        <f>wld_az1_mgmt_vm_gateway_ip</f>
        <v>Value Missing</v>
      </c>
      <c r="E239" s="32"/>
    </row>
    <row r="240" spans="2:5" s="8" customFormat="1" ht="20" customHeight="1" x14ac:dyDescent="0.2">
      <c r="B240" s="361" t="s">
        <v>606</v>
      </c>
      <c r="C240" s="362" t="str">
        <f>sample_child_dns_zone</f>
        <v>sfo.rainpole.io</v>
      </c>
      <c r="D240" s="337" t="str">
        <f>child_dns_zone</f>
        <v>Value Missing</v>
      </c>
      <c r="E240" s="32"/>
    </row>
    <row r="241" spans="2:5" s="8" customFormat="1" ht="20" customHeight="1" x14ac:dyDescent="0.2">
      <c r="B241" s="361" t="s">
        <v>2851</v>
      </c>
      <c r="C241" s="362" t="str">
        <f>sample_child_dns_zone</f>
        <v>sfo.rainpole.io</v>
      </c>
      <c r="D241" s="337" t="str">
        <f>child_dns_zone</f>
        <v>Value Missing</v>
      </c>
      <c r="E241" s="32"/>
    </row>
    <row r="242" spans="2:5" s="8" customFormat="1" ht="16" customHeight="1" x14ac:dyDescent="0.2">
      <c r="B242" s="361" t="s">
        <v>2852</v>
      </c>
      <c r="C242" s="362" t="str">
        <f>CONCATENATE(sample_region_dns1_ip,",",sample_region_dns2_ip)</f>
        <v>10.11.10.4,10.11.10.5</v>
      </c>
      <c r="D242" s="337" t="str">
        <f>CONCATENATE(region_dns1_ip,",",region_dns2_ip)</f>
        <v>Value Missing,Value Missing</v>
      </c>
      <c r="E242" s="32"/>
    </row>
    <row r="243" spans="2:5" s="8" customFormat="1" ht="34" customHeight="1" x14ac:dyDescent="0.2">
      <c r="B243" s="361" t="s">
        <v>2853</v>
      </c>
      <c r="C243" s="362" t="str">
        <f>sample_wld_vrms_mgmt_ip</f>
        <v>10.13.10.125</v>
      </c>
      <c r="D243" s="337" t="str">
        <f>wld_vrms_mgmt_ip</f>
        <v>Value Missing</v>
      </c>
      <c r="E243" s="32"/>
    </row>
    <row r="244" spans="2:5" s="8" customFormat="1" ht="20" customHeight="1" x14ac:dyDescent="0.2">
      <c r="B244" s="361" t="s">
        <v>2854</v>
      </c>
      <c r="C244" s="362">
        <f>INT(RIGHT(sample_wld_az1_mgmt_cidr,LEN(sample_wld_az1_mgmt_cidr)-FIND("/",sample_wld_az1_mgmt_cidr)))</f>
        <v>24</v>
      </c>
      <c r="D244" s="337" t="str">
        <f>IF(wld_az1_mgmt_cidr="Value Missing","Value Missing",IF(wld_az1_mgmt_cidr="Not Required","Not Required",INT(RIGHT(wld_az1_mgmt_cidr,LEN(wld_az1_mgmt_cidr)-FIND("/",wld_az1_mgmt_cidr)))))</f>
        <v>Value Missing</v>
      </c>
      <c r="E244" s="32"/>
    </row>
    <row r="245" spans="2:5" s="8" customFormat="1" ht="20" customHeight="1" x14ac:dyDescent="0.2"/>
    <row r="246" spans="2:5" s="8" customFormat="1" ht="20" customHeight="1" x14ac:dyDescent="0.2">
      <c r="B246" s="557" t="s">
        <v>2855</v>
      </c>
      <c r="C246" s="557"/>
      <c r="D246" s="557"/>
      <c r="E246" s="557"/>
    </row>
    <row r="247" spans="2:5" s="8" customFormat="1" ht="20" customHeight="1" x14ac:dyDescent="0.2">
      <c r="B247" s="43" t="s">
        <v>261</v>
      </c>
      <c r="C247" s="43" t="s">
        <v>262</v>
      </c>
      <c r="D247" s="130" t="s">
        <v>19</v>
      </c>
      <c r="E247" s="43" t="s">
        <v>20</v>
      </c>
    </row>
    <row r="248" spans="2:5" s="8" customFormat="1" ht="20" customHeight="1" x14ac:dyDescent="0.2">
      <c r="B248" s="4" t="s">
        <v>2856</v>
      </c>
      <c r="C248" s="362" t="str">
        <f>CONCATENATE(sample_wld_vrms_hostname,".",sample_child_dns_zone)</f>
        <v>sfo-w01-vrms01.sfo.rainpole.io</v>
      </c>
      <c r="D248" s="337" t="str">
        <f>wld_vrms_fqdn</f>
        <v>Value Missing.Value Missing</v>
      </c>
      <c r="E248" s="32"/>
    </row>
    <row r="249" spans="2:5" s="8" customFormat="1" ht="20" customHeight="1" x14ac:dyDescent="0.2">
      <c r="B249" s="4" t="s">
        <v>2857</v>
      </c>
      <c r="C249" s="362" t="str">
        <f>sample_wld_vrms_p12_password</f>
        <v>VMw@re1!</v>
      </c>
      <c r="D249" s="337" t="str">
        <f>wld_vrms_p12_password</f>
        <v>Value Missing</v>
      </c>
      <c r="E249" s="32"/>
    </row>
    <row r="250" spans="2:5" s="8" customFormat="1" ht="20" customHeight="1" x14ac:dyDescent="0.2"/>
    <row r="251" spans="2:5" s="8" customFormat="1" ht="20" customHeight="1" x14ac:dyDescent="0.2">
      <c r="B251" s="557" t="s">
        <v>2858</v>
      </c>
      <c r="C251" s="557"/>
      <c r="D251" s="557"/>
      <c r="E251" s="557"/>
    </row>
    <row r="252" spans="2:5" s="8" customFormat="1" ht="20" customHeight="1" x14ac:dyDescent="0.2">
      <c r="B252" s="43" t="s">
        <v>261</v>
      </c>
      <c r="C252" s="43" t="s">
        <v>262</v>
      </c>
      <c r="D252" s="130" t="s">
        <v>19</v>
      </c>
      <c r="E252" s="43" t="s">
        <v>20</v>
      </c>
    </row>
    <row r="253" spans="2:5" s="8" customFormat="1" ht="20" customHeight="1" x14ac:dyDescent="0.2">
      <c r="B253" s="4" t="s">
        <v>2856</v>
      </c>
      <c r="C253" s="362" t="str">
        <f>CONCATENATE(sample_wld_vrms_hostname,".",sample_child_dns_zone)</f>
        <v>sfo-w01-vrms01.sfo.rainpole.io</v>
      </c>
      <c r="D253" s="337" t="str">
        <f>wld_vrms_fqdn</f>
        <v>Value Missing.Value Missing</v>
      </c>
      <c r="E253" s="32"/>
    </row>
    <row r="254" spans="2:5" s="8" customFormat="1" ht="20" customHeight="1" x14ac:dyDescent="0.2">
      <c r="B254" s="361" t="s">
        <v>2859</v>
      </c>
      <c r="C254" s="362" t="str">
        <f>sample_wld_vc_fqdn</f>
        <v>sfo-w01-vc01.sfo.rainpole.io</v>
      </c>
      <c r="D254" s="337" t="str">
        <f>wld_vc_fqdn</f>
        <v>Value Missing</v>
      </c>
      <c r="E254" s="32"/>
    </row>
    <row r="255" spans="2:5" s="8" customFormat="1" ht="20" customHeight="1" x14ac:dyDescent="0.2">
      <c r="B255" s="361" t="s">
        <v>78</v>
      </c>
      <c r="C255" s="362" t="s">
        <v>1844</v>
      </c>
      <c r="D255" s="337" t="str">
        <f>C255</f>
        <v>administrator@vsphere.local</v>
      </c>
      <c r="E255" s="32"/>
    </row>
    <row r="256" spans="2:5" s="8" customFormat="1" ht="20" customHeight="1" x14ac:dyDescent="0.2">
      <c r="B256" s="361" t="s">
        <v>29</v>
      </c>
      <c r="C256" s="362" t="str">
        <f>sample_administrator_vsphere_local_password</f>
        <v>VMw@re1!VMw@re1!</v>
      </c>
      <c r="D256" s="337" t="str">
        <f>administrator_vsphere_local_password</f>
        <v>Value Missing</v>
      </c>
      <c r="E256" s="32"/>
    </row>
    <row r="257" spans="2:5" s="8" customFormat="1" ht="20" customHeight="1" x14ac:dyDescent="0.2">
      <c r="B257" s="361" t="s">
        <v>1657</v>
      </c>
      <c r="C257" s="362" t="str">
        <f>sample_wld_vc_fqdn</f>
        <v>sfo-w01-vc01.sfo.rainpole.io</v>
      </c>
      <c r="D257" s="337" t="str">
        <f>wld_vc_fqdn</f>
        <v>Value Missing</v>
      </c>
      <c r="E257" s="32"/>
    </row>
    <row r="258" spans="2:5" s="8" customFormat="1" ht="20" customHeight="1" x14ac:dyDescent="0.2">
      <c r="B258" s="361" t="s">
        <v>2743</v>
      </c>
      <c r="C258" s="362" t="str">
        <f>sample_wld_vrms_site_name</f>
        <v>SFO-W01</v>
      </c>
      <c r="D258" s="337" t="str">
        <f>wld_vrms_site_name</f>
        <v>Value Missing</v>
      </c>
      <c r="E258" s="32"/>
    </row>
    <row r="259" spans="2:5" s="8" customFormat="1" ht="20" customHeight="1" x14ac:dyDescent="0.2">
      <c r="B259" s="4" t="s">
        <v>2860</v>
      </c>
      <c r="C259" s="362" t="str">
        <f>sample_wld_vrms_admin_email</f>
        <v>vrms-administrator@rainpole.io</v>
      </c>
      <c r="D259" s="337" t="str">
        <f>wld_vrms_admin_email</f>
        <v>Value Missing</v>
      </c>
      <c r="E259" s="32"/>
    </row>
    <row r="260" spans="2:5" s="8" customFormat="1" ht="20" customHeight="1" x14ac:dyDescent="0.2">
      <c r="B260" s="4" t="s">
        <v>2861</v>
      </c>
      <c r="C260" s="362" t="str">
        <f>CONCATENATE(sample_wld_vrms_hostname,".",sample_child_dns_zone)</f>
        <v>sfo-w01-vrms01.sfo.rainpole.io</v>
      </c>
      <c r="D260" s="337" t="str">
        <f>wld_vrms_fqdn</f>
        <v>Value Missing.Value Missing</v>
      </c>
      <c r="E260" s="32"/>
    </row>
    <row r="261" spans="2:5" s="8" customFormat="1" ht="20" customHeight="1" x14ac:dyDescent="0.2"/>
    <row r="262" spans="2:5" s="8" customFormat="1" ht="16" customHeight="1" x14ac:dyDescent="0.2">
      <c r="B262" s="557" t="s">
        <v>2862</v>
      </c>
      <c r="C262" s="557"/>
      <c r="D262" s="557"/>
      <c r="E262" s="557"/>
    </row>
    <row r="263" spans="2:5" s="8" customFormat="1" ht="34" customHeight="1" x14ac:dyDescent="0.2">
      <c r="B263" s="43" t="s">
        <v>261</v>
      </c>
      <c r="C263" s="43" t="s">
        <v>262</v>
      </c>
      <c r="D263" s="130" t="s">
        <v>19</v>
      </c>
      <c r="E263" s="43" t="s">
        <v>20</v>
      </c>
    </row>
    <row r="264" spans="2:5" s="8" customFormat="1" ht="20" customHeight="1" x14ac:dyDescent="0.2">
      <c r="B264" s="361" t="s">
        <v>368</v>
      </c>
      <c r="C264" s="362" t="str">
        <f>sample_wld_vc_fqdn</f>
        <v>sfo-w01-vc01.sfo.rainpole.io</v>
      </c>
      <c r="D264" s="337" t="str">
        <f>wld_vc_fqdn</f>
        <v>Value Missing</v>
      </c>
      <c r="E264" s="32"/>
    </row>
    <row r="265" spans="2:5" s="8" customFormat="1" ht="20" customHeight="1" x14ac:dyDescent="0.2">
      <c r="B265" s="361" t="s">
        <v>2863</v>
      </c>
      <c r="C265" s="362" t="str">
        <f>sample_mgmt_cl01_vds01_name</f>
        <v>sfo-m01-cl01-vds01</v>
      </c>
      <c r="D265" s="337" t="str">
        <f>mgmt_cl01_vds01_name</f>
        <v>Value Missing</v>
      </c>
      <c r="E265" s="32"/>
    </row>
    <row r="266" spans="2:5" s="8" customFormat="1" ht="20" customHeight="1" x14ac:dyDescent="0.2">
      <c r="B266" s="495" t="s">
        <v>2864</v>
      </c>
      <c r="C266" s="496"/>
      <c r="D266" s="496"/>
      <c r="E266" s="497"/>
    </row>
    <row r="267" spans="2:5" s="8" customFormat="1" ht="16" customHeight="1" x14ac:dyDescent="0.2">
      <c r="B267" s="361" t="s">
        <v>261</v>
      </c>
      <c r="D267" s="337" t="str">
        <f>wld_vrms_pg</f>
        <v>Value Missing</v>
      </c>
      <c r="E267" s="32"/>
    </row>
    <row r="268" spans="2:5" s="8" customFormat="1" ht="34" customHeight="1" x14ac:dyDescent="0.2">
      <c r="B268" s="209" t="s">
        <v>85</v>
      </c>
      <c r="D268" s="347"/>
      <c r="E268" s="210"/>
    </row>
    <row r="269" spans="2:5" s="8" customFormat="1" ht="20" customHeight="1" x14ac:dyDescent="0.2">
      <c r="B269" s="209" t="s">
        <v>187</v>
      </c>
      <c r="C269" s="80" t="str">
        <f>CONCATENATE(prefix_wld_az1_cidr,"9.1")</f>
        <v>10.13.9.1</v>
      </c>
      <c r="D269" s="347"/>
      <c r="E269" s="362" t="s">
        <v>128</v>
      </c>
    </row>
    <row r="270" spans="2:5" s="8" customFormat="1" ht="20" customHeight="1" x14ac:dyDescent="0.2">
      <c r="B270" s="209" t="s">
        <v>188</v>
      </c>
      <c r="C270" s="80" t="str">
        <f>CONCATENATE(prefix_wld_az1_cidr,"9.0/24")</f>
        <v>10.13.9.0/24</v>
      </c>
      <c r="D270" s="347"/>
      <c r="E270" s="210"/>
    </row>
    <row r="271" spans="2:5" s="8" customFormat="1" ht="20" customHeight="1" x14ac:dyDescent="0.2">
      <c r="B271" s="22" t="s">
        <v>160</v>
      </c>
      <c r="C271" s="80">
        <v>9000</v>
      </c>
      <c r="D271" s="347"/>
      <c r="E271" s="210"/>
    </row>
    <row r="272" spans="2:5" s="8" customFormat="1" ht="20" customHeight="1" x14ac:dyDescent="0.2"/>
    <row r="273" spans="2:5" s="8" customFormat="1" ht="20" customHeight="1" x14ac:dyDescent="0.2">
      <c r="B273" s="557" t="s">
        <v>2865</v>
      </c>
      <c r="C273" s="557"/>
      <c r="D273" s="557"/>
      <c r="E273" s="557"/>
    </row>
    <row r="274" spans="2:5" s="8" customFormat="1" ht="20" customHeight="1" x14ac:dyDescent="0.2">
      <c r="B274" s="43" t="s">
        <v>261</v>
      </c>
      <c r="C274" s="43" t="s">
        <v>262</v>
      </c>
      <c r="D274" s="130" t="s">
        <v>19</v>
      </c>
      <c r="E274" s="43" t="s">
        <v>20</v>
      </c>
    </row>
    <row r="275" spans="2:5" s="8" customFormat="1" ht="20" customHeight="1" x14ac:dyDescent="0.2">
      <c r="B275" s="361" t="s">
        <v>368</v>
      </c>
      <c r="C275" s="362" t="str">
        <f>sample_wld_vc_fqdn</f>
        <v>sfo-w01-vc01.sfo.rainpole.io</v>
      </c>
      <c r="D275" s="337" t="str">
        <f>wld_vc_fqdn</f>
        <v>Value Missing</v>
      </c>
      <c r="E275" s="32"/>
    </row>
    <row r="276" spans="2:5" s="8" customFormat="1" ht="20" customHeight="1" x14ac:dyDescent="0.2">
      <c r="B276" s="361" t="s">
        <v>732</v>
      </c>
      <c r="C276" s="362" t="str">
        <f>sample_wld_cl01_cluster</f>
        <v>sfo-w01-cl01</v>
      </c>
      <c r="D276" s="337" t="str">
        <f>wld_cl01_cluster</f>
        <v>Value Missing</v>
      </c>
      <c r="E276" s="32"/>
    </row>
    <row r="277" spans="2:5" s="8" customFormat="1" ht="20" customHeight="1" x14ac:dyDescent="0.2">
      <c r="B277" s="361" t="s">
        <v>2866</v>
      </c>
      <c r="C277" s="362" t="str">
        <f>sample_wld_vrms_hostname</f>
        <v>sfo-w01-vrms01</v>
      </c>
      <c r="D277" s="337" t="str">
        <f>wld_vrms_hostname</f>
        <v>Value Missing</v>
      </c>
      <c r="E277" s="32"/>
    </row>
    <row r="278" spans="2:5" s="8" customFormat="1" ht="16" customHeight="1" x14ac:dyDescent="0.2">
      <c r="B278" s="361" t="s">
        <v>2867</v>
      </c>
      <c r="C278" s="362" t="str">
        <f>sample_wld_vrms_pg</f>
        <v>sfo-w01-cl01-vds01-pg-vrms</v>
      </c>
      <c r="D278" s="337" t="str">
        <f>wld_vrms_pg</f>
        <v>Value Missing</v>
      </c>
      <c r="E278" s="32"/>
    </row>
    <row r="279" spans="2:5" s="8" customFormat="1" ht="34" customHeight="1" x14ac:dyDescent="0.2">
      <c r="B279" s="361" t="s">
        <v>2868</v>
      </c>
      <c r="C279" s="362" t="str">
        <f>CONCATENATE(sample_wld_vrms_hostname,".",sample_child_dns_zone)</f>
        <v>sfo-w01-vrms01.sfo.rainpole.io</v>
      </c>
      <c r="D279" s="337" t="str">
        <f>wld_vrms_fqdn</f>
        <v>Value Missing.Value Missing</v>
      </c>
      <c r="E279" s="32"/>
    </row>
    <row r="280" spans="2:5" s="8" customFormat="1" ht="20" customHeight="1" x14ac:dyDescent="0.2">
      <c r="B280" s="361" t="s">
        <v>2869</v>
      </c>
      <c r="C280" s="362" t="str">
        <f>sample_wld_vrms_vrms_ip</f>
        <v>10.13.16.125</v>
      </c>
      <c r="D280" s="337" t="str">
        <f>wld_vrms_vrms_ip</f>
        <v>Value Missing</v>
      </c>
      <c r="E280" s="32"/>
    </row>
    <row r="281" spans="2:5" s="8" customFormat="1" ht="20" customHeight="1" x14ac:dyDescent="0.2">
      <c r="B281" s="361" t="s">
        <v>2870</v>
      </c>
      <c r="C281" s="362">
        <f>INT(RIGHT(sample_wld_az1_vrms_cidr,LEN(sample_wld_az1_vrms_cidr)-FIND("/",sample_wld_az1_vrms_cidr)))</f>
        <v>24</v>
      </c>
      <c r="D281" s="337" t="str">
        <f>IF(wld_az1_mgmt_cidr="Value Missing","Value Missing",IF(wld_az1_mgmt_cidr="Not Required","Not Required",INT(RIGHT(wld_az1_mgmt_cidr,LEN(wld_az1_mgmt_cidr)-FIND("/",wld_az1_mgmt_cidr)))))</f>
        <v>Value Missing</v>
      </c>
      <c r="E281" s="32"/>
    </row>
    <row r="282" spans="2:5" s="8" customFormat="1" ht="20" customHeight="1" x14ac:dyDescent="0.2">
      <c r="B282" s="4" t="s">
        <v>2871</v>
      </c>
      <c r="C282" s="362" t="str">
        <f>sample_wld_az1_mgmt_gateway_ip</f>
        <v>10.13.11.1</v>
      </c>
      <c r="D282" s="337" t="str">
        <f>wld_az1_mgmt_gateway_ip</f>
        <v>Value Missing</v>
      </c>
      <c r="E282" s="32"/>
    </row>
    <row r="283" spans="2:5" s="8" customFormat="1" ht="20" customHeight="1" x14ac:dyDescent="0.2">
      <c r="B283" s="4" t="s">
        <v>2872</v>
      </c>
      <c r="C283" s="362" t="str">
        <f>sample_wld_vrms_vrms_ip</f>
        <v>10.13.16.125</v>
      </c>
      <c r="D283" s="337" t="str">
        <f>wld_vrms_vrms_ip</f>
        <v>Value Missing</v>
      </c>
      <c r="E283" s="32"/>
    </row>
    <row r="284" spans="2:5" s="8" customFormat="1" ht="20" customHeight="1" x14ac:dyDescent="0.2">
      <c r="B284" s="361" t="s">
        <v>2873</v>
      </c>
      <c r="C284" s="362" t="str">
        <f>sample_wld_az1_vrms_gateway_ip</f>
        <v>10.13.9.1</v>
      </c>
      <c r="D284" s="337" t="str">
        <f>wld_az1_vrms_gateway_ip</f>
        <v>Value Missing</v>
      </c>
      <c r="E284" s="32"/>
    </row>
    <row r="285" spans="2:5" s="8" customFormat="1" ht="20" customHeight="1" x14ac:dyDescent="0.2">
      <c r="B285" s="361" t="s">
        <v>2874</v>
      </c>
      <c r="C285" s="362" t="str">
        <f>sample_wld_vrms_recovery_replication_cidr</f>
        <v>10.21.9.0/24</v>
      </c>
      <c r="D285" s="337" t="str">
        <f t="array" ref="D285">wld_vrms_recovery_replication_cidr</f>
        <v>Value Missing</v>
      </c>
      <c r="E285" s="32"/>
    </row>
    <row r="286" spans="2:5" s="8" customFormat="1" ht="20" customHeight="1" x14ac:dyDescent="0.2"/>
    <row r="287" spans="2:5" s="8" customFormat="1" ht="20" customHeight="1" x14ac:dyDescent="0.2">
      <c r="B287" s="557" t="s">
        <v>2875</v>
      </c>
      <c r="C287" s="557"/>
      <c r="D287" s="557"/>
      <c r="E287" s="557"/>
    </row>
    <row r="288" spans="2:5" s="8" customFormat="1" ht="20" customHeight="1" x14ac:dyDescent="0.2">
      <c r="B288" s="43" t="s">
        <v>261</v>
      </c>
      <c r="C288" s="43" t="s">
        <v>262</v>
      </c>
      <c r="D288" s="130" t="s">
        <v>19</v>
      </c>
      <c r="E288" s="43" t="s">
        <v>20</v>
      </c>
    </row>
    <row r="289" spans="2:5" s="8" customFormat="1" ht="20" customHeight="1" x14ac:dyDescent="0.2">
      <c r="B289" s="361" t="s">
        <v>368</v>
      </c>
      <c r="C289" s="362" t="str">
        <f>sample_wld_vc_fqdn</f>
        <v>sfo-w01-vc01.sfo.rainpole.io</v>
      </c>
      <c r="D289" s="337" t="str">
        <f>wld_vc_fqdn</f>
        <v>Value Missing</v>
      </c>
      <c r="E289" s="32"/>
    </row>
    <row r="290" spans="2:5" s="8" customFormat="1" ht="16" customHeight="1" x14ac:dyDescent="0.2">
      <c r="B290" s="361" t="s">
        <v>732</v>
      </c>
      <c r="C290" s="362" t="str">
        <f>sample_wld_cl01_cluster</f>
        <v>sfo-w01-cl01</v>
      </c>
      <c r="D290" s="337" t="str">
        <f>wld_cl01_cluster</f>
        <v>Value Missing</v>
      </c>
      <c r="E290" s="32"/>
    </row>
    <row r="291" spans="2:5" s="8" customFormat="1" ht="34" customHeight="1" x14ac:dyDescent="0.2">
      <c r="B291" s="4" t="s">
        <v>604</v>
      </c>
      <c r="C291" s="362" t="str">
        <f>sample_wld_vrms_pg</f>
        <v>sfo-w01-cl01-vds01-pg-vrms</v>
      </c>
      <c r="D291" s="337" t="str">
        <f>wld_vrms_pg</f>
        <v>Value Missing</v>
      </c>
      <c r="E291" s="32"/>
    </row>
    <row r="292" spans="2:5" s="8" customFormat="1" ht="20" customHeight="1" x14ac:dyDescent="0.2">
      <c r="B292" s="618" t="s">
        <v>2876</v>
      </c>
      <c r="C292" s="619"/>
      <c r="D292" s="619"/>
      <c r="E292" s="620"/>
    </row>
    <row r="293" spans="2:5" s="8" customFormat="1" ht="20" customHeight="1" x14ac:dyDescent="0.2">
      <c r="B293" s="361" t="str">
        <f t="array" ref="B293:B308">wld_az1_host_fqdns</f>
        <v>Value Missing</v>
      </c>
      <c r="C293" s="89" t="str">
        <f>CONCATENATE(prefix_wld_az1_cidr,"9.101")</f>
        <v>10.13.9.101</v>
      </c>
      <c r="D293" s="347"/>
      <c r="E293" s="100" t="s">
        <v>2877</v>
      </c>
    </row>
    <row r="294" spans="2:5" s="8" customFormat="1" ht="20" customHeight="1" x14ac:dyDescent="0.2">
      <c r="B294" s="361" t="str">
        <v>Value Missing</v>
      </c>
      <c r="C294" s="89" t="str">
        <f>CONCATENATE(prefix_wld_az1_cidr,"9.102")</f>
        <v>10.13.9.102</v>
      </c>
      <c r="D294" s="347"/>
      <c r="E294" s="100" t="s">
        <v>2878</v>
      </c>
    </row>
    <row r="295" spans="2:5" s="8" customFormat="1" ht="20" customHeight="1" x14ac:dyDescent="0.2">
      <c r="B295" s="361" t="str">
        <v>Value Missing</v>
      </c>
      <c r="C295" s="89" t="str">
        <f>CONCATENATE(prefix_wld_az1_cidr,"9.103")</f>
        <v>10.13.9.103</v>
      </c>
      <c r="D295" s="347"/>
      <c r="E295" s="100" t="s">
        <v>2879</v>
      </c>
    </row>
    <row r="296" spans="2:5" s="8" customFormat="1" ht="20" customHeight="1" x14ac:dyDescent="0.2">
      <c r="B296" s="361" t="str">
        <v>Value Missing</v>
      </c>
      <c r="C296" s="89" t="str">
        <f>CONCATENATE(prefix_wld_az1_cidr,"9.104")</f>
        <v>10.13.9.104</v>
      </c>
      <c r="D296" s="347"/>
      <c r="E296" s="100" t="s">
        <v>2880</v>
      </c>
    </row>
    <row r="297" spans="2:5" s="8" customFormat="1" ht="20" customHeight="1" x14ac:dyDescent="0.2">
      <c r="B297" s="361" t="str">
        <v>Value Missing</v>
      </c>
      <c r="C297" s="89" t="str">
        <f>CONCATENATE(prefix_wld_az1_cidr,"9.105")</f>
        <v>10.13.9.105</v>
      </c>
      <c r="D297" s="347"/>
      <c r="E297" s="100" t="s">
        <v>2881</v>
      </c>
    </row>
    <row r="298" spans="2:5" s="8" customFormat="1" ht="20" customHeight="1" x14ac:dyDescent="0.2">
      <c r="B298" s="361" t="str">
        <v>Value Missing</v>
      </c>
      <c r="C298" s="89" t="str">
        <f>CONCATENATE(prefix_wld_az1_cidr,"9.106")</f>
        <v>10.13.9.106</v>
      </c>
      <c r="D298" s="347"/>
      <c r="E298" s="100" t="s">
        <v>2882</v>
      </c>
    </row>
    <row r="299" spans="2:5" s="8" customFormat="1" ht="20" customHeight="1" x14ac:dyDescent="0.2">
      <c r="B299" s="4" t="str">
        <v>Value Missing</v>
      </c>
      <c r="C299" s="89" t="str">
        <f>CONCATENATE(prefix_wld_az1_cidr,"9.107")</f>
        <v>10.13.9.107</v>
      </c>
      <c r="D299" s="347"/>
      <c r="E299" s="100" t="s">
        <v>2883</v>
      </c>
    </row>
    <row r="300" spans="2:5" s="8" customFormat="1" ht="20" customHeight="1" x14ac:dyDescent="0.2">
      <c r="B300" s="4" t="str">
        <v>Value Missing</v>
      </c>
      <c r="C300" s="89" t="str">
        <f>CONCATENATE(prefix_wld_az1_cidr,"9.108")</f>
        <v>10.13.9.108</v>
      </c>
      <c r="D300" s="347"/>
      <c r="E300" s="100" t="s">
        <v>2884</v>
      </c>
    </row>
    <row r="301" spans="2:5" s="8" customFormat="1" ht="20" customHeight="1" x14ac:dyDescent="0.2">
      <c r="B301" s="4" t="str">
        <v>Value Missing</v>
      </c>
      <c r="C301" s="89" t="str">
        <f>CONCATENATE(prefix_wld_az1_cidr,"9.109")</f>
        <v>10.13.9.109</v>
      </c>
      <c r="D301" s="347"/>
      <c r="E301" s="100" t="s">
        <v>2885</v>
      </c>
    </row>
    <row r="302" spans="2:5" s="8" customFormat="1" ht="20" customHeight="1" x14ac:dyDescent="0.2">
      <c r="B302" s="361" t="str">
        <v>Value Missing</v>
      </c>
      <c r="C302" s="89" t="str">
        <f>CONCATENATE(prefix_wld_az1_cidr,"9.110")</f>
        <v>10.13.9.110</v>
      </c>
      <c r="D302" s="347"/>
      <c r="E302" s="100" t="s">
        <v>2886</v>
      </c>
    </row>
    <row r="303" spans="2:5" s="8" customFormat="1" ht="20" customHeight="1" x14ac:dyDescent="0.2">
      <c r="B303" s="361" t="str">
        <v>Value Missing</v>
      </c>
      <c r="C303" s="89" t="str">
        <f>CONCATENATE(prefix_wld_az1_cidr,"9.111")</f>
        <v>10.13.9.111</v>
      </c>
      <c r="D303" s="347"/>
      <c r="E303" s="100" t="s">
        <v>2887</v>
      </c>
    </row>
    <row r="304" spans="2:5" s="8" customFormat="1" ht="16" customHeight="1" x14ac:dyDescent="0.2">
      <c r="B304" s="361" t="str">
        <v>Value Missing</v>
      </c>
      <c r="C304" s="89" t="str">
        <f>CONCATENATE(prefix_wld_az1_cidr,"9.112")</f>
        <v>10.13.9.112</v>
      </c>
      <c r="D304" s="347"/>
      <c r="E304" s="100" t="s">
        <v>2888</v>
      </c>
    </row>
    <row r="305" spans="2:5" s="8" customFormat="1" ht="34" customHeight="1" x14ac:dyDescent="0.2">
      <c r="B305" s="358" t="str">
        <v>Value Missing</v>
      </c>
      <c r="C305" s="89" t="str">
        <f>CONCATENATE(prefix_wld_az1_cidr,"9.113")</f>
        <v>10.13.9.113</v>
      </c>
      <c r="D305" s="347"/>
      <c r="E305" s="100" t="s">
        <v>2889</v>
      </c>
    </row>
    <row r="306" spans="2:5" s="8" customFormat="1" ht="20" customHeight="1" x14ac:dyDescent="0.2">
      <c r="B306" s="358" t="str">
        <v>Value Missing</v>
      </c>
      <c r="C306" s="89" t="str">
        <f>CONCATENATE(prefix_wld_az1_cidr,"9.114")</f>
        <v>10.13.9.114</v>
      </c>
      <c r="D306" s="347"/>
      <c r="E306" s="100" t="s">
        <v>2890</v>
      </c>
    </row>
    <row r="307" spans="2:5" s="8" customFormat="1" ht="20" customHeight="1" x14ac:dyDescent="0.2">
      <c r="B307" s="358" t="str">
        <v>Value Missing</v>
      </c>
      <c r="C307" s="89" t="str">
        <f>CONCATENATE(prefix_wld_az1_cidr,"9.115")</f>
        <v>10.13.9.115</v>
      </c>
      <c r="D307" s="347"/>
      <c r="E307" s="100" t="s">
        <v>2891</v>
      </c>
    </row>
    <row r="308" spans="2:5" s="8" customFormat="1" ht="20" customHeight="1" x14ac:dyDescent="0.2">
      <c r="B308" s="358" t="str">
        <v>Value Missing</v>
      </c>
      <c r="C308" s="89" t="str">
        <f>CONCATENATE(prefix_wld_az1_cidr,"9.116")</f>
        <v>10.13.9.116</v>
      </c>
      <c r="D308" s="347"/>
      <c r="E308" s="100" t="s">
        <v>2892</v>
      </c>
    </row>
    <row r="309" spans="2:5" s="8" customFormat="1" ht="20" customHeight="1" x14ac:dyDescent="0.2">
      <c r="B309" s="618" t="s">
        <v>2893</v>
      </c>
      <c r="C309" s="619"/>
      <c r="D309" s="619"/>
      <c r="E309" s="620"/>
    </row>
    <row r="310" spans="2:5" s="8" customFormat="1" ht="20" customHeight="1" x14ac:dyDescent="0.2">
      <c r="B310" s="361" t="str">
        <f t="array" ref="B310:B325">wld_az2_host_fqdns</f>
        <v>Value Missing</v>
      </c>
      <c r="C310" s="89" t="str">
        <f>CONCATENATE(prefix_wld_az2_cidr,"9.101")</f>
        <v>10.14.9.101</v>
      </c>
      <c r="D310" s="347"/>
      <c r="E310" s="100" t="s">
        <v>2877</v>
      </c>
    </row>
    <row r="311" spans="2:5" s="8" customFormat="1" ht="20" customHeight="1" x14ac:dyDescent="0.2">
      <c r="B311" s="361" t="str">
        <v>Value Missing</v>
      </c>
      <c r="C311" s="89" t="str">
        <f>CONCATENATE(prefix_wld_az2_cidr,"9.102")</f>
        <v>10.14.9.102</v>
      </c>
      <c r="D311" s="347"/>
      <c r="E311" s="100" t="s">
        <v>2878</v>
      </c>
    </row>
    <row r="312" spans="2:5" s="8" customFormat="1" ht="20" customHeight="1" x14ac:dyDescent="0.2">
      <c r="B312" s="361" t="str">
        <v>Value Missing</v>
      </c>
      <c r="C312" s="89" t="str">
        <f>CONCATENATE(prefix_wld_az2_cidr,"9.103")</f>
        <v>10.14.9.103</v>
      </c>
      <c r="D312" s="347"/>
      <c r="E312" s="100" t="s">
        <v>2879</v>
      </c>
    </row>
    <row r="313" spans="2:5" s="8" customFormat="1" ht="20" customHeight="1" x14ac:dyDescent="0.2">
      <c r="B313" s="361" t="str">
        <v>Value Missing</v>
      </c>
      <c r="C313" s="89" t="str">
        <f>CONCATENATE(prefix_wld_az2_cidr,"9.104")</f>
        <v>10.14.9.104</v>
      </c>
      <c r="D313" s="347"/>
      <c r="E313" s="100" t="s">
        <v>2880</v>
      </c>
    </row>
    <row r="314" spans="2:5" s="8" customFormat="1" ht="20" customHeight="1" x14ac:dyDescent="0.2">
      <c r="B314" s="361" t="str">
        <v>Value Missing</v>
      </c>
      <c r="C314" s="89" t="str">
        <f>CONCATENATE(prefix_wld_az2_cidr,"9.105")</f>
        <v>10.14.9.105</v>
      </c>
      <c r="D314" s="347"/>
      <c r="E314" s="100" t="s">
        <v>2881</v>
      </c>
    </row>
    <row r="315" spans="2:5" s="8" customFormat="1" ht="20" customHeight="1" x14ac:dyDescent="0.2">
      <c r="B315" s="361" t="str">
        <v>Value Missing</v>
      </c>
      <c r="C315" s="89" t="str">
        <f>CONCATENATE(prefix_wld_az2_cidr,"9.106")</f>
        <v>10.14.9.106</v>
      </c>
      <c r="D315" s="347"/>
      <c r="E315" s="100" t="s">
        <v>2882</v>
      </c>
    </row>
    <row r="316" spans="2:5" s="8" customFormat="1" ht="20" customHeight="1" x14ac:dyDescent="0.2">
      <c r="B316" s="4" t="str">
        <v>Value Missing</v>
      </c>
      <c r="C316" s="89" t="str">
        <f>CONCATENATE(prefix_wld_az2_cidr,"9.107")</f>
        <v>10.14.9.107</v>
      </c>
      <c r="D316" s="347"/>
      <c r="E316" s="100" t="s">
        <v>2883</v>
      </c>
    </row>
    <row r="317" spans="2:5" s="8" customFormat="1" ht="20" customHeight="1" x14ac:dyDescent="0.2">
      <c r="B317" s="4" t="str">
        <v>Value Missing</v>
      </c>
      <c r="C317" s="89" t="str">
        <f>CONCATENATE(prefix_wld_az2_cidr,"9.108")</f>
        <v>10.14.9.108</v>
      </c>
      <c r="D317" s="347"/>
      <c r="E317" s="100" t="s">
        <v>2884</v>
      </c>
    </row>
    <row r="318" spans="2:5" s="8" customFormat="1" ht="20" customHeight="1" x14ac:dyDescent="0.2">
      <c r="B318" s="4" t="str">
        <v>Value Missing</v>
      </c>
      <c r="C318" s="89" t="str">
        <f>CONCATENATE(prefix_wld_az2_cidr,"9.109")</f>
        <v>10.14.9.109</v>
      </c>
      <c r="D318" s="347"/>
      <c r="E318" s="100" t="s">
        <v>2885</v>
      </c>
    </row>
    <row r="319" spans="2:5" s="8" customFormat="1" ht="20" customHeight="1" x14ac:dyDescent="0.2">
      <c r="B319" s="361" t="str">
        <v>Value Missing</v>
      </c>
      <c r="C319" s="89" t="str">
        <f>CONCATENATE(prefix_wld_az2_cidr,"9.110")</f>
        <v>10.14.9.110</v>
      </c>
      <c r="D319" s="347"/>
      <c r="E319" s="100" t="s">
        <v>2886</v>
      </c>
    </row>
    <row r="320" spans="2:5" s="8" customFormat="1" ht="20" customHeight="1" x14ac:dyDescent="0.2">
      <c r="B320" s="361" t="str">
        <v>Value Missing</v>
      </c>
      <c r="C320" s="89" t="str">
        <f>CONCATENATE(prefix_wld_az2_cidr,"9.111")</f>
        <v>10.14.9.111</v>
      </c>
      <c r="D320" s="347"/>
      <c r="E320" s="100" t="s">
        <v>2887</v>
      </c>
    </row>
    <row r="321" spans="2:5" s="8" customFormat="1" ht="20" customHeight="1" x14ac:dyDescent="0.2">
      <c r="B321" s="361" t="str">
        <v>Value Missing</v>
      </c>
      <c r="C321" s="89" t="str">
        <f>CONCATENATE(prefix_wld_az2_cidr,"9.112")</f>
        <v>10.14.9.112</v>
      </c>
      <c r="D321" s="347"/>
      <c r="E321" s="100" t="s">
        <v>2888</v>
      </c>
    </row>
    <row r="322" spans="2:5" s="8" customFormat="1" ht="20" customHeight="1" x14ac:dyDescent="0.2">
      <c r="B322" s="361" t="str">
        <v>Value Missing</v>
      </c>
      <c r="C322" s="89" t="str">
        <f>CONCATENATE(prefix_wld_az2_cidr,"9.113")</f>
        <v>10.14.9.113</v>
      </c>
      <c r="D322" s="347"/>
      <c r="E322" s="100" t="s">
        <v>2889</v>
      </c>
    </row>
    <row r="323" spans="2:5" s="8" customFormat="1" ht="20" customHeight="1" x14ac:dyDescent="0.2">
      <c r="B323" s="361" t="str">
        <v>Value Missing</v>
      </c>
      <c r="C323" s="89" t="str">
        <f>CONCATENATE(prefix_wld_az2_cidr,"9.114")</f>
        <v>10.14.9.114</v>
      </c>
      <c r="D323" s="347"/>
      <c r="E323" s="100" t="s">
        <v>2890</v>
      </c>
    </row>
    <row r="324" spans="2:5" s="8" customFormat="1" ht="20" customHeight="1" x14ac:dyDescent="0.2">
      <c r="B324" s="361" t="str">
        <v>Value Missing</v>
      </c>
      <c r="C324" s="89" t="str">
        <f>CONCATENATE(prefix_wld_az2_cidr,"9.115")</f>
        <v>10.14.9.115</v>
      </c>
      <c r="D324" s="347"/>
      <c r="E324" s="100" t="s">
        <v>2891</v>
      </c>
    </row>
    <row r="325" spans="2:5" s="8" customFormat="1" ht="20" customHeight="1" x14ac:dyDescent="0.2">
      <c r="B325" s="361" t="str">
        <v>Value Missing</v>
      </c>
      <c r="C325" s="89" t="str">
        <f>CONCATENATE(prefix_wld_az2_cidr,"9.116")</f>
        <v>10.14.9.116</v>
      </c>
      <c r="D325" s="347"/>
      <c r="E325" s="100" t="s">
        <v>2892</v>
      </c>
    </row>
    <row r="326" spans="2:5" s="8" customFormat="1" ht="20" customHeight="1" x14ac:dyDescent="0.2"/>
    <row r="327" spans="2:5" s="8" customFormat="1" ht="20" customHeight="1" x14ac:dyDescent="0.2">
      <c r="B327" s="557" t="s">
        <v>2894</v>
      </c>
      <c r="C327" s="557"/>
      <c r="D327" s="557"/>
      <c r="E327" s="557"/>
    </row>
    <row r="328" spans="2:5" s="8" customFormat="1" ht="20" customHeight="1" x14ac:dyDescent="0.2">
      <c r="B328" s="43" t="s">
        <v>261</v>
      </c>
      <c r="C328" s="43" t="s">
        <v>262</v>
      </c>
      <c r="D328" s="130" t="s">
        <v>19</v>
      </c>
      <c r="E328" s="43" t="s">
        <v>20</v>
      </c>
    </row>
    <row r="329" spans="2:5" s="8" customFormat="1" ht="20" customHeight="1" x14ac:dyDescent="0.2">
      <c r="B329" s="618" t="s">
        <v>2876</v>
      </c>
      <c r="C329" s="619"/>
      <c r="D329" s="619"/>
      <c r="E329" s="620"/>
    </row>
    <row r="330" spans="2:5" s="8" customFormat="1" ht="20" customHeight="1" x14ac:dyDescent="0.2">
      <c r="B330" s="4" t="s">
        <v>2895</v>
      </c>
      <c r="C330" s="362" t="str">
        <f>sample_wld_az1_host1_fqdn</f>
        <v>sfo01-w01-r01-esx01.sfo.rainpole.io</v>
      </c>
      <c r="D330" s="337" t="str">
        <f>wld_az1_host1_fqdn</f>
        <v>Value Missing</v>
      </c>
      <c r="E330" s="32"/>
    </row>
    <row r="331" spans="2:5" s="8" customFormat="1" ht="20" customHeight="1" x14ac:dyDescent="0.2">
      <c r="B331" s="4" t="s">
        <v>2896</v>
      </c>
      <c r="C331" s="362" t="str">
        <f>sample_wld_az1_vrms_gateway_ip</f>
        <v>10.13.9.1</v>
      </c>
      <c r="D331" s="337" t="str">
        <f>wld_az1_vrms_gateway_ip</f>
        <v>Value Missing</v>
      </c>
      <c r="E331" s="32"/>
    </row>
    <row r="332" spans="2:5" s="8" customFormat="1" ht="20" customHeight="1" x14ac:dyDescent="0.2">
      <c r="B332" s="361" t="s">
        <v>2897</v>
      </c>
      <c r="C332" s="362" t="str">
        <f t="array" ref="C332">sample_wld_vrms_recovery_replication_cidr</f>
        <v>10.21.9.0/24</v>
      </c>
      <c r="D332" s="337" t="str">
        <f t="array" ref="D332">wld_vrms_recovery_replication_cidr</f>
        <v>Value Missing</v>
      </c>
      <c r="E332" s="32"/>
    </row>
    <row r="333" spans="2:5" s="8" customFormat="1" ht="20" customHeight="1" x14ac:dyDescent="0.2">
      <c r="B333" s="361" t="s">
        <v>2898</v>
      </c>
      <c r="C333" s="362" t="str">
        <f>sample_wld_az1_host2_fqdn</f>
        <v>sfo01-w01-r01-esx02.sfo.rainpole.io</v>
      </c>
      <c r="D333" s="337" t="str">
        <f>wld_az1_host2_fqdn</f>
        <v>Value Missing</v>
      </c>
      <c r="E333" s="32"/>
    </row>
    <row r="334" spans="2:5" s="8" customFormat="1" ht="20" customHeight="1" x14ac:dyDescent="0.2">
      <c r="B334" s="361" t="s">
        <v>2899</v>
      </c>
      <c r="C334" s="362" t="str">
        <f>sample_wld_az1_vrms_gateway_ip</f>
        <v>10.13.9.1</v>
      </c>
      <c r="D334" s="337" t="str">
        <f>wld_az1_vrms_gateway_ip</f>
        <v>Value Missing</v>
      </c>
      <c r="E334" s="32"/>
    </row>
    <row r="335" spans="2:5" s="8" customFormat="1" ht="20" customHeight="1" x14ac:dyDescent="0.2">
      <c r="B335" s="361" t="s">
        <v>2900</v>
      </c>
      <c r="C335" s="362" t="str">
        <f t="array" ref="C335">sample_wld_vrms_recovery_replication_cidr</f>
        <v>10.21.9.0/24</v>
      </c>
      <c r="D335" s="337" t="str">
        <f t="array" ref="D335">wld_vrms_recovery_replication_cidr</f>
        <v>Value Missing</v>
      </c>
      <c r="E335" s="32"/>
    </row>
    <row r="336" spans="2:5" s="8" customFormat="1" ht="20" customHeight="1" x14ac:dyDescent="0.2">
      <c r="B336" s="361" t="s">
        <v>2901</v>
      </c>
      <c r="C336" s="362" t="str">
        <f>sample_wld_az1_host3_fqdn</f>
        <v>sfo01-w01-r01-esx03.sfo.rainpole.io</v>
      </c>
      <c r="D336" s="337" t="str">
        <f>wld_az1_host3_fqdn</f>
        <v>Value Missing</v>
      </c>
      <c r="E336" s="32"/>
    </row>
    <row r="337" spans="2:5" s="8" customFormat="1" ht="20" customHeight="1" x14ac:dyDescent="0.2">
      <c r="B337" s="4" t="s">
        <v>2902</v>
      </c>
      <c r="C337" s="362" t="str">
        <f>sample_wld_az1_vrms_gateway_ip</f>
        <v>10.13.9.1</v>
      </c>
      <c r="D337" s="337" t="str">
        <f>wld_az1_vrms_gateway_ip</f>
        <v>Value Missing</v>
      </c>
      <c r="E337" s="32"/>
    </row>
    <row r="338" spans="2:5" s="8" customFormat="1" ht="20" customHeight="1" x14ac:dyDescent="0.2">
      <c r="B338" s="4" t="s">
        <v>2903</v>
      </c>
      <c r="C338" s="362" t="str">
        <f t="array" ref="C338">sample_wld_vrms_recovery_replication_cidr</f>
        <v>10.21.9.0/24</v>
      </c>
      <c r="D338" s="337" t="str">
        <f t="array" ref="D338">wld_vrms_recovery_replication_cidr</f>
        <v>Value Missing</v>
      </c>
      <c r="E338" s="32"/>
    </row>
    <row r="339" spans="2:5" s="8" customFormat="1" ht="20" customHeight="1" x14ac:dyDescent="0.2">
      <c r="B339" s="361" t="s">
        <v>2904</v>
      </c>
      <c r="C339" s="362" t="str">
        <f>sample_wld_az1_host4_fqdn</f>
        <v>sfo01-w01-r01-esx04.sfo.rainpole.io</v>
      </c>
      <c r="D339" s="337" t="str">
        <f>wld_az1_host4_fqdn</f>
        <v>Value Missing</v>
      </c>
      <c r="E339" s="32"/>
    </row>
    <row r="340" spans="2:5" s="8" customFormat="1" ht="20" customHeight="1" x14ac:dyDescent="0.2">
      <c r="B340" s="361" t="s">
        <v>2905</v>
      </c>
      <c r="C340" s="362" t="str">
        <f>sample_wld_az1_vrms_gateway_ip</f>
        <v>10.13.9.1</v>
      </c>
      <c r="D340" s="337" t="str">
        <f>wld_az1_vrms_gateway_ip</f>
        <v>Value Missing</v>
      </c>
      <c r="E340" s="32"/>
    </row>
    <row r="341" spans="2:5" s="8" customFormat="1" ht="20" customHeight="1" x14ac:dyDescent="0.2">
      <c r="B341" s="4" t="s">
        <v>2906</v>
      </c>
      <c r="C341" s="362" t="str">
        <f t="array" ref="C341">sample_wld_vrms_recovery_replication_cidr</f>
        <v>10.21.9.0/24</v>
      </c>
      <c r="D341" s="337" t="str">
        <f t="array" ref="D341">wld_vrms_recovery_replication_cidr</f>
        <v>Value Missing</v>
      </c>
      <c r="E341" s="32"/>
    </row>
    <row r="342" spans="2:5" s="8" customFormat="1" ht="20" customHeight="1" x14ac:dyDescent="0.2">
      <c r="B342" s="618" t="s">
        <v>2893</v>
      </c>
      <c r="C342" s="619"/>
      <c r="D342" s="619"/>
      <c r="E342" s="620"/>
    </row>
    <row r="343" spans="2:5" s="8" customFormat="1" ht="20" customHeight="1" x14ac:dyDescent="0.2">
      <c r="B343" s="4" t="s">
        <v>2895</v>
      </c>
      <c r="C343" s="362" t="str">
        <f>sample_wld_az2_host1_fqdn</f>
        <v>sfo02-w01-r01-esx01.sfo.rainpole.io</v>
      </c>
      <c r="D343" s="337" t="str">
        <f>wld_az2_host1_fqdn</f>
        <v>Value Missing</v>
      </c>
      <c r="E343" s="32"/>
    </row>
    <row r="344" spans="2:5" s="8" customFormat="1" ht="16" customHeight="1" x14ac:dyDescent="0.2">
      <c r="B344" s="4" t="s">
        <v>2896</v>
      </c>
      <c r="C344" s="362" t="str">
        <f>sample_wld_az1_vrms_gateway_ip</f>
        <v>10.13.9.1</v>
      </c>
      <c r="D344" s="337" t="str">
        <f>wld_az1_vrms_gateway_ip</f>
        <v>Value Missing</v>
      </c>
      <c r="E344" s="32"/>
    </row>
    <row r="345" spans="2:5" s="8" customFormat="1" ht="34" customHeight="1" x14ac:dyDescent="0.2">
      <c r="B345" s="361" t="s">
        <v>2897</v>
      </c>
      <c r="C345" s="362" t="str">
        <f t="array" ref="C345">sample_wld_vrms_recovery_replication_cidr</f>
        <v>10.21.9.0/24</v>
      </c>
      <c r="D345" s="337" t="str">
        <f t="array" ref="D345">wld_vrms_recovery_replication_cidr</f>
        <v>Value Missing</v>
      </c>
      <c r="E345" s="32"/>
    </row>
    <row r="346" spans="2:5" s="8" customFormat="1" ht="20" customHeight="1" x14ac:dyDescent="0.2">
      <c r="B346" s="361" t="s">
        <v>2898</v>
      </c>
      <c r="C346" s="362" t="str">
        <f>sample_wld_az2_host2_fqdn</f>
        <v>sfo02-w01-r01-esx02.sfo.rainpole.io</v>
      </c>
      <c r="D346" s="337" t="str">
        <f>wld_az2_host2_fqdn</f>
        <v>Value Missing</v>
      </c>
      <c r="E346" s="32"/>
    </row>
    <row r="347" spans="2:5" s="8" customFormat="1" ht="20" customHeight="1" x14ac:dyDescent="0.2">
      <c r="B347" s="361" t="s">
        <v>2899</v>
      </c>
      <c r="C347" s="362" t="str">
        <f>sample_wld_az1_vrms_gateway_ip</f>
        <v>10.13.9.1</v>
      </c>
      <c r="D347" s="337" t="str">
        <f>wld_az1_vrms_gateway_ip</f>
        <v>Value Missing</v>
      </c>
      <c r="E347" s="32"/>
    </row>
    <row r="348" spans="2:5" s="8" customFormat="1" ht="20" customHeight="1" x14ac:dyDescent="0.2">
      <c r="B348" s="361" t="s">
        <v>2900</v>
      </c>
      <c r="C348" s="362" t="str">
        <f t="array" ref="C348">sample_wld_vrms_recovery_replication_cidr</f>
        <v>10.21.9.0/24</v>
      </c>
      <c r="D348" s="337" t="str">
        <f t="array" ref="D348">wld_vrms_recovery_replication_cidr</f>
        <v>Value Missing</v>
      </c>
      <c r="E348" s="32"/>
    </row>
    <row r="349" spans="2:5" s="8" customFormat="1" ht="20" customHeight="1" x14ac:dyDescent="0.2">
      <c r="B349" s="361" t="s">
        <v>2901</v>
      </c>
      <c r="C349" s="362" t="str">
        <f>sample_wld_az2_host3_fqdn</f>
        <v>sfo02-w01-r01-esx03.sfo.rainpole.io</v>
      </c>
      <c r="D349" s="337" t="str">
        <f>wld_az2_host3_fqdn</f>
        <v>Value Missing</v>
      </c>
      <c r="E349" s="32"/>
    </row>
    <row r="350" spans="2:5" s="8" customFormat="1" ht="20" customHeight="1" x14ac:dyDescent="0.2">
      <c r="B350" s="4" t="s">
        <v>2902</v>
      </c>
      <c r="C350" s="362" t="str">
        <f>sample_wld_az1_vrms_gateway_ip</f>
        <v>10.13.9.1</v>
      </c>
      <c r="D350" s="337" t="str">
        <f>wld_az1_vrms_gateway_ip</f>
        <v>Value Missing</v>
      </c>
      <c r="E350" s="32"/>
    </row>
    <row r="351" spans="2:5" s="8" customFormat="1" ht="20" customHeight="1" x14ac:dyDescent="0.2">
      <c r="B351" s="4" t="s">
        <v>2903</v>
      </c>
      <c r="C351" s="362" t="str">
        <f t="array" ref="C351">sample_wld_vrms_recovery_replication_cidr</f>
        <v>10.21.9.0/24</v>
      </c>
      <c r="D351" s="337" t="str">
        <f t="array" ref="D351">wld_vrms_recovery_replication_cidr</f>
        <v>Value Missing</v>
      </c>
      <c r="E351" s="32"/>
    </row>
    <row r="352" spans="2:5" s="8" customFormat="1" ht="20" customHeight="1" x14ac:dyDescent="0.2">
      <c r="B352" s="361" t="s">
        <v>2904</v>
      </c>
      <c r="C352" s="362" t="str">
        <f>sample_wld_az2_host14_fqdn</f>
        <v>sfo02-w01-r01-esx14.sfo.rainpole.io</v>
      </c>
      <c r="D352" s="337" t="str">
        <f>wld_az2_host4_fqdn</f>
        <v>Value Missing</v>
      </c>
      <c r="E352" s="32"/>
    </row>
    <row r="353" spans="2:5" s="8" customFormat="1" ht="20" customHeight="1" x14ac:dyDescent="0.2">
      <c r="B353" s="361" t="s">
        <v>2905</v>
      </c>
      <c r="C353" s="362" t="str">
        <f>sample_wld_az1_vrms_gateway_ip</f>
        <v>10.13.9.1</v>
      </c>
      <c r="D353" s="337" t="str">
        <f>wld_az1_vrms_gateway_ip</f>
        <v>Value Missing</v>
      </c>
      <c r="E353" s="32"/>
    </row>
    <row r="354" spans="2:5" s="8" customFormat="1" ht="20" customHeight="1" x14ac:dyDescent="0.2">
      <c r="B354" s="4" t="s">
        <v>2906</v>
      </c>
      <c r="C354" s="362" t="str">
        <f>sample_wld_vrms_recovery_replication_cidr</f>
        <v>10.21.9.0/24</v>
      </c>
      <c r="D354" s="337" t="str">
        <f t="array" ref="D354">wld_vrms_recovery_replication_cidr</f>
        <v>Value Missing</v>
      </c>
      <c r="E354" s="32"/>
    </row>
    <row r="355" spans="2:5" s="8" customFormat="1" ht="20" customHeight="1" x14ac:dyDescent="0.2"/>
    <row r="356" spans="2:5" s="8" customFormat="1" ht="20" customHeight="1" x14ac:dyDescent="0.2">
      <c r="B356" s="556" t="s">
        <v>2907</v>
      </c>
      <c r="C356" s="557"/>
      <c r="D356" s="557"/>
      <c r="E356" s="557"/>
    </row>
    <row r="357" spans="2:5" s="8" customFormat="1" ht="20" customHeight="1" x14ac:dyDescent="0.2"/>
    <row r="358" spans="2:5" s="8" customFormat="1" ht="20" customHeight="1" x14ac:dyDescent="0.2">
      <c r="B358" s="557" t="s">
        <v>2908</v>
      </c>
      <c r="C358" s="557"/>
      <c r="D358" s="557"/>
      <c r="E358" s="557"/>
    </row>
    <row r="359" spans="2:5" s="8" customFormat="1" ht="20" customHeight="1" x14ac:dyDescent="0.2">
      <c r="B359" s="43" t="s">
        <v>261</v>
      </c>
      <c r="C359" s="43" t="s">
        <v>262</v>
      </c>
      <c r="D359" s="130" t="s">
        <v>19</v>
      </c>
      <c r="E359" s="43" t="s">
        <v>20</v>
      </c>
    </row>
    <row r="360" spans="2:5" s="8" customFormat="1" ht="20" customHeight="1" x14ac:dyDescent="0.2">
      <c r="B360" s="361" t="s">
        <v>368</v>
      </c>
      <c r="C360" s="362" t="str">
        <f>sample_mgmt_vc_fqdn</f>
        <v>sfo-m01-vc01.sfo.rainpole.io</v>
      </c>
      <c r="D360" s="337" t="str">
        <f>mgmt_vc_fqdn</f>
        <v>Value Missing</v>
      </c>
      <c r="E360" s="32"/>
    </row>
    <row r="361" spans="2:5" s="8" customFormat="1" ht="20" customHeight="1" x14ac:dyDescent="0.2">
      <c r="B361" s="4" t="s">
        <v>2764</v>
      </c>
      <c r="C361" s="362" t="str">
        <f>sample_wld_srm_vm_folder</f>
        <v>sfo-w01-fd-srm</v>
      </c>
      <c r="D361" s="337" t="str">
        <f>wld_srm_vm_folder</f>
        <v>Value Missing</v>
      </c>
      <c r="E361" s="32"/>
    </row>
    <row r="362" spans="2:5" s="8" customFormat="1" ht="20" customHeight="1" x14ac:dyDescent="0.2"/>
    <row r="363" spans="2:5" s="8" customFormat="1" ht="20" customHeight="1" x14ac:dyDescent="0.2">
      <c r="B363" s="557" t="s">
        <v>2909</v>
      </c>
      <c r="C363" s="523"/>
      <c r="D363" s="523"/>
      <c r="E363" s="524"/>
    </row>
    <row r="364" spans="2:5" s="8" customFormat="1" ht="20" customHeight="1" x14ac:dyDescent="0.2">
      <c r="B364" s="43" t="s">
        <v>261</v>
      </c>
      <c r="C364" s="43" t="s">
        <v>262</v>
      </c>
      <c r="D364" s="130" t="s">
        <v>19</v>
      </c>
      <c r="E364" s="43" t="s">
        <v>20</v>
      </c>
    </row>
    <row r="365" spans="2:5" s="8" customFormat="1" ht="20" customHeight="1" x14ac:dyDescent="0.2">
      <c r="B365" s="4" t="s">
        <v>2910</v>
      </c>
      <c r="C365" s="362" t="str">
        <f>sample_mgmt_vc_fqdn</f>
        <v>sfo-m01-vc01.sfo.rainpole.io</v>
      </c>
      <c r="D365" s="337" t="str">
        <f>mgmt_vc_fqdn</f>
        <v>Value Missing</v>
      </c>
      <c r="E365" s="32"/>
    </row>
    <row r="366" spans="2:5" s="8" customFormat="1" ht="20" customHeight="1" x14ac:dyDescent="0.2">
      <c r="B366" s="361" t="s">
        <v>732</v>
      </c>
      <c r="C366" s="362" t="str">
        <f>sample_mgmt_cl01_cluster</f>
        <v>sfo-m01-cl01</v>
      </c>
      <c r="D366" s="337" t="str">
        <f>mgmt_cl01_cluster</f>
        <v>Value Missing</v>
      </c>
      <c r="E366" s="32"/>
    </row>
    <row r="367" spans="2:5" s="8" customFormat="1" ht="20" customHeight="1" x14ac:dyDescent="0.2">
      <c r="B367" s="361" t="s">
        <v>2845</v>
      </c>
      <c r="C367" s="362" t="str">
        <f>sample_wld_srm_hostname</f>
        <v>sfo-w01-srm01</v>
      </c>
      <c r="D367" s="337" t="str">
        <f>wld_srm_hostname</f>
        <v>Value Missing</v>
      </c>
      <c r="E367" s="32"/>
    </row>
    <row r="368" spans="2:5" s="8" customFormat="1" ht="20" customHeight="1" x14ac:dyDescent="0.2">
      <c r="B368" s="361" t="s">
        <v>2846</v>
      </c>
      <c r="C368" s="362" t="str">
        <f>sample_wld_srm_vm_folder</f>
        <v>sfo-w01-fd-srm</v>
      </c>
      <c r="D368" s="337" t="str">
        <f>wld_srm_vm_folder</f>
        <v>Value Missing</v>
      </c>
      <c r="E368" s="32"/>
    </row>
    <row r="369" spans="2:5" s="8" customFormat="1" ht="20" customHeight="1" x14ac:dyDescent="0.2">
      <c r="B369" s="361" t="s">
        <v>2847</v>
      </c>
      <c r="C369" s="362" t="str">
        <f>sample_mgmt_cl01_cluster</f>
        <v>sfo-m01-cl01</v>
      </c>
      <c r="D369" s="337" t="str">
        <f>mgmt_cl01_cluster</f>
        <v>Value Missing</v>
      </c>
      <c r="E369" s="32"/>
    </row>
    <row r="370" spans="2:5" s="8" customFormat="1" ht="20" customHeight="1" x14ac:dyDescent="0.2">
      <c r="B370" s="361" t="s">
        <v>103</v>
      </c>
      <c r="C370" s="362" t="str">
        <f>sample_mgmt_cl01_vsan_datastore</f>
        <v>sfo-m01-cl01-ds-vsan01</v>
      </c>
      <c r="D370" s="337" t="str">
        <f>mgmt_cl01_vsan_datastore</f>
        <v>Value Missing</v>
      </c>
      <c r="E370" s="32"/>
    </row>
    <row r="371" spans="2:5" s="8" customFormat="1" ht="20" customHeight="1" x14ac:dyDescent="0.2">
      <c r="B371" s="4" t="s">
        <v>2848</v>
      </c>
      <c r="C371" s="362" t="str">
        <f>sample_mgmt_cl01_az1_mgmt_pg</f>
        <v>sfo-m01-cl01-vds01-pg-mgmt</v>
      </c>
      <c r="D371" s="337" t="str">
        <f>mgmt_cl01_az1_mgmt_pg</f>
        <v>Value Missing</v>
      </c>
      <c r="E371" s="32"/>
    </row>
    <row r="372" spans="2:5" s="8" customFormat="1" ht="20" customHeight="1" x14ac:dyDescent="0.2">
      <c r="B372" s="4" t="s">
        <v>2849</v>
      </c>
      <c r="C372" s="362" t="str">
        <f>sample_wld_srm_root_password</f>
        <v>VMw@re1!</v>
      </c>
      <c r="D372" s="337" t="str">
        <f>wld_srm_root_password</f>
        <v>Value Missing</v>
      </c>
      <c r="E372" s="32"/>
    </row>
    <row r="373" spans="2:5" s="8" customFormat="1" ht="16" customHeight="1" x14ac:dyDescent="0.2">
      <c r="B373" s="361" t="s">
        <v>2850</v>
      </c>
      <c r="C373" s="362" t="str">
        <f>sample_wld_srm_admin_password</f>
        <v>VMw@re1!</v>
      </c>
      <c r="D373" s="337" t="str">
        <f>wld_srm_admin_password</f>
        <v>Value Missing</v>
      </c>
      <c r="E373" s="32"/>
    </row>
    <row r="374" spans="2:5" s="8" customFormat="1" ht="34" customHeight="1" x14ac:dyDescent="0.2">
      <c r="B374" s="361" t="s">
        <v>299</v>
      </c>
      <c r="C374" s="362" t="str">
        <f>sample_region_ntp1_server</f>
        <v>ntp0.sfo.rainpole.io</v>
      </c>
      <c r="D374" s="337" t="str">
        <f>region_ntp1_server</f>
        <v>Value Missing</v>
      </c>
      <c r="E374" s="32"/>
    </row>
    <row r="375" spans="2:5" s="8" customFormat="1" ht="16" customHeight="1" x14ac:dyDescent="0.2">
      <c r="B375" s="4" t="s">
        <v>302</v>
      </c>
      <c r="C375" s="362" t="str">
        <f>CONCATENATE(sample_wld_srm_hostname,".",sample_child_dns_zone)</f>
        <v>sfo-w01-srm01.sfo.rainpole.io</v>
      </c>
      <c r="D375" s="337" t="str">
        <f>wld_srm_fqdn</f>
        <v>Value Missing.Value Missing</v>
      </c>
      <c r="E375" s="32"/>
    </row>
    <row r="376" spans="2:5" s="8" customFormat="1" ht="34" customHeight="1" x14ac:dyDescent="0.2">
      <c r="B376" s="361" t="s">
        <v>2911</v>
      </c>
      <c r="C376" s="362" t="str">
        <f>sample_wld_srm_database_password</f>
        <v>VMw@re1!</v>
      </c>
      <c r="D376" s="337" t="str">
        <f>wld_srm_database_password</f>
        <v>Value Missing</v>
      </c>
      <c r="E376" s="32"/>
    </row>
    <row r="377" spans="2:5" s="8" customFormat="1" ht="20" customHeight="1" x14ac:dyDescent="0.2">
      <c r="B377" s="4" t="s">
        <v>254</v>
      </c>
      <c r="C377" s="362" t="str">
        <f>sample_mgmt_az1_mgmt_vm_gateway_ip</f>
        <v>10.11.10.1</v>
      </c>
      <c r="D377" s="337" t="str">
        <f>mgmt_az1_mgmt_vm_gateway_ip</f>
        <v>Value Missing</v>
      </c>
      <c r="E377" s="32"/>
    </row>
    <row r="378" spans="2:5" s="8" customFormat="1" ht="20" customHeight="1" x14ac:dyDescent="0.2">
      <c r="B378" s="361" t="s">
        <v>606</v>
      </c>
      <c r="C378" s="362" t="str">
        <f>sample_child_dns_zone</f>
        <v>sfo.rainpole.io</v>
      </c>
      <c r="D378" s="337" t="str">
        <f>child_dns_zone</f>
        <v>Value Missing</v>
      </c>
      <c r="E378" s="32"/>
    </row>
    <row r="379" spans="2:5" s="8" customFormat="1" ht="20" customHeight="1" x14ac:dyDescent="0.2">
      <c r="B379" s="361" t="s">
        <v>2851</v>
      </c>
      <c r="C379" s="362" t="str">
        <f>sample_child_dns_zone</f>
        <v>sfo.rainpole.io</v>
      </c>
      <c r="D379" s="337" t="str">
        <f>child_dns_zone</f>
        <v>Value Missing</v>
      </c>
      <c r="E379" s="32"/>
    </row>
    <row r="380" spans="2:5" s="8" customFormat="1" ht="16" customHeight="1" x14ac:dyDescent="0.2">
      <c r="B380" s="361" t="s">
        <v>2852</v>
      </c>
      <c r="C380" s="362" t="str">
        <f>CONCATENATE(sample_region_dns1_ip,",",sample_region_dns2_ip)</f>
        <v>10.11.10.4,10.11.10.5</v>
      </c>
      <c r="D380" s="337" t="str">
        <f>CONCATENATE(region_dns1_ip,",",region_dns2_ip)</f>
        <v>Value Missing,Value Missing</v>
      </c>
      <c r="E380" s="32"/>
    </row>
    <row r="381" spans="2:5" s="8" customFormat="1" ht="34" customHeight="1" x14ac:dyDescent="0.2">
      <c r="B381" s="361" t="s">
        <v>2853</v>
      </c>
      <c r="C381" s="362" t="str">
        <f>sample_wld_srm_ip</f>
        <v>10.11.10.127</v>
      </c>
      <c r="D381" s="337" t="str">
        <f>wld_srm_ip</f>
        <v>Value Missing</v>
      </c>
      <c r="E381" s="32"/>
    </row>
    <row r="382" spans="2:5" s="8" customFormat="1" ht="20" customHeight="1" x14ac:dyDescent="0.2">
      <c r="B382" s="361" t="s">
        <v>2854</v>
      </c>
      <c r="C382" s="362">
        <f>INT(RIGHT(sample_mgmt_az1_mgmt_cidr,LEN(sample_mgmt_az1_mgmt_cidr)-FIND("/",sample_mgmt_az1_mgmt_cidr)))</f>
        <v>24</v>
      </c>
      <c r="D382" s="337" t="str">
        <f>IF(mgmt_az1_mgmt_cidr="Value Missing","Value Missing",INT(RIGHT(mgmt_az1_mgmt_cidr,LEN(mgmt_az1_mgmt_cidr)-FIND("/",mgmt_az1_mgmt_cidr))))</f>
        <v>Value Missing</v>
      </c>
      <c r="E382" s="32"/>
    </row>
    <row r="383" spans="2:5" s="8" customFormat="1" ht="20" customHeight="1" x14ac:dyDescent="0.2"/>
    <row r="384" spans="2:5" s="8" customFormat="1" ht="20" customHeight="1" x14ac:dyDescent="0.2">
      <c r="B384" s="522" t="s">
        <v>2912</v>
      </c>
      <c r="C384" s="523"/>
      <c r="D384" s="523"/>
      <c r="E384" s="524"/>
    </row>
    <row r="385" spans="2:5" s="8" customFormat="1" ht="20" customHeight="1" x14ac:dyDescent="0.2">
      <c r="B385" s="43" t="s">
        <v>261</v>
      </c>
      <c r="C385" s="43" t="s">
        <v>262</v>
      </c>
      <c r="D385" s="130" t="s">
        <v>19</v>
      </c>
      <c r="E385" s="43" t="s">
        <v>20</v>
      </c>
    </row>
    <row r="386" spans="2:5" s="8" customFormat="1" ht="20" customHeight="1" x14ac:dyDescent="0.2">
      <c r="B386" s="4" t="s">
        <v>2913</v>
      </c>
      <c r="C386" s="362" t="str">
        <f>CONCATENATE(sample_wld_srm_hostname,".",sample_child_dns_zone)</f>
        <v>sfo-w01-srm01.sfo.rainpole.io</v>
      </c>
      <c r="D386" s="337" t="str">
        <f>wld_srm_fqdn</f>
        <v>Value Missing.Value Missing</v>
      </c>
      <c r="E386" s="32"/>
    </row>
    <row r="387" spans="2:5" s="8" customFormat="1" ht="20" customHeight="1" x14ac:dyDescent="0.2">
      <c r="B387" s="4" t="s">
        <v>2857</v>
      </c>
      <c r="C387" s="362" t="str">
        <f>sample_wld_srm_p12_password</f>
        <v>VMw@re1!</v>
      </c>
      <c r="D387" s="337" t="str">
        <f>wld_srm_p12_password</f>
        <v>Value Missing</v>
      </c>
      <c r="E387" s="32"/>
    </row>
    <row r="388" spans="2:5" s="8" customFormat="1" ht="20" customHeight="1" x14ac:dyDescent="0.2"/>
    <row r="389" spans="2:5" s="8" customFormat="1" ht="20" customHeight="1" x14ac:dyDescent="0.2">
      <c r="B389" s="522" t="s">
        <v>2914</v>
      </c>
      <c r="C389" s="523"/>
      <c r="D389" s="523"/>
      <c r="E389" s="524"/>
    </row>
    <row r="390" spans="2:5" s="8" customFormat="1" ht="20" customHeight="1" x14ac:dyDescent="0.2">
      <c r="B390" s="43" t="s">
        <v>261</v>
      </c>
      <c r="C390" s="43" t="s">
        <v>262</v>
      </c>
      <c r="D390" s="130" t="s">
        <v>19</v>
      </c>
      <c r="E390" s="43" t="s">
        <v>20</v>
      </c>
    </row>
    <row r="391" spans="2:5" s="8" customFormat="1" ht="20" customHeight="1" x14ac:dyDescent="0.2">
      <c r="B391" s="4" t="s">
        <v>2913</v>
      </c>
      <c r="C391" s="362" t="str">
        <f>CONCATENATE(sample_wld_srm_hostname,".",sample_child_dns_zone)</f>
        <v>sfo-w01-srm01.sfo.rainpole.io</v>
      </c>
      <c r="D391" s="337" t="str">
        <f>wld_srm_fqdn</f>
        <v>Value Missing.Value Missing</v>
      </c>
      <c r="E391" s="32"/>
    </row>
    <row r="392" spans="2:5" s="8" customFormat="1" ht="20" customHeight="1" x14ac:dyDescent="0.2">
      <c r="B392" s="361" t="s">
        <v>2859</v>
      </c>
      <c r="C392" s="362" t="str">
        <f>sample_wld_vc_fqdn</f>
        <v>sfo-w01-vc01.sfo.rainpole.io</v>
      </c>
      <c r="D392" s="337" t="str">
        <f>wld_vc_fqdn</f>
        <v>Value Missing</v>
      </c>
      <c r="E392" s="32"/>
    </row>
    <row r="393" spans="2:5" s="8" customFormat="1" ht="20" customHeight="1" x14ac:dyDescent="0.2">
      <c r="B393" s="361" t="s">
        <v>78</v>
      </c>
      <c r="C393" s="362" t="s">
        <v>1844</v>
      </c>
      <c r="D393" s="337" t="str">
        <f>C393</f>
        <v>administrator@vsphere.local</v>
      </c>
      <c r="E393" s="32"/>
    </row>
    <row r="394" spans="2:5" s="8" customFormat="1" ht="20" customHeight="1" x14ac:dyDescent="0.2">
      <c r="B394" s="361" t="s">
        <v>29</v>
      </c>
      <c r="C394" s="362" t="str">
        <f>sample_administrator_vsphere_local_password</f>
        <v>VMw@re1!VMw@re1!</v>
      </c>
      <c r="D394" s="337" t="str">
        <f>administrator_vsphere_local_password</f>
        <v>Value Missing</v>
      </c>
      <c r="E394" s="32"/>
    </row>
    <row r="395" spans="2:5" s="8" customFormat="1" ht="20" customHeight="1" x14ac:dyDescent="0.2">
      <c r="B395" s="361" t="s">
        <v>1657</v>
      </c>
      <c r="C395" s="362" t="str">
        <f>sample_wld_vc_fqdn</f>
        <v>sfo-w01-vc01.sfo.rainpole.io</v>
      </c>
      <c r="D395" s="337" t="str">
        <f>wld_vc_fqdn</f>
        <v>Value Missing</v>
      </c>
      <c r="E395" s="32"/>
    </row>
    <row r="396" spans="2:5" s="8" customFormat="1" ht="20" customHeight="1" x14ac:dyDescent="0.2">
      <c r="B396" s="361" t="s">
        <v>2743</v>
      </c>
      <c r="C396" s="362" t="str">
        <f>sample_wld_srm_site_name</f>
        <v>SFO-W01</v>
      </c>
      <c r="D396" s="337" t="str">
        <f>wld_srm_site_name</f>
        <v>Value Missing</v>
      </c>
      <c r="E396" s="32"/>
    </row>
    <row r="397" spans="2:5" s="8" customFormat="1" ht="20" customHeight="1" x14ac:dyDescent="0.2">
      <c r="B397" s="4" t="s">
        <v>2860</v>
      </c>
      <c r="C397" s="362" t="str">
        <f>sample_wld_srm_admin_email</f>
        <v>srm-administrator@rainpole.io</v>
      </c>
      <c r="D397" s="337" t="str">
        <f>wld_srm_admin_email</f>
        <v>Value Missing</v>
      </c>
      <c r="E397" s="32"/>
    </row>
    <row r="398" spans="2:5" s="8" customFormat="1" ht="20" customHeight="1" x14ac:dyDescent="0.2">
      <c r="B398" s="4" t="s">
        <v>2861</v>
      </c>
      <c r="C398" s="362" t="str">
        <f>CONCATENATE(sample_wld_srm_hostname,".",sample_child_dns_zone)</f>
        <v>sfo-w01-srm01.sfo.rainpole.io</v>
      </c>
      <c r="D398" s="337" t="str">
        <f>wld_srm_fqdn</f>
        <v>Value Missing.Value Missing</v>
      </c>
      <c r="E398" s="32"/>
    </row>
    <row r="399" spans="2:5" s="8" customFormat="1" ht="20" customHeight="1" x14ac:dyDescent="0.2"/>
    <row r="400" spans="2:5" s="8" customFormat="1" ht="20" customHeight="1" x14ac:dyDescent="0.2">
      <c r="B400" s="522" t="s">
        <v>2915</v>
      </c>
      <c r="C400" s="523"/>
      <c r="D400" s="523"/>
      <c r="E400" s="524"/>
    </row>
    <row r="401" spans="2:5" s="8" customFormat="1" ht="16" customHeight="1" x14ac:dyDescent="0.2">
      <c r="B401" s="43" t="s">
        <v>261</v>
      </c>
      <c r="C401" s="43" t="s">
        <v>262</v>
      </c>
      <c r="D401" s="130" t="s">
        <v>19</v>
      </c>
      <c r="E401" s="43" t="s">
        <v>20</v>
      </c>
    </row>
    <row r="402" spans="2:5" s="8" customFormat="1" ht="34" customHeight="1" x14ac:dyDescent="0.2">
      <c r="B402" s="361" t="s">
        <v>368</v>
      </c>
      <c r="C402" s="362" t="str">
        <f>sample_wld_vc_fqdn</f>
        <v>sfo-w01-vc01.sfo.rainpole.io</v>
      </c>
      <c r="D402" s="337" t="str">
        <f>wld_vc_fqdn</f>
        <v>Value Missing</v>
      </c>
      <c r="E402" s="32"/>
    </row>
    <row r="403" spans="2:5" s="8" customFormat="1" ht="20" customHeight="1" x14ac:dyDescent="0.2">
      <c r="B403" s="4" t="s">
        <v>2916</v>
      </c>
      <c r="C403" s="362"/>
      <c r="D403" s="337"/>
      <c r="E403" s="32"/>
    </row>
    <row r="404" spans="2:5" s="8" customFormat="1" ht="20" customHeight="1" x14ac:dyDescent="0.2">
      <c r="B404" s="361" t="s">
        <v>2917</v>
      </c>
      <c r="C404" s="362" t="s">
        <v>2109</v>
      </c>
      <c r="D404" s="337" t="str">
        <f>C404</f>
        <v>Site Recovery Manager</v>
      </c>
      <c r="E404" s="32"/>
    </row>
    <row r="405" spans="2:5" s="8" customFormat="1" ht="20" customHeight="1" x14ac:dyDescent="0.2">
      <c r="B405" s="361" t="s">
        <v>2918</v>
      </c>
      <c r="C405" s="362" t="str">
        <f>sample_wld_srm_site_name</f>
        <v>SFO-W01</v>
      </c>
      <c r="D405" s="337" t="str">
        <f>wld_srm_site_name</f>
        <v>Value Missing</v>
      </c>
      <c r="E405" s="32"/>
    </row>
    <row r="406" spans="2:5" s="8" customFormat="1" ht="16" customHeight="1" x14ac:dyDescent="0.2">
      <c r="B406" s="361" t="s">
        <v>2919</v>
      </c>
      <c r="C406" s="362"/>
      <c r="D406" s="337"/>
      <c r="E406" s="32"/>
    </row>
    <row r="407" spans="2:5" s="8" customFormat="1" ht="34" customHeight="1" x14ac:dyDescent="0.2"/>
    <row r="408" spans="2:5" s="8" customFormat="1" ht="20" customHeight="1" x14ac:dyDescent="0.2">
      <c r="B408" s="556" t="s">
        <v>2920</v>
      </c>
      <c r="C408" s="557"/>
      <c r="D408" s="557"/>
      <c r="E408" s="557"/>
    </row>
    <row r="409" spans="2:5" s="8" customFormat="1" ht="20" customHeight="1" x14ac:dyDescent="0.2"/>
    <row r="410" spans="2:5" s="8" customFormat="1" ht="20" customHeight="1" x14ac:dyDescent="0.2">
      <c r="B410" s="557" t="s">
        <v>2921</v>
      </c>
      <c r="C410" s="557"/>
      <c r="D410" s="557"/>
      <c r="E410" s="557"/>
    </row>
    <row r="411" spans="2:5" s="8" customFormat="1" ht="20" customHeight="1" x14ac:dyDescent="0.2">
      <c r="B411" s="43" t="s">
        <v>261</v>
      </c>
      <c r="C411" s="43" t="s">
        <v>262</v>
      </c>
      <c r="D411" s="130" t="s">
        <v>19</v>
      </c>
      <c r="E411" s="43" t="s">
        <v>20</v>
      </c>
    </row>
    <row r="412" spans="2:5" s="8" customFormat="1" ht="20" customHeight="1" x14ac:dyDescent="0.2">
      <c r="B412" s="361" t="s">
        <v>2763</v>
      </c>
      <c r="C412" s="362" t="str">
        <f>sample_wld_vc_fqdn</f>
        <v>sfo-w01-vc01.sfo.rainpole.io</v>
      </c>
      <c r="D412" s="337" t="str">
        <f>wld_vc_fqdn</f>
        <v>Value Missing</v>
      </c>
      <c r="E412" s="32"/>
    </row>
    <row r="413" spans="2:5" s="8" customFormat="1" ht="20" customHeight="1" x14ac:dyDescent="0.2">
      <c r="B413" s="361" t="s">
        <v>2922</v>
      </c>
      <c r="C413" s="362" t="str">
        <f>sample_wld_vc_fqdn</f>
        <v>sfo-w01-vc01.sfo.rainpole.io</v>
      </c>
      <c r="D413" s="337" t="str">
        <f>wld_vc_fqdn</f>
        <v>Value Missing</v>
      </c>
      <c r="E413" s="32"/>
    </row>
    <row r="414" spans="2:5" s="8" customFormat="1" ht="20" customHeight="1" x14ac:dyDescent="0.2">
      <c r="B414" s="361" t="s">
        <v>2923</v>
      </c>
      <c r="C414" s="362" t="s">
        <v>2924</v>
      </c>
      <c r="D414" s="337" t="str">
        <f>IF(wld_srm_sso_domain_membership="Value Missing","Value Missing",IF(wld_srm_sso_domain_membership="Same SSO Domain","Pair with a peer vCenter Server located in the same SSO domain","Pair with a peer vCenter Server located in a different SSO domain"))</f>
        <v>Value Missing</v>
      </c>
      <c r="E414" s="32"/>
    </row>
    <row r="415" spans="2:5" s="8" customFormat="1" ht="20" customHeight="1" x14ac:dyDescent="0.2">
      <c r="B415" s="361" t="s">
        <v>2859</v>
      </c>
      <c r="C415" s="362" t="str">
        <f>sample_wld_srm_recovery_vcenter_fqdn</f>
        <v>lax-w01-vc01.lax.rainpole.io</v>
      </c>
      <c r="D415" s="337" t="str">
        <f>wld_srm_recovery_vcenter_fqdn</f>
        <v>Value Missing</v>
      </c>
      <c r="E415" s="32"/>
    </row>
    <row r="416" spans="2:5" s="8" customFormat="1" ht="20" customHeight="1" x14ac:dyDescent="0.2">
      <c r="B416" s="361" t="s">
        <v>78</v>
      </c>
      <c r="C416" s="362" t="str">
        <f>sample_wld_srm_recovery_vcenter_username</f>
        <v>administrator@vsphere.local</v>
      </c>
      <c r="D416" s="337" t="str">
        <f>wld_srm_recovery_vcenter_username</f>
        <v>Value Missing</v>
      </c>
      <c r="E416" s="32"/>
    </row>
    <row r="417" spans="2:5" s="8" customFormat="1" ht="16" customHeight="1" x14ac:dyDescent="0.2">
      <c r="B417" s="4" t="s">
        <v>29</v>
      </c>
      <c r="C417" s="362" t="str">
        <f>sample_wld_srm_recovery_vcenter_password</f>
        <v>VMw@re1!</v>
      </c>
      <c r="D417" s="337" t="str">
        <f>wld_srm_recovery_vcenter_password</f>
        <v>Value Missing</v>
      </c>
      <c r="E417" s="32"/>
    </row>
    <row r="418" spans="2:5" s="8" customFormat="1" ht="34" customHeight="1" x14ac:dyDescent="0.2">
      <c r="B418" s="4" t="s">
        <v>2925</v>
      </c>
      <c r="C418" s="362" t="str">
        <f>sample_wld_srm_recovery_vcenter_fqdn</f>
        <v>lax-w01-vc01.lax.rainpole.io</v>
      </c>
      <c r="D418" s="337" t="str">
        <f>wld_srm_recovery_vcenter_fqdn</f>
        <v>Value Missing</v>
      </c>
      <c r="E418" s="32"/>
    </row>
    <row r="419" spans="2:5" s="8" customFormat="1" ht="20" customHeight="1" x14ac:dyDescent="0.2"/>
    <row r="507" spans="2:5" ht="20" customHeight="1" x14ac:dyDescent="0.2">
      <c r="B507" s="492" t="str">
        <f>IF(OR(cluster_secondary_storage_chosen="Secondary NFS Storage Network",wld_secondary_storage_chosen="Secondary NFS Storage Network"),"NFS Storage Network","vSAN Storage Client")</f>
        <v>vSAN Storage Client</v>
      </c>
      <c r="C507" s="493"/>
      <c r="D507" s="493"/>
      <c r="E507" s="494"/>
    </row>
    <row r="508" spans="2:5" ht="20" customHeight="1" x14ac:dyDescent="0.2">
      <c r="B508" s="4" t="s">
        <v>85</v>
      </c>
      <c r="C508" s="80" t="str">
        <f>IF(cluster_wld_domain_chosen&lt;&gt;"MGMT Workload Domain",CONCATENATE(prefix_wld_az1_rack_vlan,"26"),CONCATENATE(prefix_mgmt_az1_vlan,"26"))</f>
        <v>1326</v>
      </c>
      <c r="D508" s="347"/>
      <c r="E508" s="32"/>
    </row>
    <row r="509" spans="2:5" ht="20" customHeight="1" x14ac:dyDescent="0.2">
      <c r="B509" s="4" t="s">
        <v>160</v>
      </c>
      <c r="C509" s="80">
        <v>9000</v>
      </c>
      <c r="D509" s="347"/>
      <c r="E509" s="56"/>
    </row>
    <row r="510" spans="2:5" ht="20" customHeight="1" x14ac:dyDescent="0.2">
      <c r="B510" s="4" t="s">
        <v>188</v>
      </c>
      <c r="C510" s="80" t="str">
        <f>IF(cluster_wld_domain_chosen&lt;&gt;"MGMT Workload Domain",CONCATENATE(prefix_wld_az1_rack_cidr,"26.0"),CONCATENATE(prefix_mgmt_az1_cidr,"26.0"))</f>
        <v>10.13.26.0</v>
      </c>
      <c r="D510" s="347"/>
      <c r="E510" s="32"/>
    </row>
    <row r="511" spans="2:5" ht="20" customHeight="1" x14ac:dyDescent="0.2">
      <c r="B511" s="4" t="s">
        <v>285</v>
      </c>
      <c r="C511" s="80" t="s">
        <v>128</v>
      </c>
      <c r="D511" s="347"/>
      <c r="E511" s="32"/>
    </row>
    <row r="512" spans="2:5" ht="20" customHeight="1" x14ac:dyDescent="0.2">
      <c r="B512" s="4" t="s">
        <v>187</v>
      </c>
      <c r="C512" s="80" t="str">
        <f>IF(cluster_wld_domain_chosen&lt;&gt;"MGMT Workload Domain",CONCATENATE(prefix_wld_az1_rack_cidr,"26.1"),CONCATENATE(prefix_mgmt_az1_cidr,"26.1"))</f>
        <v>10.13.26.1</v>
      </c>
      <c r="D512" s="347"/>
      <c r="E512" s="32" t="str">
        <f>IF(AND(mgmt_stretched_cluster_result="Included",mgmt_dpg_reuse_result="Excluded"),"Stretched L2","")</f>
        <v/>
      </c>
    </row>
    <row r="513" spans="2:5" ht="20" customHeight="1" x14ac:dyDescent="0.2">
      <c r="B513" s="17" t="s">
        <v>255</v>
      </c>
      <c r="C513" s="80" t="str">
        <f>IF(cluster_wld_domain_chosen&lt;&gt;"MGMT Workload Domain",CONCATENATE(prefix_wld_az1_rack_cidr,"26.101"),CONCATENATE(prefix_mgmt_az1_cidr,"26.101"))</f>
        <v>10.13.26.101</v>
      </c>
      <c r="D513" s="140"/>
      <c r="E513"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20" customHeight="1" x14ac:dyDescent="0.2">
      <c r="B514" s="17" t="s">
        <v>256</v>
      </c>
      <c r="C514" s="80" t="str">
        <f>IF(cluster_wld_domain_chosen&lt;&gt;"MGMT Workload Domain",CONCATENATE(prefix_wld_az1_rack_cidr,"26.116"),CONCATENATE(prefix_mgmt_az1_cidr,"26.116"))</f>
        <v>10.13.26.116</v>
      </c>
      <c r="D514" s="140"/>
      <c r="E514"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20" customHeight="1" x14ac:dyDescent="0.2">
      <c r="B515" s="492" t="str">
        <f>IF(OR(cluster_secondary_storage_chosen="Secondary NFS Storage Network",wld_secondary_storage_chosen="Secondary NFS Storage Network"),"NFS Storage Network","vSAN Storage Client")</f>
        <v>vSAN Storage Client</v>
      </c>
      <c r="C515" s="493"/>
      <c r="D515" s="493"/>
      <c r="E515" s="494"/>
    </row>
    <row r="516" spans="2:5" ht="20" customHeight="1" x14ac:dyDescent="0.2">
      <c r="B516" s="4" t="s">
        <v>85</v>
      </c>
      <c r="C516" s="89" t="str">
        <f>IF(cluster_wld_domain_chosen&lt;&gt;"MGMT Workload Domain",CONCATENATE(prefix_wld_az1_rack_vlan,"37"),CONCATENATE(prefix_mgmt_az1_vlan,"37"))</f>
        <v>1337</v>
      </c>
      <c r="D516" s="347"/>
      <c r="E516" s="32"/>
    </row>
    <row r="517" spans="2:5" ht="20" customHeight="1" x14ac:dyDescent="0.2">
      <c r="B517" s="4" t="s">
        <v>160</v>
      </c>
      <c r="C517" s="89">
        <v>9000</v>
      </c>
      <c r="D517" s="347"/>
      <c r="E517" s="56"/>
    </row>
    <row r="518" spans="2:5" ht="20" customHeight="1" x14ac:dyDescent="0.2">
      <c r="B518" s="4" t="s">
        <v>188</v>
      </c>
      <c r="C518" s="89" t="str">
        <f>IF(cluster_wld_domain_chosen&lt;&gt;"MGMT Workload Domain",CONCATENATE(prefix_wld_az1_rack_cidr,"37.0"),CONCATENATE(prefix_mgmt_az1_cidr,"37.0"))</f>
        <v>10.13.37.0</v>
      </c>
      <c r="D518" s="347"/>
      <c r="E518" s="32"/>
    </row>
    <row r="519" spans="2:5" ht="20" customHeight="1" x14ac:dyDescent="0.2">
      <c r="B519" s="4" t="s">
        <v>285</v>
      </c>
      <c r="C519" s="89" t="s">
        <v>128</v>
      </c>
      <c r="D519" s="347"/>
      <c r="E519" s="32"/>
    </row>
    <row r="520" spans="2:5" ht="20" customHeight="1" x14ac:dyDescent="0.2">
      <c r="B520" s="4" t="s">
        <v>187</v>
      </c>
      <c r="C520" s="89" t="str">
        <f>IF(cluster_wld_domain_chosen&lt;&gt;"MGMT Workload Domain",CONCATENATE(prefix_wld_az1_rack_cidr,"37.1"),CONCATENATE(prefix_mgmt_az1_cidr,"37.1"))</f>
        <v>10.13.37.1</v>
      </c>
      <c r="D520" s="347"/>
      <c r="E520" s="32" t="str">
        <f>IF(AND(mgmt_stretched_cluster_result="Included",mgmt_dpg_reuse_result="Excluded"),"Stretched L2","")</f>
        <v/>
      </c>
    </row>
    <row r="521" spans="2:5" ht="20" customHeight="1" x14ac:dyDescent="0.2">
      <c r="B521" s="17" t="s">
        <v>255</v>
      </c>
      <c r="C521" s="89" t="str">
        <f>IF(cluster_wld_domain_chosen&lt;&gt;"MGMT Workload Domain",CONCATENATE(prefix_wld_az1_rack_cidr,"37.101"),CONCATENATE(prefix_mgmt_az1_cidr,"37.101"))</f>
        <v>10.13.37.101</v>
      </c>
      <c r="D521" s="347"/>
      <c r="E521"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20" customHeight="1" x14ac:dyDescent="0.2">
      <c r="B522" s="17" t="s">
        <v>256</v>
      </c>
      <c r="C522" s="89" t="str">
        <f>IF(cluster_wld_domain_chosen&lt;&gt;"MGMT Workload Domain",CONCATENATE(prefix_wld_az1_rack_cidr,"37.116"),CONCATENATE(prefix_mgmt_az1_cidr,"37.116"))</f>
        <v>10.13.37.116</v>
      </c>
      <c r="D522" s="347"/>
      <c r="E522"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20" customHeight="1" x14ac:dyDescent="0.2">
      <c r="B523" s="492" t="str">
        <f>IF(OR(cluster_secondary_storage_chosen="Secondary NFS Storage Network",wld_secondary_storage_chosen="Secondary NFS Storage Network"),"NFS Storage Network","vSAN Storage Client")</f>
        <v>vSAN Storage Client</v>
      </c>
      <c r="C523" s="493"/>
      <c r="D523" s="493"/>
      <c r="E523" s="494"/>
    </row>
    <row r="524" spans="2:5" ht="20" customHeight="1" x14ac:dyDescent="0.2">
      <c r="B524" s="4" t="s">
        <v>85</v>
      </c>
      <c r="C524" s="362" t="str">
        <f>IF(cluster_wld_domain_chosen&lt;&gt;"MGMT Workload Domain",CONCATENATE(prefix_wld_az1_rack_vlan,"48"),CONCATENATE(prefix_mgmt_az1_vlan,"48"))</f>
        <v>1348</v>
      </c>
      <c r="D524" s="347"/>
      <c r="E524" s="32"/>
    </row>
    <row r="525" spans="2:5" ht="20" customHeight="1" x14ac:dyDescent="0.2">
      <c r="B525" s="4" t="s">
        <v>160</v>
      </c>
      <c r="C525" s="362">
        <v>9000</v>
      </c>
      <c r="D525" s="347"/>
      <c r="E525" s="56"/>
    </row>
    <row r="526" spans="2:5" ht="20" customHeight="1" x14ac:dyDescent="0.2">
      <c r="B526" s="4" t="s">
        <v>188</v>
      </c>
      <c r="C526" s="126" t="str">
        <f>IF(cluster_wld_domain_chosen&lt;&gt;"MGMT Workload Domain",CONCATENATE(prefix_wld_az1_rack_cidr,"48.0"),CONCATENATE(prefix_mgmt_az1_cidr,"48.0"))</f>
        <v>10.13.48.0</v>
      </c>
      <c r="D526" s="347"/>
      <c r="E526" s="32"/>
    </row>
    <row r="527" spans="2:5" ht="20" customHeight="1" x14ac:dyDescent="0.2">
      <c r="B527" s="4" t="s">
        <v>285</v>
      </c>
      <c r="C527" s="126" t="s">
        <v>128</v>
      </c>
      <c r="D527" s="347"/>
      <c r="E527" s="32"/>
    </row>
    <row r="528" spans="2:5" ht="20" customHeight="1" x14ac:dyDescent="0.2">
      <c r="B528" s="4" t="s">
        <v>187</v>
      </c>
      <c r="C528" s="362" t="str">
        <f>IF(cluster_wld_domain_chosen&lt;&gt;"MGMT Workload Domain",CONCATENATE(prefix_wld_az1_rack_cidr,"48.1"),CONCATENATE(prefix_mgmt_az1_cidr,"48.1"))</f>
        <v>10.13.48.1</v>
      </c>
      <c r="D528" s="347"/>
      <c r="E528" s="32" t="str">
        <f>IF(AND(mgmt_stretched_cluster_result="Included",mgmt_dpg_reuse_result="Excluded"),"Stretched L2","")</f>
        <v/>
      </c>
    </row>
    <row r="529" spans="2:5" ht="20" customHeight="1" x14ac:dyDescent="0.2">
      <c r="B529" s="17" t="s">
        <v>255</v>
      </c>
      <c r="C529" s="362" t="str">
        <f>IF(cluster_wld_domain_chosen&lt;&gt;"MGMT Workload Domain",CONCATENATE(prefix_wld_az1_rack_cidr,"48.101"),CONCATENATE(prefix_mgmt_az1_cidr,"48.101"))</f>
        <v>10.13.48.101</v>
      </c>
      <c r="D529" s="347"/>
      <c r="E529"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20" customHeight="1" x14ac:dyDescent="0.2">
      <c r="B530" s="17" t="s">
        <v>256</v>
      </c>
      <c r="C530" s="362" t="str">
        <f>IF(cluster_wld_domain_chosen&lt;&gt;"MGMT Workload Domain",CONCATENATE(prefix_wld_az1_rack_cidr,"48.116"),CONCATENATE(prefix_mgmt_az1_cidr,"48.116"))</f>
        <v>10.13.48.116</v>
      </c>
      <c r="D530" s="347"/>
      <c r="E530"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20" customHeight="1" x14ac:dyDescent="0.2">
      <c r="B531" s="492" t="str">
        <f>IF(OR(cluster_secondary_storage_chosen="Secondary NFS Storage Network",wld_secondary_storage_chosen="Secondary NFS Storage Network"),"NFS Storage Network","vSAN Storage Client")</f>
        <v>vSAN Storage Client</v>
      </c>
      <c r="C531" s="493"/>
      <c r="D531" s="493"/>
      <c r="E531" s="494"/>
    </row>
    <row r="532" spans="2:5" ht="20" customHeight="1" x14ac:dyDescent="0.2">
      <c r="B532" s="4" t="s">
        <v>85</v>
      </c>
      <c r="C532" s="362" t="str">
        <f>IF(cluster_wld_domain_chosen&lt;&gt;"MGMT Workload Domain",CONCATENATE(prefix_wld_az1_rack_vlan,"59"),CONCATENATE(prefix_mgmt_az1_vlan,"59"))</f>
        <v>1359</v>
      </c>
      <c r="D532" s="347"/>
      <c r="E532" s="32"/>
    </row>
    <row r="533" spans="2:5" ht="20" customHeight="1" x14ac:dyDescent="0.2">
      <c r="B533" s="4" t="s">
        <v>160</v>
      </c>
      <c r="C533" s="362">
        <v>9000</v>
      </c>
      <c r="D533" s="347"/>
      <c r="E533" s="56"/>
    </row>
    <row r="534" spans="2:5" ht="20" customHeight="1" x14ac:dyDescent="0.2">
      <c r="B534" s="4" t="s">
        <v>188</v>
      </c>
      <c r="C534" s="126" t="str">
        <f>IF(cluster_wld_domain_chosen&lt;&gt;"MGMT Workload Domain",CONCATENATE(prefix_wld_az1_rack_cidr,"59.0"),CONCATENATE(prefix_mgmt_az1_cidr,"59.0"))</f>
        <v>10.13.59.0</v>
      </c>
      <c r="D534" s="347"/>
      <c r="E534" s="32"/>
    </row>
    <row r="535" spans="2:5" ht="20" customHeight="1" x14ac:dyDescent="0.2">
      <c r="B535" s="4" t="s">
        <v>285</v>
      </c>
      <c r="C535" s="126" t="s">
        <v>128</v>
      </c>
      <c r="D535" s="347"/>
      <c r="E535" s="32"/>
    </row>
    <row r="536" spans="2:5" ht="20" customHeight="1" x14ac:dyDescent="0.2">
      <c r="B536" s="4" t="s">
        <v>187</v>
      </c>
      <c r="C536" s="362" t="str">
        <f>IF(cluster_wld_domain_chosen&lt;&gt;"MGMT Workload Domain",CONCATENATE(prefix_wld_az1_rack_cidr,"59.1"),CONCATENATE(prefix_mgmt_az1_cidr,"59.1"))</f>
        <v>10.13.59.1</v>
      </c>
      <c r="D536" s="347"/>
      <c r="E536" s="32" t="str">
        <f>IF(AND(mgmt_stretched_cluster_result="Included",mgmt_dpg_reuse_result="Excluded"),"Stretched L2","")</f>
        <v/>
      </c>
    </row>
    <row r="537" spans="2:5" ht="20" customHeight="1" x14ac:dyDescent="0.2">
      <c r="B537" s="17" t="s">
        <v>255</v>
      </c>
      <c r="C537" s="362" t="str">
        <f>IF(cluster_wld_domain_chosen&lt;&gt;"MGMT Workload Domain",CONCATENATE(prefix_wld_az1_rack_cidr,"59.101"),CONCATENATE(prefix_mgmt_az1_cidr,"59.101"))</f>
        <v>10.13.59.101</v>
      </c>
      <c r="D537" s="347"/>
      <c r="E537"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20" customHeight="1" x14ac:dyDescent="0.2">
      <c r="B538" s="17" t="s">
        <v>256</v>
      </c>
      <c r="C538" s="362" t="str">
        <f>IF(cluster_wld_domain_chosen&lt;&gt;"MGMT Workload Domain",CONCATENATE(prefix_wld_az1_rack_cidr,"59.116"),CONCATENATE(prefix_mgmt_az1_cidr,"59.116"))</f>
        <v>10.13.59.116</v>
      </c>
      <c r="D538" s="347"/>
      <c r="E538"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20" customHeight="1" x14ac:dyDescent="0.2">
      <c r="B539" s="492" t="str">
        <f>IF(OR(cluster_secondary_storage_chosen="Secondary NFS Storage Network",wld_secondary_storage_chosen="Secondary NFS Storage Network"),"NFS Storage Network","vSAN Storage Client")</f>
        <v>vSAN Storage Client</v>
      </c>
      <c r="C539" s="493"/>
      <c r="D539" s="493"/>
      <c r="E539" s="494"/>
    </row>
    <row r="540" spans="2:5" ht="20" customHeight="1" x14ac:dyDescent="0.2">
      <c r="B540" s="4" t="s">
        <v>85</v>
      </c>
      <c r="C540" s="362" t="str">
        <f>IF(cluster_wld_domain_chosen&lt;&gt;"MGMT Workload Domain",CONCATENATE(prefix_wld_az1_rack_vlan,"70"),CONCATENATE(prefix_mgmt_az1_vlan,"70"))</f>
        <v>1370</v>
      </c>
      <c r="D540" s="347"/>
      <c r="E540" s="32"/>
    </row>
    <row r="541" spans="2:5" ht="20" customHeight="1" x14ac:dyDescent="0.2">
      <c r="B541" s="4" t="s">
        <v>160</v>
      </c>
      <c r="C541" s="362">
        <v>9000</v>
      </c>
      <c r="D541" s="347"/>
      <c r="E541" s="56"/>
    </row>
    <row r="542" spans="2:5" ht="20" customHeight="1" x14ac:dyDescent="0.2">
      <c r="B542" s="4" t="s">
        <v>188</v>
      </c>
      <c r="C542" s="126" t="str">
        <f>IF(cluster_wld_domain_chosen&lt;&gt;"MGMT Workload Domain",CONCATENATE(prefix_wld_az1_rack_cidr,"70.0"),CONCATENATE(prefix_mgmt_az1_cidr,"70.0"))</f>
        <v>10.13.70.0</v>
      </c>
      <c r="D542" s="347"/>
      <c r="E542" s="32"/>
    </row>
    <row r="543" spans="2:5" ht="20" customHeight="1" x14ac:dyDescent="0.2">
      <c r="B543" s="4" t="s">
        <v>285</v>
      </c>
      <c r="C543" s="126" t="s">
        <v>128</v>
      </c>
      <c r="D543" s="347"/>
      <c r="E543" s="32"/>
    </row>
    <row r="544" spans="2:5" ht="20" customHeight="1" x14ac:dyDescent="0.2">
      <c r="B544" s="4" t="s">
        <v>187</v>
      </c>
      <c r="C544" s="362" t="str">
        <f>IF(cluster_wld_domain_chosen&lt;&gt;"MGMT Workload Domain",CONCATENATE(prefix_wld_az1_rack_cidr,"70.1"),CONCATENATE(prefix_mgmt_az1_cidr,"70.1"))</f>
        <v>10.13.70.1</v>
      </c>
      <c r="D544" s="347"/>
      <c r="E544" s="32" t="str">
        <f>IF(AND(mgmt_stretched_cluster_result="Included",mgmt_dpg_reuse_result="Excluded"),"Stretched L2","")</f>
        <v/>
      </c>
    </row>
    <row r="545" spans="2:5" ht="20" customHeight="1" x14ac:dyDescent="0.2">
      <c r="B545" s="17" t="s">
        <v>255</v>
      </c>
      <c r="C545" s="362" t="str">
        <f>IF(cluster_wld_domain_chosen&lt;&gt;"MGMT Workload Domain",CONCATENATE(prefix_wld_az1_rack_cidr,"70.101"),CONCATENATE(prefix_mgmt_az1_cidr,"70.101"))</f>
        <v>10.13.70.101</v>
      </c>
      <c r="D545" s="347"/>
      <c r="E545"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20" customHeight="1" x14ac:dyDescent="0.2">
      <c r="B546" s="17" t="s">
        <v>256</v>
      </c>
      <c r="C546" s="362" t="str">
        <f>IF(cluster_wld_domain_chosen&lt;&gt;"MGMT Workload Domain",CONCATENATE(prefix_wld_az1_rack_cidr,"70.116"),CONCATENATE(prefix_mgmt_az1_cidr,"70.116"))</f>
        <v>10.13.70.116</v>
      </c>
      <c r="D546" s="347"/>
      <c r="E546"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20" customHeight="1" x14ac:dyDescent="0.2">
      <c r="B547" s="492" t="str">
        <f>IF(OR(cluster_secondary_storage_chosen="Secondary NFS Storage Network",wld_secondary_storage_chosen="Secondary NFS Storage Network"),"NFS Storage Network","vSAN Storage Client")</f>
        <v>vSAN Storage Client</v>
      </c>
      <c r="C547" s="493"/>
      <c r="D547" s="493"/>
      <c r="E547" s="494"/>
    </row>
    <row r="548" spans="2:5" ht="20" customHeight="1" x14ac:dyDescent="0.2">
      <c r="B548" s="4" t="s">
        <v>85</v>
      </c>
      <c r="C548" s="362" t="str">
        <f>IF(cluster_wld_domain_chosen&lt;&gt;"MGMT Workload Domain",CONCATENATE(prefix_wld_az1_rack_vlan,"81"),CONCATENATE(prefix_mgmt_az1_vlan,"81"))</f>
        <v>1381</v>
      </c>
      <c r="D548" s="347"/>
      <c r="E548" s="32"/>
    </row>
    <row r="549" spans="2:5" ht="20" customHeight="1" x14ac:dyDescent="0.2">
      <c r="B549" s="4" t="s">
        <v>160</v>
      </c>
      <c r="C549" s="362">
        <v>9000</v>
      </c>
      <c r="D549" s="347"/>
      <c r="E549" s="56"/>
    </row>
    <row r="550" spans="2:5" ht="20" customHeight="1" x14ac:dyDescent="0.2">
      <c r="B550" s="4" t="s">
        <v>188</v>
      </c>
      <c r="C550" s="126" t="str">
        <f>IF(cluster_wld_domain_chosen&lt;&gt;"MGMT Workload Domain",CONCATENATE(prefix_wld_az1_rack_cidr,"81.0"),CONCATENATE(prefix_mgmt_az1_cidr,"81.0"))</f>
        <v>10.13.81.0</v>
      </c>
      <c r="D550" s="347"/>
      <c r="E550" s="32"/>
    </row>
    <row r="551" spans="2:5" ht="20" customHeight="1" x14ac:dyDescent="0.2">
      <c r="B551" s="4" t="s">
        <v>285</v>
      </c>
      <c r="C551" s="126" t="s">
        <v>128</v>
      </c>
      <c r="D551" s="347"/>
      <c r="E551" s="32"/>
    </row>
    <row r="552" spans="2:5" ht="20" customHeight="1" x14ac:dyDescent="0.2">
      <c r="B552" s="4" t="s">
        <v>187</v>
      </c>
      <c r="C552" s="362" t="str">
        <f>IF(cluster_wld_domain_chosen&lt;&gt;"MGMT Workload Domain",CONCATENATE(prefix_wld_az1_rack_cidr,"81.1"),CONCATENATE(prefix_mgmt_az1_cidr,"81.1"))</f>
        <v>10.13.81.1</v>
      </c>
      <c r="D552" s="347"/>
      <c r="E552" s="32" t="str">
        <f>IF(AND(mgmt_stretched_cluster_result="Included",mgmt_dpg_reuse_result="Excluded"),"Stretched L2","")</f>
        <v/>
      </c>
    </row>
    <row r="553" spans="2:5" ht="20" customHeight="1" x14ac:dyDescent="0.2">
      <c r="B553" s="17" t="s">
        <v>255</v>
      </c>
      <c r="C553" s="362" t="str">
        <f>IF(cluster_wld_domain_chosen&lt;&gt;"MGMT Workload Domain",CONCATENATE(prefix_wld_az1_rack_cidr,"81.101"),CONCATENATE(prefix_mgmt_az1_cidr,"81.101"))</f>
        <v>10.13.81.101</v>
      </c>
      <c r="D553" s="347"/>
      <c r="E553"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20" customHeight="1" x14ac:dyDescent="0.2">
      <c r="B554" s="17" t="s">
        <v>256</v>
      </c>
      <c r="C554" s="362" t="str">
        <f>IF(cluster_wld_domain_chosen&lt;&gt;"MGMT Workload Domain",CONCATENATE(prefix_wld_az1_rack_cidr,"81.116"),CONCATENATE(prefix_mgmt_az1_cidr,"81.116"))</f>
        <v>10.13.81.116</v>
      </c>
      <c r="D554" s="347"/>
      <c r="E554"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20" customHeight="1" x14ac:dyDescent="0.2">
      <c r="B555" s="492" t="str">
        <f>IF(OR(cluster_secondary_storage_chosen="Secondary NFS Storage Network",wld_secondary_storage_chosen="Secondary NFS Storage Network"),"NFS Storage Network","vSAN Storage Client")</f>
        <v>vSAN Storage Client</v>
      </c>
      <c r="C555" s="493"/>
      <c r="D555" s="493"/>
      <c r="E555" s="494"/>
    </row>
    <row r="556" spans="2:5" ht="20" customHeight="1" x14ac:dyDescent="0.2">
      <c r="B556" s="4" t="s">
        <v>85</v>
      </c>
      <c r="C556" s="362" t="str">
        <f>IF(cluster_wld_domain_chosen&lt;&gt;"MGMT Workload Domain",CONCATENATE(prefix_wld_az1_rack_vlan,"92"),CONCATENATE(prefix_mgmt_az1_vlan,"92"))</f>
        <v>1392</v>
      </c>
      <c r="D556" s="347"/>
      <c r="E556" s="32"/>
    </row>
    <row r="557" spans="2:5" ht="20" customHeight="1" x14ac:dyDescent="0.2">
      <c r="B557" s="4" t="s">
        <v>160</v>
      </c>
      <c r="C557" s="362">
        <v>9200</v>
      </c>
      <c r="D557" s="347"/>
      <c r="E557" s="56"/>
    </row>
    <row r="558" spans="2:5" ht="20" customHeight="1" x14ac:dyDescent="0.2">
      <c r="B558" s="4" t="s">
        <v>188</v>
      </c>
      <c r="C558" s="126" t="str">
        <f>IF(cluster_wld_domain_chosen&lt;&gt;"MGMT Workload Domain",CONCATENATE(prefix_wld_az1_rack_cidr,"92.0"),CONCATENATE(prefix_mgmt_az1_cidr,"92.0"))</f>
        <v>10.13.92.0</v>
      </c>
      <c r="D558" s="347"/>
      <c r="E558" s="32"/>
    </row>
    <row r="559" spans="2:5" ht="20" customHeight="1" x14ac:dyDescent="0.2">
      <c r="B559" s="4" t="s">
        <v>285</v>
      </c>
      <c r="C559" s="126" t="s">
        <v>128</v>
      </c>
      <c r="D559" s="347"/>
      <c r="E559" s="32"/>
    </row>
    <row r="560" spans="2:5" ht="20" customHeight="1" x14ac:dyDescent="0.2">
      <c r="B560" s="4" t="s">
        <v>187</v>
      </c>
      <c r="C560" s="362" t="str">
        <f>IF(cluster_wld_domain_chosen&lt;&gt;"MGMT Workload Domain",CONCATENATE(prefix_wld_az1_rack_cidr,"92.1"),CONCATENATE(prefix_mgmt_az1_cidr,"92.1"))</f>
        <v>10.13.92.1</v>
      </c>
      <c r="D560" s="347"/>
      <c r="E560" s="32" t="str">
        <f>IF(AND(mgmt_stretched_cluster_result="Included",mgmt_dpg_reuse_result="Excluded"),"Stretched L2","")</f>
        <v/>
      </c>
    </row>
    <row r="561" spans="2:5" ht="20" customHeight="1" x14ac:dyDescent="0.2">
      <c r="B561" s="17" t="s">
        <v>255</v>
      </c>
      <c r="C561" s="362" t="str">
        <f>IF(cluster_wld_domain_chosen&lt;&gt;"MGMT Workload Domain",CONCATENATE(prefix_wld_az1_rack_cidr,"92.101"),CONCATENATE(prefix_mgmt_az1_cidr,"92.101"))</f>
        <v>10.13.92.101</v>
      </c>
      <c r="D561" s="347"/>
      <c r="E561"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20" customHeight="1" x14ac:dyDescent="0.2">
      <c r="B562" s="17" t="s">
        <v>256</v>
      </c>
      <c r="C562" s="362" t="str">
        <f>IF(cluster_wld_domain_chosen&lt;&gt;"MGMT Workload Domain",CONCATENATE(prefix_wld_az1_rack_cidr,"92.116"),CONCATENATE(prefix_mgmt_az1_cidr,"92.116"))</f>
        <v>10.13.92.116</v>
      </c>
      <c r="D562" s="347"/>
      <c r="E562"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sheetProtection algorithmName="SHA-512" hashValue="6IyxD4zr0yqO2EPGhaKLh2359kw9jcGe0qxrj4c5TDngjdkLx/SkCdMUVp+B/o8g7UXdhYWEjfHBcbSS5TI/TQ==" saltValue="8w56Tuu3VSOH5LOyk2kzMw==" spinCount="100000" sheet="1" objects="1" scenarios="1"/>
  <mergeCells count="66">
    <mergeCell ref="B2:J2"/>
    <mergeCell ref="B1:J1"/>
    <mergeCell ref="B16:E16"/>
    <mergeCell ref="B27:E27"/>
    <mergeCell ref="B25:E25"/>
    <mergeCell ref="H3:J3"/>
    <mergeCell ref="H11:J11"/>
    <mergeCell ref="H10:J10"/>
    <mergeCell ref="H12:J12"/>
    <mergeCell ref="H9:J9"/>
    <mergeCell ref="B8:J8"/>
    <mergeCell ref="H5:J5"/>
    <mergeCell ref="H7:J7"/>
    <mergeCell ref="H6:J6"/>
    <mergeCell ref="B35:E35"/>
    <mergeCell ref="B52:E52"/>
    <mergeCell ref="B54:E54"/>
    <mergeCell ref="B68:E68"/>
    <mergeCell ref="B14:E14"/>
    <mergeCell ref="B76:E76"/>
    <mergeCell ref="B66:E66"/>
    <mergeCell ref="B93:E93"/>
    <mergeCell ref="B95:E95"/>
    <mergeCell ref="B121:E121"/>
    <mergeCell ref="B101:E101"/>
    <mergeCell ref="B109:E109"/>
    <mergeCell ref="B84:E84"/>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547:E547"/>
    <mergeCell ref="B555:E555"/>
    <mergeCell ref="B507:E507"/>
    <mergeCell ref="B515:E515"/>
    <mergeCell ref="B523:E523"/>
    <mergeCell ref="B531:E531"/>
    <mergeCell ref="B539:E539"/>
  </mergeCells>
  <conditionalFormatting sqref="D508:D514">
    <cfRule type="containsBlanks" dxfId="482" priority="50">
      <formula>LEN(TRIM(D508))=0</formula>
    </cfRule>
    <cfRule type="notContainsBlanks" dxfId="481" priority="49">
      <formula>LEN(TRIM(D508))&gt;0</formula>
    </cfRule>
    <cfRule type="expression" dxfId="479" priority="47">
      <formula>AND((cluster_secondary_storage_result="Excluded"),(wld_secondary_storage_result="Excluded"))</formula>
    </cfRule>
    <cfRule type="expression" dxfId="478" priority="46">
      <formula>wld_multirack_result="Excluded"</formula>
    </cfRule>
    <cfRule type="expression" dxfId="477" priority="45">
      <formula>wld_az1_rack2_reuse_vcf_networkpool_chosen="Re-use an existing VCF Network Pool"</formula>
    </cfRule>
  </conditionalFormatting>
  <conditionalFormatting sqref="D516:D522">
    <cfRule type="containsBlanks" dxfId="476" priority="44">
      <formula>LEN(TRIM(D516))=0</formula>
    </cfRule>
    <cfRule type="notContainsBlanks" dxfId="475" priority="43">
      <formula>LEN(TRIM(D516))&gt;0</formula>
    </cfRule>
    <cfRule type="expression" dxfId="473" priority="41">
      <formula>AND((cluster_secondary_storage_result="Excluded"),(wld_secondary_storage_result="Excluded"))</formula>
    </cfRule>
    <cfRule type="expression" dxfId="472" priority="40">
      <formula>wld_multirack_result="Excluded"</formula>
    </cfRule>
    <cfRule type="expression" dxfId="471" priority="39">
      <formula>wld_az1_rack3_reuse_vcf_networkpool_chosen="Re-use an existing VCF Network Pool"</formula>
    </cfRule>
  </conditionalFormatting>
  <conditionalFormatting sqref="D524:D530">
    <cfRule type="containsBlanks" dxfId="470" priority="38">
      <formula>LEN(TRIM(D524))=0</formula>
    </cfRule>
    <cfRule type="notContainsBlanks" dxfId="469" priority="37">
      <formula>LEN(TRIM(D524))&gt;0</formula>
    </cfRule>
    <cfRule type="expression" dxfId="467" priority="35">
      <formula>AND((cluster_secondary_storage_result="Excluded"),(wld_secondary_storage_result="Excluded"))</formula>
    </cfRule>
    <cfRule type="expression" dxfId="466" priority="34">
      <formula>wld_multirack_result="Excluded"</formula>
    </cfRule>
    <cfRule type="expression" dxfId="465" priority="33">
      <formula>wld_az1_rack4_reuse_vcf_networkpool_chosen="Re-use an existing VCF Network Pool"</formula>
    </cfRule>
  </conditionalFormatting>
  <conditionalFormatting sqref="D532:D538">
    <cfRule type="expression" dxfId="464" priority="26">
      <formula>wld_az1_rack5_reuse_vcf_networkpool_chosen="Re-use an existing VCF Network Pool"</formula>
    </cfRule>
    <cfRule type="expression" dxfId="463" priority="27">
      <formula>wld_multirack_result="Excluded"</formula>
    </cfRule>
    <cfRule type="expression" dxfId="462" priority="28">
      <formula>AND((cluster_secondary_storage_result="Excluded"),(wld_secondary_storage_result="Excluded"))</formula>
    </cfRule>
    <cfRule type="expression" dxfId="461" priority="29">
      <formula>wld_multi_rack_count_chosen&lt;4</formula>
    </cfRule>
    <cfRule type="notContainsBlanks" dxfId="459" priority="31">
      <formula>LEN(TRIM(D532))&gt;0</formula>
    </cfRule>
    <cfRule type="containsBlanks" dxfId="458" priority="32">
      <formula>LEN(TRIM(D532))=0</formula>
    </cfRule>
  </conditionalFormatting>
  <conditionalFormatting sqref="D540:D546">
    <cfRule type="expression" dxfId="457" priority="20">
      <formula>wld_multirack_result="Excluded"</formula>
    </cfRule>
    <cfRule type="expression" dxfId="456" priority="21">
      <formula>AND((cluster_secondary_storage_result="Excluded"),(wld_secondary_storage_result="Excluded"))</formula>
    </cfRule>
    <cfRule type="expression" dxfId="455" priority="22">
      <formula>wld_multi_rack_count_chosen&lt;5</formula>
    </cfRule>
    <cfRule type="notContainsBlanks" dxfId="453" priority="24">
      <formula>LEN(TRIM(D540))&gt;0</formula>
    </cfRule>
    <cfRule type="containsBlanks" dxfId="452" priority="25">
      <formula>LEN(TRIM(D540))=0</formula>
    </cfRule>
    <cfRule type="expression" dxfId="451" priority="19">
      <formula>wld_az1_rack6_reuse_vcf_networkpool_chosen="Re-use an existing VCF Network Pool"</formula>
    </cfRule>
  </conditionalFormatting>
  <conditionalFormatting sqref="D548:D554">
    <cfRule type="notContainsBlanks" dxfId="449" priority="17">
      <formula>LEN(TRIM(D548))&gt;0</formula>
    </cfRule>
    <cfRule type="containsBlanks" dxfId="448" priority="18">
      <formula>LEN(TRIM(D548))=0</formula>
    </cfRule>
    <cfRule type="expression" dxfId="447" priority="15">
      <formula>wld_multi_rack_count_chosen&lt;6</formula>
    </cfRule>
    <cfRule type="expression" dxfId="446" priority="14">
      <formula>AND((cluster_secondary_storage_result="Excluded"),(wld_secondary_storage_result="Excluded"))</formula>
    </cfRule>
    <cfRule type="expression" dxfId="445" priority="13">
      <formula>wld_multirack_result="Excluded"</formula>
    </cfRule>
    <cfRule type="expression" dxfId="444" priority="12">
      <formula>wld_az1_rack7_reuse_vcf_networkpool_chosen="Re-use an existing VCF Network Pool"</formula>
    </cfRule>
  </conditionalFormatting>
  <conditionalFormatting sqref="D556:D562">
    <cfRule type="containsBlanks" dxfId="443" priority="11">
      <formula>LEN(TRIM(D556))=0</formula>
    </cfRule>
    <cfRule type="notContainsBlanks" dxfId="442" priority="10">
      <formula>LEN(TRIM(D556))&gt;0</formula>
    </cfRule>
    <cfRule type="expression" dxfId="440" priority="8">
      <formula>wld_multi_rack_count_chosen&lt;7</formula>
    </cfRule>
    <cfRule type="expression" dxfId="439" priority="7">
      <formula>AND((cluster_secondary_storage_result="Excluded"),(wld_secondary_storage_result="Excluded"))</formula>
    </cfRule>
    <cfRule type="expression" dxfId="438" priority="6">
      <formula>wld_multirack_result="Excluded"</formula>
    </cfRule>
    <cfRule type="expression" dxfId="437" priority="5">
      <formula>wld_az1_rack8_reuse_vcf_networkpool_chosen="Re-use an existing VCF Network Pool"</formula>
    </cfRule>
  </conditionalFormatting>
  <conditionalFormatting sqref="S7">
    <cfRule type="containsBlanks" dxfId="436" priority="4">
      <formula>LEN(TRIM(S7))=0</formula>
    </cfRule>
    <cfRule type="notContainsBlanks" dxfId="435" priority="3">
      <formula>LEN(TRIM(S7))&gt;0</formula>
    </cfRule>
    <cfRule type="expression" dxfId="434" priority="2">
      <formula>mgmt_domain_result="Excluded"</formula>
    </cfRule>
    <cfRule type="expression" dxfId="433" priority="1">
      <formula>wld_domain_result="Excluded"</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baseColWidth="10" defaultColWidth="11" defaultRowHeight="16" x14ac:dyDescent="0.2"/>
  <cols>
    <col min="1" max="1" width="2.83203125" customWidth="1"/>
    <col min="2" max="4" width="75.83203125" customWidth="1"/>
    <col min="5" max="5" width="125.83203125" customWidth="1"/>
  </cols>
  <sheetData>
    <row r="1" spans="1:10" s="2" customFormat="1" ht="16" customHeight="1" x14ac:dyDescent="0.2">
      <c r="A1" s="1"/>
      <c r="F1" s="8"/>
      <c r="G1" s="8"/>
      <c r="H1" s="8"/>
      <c r="I1" s="8"/>
      <c r="J1" s="8"/>
    </row>
    <row r="2" spans="1:10" s="2" customFormat="1" ht="54" customHeight="1" x14ac:dyDescent="0.2">
      <c r="B2" s="550" t="s">
        <v>2926</v>
      </c>
      <c r="C2" s="551"/>
      <c r="D2" s="551"/>
      <c r="E2" s="552"/>
      <c r="F2" s="8"/>
      <c r="G2" s="8"/>
      <c r="H2" s="8"/>
      <c r="I2" s="8"/>
      <c r="J2" s="8"/>
    </row>
    <row r="3" spans="1:10" s="2" customFormat="1" ht="20" customHeight="1" x14ac:dyDescent="0.2">
      <c r="B3" s="553" t="s">
        <v>756</v>
      </c>
      <c r="C3" s="554"/>
      <c r="D3" s="554"/>
      <c r="E3" s="555"/>
      <c r="F3" s="8"/>
      <c r="G3" s="8"/>
      <c r="H3" s="8"/>
      <c r="I3" s="8"/>
      <c r="J3" s="8"/>
    </row>
    <row r="4" spans="1:10" s="2" customFormat="1" x14ac:dyDescent="0.2">
      <c r="B4" s="2" t="s">
        <v>1027</v>
      </c>
      <c r="D4" s="10"/>
      <c r="E4" s="3"/>
      <c r="F4" s="3"/>
    </row>
    <row r="5" spans="1:10" s="8" customFormat="1" ht="16" customHeight="1" x14ac:dyDescent="0.2"/>
    <row r="6" spans="1:10" ht="34" customHeight="1" x14ac:dyDescent="0.2">
      <c r="B6" s="522" t="s">
        <v>2927</v>
      </c>
      <c r="C6" s="523"/>
      <c r="D6" s="523"/>
      <c r="E6" s="524"/>
    </row>
    <row r="7" spans="1:10" ht="20" customHeight="1" x14ac:dyDescent="0.2">
      <c r="B7" s="43" t="s">
        <v>261</v>
      </c>
      <c r="C7" s="43" t="s">
        <v>262</v>
      </c>
      <c r="D7" s="130" t="s">
        <v>19</v>
      </c>
      <c r="E7" s="43" t="s">
        <v>263</v>
      </c>
    </row>
    <row r="8" spans="1:10" ht="20" customHeight="1" x14ac:dyDescent="0.2">
      <c r="B8" s="492" t="s">
        <v>213</v>
      </c>
      <c r="C8" s="493"/>
      <c r="D8" s="493"/>
      <c r="E8" s="494"/>
    </row>
    <row r="9" spans="1:10" ht="20" customHeight="1" x14ac:dyDescent="0.2">
      <c r="B9" s="4" t="s">
        <v>85</v>
      </c>
      <c r="C9" s="80" t="str">
        <f>IF(cluster_wld_domain_chosen&lt;&gt;"MGMT Workload Domain",CONCATENATE(prefix_wld_az1_rack_vlan,"22"),CONCATENATE(prefix_mgmt_az1_vlan,"22"))</f>
        <v>1322</v>
      </c>
      <c r="D9" s="347"/>
      <c r="E9" s="93"/>
    </row>
    <row r="10" spans="1:10" ht="20" customHeight="1" x14ac:dyDescent="0.2">
      <c r="B10" s="4" t="s">
        <v>187</v>
      </c>
      <c r="C10" s="80" t="str">
        <f>IF(cluster_wld_domain_chosen&lt;&gt;"MGMT Workload Domain",CONCATENATE(prefix_wld_az1_rack_cidr,"22.1"),CONCATENATE(prefix_mgmt_az1_cidr,"22.1"))</f>
        <v>10.13.22.1</v>
      </c>
      <c r="D10" s="347"/>
      <c r="E10" s="32"/>
    </row>
    <row r="11" spans="1:10" ht="20" customHeight="1" x14ac:dyDescent="0.2">
      <c r="B11" s="4" t="s">
        <v>188</v>
      </c>
      <c r="C11" s="80" t="str">
        <f>IF(cluster_wld_domain_chosen&lt;&gt;"MGMT Workload Domain",CONCATENATE(prefix_wld_az1_rack_cidr,"22.0/24"),CONCATENATE(prefix_mgmt_az1_cidr,"22.0/24"))</f>
        <v>10.13.22.0/24</v>
      </c>
      <c r="D11" s="347"/>
      <c r="E11" s="32"/>
    </row>
    <row r="12" spans="1:10" ht="20" customHeight="1" x14ac:dyDescent="0.2">
      <c r="B12" s="4" t="s">
        <v>160</v>
      </c>
      <c r="C12" s="80">
        <v>1500</v>
      </c>
      <c r="D12" s="347"/>
      <c r="E12" s="32"/>
    </row>
    <row r="13" spans="1:10" ht="20" customHeight="1" x14ac:dyDescent="0.2">
      <c r="B13" s="535" t="s">
        <v>214</v>
      </c>
      <c r="C13" s="536"/>
      <c r="D13" s="536"/>
      <c r="E13" s="537"/>
    </row>
    <row r="14" spans="1:10" ht="20" customHeight="1" x14ac:dyDescent="0.2">
      <c r="B14" s="17" t="s">
        <v>215</v>
      </c>
      <c r="C14" s="80" t="str">
        <f>IF(cluster_wld_domain_chosen&lt;&gt;"MGMT Workload Domain",CONCATENATE(prefix_wld_az1_rack_cidr,"22.101"),CONCATENATE(prefix_mgmt_az1_cidr,"22.101"))</f>
        <v>10.13.22.101</v>
      </c>
      <c r="D14" s="347"/>
      <c r="E14" s="132" t="s">
        <v>216</v>
      </c>
    </row>
    <row r="15" spans="1:10" ht="20" customHeight="1" x14ac:dyDescent="0.2">
      <c r="B15" s="17" t="s">
        <v>217</v>
      </c>
      <c r="C15" s="80" t="str">
        <f>IF(cluster_wld_domain_chosen&lt;&gt;"MGMT Workload Domain",CONCATENATE(prefix_wld_az1_rack_cidr,"22.102"),CONCATENATE(prefix_mgmt_az1_cidr,"22.102"))</f>
        <v>10.13.22.102</v>
      </c>
      <c r="D15" s="347"/>
      <c r="E15" s="132" t="s">
        <v>218</v>
      </c>
    </row>
    <row r="16" spans="1:10" ht="20" customHeight="1" x14ac:dyDescent="0.2">
      <c r="B16" s="17" t="s">
        <v>219</v>
      </c>
      <c r="C16" s="80" t="str">
        <f>IF(cluster_wld_domain_chosen&lt;&gt;"MGMT Workload Domain",CONCATENATE(prefix_wld_az1_rack_cidr,"22.103"),CONCATENATE(prefix_mgmt_az1_cidr,"22.103"))</f>
        <v>10.13.22.103</v>
      </c>
      <c r="D16" s="347"/>
      <c r="E16" s="132" t="s">
        <v>220</v>
      </c>
    </row>
    <row r="17" spans="2:5" ht="20" customHeight="1" x14ac:dyDescent="0.2">
      <c r="B17" s="17" t="s">
        <v>221</v>
      </c>
      <c r="C17" s="80" t="str">
        <f>IF(cluster_wld_domain_chosen&lt;&gt;"MGMT Workload Domain",CONCATENATE(prefix_wld_az1_rack_cidr,"22.104"),CONCATENATE(prefix_mgmt_az1_cidr,"22.104"))</f>
        <v>10.13.22.104</v>
      </c>
      <c r="D17" s="347"/>
      <c r="E17" s="132" t="s">
        <v>222</v>
      </c>
    </row>
    <row r="18" spans="2:5" ht="20" customHeight="1" x14ac:dyDescent="0.2">
      <c r="B18" s="17" t="s">
        <v>223</v>
      </c>
      <c r="C18" s="80" t="str">
        <f>IF(cluster_wld_domain_chosen&lt;&gt;"MGMT Workload Domain",CONCATENATE(prefix_wld_az1_rack_cidr,"22.105"),CONCATENATE(prefix_mgmt_az1_cidr,"22.105"))</f>
        <v>10.13.22.105</v>
      </c>
      <c r="D18" s="347"/>
      <c r="E18" s="132" t="s">
        <v>224</v>
      </c>
    </row>
    <row r="19" spans="2:5" ht="20" customHeight="1" x14ac:dyDescent="0.2">
      <c r="B19" s="17" t="s">
        <v>225</v>
      </c>
      <c r="C19" s="80" t="str">
        <f>IF(cluster_wld_domain_chosen&lt;&gt;"MGMT Workload Domain",CONCATENATE(prefix_wld_az1_rack_cidr,"22.106"),CONCATENATE(prefix_mgmt_az1_cidr,"22.106"))</f>
        <v>10.13.22.106</v>
      </c>
      <c r="D19" s="347"/>
      <c r="E19" s="132" t="s">
        <v>226</v>
      </c>
    </row>
    <row r="20" spans="2:5" ht="20" customHeight="1" x14ac:dyDescent="0.2">
      <c r="B20" s="17" t="s">
        <v>227</v>
      </c>
      <c r="C20" s="80" t="str">
        <f>IF(cluster_wld_domain_chosen&lt;&gt;"MGMT Workload Domain",CONCATENATE(prefix_wld_az1_rack_cidr,"22.107"),CONCATENATE(prefix_mgmt_az1_cidr,"22.107"))</f>
        <v>10.13.22.107</v>
      </c>
      <c r="D20" s="347"/>
      <c r="E20" s="132" t="s">
        <v>228</v>
      </c>
    </row>
    <row r="21" spans="2:5" ht="20" customHeight="1" x14ac:dyDescent="0.2">
      <c r="B21" s="17" t="s">
        <v>229</v>
      </c>
      <c r="C21" s="80" t="str">
        <f>IF(cluster_wld_domain_chosen&lt;&gt;"MGMT Workload Domain",CONCATENATE(prefix_wld_az1_rack_cidr,"22.108"),CONCATENATE(prefix_mgmt_az1_cidr,"22.108"))</f>
        <v>10.13.22.108</v>
      </c>
      <c r="D21" s="347"/>
      <c r="E21" s="132" t="s">
        <v>230</v>
      </c>
    </row>
    <row r="22" spans="2:5" ht="20" customHeight="1" x14ac:dyDescent="0.2">
      <c r="B22" s="17" t="s">
        <v>231</v>
      </c>
      <c r="C22" s="80" t="str">
        <f>IF(cluster_wld_domain_chosen&lt;&gt;"MGMT Workload Domain",CONCATENATE(prefix_wld_az1_rack_cidr,"22.109"),CONCATENATE(prefix_mgmt_az1_cidr,"22.109"))</f>
        <v>10.13.22.109</v>
      </c>
      <c r="D22" s="347"/>
      <c r="E22" s="132" t="s">
        <v>232</v>
      </c>
    </row>
    <row r="23" spans="2:5" ht="20" customHeight="1" x14ac:dyDescent="0.2">
      <c r="B23" s="17" t="s">
        <v>233</v>
      </c>
      <c r="C23" s="80" t="str">
        <f>IF(cluster_wld_domain_chosen&lt;&gt;"MGMT Workload Domain",CONCATENATE(prefix_wld_az1_rack_cidr,"22.110"),CONCATENATE(prefix_mgmt_az1_cidr,"22.110"))</f>
        <v>10.13.22.110</v>
      </c>
      <c r="D23" s="347"/>
      <c r="E23" s="132" t="s">
        <v>234</v>
      </c>
    </row>
    <row r="24" spans="2:5" ht="20" customHeight="1" x14ac:dyDescent="0.2">
      <c r="B24" s="17" t="s">
        <v>235</v>
      </c>
      <c r="C24" s="80" t="str">
        <f>IF(cluster_wld_domain_chosen&lt;&gt;"MGMT Workload Domain",CONCATENATE(prefix_wld_az1_rack_cidr,"22.111"),CONCATENATE(prefix_mgmt_az1_cidr,"22.111"))</f>
        <v>10.13.22.111</v>
      </c>
      <c r="D24" s="347"/>
      <c r="E24" s="132" t="s">
        <v>236</v>
      </c>
    </row>
    <row r="25" spans="2:5" ht="20" customHeight="1" x14ac:dyDescent="0.2">
      <c r="B25" s="17" t="s">
        <v>237</v>
      </c>
      <c r="C25" s="80" t="str">
        <f>IF(cluster_wld_domain_chosen&lt;&gt;"MGMT Workload Domain",CONCATENATE(prefix_wld_az1_rack_cidr,"22.112"),CONCATENATE(prefix_mgmt_az1_cidr,"22.112"))</f>
        <v>10.13.22.112</v>
      </c>
      <c r="D25" s="347"/>
      <c r="E25" s="132" t="s">
        <v>238</v>
      </c>
    </row>
    <row r="26" spans="2:5" ht="20" customHeight="1" x14ac:dyDescent="0.2">
      <c r="B26" s="17" t="s">
        <v>239</v>
      </c>
      <c r="C26" s="80" t="str">
        <f>IF(cluster_wld_domain_chosen&lt;&gt;"MGMT Workload Domain",CONCATENATE(prefix_wld_az1_rack_cidr,"22.113"),CONCATENATE(prefix_mgmt_az1_cidr,"22.113"))</f>
        <v>10.13.22.113</v>
      </c>
      <c r="D26" s="347"/>
      <c r="E26" s="132" t="s">
        <v>240</v>
      </c>
    </row>
    <row r="27" spans="2:5" ht="20" customHeight="1" x14ac:dyDescent="0.2">
      <c r="B27" s="17" t="s">
        <v>241</v>
      </c>
      <c r="C27" s="80" t="str">
        <f>IF(cluster_wld_domain_chosen&lt;&gt;"MGMT Workload Domain",CONCATENATE(prefix_wld_az1_rack_cidr,"22.114"),CONCATENATE(prefix_mgmt_az1_cidr,"22.114"))</f>
        <v>10.13.22.114</v>
      </c>
      <c r="D27" s="347"/>
      <c r="E27" s="132" t="s">
        <v>242</v>
      </c>
    </row>
    <row r="28" spans="2:5" ht="20" customHeight="1" x14ac:dyDescent="0.2">
      <c r="B28" s="17" t="s">
        <v>243</v>
      </c>
      <c r="C28" s="80" t="str">
        <f>IF(cluster_wld_domain_chosen&lt;&gt;"MGMT Workload Domain",CONCATENATE(prefix_wld_az1_rack_cidr,"22.115"),CONCATENATE(prefix_mgmt_az1_cidr,"22.115"))</f>
        <v>10.13.22.115</v>
      </c>
      <c r="D28" s="347"/>
      <c r="E28" s="132" t="s">
        <v>244</v>
      </c>
    </row>
    <row r="29" spans="2:5" ht="20" customHeight="1" x14ac:dyDescent="0.2">
      <c r="B29" s="17" t="s">
        <v>245</v>
      </c>
      <c r="C29" s="80" t="str">
        <f>IF(cluster_wld_domain_chosen&lt;&gt;"MGMT Workload Domain",CONCATENATE(prefix_wld_az1_rack_cidr,"22.116"),CONCATENATE(prefix_mgmt_az1_cidr,"22.116"))</f>
        <v>10.13.22.116</v>
      </c>
      <c r="D29" s="347"/>
      <c r="E29" s="132" t="s">
        <v>246</v>
      </c>
    </row>
    <row r="30" spans="2:5" ht="16" customHeight="1" x14ac:dyDescent="0.2">
      <c r="B30" s="8"/>
      <c r="C30" s="8"/>
      <c r="D30" s="8"/>
      <c r="E30" s="8"/>
    </row>
    <row r="31" spans="2:5" ht="34" customHeight="1" x14ac:dyDescent="0.2">
      <c r="B31" s="522" t="s">
        <v>2928</v>
      </c>
      <c r="C31" s="523"/>
      <c r="D31" s="523"/>
      <c r="E31" s="524"/>
    </row>
    <row r="32" spans="2:5" ht="20" customHeight="1" x14ac:dyDescent="0.2">
      <c r="B32" s="43" t="s">
        <v>261</v>
      </c>
      <c r="C32" s="43" t="s">
        <v>262</v>
      </c>
      <c r="D32" s="130" t="s">
        <v>19</v>
      </c>
      <c r="E32" s="43" t="s">
        <v>263</v>
      </c>
    </row>
    <row r="33" spans="2:5" ht="20" customHeight="1" x14ac:dyDescent="0.2">
      <c r="B33" s="4" t="s">
        <v>2929</v>
      </c>
      <c r="C33" s="362" t="s">
        <v>249</v>
      </c>
      <c r="D33" s="127" t="s">
        <v>249</v>
      </c>
      <c r="E33" s="4" t="str">
        <f>IF(wld_az1_rack2_reuse_vcf_networkpool_chosen="Re-use an existing  VCF Network Pool","An exisiting VCF Network Pool will be reused for Host TEP assignment","A new VCF Network Pool will be created")</f>
        <v>A new VCF Network Pool will be created</v>
      </c>
    </row>
    <row r="34" spans="2:5" ht="20" customHeight="1" x14ac:dyDescent="0.2">
      <c r="B34" s="17" t="s">
        <v>250</v>
      </c>
      <c r="C34" s="89" t="str">
        <f>IF(cluster_wld_domain_chosen="VI Workload Domain",CONCATENATE(this_instance,"01-w0",wld_domain_number_chosen,"-r02-network-pool-01"),CONCATENATE(this_instance,"01-m01","-r02-network-pool-01"))</f>
        <v>sfo01-w01-r02-network-pool-01</v>
      </c>
      <c r="D34" s="140"/>
      <c r="E34" s="32"/>
    </row>
    <row r="35" spans="2:5" ht="20" customHeight="1" x14ac:dyDescent="0.2">
      <c r="B35" s="492" t="s">
        <v>251</v>
      </c>
      <c r="C35" s="493"/>
      <c r="D35" s="493"/>
      <c r="E35" s="494"/>
    </row>
    <row r="36" spans="2:5" ht="20" customHeight="1" x14ac:dyDescent="0.2">
      <c r="B36" s="4" t="s">
        <v>85</v>
      </c>
      <c r="C36" s="80" t="str">
        <f>IF(cluster_wld_domain_chosen&lt;&gt;"MGMT Workload Domain",CONCATENATE(prefix_wld_az1_rack_vlan,"23"),CONCATENATE(prefix_mgmt_az1_vlan,"23"))</f>
        <v>1323</v>
      </c>
      <c r="D36" s="347"/>
      <c r="E36" s="93"/>
    </row>
    <row r="37" spans="2:5" ht="20" customHeight="1" x14ac:dyDescent="0.2">
      <c r="B37" s="4" t="s">
        <v>160</v>
      </c>
      <c r="C37" s="80">
        <v>9000</v>
      </c>
      <c r="D37" s="347"/>
      <c r="E37" s="32"/>
    </row>
    <row r="38" spans="2:5" ht="20" customHeight="1" x14ac:dyDescent="0.2">
      <c r="B38" s="4" t="s">
        <v>188</v>
      </c>
      <c r="C38" s="80" t="str">
        <f>IF(cluster_wld_domain_chosen&lt;&gt;"MGMT Workload Domain",CONCATENATE(prefix_wld_az1_rack_cidr,"23.0"),CONCATENATE(prefix_mgmt_az1_cidr,"23.0"))</f>
        <v>10.13.23.0</v>
      </c>
      <c r="D38" s="347"/>
      <c r="E38" s="32"/>
    </row>
    <row r="39" spans="2:5" ht="20" customHeight="1" x14ac:dyDescent="0.2">
      <c r="B39" s="4" t="s">
        <v>285</v>
      </c>
      <c r="C39" s="80" t="s">
        <v>128</v>
      </c>
      <c r="D39" s="347"/>
      <c r="E39" s="32"/>
    </row>
    <row r="40" spans="2:5" ht="20" customHeight="1" x14ac:dyDescent="0.2">
      <c r="B40" s="4" t="s">
        <v>187</v>
      </c>
      <c r="C40" s="80" t="str">
        <f>IF(cluster_wld_domain_chosen&lt;&gt;"MGMT Workload Domain",CONCATENATE(prefix_wld_az1_rack_cidr,"23.1"),CONCATENATE(prefix_mgmt_az1_cidr,"23.1"))</f>
        <v>10.13.23.1</v>
      </c>
      <c r="D40" s="347"/>
      <c r="E40" s="32"/>
    </row>
    <row r="41" spans="2:5" ht="20" customHeight="1" x14ac:dyDescent="0.2">
      <c r="B41" s="17" t="s">
        <v>255</v>
      </c>
      <c r="C41" s="80" t="str">
        <f>IF(cluster_wld_domain_chosen&lt;&gt;"MGMT Workload Domain",CONCATENATE(prefix_wld_az1_rack_cidr,"23.101"),CONCATENATE(prefix_mgmt_az1_cidr,"23.101"))</f>
        <v>10.13.23.101</v>
      </c>
      <c r="D41" s="347"/>
      <c r="E41" s="100" t="s">
        <v>2930</v>
      </c>
    </row>
    <row r="42" spans="2:5" ht="20" customHeight="1" x14ac:dyDescent="0.2">
      <c r="B42" s="17" t="s">
        <v>256</v>
      </c>
      <c r="C42" s="80" t="str">
        <f>IF(cluster_wld_domain_chosen&lt;&gt;"MGMT Workload Domain",CONCATENATE(prefix_wld_az1_rack_cidr,"23.116"),CONCATENATE(prefix_mgmt_az1_cidr,"23.116"))</f>
        <v>10.13.23.116</v>
      </c>
      <c r="D42" s="347"/>
      <c r="E42" s="100" t="s">
        <v>2931</v>
      </c>
    </row>
    <row r="43" spans="2:5" ht="20" customHeight="1" x14ac:dyDescent="0.2">
      <c r="B43" s="492" t="s">
        <v>257</v>
      </c>
      <c r="C43" s="493"/>
      <c r="D43" s="493"/>
      <c r="E43" s="494"/>
    </row>
    <row r="44" spans="2:5" ht="20" customHeight="1" x14ac:dyDescent="0.2">
      <c r="B44" s="4" t="s">
        <v>85</v>
      </c>
      <c r="C44" s="80" t="str">
        <f>IF(cluster_wld_domain_chosen&lt;&gt;"MGMT Workload Domain",CONCATENATE(prefix_wld_az1_rack_vlan,"24"),CONCATENATE(prefix_mgmt_az1_vlan,"24"))</f>
        <v>1324</v>
      </c>
      <c r="D44" s="347"/>
      <c r="E44" s="32"/>
    </row>
    <row r="45" spans="2:5" ht="20" customHeight="1" x14ac:dyDescent="0.2">
      <c r="B45" s="4" t="s">
        <v>160</v>
      </c>
      <c r="C45" s="80">
        <v>9000</v>
      </c>
      <c r="D45" s="347"/>
      <c r="E45" s="32"/>
    </row>
    <row r="46" spans="2:5" ht="20" customHeight="1" x14ac:dyDescent="0.2">
      <c r="B46" s="4" t="s">
        <v>188</v>
      </c>
      <c r="C46" s="80" t="str">
        <f>IF(cluster_wld_domain_chosen&lt;&gt;"MGMT Workload Domain",CONCATENATE(prefix_wld_az1_rack_cidr,"24.0"),CONCATENATE(prefix_mgmt_az1_cidr,"24.0"))</f>
        <v>10.13.24.0</v>
      </c>
      <c r="D46" s="347"/>
      <c r="E46" s="56"/>
    </row>
    <row r="47" spans="2:5" ht="20" customHeight="1" x14ac:dyDescent="0.2">
      <c r="B47" s="4" t="s">
        <v>285</v>
      </c>
      <c r="C47" s="80" t="s">
        <v>128</v>
      </c>
      <c r="D47" s="347"/>
      <c r="E47" s="32"/>
    </row>
    <row r="48" spans="2:5" ht="20" customHeight="1" x14ac:dyDescent="0.2">
      <c r="B48" s="4" t="s">
        <v>187</v>
      </c>
      <c r="C48" s="80" t="str">
        <f>IF(cluster_wld_domain_chosen&lt;&gt;"MGMT Workload Domain",CONCATENATE(prefix_wld_az1_rack_cidr,"24.1"),CONCATENATE(prefix_mgmt_az1_cidr,"24.1"))</f>
        <v>10.13.24.1</v>
      </c>
      <c r="D48" s="347"/>
      <c r="E48" s="32" t="str">
        <f>IF(AND(mgmt_stretched_cluster_result="Included",mgmt_dpg_reuse_result="Excluded"),"Stretched L2","")</f>
        <v/>
      </c>
    </row>
    <row r="49" spans="2:5" ht="20" customHeight="1" x14ac:dyDescent="0.2">
      <c r="B49" s="17" t="s">
        <v>255</v>
      </c>
      <c r="C49" s="80" t="str">
        <f>IF(cluster_wld_domain_chosen&lt;&gt;"MGMT Workload Domain",CONCATENATE(prefix_wld_az1_rack_cidr,"24.101"),CONCATENATE(prefix_mgmt_az1_cidr,"24.101"))</f>
        <v>10.13.24.101</v>
      </c>
      <c r="D49" s="347"/>
      <c r="E49" s="100" t="s">
        <v>2932</v>
      </c>
    </row>
    <row r="50" spans="2:5" ht="20" customHeight="1" x14ac:dyDescent="0.2">
      <c r="B50" s="17" t="s">
        <v>256</v>
      </c>
      <c r="C50" s="80" t="str">
        <f>IF(cluster_wld_domain_chosen&lt;&gt;"MGMT Workload Domain",CONCATENATE(prefix_wld_az1_rack_cidr,"24.116"),CONCATENATE(prefix_mgmt_az1_cidr,"24.116"))</f>
        <v>10.13.24.116</v>
      </c>
      <c r="D50" s="347"/>
      <c r="E50" s="100" t="s">
        <v>2933</v>
      </c>
    </row>
    <row r="51" spans="2:5" ht="16" customHeight="1" x14ac:dyDescent="0.2">
      <c r="B51" s="8"/>
      <c r="C51" s="8"/>
      <c r="D51" s="8"/>
      <c r="E51" s="8"/>
    </row>
    <row r="52" spans="2:5" ht="34" customHeight="1" x14ac:dyDescent="0.2">
      <c r="B52" s="522" t="s">
        <v>2934</v>
      </c>
      <c r="C52" s="523"/>
      <c r="D52" s="523"/>
      <c r="E52" s="524"/>
    </row>
    <row r="53" spans="2:5" ht="20" customHeight="1" x14ac:dyDescent="0.2">
      <c r="B53" s="43" t="s">
        <v>261</v>
      </c>
      <c r="C53" s="43" t="s">
        <v>262</v>
      </c>
      <c r="D53" s="130" t="s">
        <v>19</v>
      </c>
      <c r="E53" s="43" t="s">
        <v>263</v>
      </c>
    </row>
    <row r="54" spans="2:5" ht="20" customHeight="1" x14ac:dyDescent="0.2">
      <c r="B54" s="17" t="s">
        <v>215</v>
      </c>
      <c r="C54" s="78" t="str">
        <f>IF(cluster_wld_domain_chosen&lt;&gt;"MGMT Workload Domain",CONCATENATE(this_instance,"01-w0",wld_domain_number_chosen,"-r02-esx01",".",sample_child_dns_zone),CONCATENATE(this_instance,"01-m01-r02-esx01",".",sample_child_dns_zone))</f>
        <v>sfo01-w01-r02-esx01.sfo.rainpole.io</v>
      </c>
      <c r="D54" s="347"/>
      <c r="E54" s="32"/>
    </row>
    <row r="55" spans="2:5" ht="20" customHeight="1" x14ac:dyDescent="0.2">
      <c r="B55" s="17" t="s">
        <v>217</v>
      </c>
      <c r="C55" s="78" t="str">
        <f>IF(cluster_wld_domain_chosen&lt;&gt;"MGMT Workload Domain",CONCATENATE(this_instance,"01-w0",wld_domain_number_chosen,"-r02-esx02",".",sample_child_dns_zone),CONCATENATE(this_instance,"01-m01-r02-esx02",".",sample_child_dns_zone))</f>
        <v>sfo01-w01-r02-esx02.sfo.rainpole.io</v>
      </c>
      <c r="D55" s="347"/>
      <c r="E55" s="32"/>
    </row>
    <row r="56" spans="2:5" ht="20" customHeight="1" x14ac:dyDescent="0.2">
      <c r="B56" s="17" t="s">
        <v>219</v>
      </c>
      <c r="C56" s="78" t="str">
        <f>IF(cluster_wld_domain_chosen&lt;&gt;"MGMT Workload Domain",CONCATENATE(this_instance,"01-w0",wld_domain_number_chosen,"-r02-esx03",".",sample_child_dns_zone),CONCATENATE(this_instance,"01-m01-r02-esx03",".",sample_child_dns_zone))</f>
        <v>sfo01-w01-r02-esx03.sfo.rainpole.io</v>
      </c>
      <c r="D56" s="347"/>
      <c r="E56" s="32"/>
    </row>
    <row r="57" spans="2:5" ht="20" customHeight="1" x14ac:dyDescent="0.2">
      <c r="B57" s="17" t="s">
        <v>221</v>
      </c>
      <c r="C57" s="78" t="str">
        <f>IF(cluster_wld_domain_chosen&lt;&gt;"MGMT Workload Domain",CONCATENATE(this_instance,"01-w0",wld_domain_number_chosen,"-r02-esx04",".",sample_child_dns_zone),CONCATENATE(this_instance,"01-m01-r02-esx04",".",sample_child_dns_zone))</f>
        <v>sfo01-w01-r02-esx04.sfo.rainpole.io</v>
      </c>
      <c r="D57" s="347"/>
      <c r="E57" s="32"/>
    </row>
    <row r="58" spans="2:5" ht="20" customHeight="1" x14ac:dyDescent="0.2">
      <c r="B58" s="17" t="s">
        <v>223</v>
      </c>
      <c r="C58" s="78" t="str">
        <f>IF(cluster_wld_domain_chosen&lt;&gt;"MGMT Workload Domain",CONCATENATE(this_instance,"01-w0",wld_domain_number_chosen,"-r02-esx05",".",sample_child_dns_zone),CONCATENATE(this_instance,"01-m01-r02-esx05",".",sample_child_dns_zone))</f>
        <v>sfo01-w01-r02-esx05.sfo.rainpole.io</v>
      </c>
      <c r="D58" s="347"/>
      <c r="E58" s="32"/>
    </row>
    <row r="59" spans="2:5" ht="20" customHeight="1" x14ac:dyDescent="0.2">
      <c r="B59" s="17" t="s">
        <v>225</v>
      </c>
      <c r="C59" s="78" t="str">
        <f>IF(cluster_wld_domain_chosen&lt;&gt;"MGMT Workload Domain",CONCATENATE(this_instance,"01-w0",wld_domain_number_chosen,"-r02-esx06",".",sample_child_dns_zone),CONCATENATE(this_instance,"01-m01-r02-esx06",".",sample_child_dns_zone))</f>
        <v>sfo01-w01-r02-esx06.sfo.rainpole.io</v>
      </c>
      <c r="D59" s="347"/>
      <c r="E59" s="32"/>
    </row>
    <row r="60" spans="2:5" ht="20" customHeight="1" x14ac:dyDescent="0.2">
      <c r="B60" s="17" t="s">
        <v>227</v>
      </c>
      <c r="C60" s="78" t="str">
        <f>IF(cluster_wld_domain_chosen&lt;&gt;"MGMT Workload Domain",CONCATENATE(this_instance,"01-w0",wld_domain_number_chosen,"-r02-esx07",".",sample_child_dns_zone),CONCATENATE(this_instance,"01-m01-r02-esx07",".",sample_child_dns_zone))</f>
        <v>sfo01-w01-r02-esx07.sfo.rainpole.io</v>
      </c>
      <c r="D60" s="347"/>
      <c r="E60" s="32"/>
    </row>
    <row r="61" spans="2:5" ht="20" customHeight="1" x14ac:dyDescent="0.2">
      <c r="B61" s="17" t="s">
        <v>229</v>
      </c>
      <c r="C61" s="78" t="str">
        <f>IF(cluster_wld_domain_chosen&lt;&gt;"MGMT Workload Domain",CONCATENATE(this_instance,"01-w0",wld_domain_number_chosen,"-r02-esx08",".",sample_child_dns_zone),CONCATENATE(this_instance,"01-m01-r02-esx08",".",sample_child_dns_zone))</f>
        <v>sfo01-w01-r02-esx08.sfo.rainpole.io</v>
      </c>
      <c r="D61" s="347"/>
      <c r="E61" s="32"/>
    </row>
    <row r="62" spans="2:5" ht="20" customHeight="1" x14ac:dyDescent="0.2">
      <c r="B62" s="17" t="s">
        <v>231</v>
      </c>
      <c r="C62" s="78" t="str">
        <f>IF(cluster_wld_domain_chosen&lt;&gt;"MGMT Workload Domain",CONCATENATE(this_instance,"01-w0",wld_domain_number_chosen,"-r02-esx09",".",sample_child_dns_zone),CONCATENATE(this_instance,"01-m01-r02-esx09",".",sample_child_dns_zone))</f>
        <v>sfo01-w01-r02-esx09.sfo.rainpole.io</v>
      </c>
      <c r="D62" s="347"/>
      <c r="E62" s="32"/>
    </row>
    <row r="63" spans="2:5" ht="20" customHeight="1" x14ac:dyDescent="0.2">
      <c r="B63" s="17" t="s">
        <v>233</v>
      </c>
      <c r="C63" s="78" t="str">
        <f>IF(cluster_wld_domain_chosen&lt;&gt;"MGMT Workload Domain",CONCATENATE(this_instance,"01-w0",wld_domain_number_chosen,"-r02-esx10",".",sample_child_dns_zone),CONCATENATE(this_instance,"01-m01-r02-esx10",".",sample_child_dns_zone))</f>
        <v>sfo01-w01-r02-esx10.sfo.rainpole.io</v>
      </c>
      <c r="D63" s="347"/>
      <c r="E63" s="32"/>
    </row>
    <row r="64" spans="2:5" ht="20" customHeight="1" x14ac:dyDescent="0.2">
      <c r="B64" s="17" t="s">
        <v>235</v>
      </c>
      <c r="C64" s="78" t="str">
        <f>IF(cluster_wld_domain_chosen&lt;&gt;"MGMT Workload Domain",CONCATENATE(this_instance,"01-w0",wld_domain_number_chosen,"-r02-esx11",".",sample_child_dns_zone),CONCATENATE(this_instance,"01-m01-r02-esx11",".",sample_child_dns_zone))</f>
        <v>sfo01-w01-r02-esx11.sfo.rainpole.io</v>
      </c>
      <c r="D64" s="347"/>
      <c r="E64" s="32"/>
    </row>
    <row r="65" spans="2:5" ht="20" customHeight="1" x14ac:dyDescent="0.2">
      <c r="B65" s="17" t="s">
        <v>237</v>
      </c>
      <c r="C65" s="78" t="str">
        <f>IF(cluster_wld_domain_chosen&lt;&gt;"MGMT Workload Domain",CONCATENATE(this_instance,"01-w0",wld_domain_number_chosen,"-r02-esx12",".",sample_child_dns_zone),CONCATENATE(this_instance,"01-m01-r02-esx12",".",sample_child_dns_zone))</f>
        <v>sfo01-w01-r02-esx12.sfo.rainpole.io</v>
      </c>
      <c r="D65" s="347"/>
      <c r="E65" s="32"/>
    </row>
    <row r="66" spans="2:5" ht="20" customHeight="1" x14ac:dyDescent="0.2">
      <c r="B66" s="17" t="s">
        <v>239</v>
      </c>
      <c r="C66" s="78" t="str">
        <f>IF(cluster_wld_domain_chosen&lt;&gt;"MGMT Workload Domain",CONCATENATE(this_instance,"01-w0",wld_domain_number_chosen,"-r02-esx13",".",sample_child_dns_zone),CONCATENATE(this_instance,"01-m01-r02-esx13",".",sample_child_dns_zone))</f>
        <v>sfo01-w01-r02-esx13.sfo.rainpole.io</v>
      </c>
      <c r="D66" s="347"/>
      <c r="E66" s="32"/>
    </row>
    <row r="67" spans="2:5" ht="20" customHeight="1" x14ac:dyDescent="0.2">
      <c r="B67" s="17" t="s">
        <v>241</v>
      </c>
      <c r="C67" s="78" t="str">
        <f>IF(cluster_wld_domain_chosen&lt;&gt;"MGMT Workload Domain",CONCATENATE(this_instance,"01-w0",wld_domain_number_chosen,"-r02-esx14",".",sample_child_dns_zone),CONCATENATE(this_instance,"01-m01-r02-esx14",".",sample_child_dns_zone))</f>
        <v>sfo01-w01-r02-esx14.sfo.rainpole.io</v>
      </c>
      <c r="D67" s="347"/>
      <c r="E67" s="32"/>
    </row>
    <row r="68" spans="2:5" ht="20" customHeight="1" x14ac:dyDescent="0.2">
      <c r="B68" s="17" t="s">
        <v>243</v>
      </c>
      <c r="C68" s="78" t="str">
        <f>IF(cluster_wld_domain_chosen&lt;&gt;"MGMT Workload Domain",CONCATENATE(this_instance,"01-w0",wld_domain_number_chosen,"-r02-esx14",".",sample_child_dns_zone),CONCATENATE(this_instance,"01-m01-r02-esx15",".",sample_child_dns_zone))</f>
        <v>sfo01-w01-r02-esx14.sfo.rainpole.io</v>
      </c>
      <c r="D68" s="347"/>
      <c r="E68" s="32"/>
    </row>
    <row r="69" spans="2:5" ht="20" customHeight="1" x14ac:dyDescent="0.2">
      <c r="B69" s="17" t="s">
        <v>245</v>
      </c>
      <c r="C69" s="78" t="str">
        <f>IF(cluster_wld_domain_chosen&lt;&gt;"MGMT Workload Domain",CONCATENATE(this_instance,"01-w0",wld_domain_number_chosen,"-r02-esx16",".",sample_child_dns_zone),CONCATENATE(this_instance,"01-m01-r02-esx16",".",sample_child_dns_zone))</f>
        <v>sfo01-w01-r02-esx16.sfo.rainpole.io</v>
      </c>
      <c r="D69" s="347"/>
      <c r="E69" s="32"/>
    </row>
    <row r="70" spans="2:5" ht="20" customHeight="1" x14ac:dyDescent="0.2">
      <c r="B70" s="17" t="s">
        <v>264</v>
      </c>
      <c r="C70" s="78" t="s">
        <v>265</v>
      </c>
      <c r="D70" s="337" t="s">
        <v>265</v>
      </c>
      <c r="E70" s="32"/>
    </row>
    <row r="71" spans="2:5" ht="20" customHeight="1" x14ac:dyDescent="0.2">
      <c r="B71" s="17" t="s">
        <v>266</v>
      </c>
      <c r="C71" s="78" t="s">
        <v>267</v>
      </c>
      <c r="D71"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71" s="4"/>
    </row>
    <row r="72" spans="2:5" ht="20" customHeight="1" x14ac:dyDescent="0.2">
      <c r="B72" s="17" t="s">
        <v>268</v>
      </c>
      <c r="C72" s="78" t="s">
        <v>159</v>
      </c>
      <c r="D72" s="337" t="str">
        <f>IF(AND(vcf_granular_option_chosen="Create Cluster",cluster_principal_storage_chosen="vSAN-ESA"),"Selected",
IF(AND(vcf_granular_option_chosen="Create VI Workload Domain",wld_principal_storage_chosen="vSAN-ESA"),"Selected","Unselected"))</f>
        <v>Unselected</v>
      </c>
      <c r="E72" s="32"/>
    </row>
    <row r="73" spans="2:5" ht="20" customHeight="1" x14ac:dyDescent="0.2">
      <c r="B73" s="17" t="s">
        <v>250</v>
      </c>
      <c r="C73" s="78" t="str">
        <f>sample_wld_az1_rack2_pool_name</f>
        <v>sfo01-w01-r02-network-pool-01</v>
      </c>
      <c r="D73" s="337" t="str">
        <f>wld_az1_rack2_pool_name</f>
        <v>Value Missing</v>
      </c>
      <c r="E73" s="32"/>
    </row>
    <row r="74" spans="2:5" ht="20" customHeight="1" x14ac:dyDescent="0.2">
      <c r="B74" s="17" t="s">
        <v>46</v>
      </c>
      <c r="C74" s="78" t="s">
        <v>269</v>
      </c>
      <c r="D74"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74" s="32"/>
    </row>
    <row r="75" spans="2:5" ht="20" customHeight="1" x14ac:dyDescent="0.2">
      <c r="B75" s="17" t="s">
        <v>29</v>
      </c>
      <c r="C75" s="78" t="s">
        <v>30</v>
      </c>
      <c r="D75"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75" s="32"/>
    </row>
    <row r="76" spans="2:5" ht="16" customHeight="1" x14ac:dyDescent="0.2"/>
    <row r="77" spans="2:5" ht="34" customHeight="1" x14ac:dyDescent="0.2">
      <c r="B77" s="522" t="s">
        <v>2935</v>
      </c>
      <c r="C77" s="523"/>
      <c r="D77" s="523"/>
      <c r="E77" s="524"/>
    </row>
    <row r="78" spans="2:5" ht="20" customHeight="1" x14ac:dyDescent="0.2">
      <c r="B78" s="4" t="s">
        <v>337</v>
      </c>
      <c r="C78" s="89" t="str">
        <f>IF(vcf_granular_option_chosen="Create Cluster",CONCATENATE(this_instance,"01-",sample_cluster_name,"-r02-network-profile"),
IF(cluster_wld_domain_chosen="VI Workload Domain",CONCATENATE(this_instance,"01-",sample_wld_cl01_cluster,"-r02-network-profile"),
CONCATENATE(this_instance,"01-",sample_mgmt_cl01_cluster,"-r02-network-profile")))</f>
        <v>sfo01-sfo-w01-cl01-r02-network-profile</v>
      </c>
      <c r="D78" s="127"/>
      <c r="E78" s="80"/>
    </row>
    <row r="79" spans="2:5" ht="20" customHeight="1" x14ac:dyDescent="0.2">
      <c r="B79" s="4" t="s">
        <v>2936</v>
      </c>
      <c r="C79" s="362" t="s">
        <v>339</v>
      </c>
      <c r="D79" s="127" t="s">
        <v>339</v>
      </c>
      <c r="E79" s="279" t="str">
        <f>IF(wld_az1_rack2_host_overlay_new_pool_chosen="Re-use an existing Pool","An exisitng Pool will be reused for Host TEP assignment","A new Pool will be created for Host TEP assignment")</f>
        <v>A new Pool will be created for Host TEP assignment</v>
      </c>
    </row>
    <row r="80" spans="2:5" ht="20" customHeight="1" x14ac:dyDescent="0.2">
      <c r="B80" s="4" t="s">
        <v>340</v>
      </c>
      <c r="C80" s="89" t="str">
        <f>IF(cluster_wld_domain_chosen="VI Workload Domain",CONCATENATE(this_instance,"01-w0",wld_domain_number_chosen,"-r02-ip-pool01-host"),CONCATENATE(this_instance,"01-m01","-r02-ip-pool01-host"))</f>
        <v>sfo01-w01-r02-ip-pool01-host</v>
      </c>
      <c r="D80" s="127"/>
      <c r="E80" s="80"/>
    </row>
    <row r="81" spans="2:5" ht="20" customHeight="1" x14ac:dyDescent="0.2">
      <c r="B81" s="4" t="s">
        <v>341</v>
      </c>
      <c r="C81" s="89" t="str">
        <f>IF(cluster_wld_domain_chosen="VI Workload Domain",CONCATENATE(this_instance,"01-w0",wld_domain_number_chosen,"-r02-uplink-profile01"),CONCATENATE(this_instance,"01-m01","-r02-uplink-profile01"))</f>
        <v>sfo01-w01-r02-uplink-profile01</v>
      </c>
      <c r="D81" s="127"/>
      <c r="E81" s="80"/>
    </row>
    <row r="82" spans="2:5" ht="20" customHeight="1" x14ac:dyDescent="0.2">
      <c r="B82" s="4" t="s">
        <v>2937</v>
      </c>
      <c r="C82" s="89" t="str">
        <f>IF(cluster_wld_domain_chosen="VI Workload Domain",CONCATENATE(this_instance,"01-w0",wld_domain_number_chosen,"-r02-ip-pool02-edge"),CONCATENATE(this_instance,"01-m01","-r02-ip-pool02-edge"))</f>
        <v>sfo01-w01-r02-ip-pool02-edge</v>
      </c>
      <c r="D82" s="127"/>
      <c r="E82" s="80"/>
    </row>
    <row r="83" spans="2:5" ht="20" customHeight="1" x14ac:dyDescent="0.2">
      <c r="B83" s="4" t="s">
        <v>2938</v>
      </c>
      <c r="C83" s="89" t="str">
        <f>IF(cluster_wld_domain_chosen="VI Workload Domain",CONCATENATE(this_instance,"01-w0",wld_domain_number_chosen,"-r02-ip-pool03-rtep"),CONCATENATE(this_instance,"01-m01","-r02-ip-pool03-rtep"))</f>
        <v>sfo01-w01-r02-ip-pool03-rtep</v>
      </c>
      <c r="D83" s="127"/>
      <c r="E83" s="80"/>
    </row>
    <row r="84" spans="2:5" ht="20" customHeight="1" x14ac:dyDescent="0.2">
      <c r="B84" s="492" t="s">
        <v>834</v>
      </c>
      <c r="C84" s="493"/>
      <c r="D84" s="493"/>
      <c r="E84" s="494"/>
    </row>
    <row r="85" spans="2:5" ht="20" customHeight="1" x14ac:dyDescent="0.2">
      <c r="B85" s="207" t="s">
        <v>261</v>
      </c>
      <c r="C85" s="207" t="s">
        <v>262</v>
      </c>
      <c r="D85" s="239" t="s">
        <v>19</v>
      </c>
      <c r="E85" s="207" t="s">
        <v>20</v>
      </c>
    </row>
    <row r="86" spans="2:5" ht="20" customHeight="1" x14ac:dyDescent="0.2">
      <c r="B86" s="4" t="s">
        <v>1448</v>
      </c>
      <c r="C86" s="80" t="str">
        <f>IF(cluster_wld_domain_chosen&lt;&gt;"MGMT Workload Domain",CONCATENATE(this_instance,"-w0",wld_domain_number_chosen,"-r02","-vsan-fault-domain"),CONCATENATE(this_instance,"-m01","-r02","-vsan-fault-domain"))</f>
        <v>sfo-w01-r02-vsan-fault-domain</v>
      </c>
      <c r="D86" s="347"/>
      <c r="E86" s="337"/>
    </row>
    <row r="87" spans="2:5" ht="16" customHeight="1" x14ac:dyDescent="0.2"/>
    <row r="88" spans="2:5" ht="34" customHeight="1" x14ac:dyDescent="0.2">
      <c r="B88" s="522" t="s">
        <v>2939</v>
      </c>
      <c r="C88" s="523"/>
      <c r="D88" s="523"/>
      <c r="E88" s="524"/>
    </row>
    <row r="89" spans="2:5" ht="20" customHeight="1" x14ac:dyDescent="0.2">
      <c r="B89" s="43" t="s">
        <v>261</v>
      </c>
      <c r="C89" s="43" t="s">
        <v>262</v>
      </c>
      <c r="D89" s="130" t="s">
        <v>19</v>
      </c>
      <c r="E89" s="43" t="s">
        <v>20</v>
      </c>
    </row>
    <row r="90" spans="2:5" ht="20" customHeight="1" x14ac:dyDescent="0.2">
      <c r="B90" s="492" t="s">
        <v>938</v>
      </c>
      <c r="C90" s="493"/>
      <c r="D90" s="493"/>
      <c r="E90" s="494"/>
    </row>
    <row r="91" spans="2:5" ht="20" customHeight="1" x14ac:dyDescent="0.2">
      <c r="B91" s="4" t="s">
        <v>85</v>
      </c>
      <c r="C91" s="362" t="str">
        <f>IF(cluster_wld_domain_chosen&lt;&gt;"MGMT Workload Domain",CONCATENATE(prefix_wld_az1_rack_vlan,"25"),CONCATENATE(prefix_mgmt_az1_vlan,"25"))</f>
        <v>1325</v>
      </c>
      <c r="D91" s="347"/>
      <c r="E91" s="93"/>
    </row>
    <row r="92" spans="2:5" ht="20" customHeight="1" x14ac:dyDescent="0.2">
      <c r="B92" s="4" t="s">
        <v>160</v>
      </c>
      <c r="C92" s="362">
        <v>9000</v>
      </c>
      <c r="D92" s="347"/>
      <c r="E92" s="32"/>
    </row>
    <row r="93" spans="2:5" ht="20" customHeight="1" x14ac:dyDescent="0.2">
      <c r="B93" s="4" t="s">
        <v>188</v>
      </c>
      <c r="C93" s="362" t="str">
        <f>IF(cluster_wld_domain_chosen&lt;&gt;"MGMT Workload Domain",CONCATENATE(prefix_wld_az1_rack_cidr,"25.0"),CONCATENATE(prefix_mgmt_az1_cidr,"25.0"))</f>
        <v>10.13.25.0</v>
      </c>
      <c r="D93" s="347"/>
      <c r="E93" s="32"/>
    </row>
    <row r="94" spans="2:5" ht="20" customHeight="1" x14ac:dyDescent="0.2">
      <c r="B94" s="4" t="s">
        <v>285</v>
      </c>
      <c r="C94" s="126" t="s">
        <v>128</v>
      </c>
      <c r="D94" s="347"/>
      <c r="E94" s="32"/>
    </row>
    <row r="95" spans="2:5" ht="20" customHeight="1" x14ac:dyDescent="0.2">
      <c r="B95" s="4" t="s">
        <v>187</v>
      </c>
      <c r="C95" s="362" t="str">
        <f>IF(cluster_wld_domain_chosen&lt;&gt;"MGMT Workload Domain",CONCATENATE(prefix_wld_az1_rack_cidr,"25.1"),CONCATENATE(prefix_mgmt_az1_cidr,"25.1"))</f>
        <v>10.13.25.1</v>
      </c>
      <c r="D95" s="347"/>
      <c r="E95" s="32"/>
    </row>
    <row r="96" spans="2:5" ht="20" customHeight="1" x14ac:dyDescent="0.2">
      <c r="B96" s="17" t="s">
        <v>255</v>
      </c>
      <c r="C96" s="362" t="str">
        <f>IF(cluster_wld_domain_chosen&lt;&gt;"MGMT Workload Domain",CONCATENATE(prefix_wld_az1_rack_cidr,"25.101"),CONCATENATE(prefix_mgmt_az1_cidr,"25.101"))</f>
        <v>10.13.25.101</v>
      </c>
      <c r="D96" s="347"/>
      <c r="E96" s="100" t="s">
        <v>2940</v>
      </c>
    </row>
    <row r="97" spans="2:5" ht="20" customHeight="1" x14ac:dyDescent="0.2">
      <c r="B97" s="17" t="s">
        <v>256</v>
      </c>
      <c r="C97" s="362" t="str">
        <f>IF(cluster_wld_domain_chosen&lt;&gt;"MGMT Workload Domain",CONCATENATE(prefix_wld_az1_rack_cidr,"25.116"),CONCATENATE(prefix_mgmt_az1_cidr,"25.116"))</f>
        <v>10.13.25.116</v>
      </c>
      <c r="D97" s="347"/>
      <c r="E97" s="100" t="s">
        <v>2941</v>
      </c>
    </row>
    <row r="98" spans="2:5" ht="16" customHeight="1" x14ac:dyDescent="0.2">
      <c r="B98" s="6"/>
      <c r="C98" s="7"/>
      <c r="D98" s="1"/>
      <c r="E98" s="2"/>
    </row>
    <row r="99" spans="2:5" ht="34" customHeight="1" x14ac:dyDescent="0.2">
      <c r="B99" s="522" t="s">
        <v>2942</v>
      </c>
      <c r="C99" s="523"/>
      <c r="D99" s="523"/>
      <c r="E99" s="524"/>
    </row>
    <row r="100" spans="2:5" ht="20" customHeight="1" x14ac:dyDescent="0.2">
      <c r="B100" s="43" t="s">
        <v>261</v>
      </c>
      <c r="C100" s="43" t="s">
        <v>262</v>
      </c>
      <c r="D100" s="130" t="s">
        <v>19</v>
      </c>
      <c r="E100" s="43" t="s">
        <v>263</v>
      </c>
    </row>
    <row r="101" spans="2:5" ht="20" customHeight="1" x14ac:dyDescent="0.2">
      <c r="B101" s="492" t="s">
        <v>213</v>
      </c>
      <c r="C101" s="493"/>
      <c r="D101" s="493"/>
      <c r="E101" s="494"/>
    </row>
    <row r="102" spans="2:5" ht="20" customHeight="1" x14ac:dyDescent="0.2">
      <c r="B102" s="4" t="s">
        <v>85</v>
      </c>
      <c r="C102" s="89" t="str">
        <f>IF(cluster_wld_domain_chosen&lt;&gt;"MGMT Workload Domain",CONCATENATE(prefix_wld_az1_rack_vlan,"33"),CONCATENATE(prefix_mgmt_az1_vlan,"33"))</f>
        <v>1333</v>
      </c>
      <c r="D102" s="347"/>
      <c r="E102" s="93"/>
    </row>
    <row r="103" spans="2:5" ht="20" customHeight="1" x14ac:dyDescent="0.2">
      <c r="B103" s="4" t="s">
        <v>187</v>
      </c>
      <c r="C103" s="89" t="str">
        <f>IF(cluster_wld_domain_chosen&lt;&gt;"MGMT Workload Domain",CONCATENATE(prefix_wld_az1_rack_cidr,"33.1"),CONCATENATE(prefix_mgmt_az1_cidr,"33.1"))</f>
        <v>10.13.33.1</v>
      </c>
      <c r="D103" s="347"/>
      <c r="E103" s="32"/>
    </row>
    <row r="104" spans="2:5" ht="20" customHeight="1" x14ac:dyDescent="0.2">
      <c r="B104" s="4" t="s">
        <v>188</v>
      </c>
      <c r="C104" s="89" t="str">
        <f>IF(cluster_wld_domain_chosen&lt;&gt;"MGMT Workload Domain",CONCATENATE(prefix_wld_az1_rack_cidr,"33.0/24"),CONCATENATE(prefix_mgmt_az1_cidr,"33.0/24"))</f>
        <v>10.13.33.0/24</v>
      </c>
      <c r="D104" s="347"/>
      <c r="E104" s="32"/>
    </row>
    <row r="105" spans="2:5" ht="20" customHeight="1" x14ac:dyDescent="0.2">
      <c r="B105" s="4" t="s">
        <v>160</v>
      </c>
      <c r="C105" s="89">
        <v>1500</v>
      </c>
      <c r="D105" s="347"/>
      <c r="E105" s="32"/>
    </row>
    <row r="106" spans="2:5" ht="20" customHeight="1" x14ac:dyDescent="0.2">
      <c r="B106" s="535" t="s">
        <v>214</v>
      </c>
      <c r="C106" s="536"/>
      <c r="D106" s="536"/>
      <c r="E106" s="537"/>
    </row>
    <row r="107" spans="2:5" ht="20" customHeight="1" x14ac:dyDescent="0.2">
      <c r="B107" s="17" t="s">
        <v>215</v>
      </c>
      <c r="C107" s="89" t="str">
        <f>IF(cluster_wld_domain_chosen&lt;&gt;"MGMT Workload Domain",CONCATENATE(prefix_wld_az1_rack_cidr,"33.101"),CONCATENATE(prefix_mgmt_az1_cidr,"33.101"))</f>
        <v>10.13.33.101</v>
      </c>
      <c r="D107" s="347"/>
      <c r="E107" s="100" t="s">
        <v>216</v>
      </c>
    </row>
    <row r="108" spans="2:5" ht="20" customHeight="1" x14ac:dyDescent="0.2">
      <c r="B108" s="17" t="s">
        <v>217</v>
      </c>
      <c r="C108" s="89" t="str">
        <f>IF(cluster_wld_domain_chosen&lt;&gt;"MGMT Workload Domain",CONCATENATE(prefix_wld_az1_rack_cidr,"33.102"),CONCATENATE(prefix_mgmt_az1_cidr,"33.102"))</f>
        <v>10.13.33.102</v>
      </c>
      <c r="D108" s="347"/>
      <c r="E108" s="100" t="s">
        <v>218</v>
      </c>
    </row>
    <row r="109" spans="2:5" ht="20" customHeight="1" x14ac:dyDescent="0.2">
      <c r="B109" s="17" t="s">
        <v>219</v>
      </c>
      <c r="C109" s="89" t="str">
        <f>IF(cluster_wld_domain_chosen&lt;&gt;"MGMT Workload Domain",CONCATENATE(prefix_wld_az1_rack_cidr,"33.103"),CONCATENATE(prefix_mgmt_az1_cidr,"33.103"))</f>
        <v>10.13.33.103</v>
      </c>
      <c r="D109" s="347"/>
      <c r="E109" s="100" t="s">
        <v>220</v>
      </c>
    </row>
    <row r="110" spans="2:5" ht="20" customHeight="1" x14ac:dyDescent="0.2">
      <c r="B110" s="17" t="s">
        <v>221</v>
      </c>
      <c r="C110" s="89" t="str">
        <f>IF(cluster_wld_domain_chosen&lt;&gt;"MGMT Workload Domain",CONCATENATE(prefix_wld_az1_rack_cidr,"33.104"),CONCATENATE(prefix_mgmt_az1_cidr,"33.104"))</f>
        <v>10.13.33.104</v>
      </c>
      <c r="D110" s="347"/>
      <c r="E110" s="100" t="s">
        <v>222</v>
      </c>
    </row>
    <row r="111" spans="2:5" ht="20" customHeight="1" x14ac:dyDescent="0.2">
      <c r="B111" s="17" t="s">
        <v>223</v>
      </c>
      <c r="C111" s="89" t="str">
        <f>IF(cluster_wld_domain_chosen&lt;&gt;"MGMT Workload Domain",CONCATENATE(prefix_wld_az1_rack_cidr,"33.105"),CONCATENATE(prefix_mgmt_az1_cidr,"33.105"))</f>
        <v>10.13.33.105</v>
      </c>
      <c r="D111" s="347"/>
      <c r="E111" s="100" t="s">
        <v>224</v>
      </c>
    </row>
    <row r="112" spans="2:5" ht="20" customHeight="1" x14ac:dyDescent="0.2">
      <c r="B112" s="17" t="s">
        <v>225</v>
      </c>
      <c r="C112" s="89" t="str">
        <f>IF(cluster_wld_domain_chosen&lt;&gt;"MGMT Workload Domain",CONCATENATE(prefix_wld_az1_rack_cidr,"33.106"),CONCATENATE(prefix_mgmt_az1_cidr,"33.106"))</f>
        <v>10.13.33.106</v>
      </c>
      <c r="D112" s="347"/>
      <c r="E112" s="100" t="s">
        <v>226</v>
      </c>
    </row>
    <row r="113" spans="2:5" ht="20" customHeight="1" x14ac:dyDescent="0.2">
      <c r="B113" s="17" t="s">
        <v>227</v>
      </c>
      <c r="C113" s="89" t="str">
        <f>IF(cluster_wld_domain_chosen&lt;&gt;"MGMT Workload Domain",CONCATENATE(prefix_wld_az1_rack_cidr,"33.107"),CONCATENATE(prefix_mgmt_az1_cidr,"33.107"))</f>
        <v>10.13.33.107</v>
      </c>
      <c r="D113" s="347"/>
      <c r="E113" s="100" t="s">
        <v>228</v>
      </c>
    </row>
    <row r="114" spans="2:5" ht="20" customHeight="1" x14ac:dyDescent="0.2">
      <c r="B114" s="17" t="s">
        <v>229</v>
      </c>
      <c r="C114" s="89" t="str">
        <f>IF(cluster_wld_domain_chosen&lt;&gt;"MGMT Workload Domain",CONCATENATE(prefix_wld_az1_rack_cidr,"33.108"),CONCATENATE(prefix_mgmt_az1_cidr,"33.108"))</f>
        <v>10.13.33.108</v>
      </c>
      <c r="D114" s="347"/>
      <c r="E114" s="100" t="s">
        <v>230</v>
      </c>
    </row>
    <row r="115" spans="2:5" ht="20" customHeight="1" x14ac:dyDescent="0.2">
      <c r="B115" s="17" t="s">
        <v>231</v>
      </c>
      <c r="C115" s="89" t="str">
        <f>IF(cluster_wld_domain_chosen&lt;&gt;"MGMT Workload Domain",CONCATENATE(prefix_wld_az1_rack_cidr,"33.109"),CONCATENATE(prefix_mgmt_az1_cidr,"33.109"))</f>
        <v>10.13.33.109</v>
      </c>
      <c r="D115" s="347"/>
      <c r="E115" s="100" t="s">
        <v>232</v>
      </c>
    </row>
    <row r="116" spans="2:5" ht="20" customHeight="1" x14ac:dyDescent="0.2">
      <c r="B116" s="17" t="s">
        <v>233</v>
      </c>
      <c r="C116" s="89" t="str">
        <f>IF(cluster_wld_domain_chosen&lt;&gt;"MGMT Workload Domain",CONCATENATE(prefix_wld_az1_rack_cidr,"33.110"),CONCATENATE(prefix_mgmt_az1_cidr,"33.110"))</f>
        <v>10.13.33.110</v>
      </c>
      <c r="D116" s="347"/>
      <c r="E116" s="100" t="s">
        <v>234</v>
      </c>
    </row>
    <row r="117" spans="2:5" ht="20" customHeight="1" x14ac:dyDescent="0.2">
      <c r="B117" s="17" t="s">
        <v>235</v>
      </c>
      <c r="C117" s="89" t="str">
        <f>IF(cluster_wld_domain_chosen&lt;&gt;"MGMT Workload Domain",CONCATENATE(prefix_wld_az1_rack_cidr,"33.111"),CONCATENATE(prefix_mgmt_az1_cidr,"33.111"))</f>
        <v>10.13.33.111</v>
      </c>
      <c r="D117" s="347"/>
      <c r="E117" s="100" t="s">
        <v>236</v>
      </c>
    </row>
    <row r="118" spans="2:5" ht="20" customHeight="1" x14ac:dyDescent="0.2">
      <c r="B118" s="17" t="s">
        <v>237</v>
      </c>
      <c r="C118" s="89" t="str">
        <f>IF(cluster_wld_domain_chosen&lt;&gt;"MGMT Workload Domain",CONCATENATE(prefix_wld_az1_rack_cidr,"33.112"),CONCATENATE(prefix_mgmt_az1_cidr,"33.112"))</f>
        <v>10.13.33.112</v>
      </c>
      <c r="D118" s="347"/>
      <c r="E118" s="100" t="s">
        <v>238</v>
      </c>
    </row>
    <row r="119" spans="2:5" ht="20" customHeight="1" x14ac:dyDescent="0.2">
      <c r="B119" s="17" t="s">
        <v>239</v>
      </c>
      <c r="C119" s="89" t="str">
        <f>IF(cluster_wld_domain_chosen&lt;&gt;"MGMT Workload Domain",CONCATENATE(prefix_wld_az1_rack_cidr,"33.113"),CONCATENATE(prefix_mgmt_az1_cidr,"33.113"))</f>
        <v>10.13.33.113</v>
      </c>
      <c r="D119" s="347"/>
      <c r="E119" s="100" t="s">
        <v>240</v>
      </c>
    </row>
    <row r="120" spans="2:5" ht="20" customHeight="1" x14ac:dyDescent="0.2">
      <c r="B120" s="17" t="s">
        <v>241</v>
      </c>
      <c r="C120" s="89" t="str">
        <f>IF(cluster_wld_domain_chosen&lt;&gt;"MGMT Workload Domain",CONCATENATE(prefix_wld_az1_rack_cidr,"33.114"),CONCATENATE(prefix_mgmt_az1_cidr,"33.114"))</f>
        <v>10.13.33.114</v>
      </c>
      <c r="D120" s="347"/>
      <c r="E120" s="100" t="s">
        <v>242</v>
      </c>
    </row>
    <row r="121" spans="2:5" ht="20" customHeight="1" x14ac:dyDescent="0.2">
      <c r="B121" s="17" t="s">
        <v>243</v>
      </c>
      <c r="C121" s="89" t="str">
        <f>IF(cluster_wld_domain_chosen&lt;&gt;"MGMT Workload Domain",CONCATENATE(prefix_wld_az1_rack_cidr,"33.115"),CONCATENATE(prefix_mgmt_az1_cidr,"33.115"))</f>
        <v>10.13.33.115</v>
      </c>
      <c r="D121" s="347"/>
      <c r="E121" s="100" t="s">
        <v>244</v>
      </c>
    </row>
    <row r="122" spans="2:5" ht="20" customHeight="1" x14ac:dyDescent="0.2">
      <c r="B122" s="17" t="s">
        <v>245</v>
      </c>
      <c r="C122" s="89" t="str">
        <f>IF(cluster_wld_domain_chosen&lt;&gt;"MGMT Workload Domain",CONCATENATE(prefix_wld_az1_rack_cidr,"33.116"),CONCATENATE(prefix_mgmt_az1_cidr,"33.116"))</f>
        <v>10.13.33.116</v>
      </c>
      <c r="D122" s="347"/>
      <c r="E122" s="100" t="s">
        <v>246</v>
      </c>
    </row>
    <row r="123" spans="2:5" ht="16" customHeight="1" x14ac:dyDescent="0.2">
      <c r="B123" s="8"/>
      <c r="C123" s="8"/>
      <c r="D123" s="8"/>
      <c r="E123" s="8"/>
    </row>
    <row r="124" spans="2:5" ht="34" customHeight="1" x14ac:dyDescent="0.2">
      <c r="B124" s="522" t="s">
        <v>2943</v>
      </c>
      <c r="C124" s="523"/>
      <c r="D124" s="523"/>
      <c r="E124" s="524"/>
    </row>
    <row r="125" spans="2:5" ht="20" customHeight="1" x14ac:dyDescent="0.2">
      <c r="B125" s="43" t="s">
        <v>261</v>
      </c>
      <c r="C125" s="43" t="s">
        <v>262</v>
      </c>
      <c r="D125" s="130" t="s">
        <v>19</v>
      </c>
      <c r="E125" s="43" t="s">
        <v>263</v>
      </c>
    </row>
    <row r="126" spans="2:5" ht="20" customHeight="1" x14ac:dyDescent="0.2">
      <c r="B126" s="4" t="s">
        <v>2929</v>
      </c>
      <c r="C126" s="362" t="s">
        <v>249</v>
      </c>
      <c r="D126" s="127" t="s">
        <v>249</v>
      </c>
      <c r="E126" s="4" t="str">
        <f>IF(wld_az1_rack3_reuse_vcf_networkpool_chosen="Re-use an existing  VCF Network Pool","An exisiting VCF Network Pool will be reused for Host TEP assignment","A new VCF Network Pool will be created")</f>
        <v>A new VCF Network Pool will be created</v>
      </c>
    </row>
    <row r="127" spans="2:5" ht="20" customHeight="1" x14ac:dyDescent="0.2">
      <c r="B127" s="17" t="s">
        <v>250</v>
      </c>
      <c r="C127" s="89" t="str">
        <f>IF(cluster_wld_domain_chosen="VI Workload Domain",CONCATENATE(this_instance,"01-w0",wld_domain_number_chosen,"-r03-network-pool-01"),CONCATENATE(this_instance,"01-m01","-r03-network-pool-01"))</f>
        <v>sfo01-w01-r03-network-pool-01</v>
      </c>
      <c r="D127" s="347"/>
      <c r="E127" s="32"/>
    </row>
    <row r="128" spans="2:5" ht="20" customHeight="1" x14ac:dyDescent="0.2">
      <c r="B128" s="492" t="s">
        <v>251</v>
      </c>
      <c r="C128" s="493"/>
      <c r="D128" s="493"/>
      <c r="E128" s="494"/>
    </row>
    <row r="129" spans="2:5" ht="20" customHeight="1" x14ac:dyDescent="0.2">
      <c r="B129" s="4" t="s">
        <v>85</v>
      </c>
      <c r="C129" s="89" t="str">
        <f>IF(cluster_wld_domain_chosen&lt;&gt;"MGMT Workload Domain",CONCATENATE(prefix_wld_az1_rack_vlan,"34"),CONCATENATE(prefix_mgmt_az1_vlan,"34"))</f>
        <v>1334</v>
      </c>
      <c r="D129" s="347"/>
      <c r="E129" s="93"/>
    </row>
    <row r="130" spans="2:5" ht="20" customHeight="1" x14ac:dyDescent="0.2">
      <c r="B130" s="4" t="s">
        <v>160</v>
      </c>
      <c r="C130" s="89">
        <v>9000</v>
      </c>
      <c r="D130" s="347"/>
      <c r="E130" s="32"/>
    </row>
    <row r="131" spans="2:5" ht="20" customHeight="1" x14ac:dyDescent="0.2">
      <c r="B131" s="4" t="s">
        <v>188</v>
      </c>
      <c r="C131" s="89" t="str">
        <f>IF(cluster_wld_domain_chosen&lt;&gt;"MGMT Workload Domain",CONCATENATE(prefix_wld_az1_rack_cidr,"34.0"),CONCATENATE(prefix_mgmt_az1_cidr,"34.0"))</f>
        <v>10.13.34.0</v>
      </c>
      <c r="D131" s="347"/>
      <c r="E131" s="32"/>
    </row>
    <row r="132" spans="2:5" ht="20" customHeight="1" x14ac:dyDescent="0.2">
      <c r="B132" s="4" t="s">
        <v>285</v>
      </c>
      <c r="C132" s="89" t="s">
        <v>128</v>
      </c>
      <c r="D132" s="347"/>
      <c r="E132" s="32"/>
    </row>
    <row r="133" spans="2:5" ht="20" customHeight="1" x14ac:dyDescent="0.2">
      <c r="B133" s="4" t="s">
        <v>187</v>
      </c>
      <c r="C133" s="89" t="str">
        <f>IF(cluster_wld_domain_chosen&lt;&gt;"MGMT Workload Domain",CONCATENATE(prefix_wld_az1_rack_cidr,"34.1"),CONCATENATE(prefix_mgmt_az1_cidr,"34.1"))</f>
        <v>10.13.34.1</v>
      </c>
      <c r="D133" s="347"/>
      <c r="E133" s="32"/>
    </row>
    <row r="134" spans="2:5" ht="20" customHeight="1" x14ac:dyDescent="0.2">
      <c r="B134" s="17" t="s">
        <v>255</v>
      </c>
      <c r="C134" s="89" t="str">
        <f>IF(cluster_wld_domain_chosen&lt;&gt;"MGMT Workload Domain",CONCATENATE(prefix_wld_az1_rack_cidr,"34.101"),CONCATENATE(prefix_mgmt_az1_cidr,"34.101"))</f>
        <v>10.13.34.101</v>
      </c>
      <c r="D134" s="347"/>
      <c r="E134" s="100" t="s">
        <v>2930</v>
      </c>
    </row>
    <row r="135" spans="2:5" ht="20" customHeight="1" x14ac:dyDescent="0.2">
      <c r="B135" s="17" t="s">
        <v>256</v>
      </c>
      <c r="C135" s="89" t="str">
        <f>IF(cluster_wld_domain_chosen&lt;&gt;"MGMT Workload Domain",CONCATENATE(prefix_wld_az1_rack_cidr,"34.116"),CONCATENATE(prefix_mgmt_az1_cidr,"34.116"))</f>
        <v>10.13.34.116</v>
      </c>
      <c r="D135" s="347"/>
      <c r="E135" s="100" t="s">
        <v>2931</v>
      </c>
    </row>
    <row r="136" spans="2:5" ht="20" customHeight="1" x14ac:dyDescent="0.2">
      <c r="B136" s="492" t="s">
        <v>257</v>
      </c>
      <c r="C136" s="493"/>
      <c r="D136" s="493"/>
      <c r="E136" s="494"/>
    </row>
    <row r="137" spans="2:5" ht="20" customHeight="1" x14ac:dyDescent="0.2">
      <c r="B137" s="4" t="s">
        <v>85</v>
      </c>
      <c r="C137" s="89" t="str">
        <f>IF(cluster_wld_domain_chosen&lt;&gt;"MGMT Workload Domain",CONCATENATE(prefix_wld_az1_rack_vlan,"35"),CONCATENATE(prefix_mgmt_az1_vlan,"35"))</f>
        <v>1335</v>
      </c>
      <c r="D137" s="347"/>
      <c r="E137" s="32"/>
    </row>
    <row r="138" spans="2:5" ht="20" customHeight="1" x14ac:dyDescent="0.2">
      <c r="B138" s="4" t="s">
        <v>160</v>
      </c>
      <c r="C138" s="89">
        <v>9000</v>
      </c>
      <c r="D138" s="347"/>
      <c r="E138" s="32"/>
    </row>
    <row r="139" spans="2:5" ht="20" customHeight="1" x14ac:dyDescent="0.2">
      <c r="B139" s="4" t="s">
        <v>188</v>
      </c>
      <c r="C139" s="89" t="str">
        <f>IF(cluster_wld_domain_chosen&lt;&gt;"MGMT Workload Domain",CONCATENATE(prefix_wld_az1_rack_cidr,"35.0"),CONCATENATE(prefix_mgmt_az1_cidr,"35.0"))</f>
        <v>10.13.35.0</v>
      </c>
      <c r="D139" s="347"/>
      <c r="E139" s="56"/>
    </row>
    <row r="140" spans="2:5" ht="20" customHeight="1" x14ac:dyDescent="0.2">
      <c r="B140" s="4" t="s">
        <v>285</v>
      </c>
      <c r="C140" s="89" t="s">
        <v>128</v>
      </c>
      <c r="D140" s="347"/>
      <c r="E140" s="32"/>
    </row>
    <row r="141" spans="2:5" ht="20" customHeight="1" x14ac:dyDescent="0.2">
      <c r="B141" s="4" t="s">
        <v>187</v>
      </c>
      <c r="C141" s="89" t="str">
        <f>IF(cluster_wld_domain_chosen&lt;&gt;"MGMT Workload Domain",CONCATENATE(prefix_wld_az1_rack_cidr,"35.1"),CONCATENATE(prefix_mgmt_az1_cidr,"35.1"))</f>
        <v>10.13.35.1</v>
      </c>
      <c r="D141" s="347"/>
      <c r="E141" s="32" t="str">
        <f>IF(AND(mgmt_stretched_cluster_result="Included",mgmt_dpg_reuse_result="Excluded"),"Stretched L2","")</f>
        <v/>
      </c>
    </row>
    <row r="142" spans="2:5" ht="20" customHeight="1" x14ac:dyDescent="0.2">
      <c r="B142" s="17" t="s">
        <v>255</v>
      </c>
      <c r="C142" s="89" t="str">
        <f>IF(cluster_wld_domain_chosen&lt;&gt;"MGMT Workload Domain",CONCATENATE(prefix_wld_az1_rack_cidr,"35.101"),CONCATENATE(prefix_mgmt_az1_cidr,"35.101"))</f>
        <v>10.13.35.101</v>
      </c>
      <c r="D142" s="347"/>
      <c r="E142" s="100" t="s">
        <v>2932</v>
      </c>
    </row>
    <row r="143" spans="2:5" ht="20" customHeight="1" x14ac:dyDescent="0.2">
      <c r="B143" s="17" t="s">
        <v>256</v>
      </c>
      <c r="C143" s="89" t="str">
        <f>IF(cluster_wld_domain_chosen&lt;&gt;"MGMT Workload Domain",CONCATENATE(prefix_wld_az1_rack_cidr,"35.116"),CONCATENATE(prefix_mgmt_az1_cidr,"35.116"))</f>
        <v>10.13.35.116</v>
      </c>
      <c r="D143" s="347"/>
      <c r="E143" s="100" t="s">
        <v>2933</v>
      </c>
    </row>
    <row r="144" spans="2:5" ht="16" customHeight="1" x14ac:dyDescent="0.2">
      <c r="B144" s="8"/>
      <c r="C144" s="8"/>
      <c r="D144" s="8"/>
      <c r="E144" s="8"/>
    </row>
    <row r="145" spans="2:5" ht="34" customHeight="1" x14ac:dyDescent="0.2">
      <c r="B145" s="522" t="s">
        <v>2944</v>
      </c>
      <c r="C145" s="523"/>
      <c r="D145" s="523"/>
      <c r="E145" s="524"/>
    </row>
    <row r="146" spans="2:5" ht="20" customHeight="1" x14ac:dyDescent="0.2">
      <c r="B146" s="43" t="s">
        <v>261</v>
      </c>
      <c r="C146" s="43" t="s">
        <v>262</v>
      </c>
      <c r="D146" s="130" t="s">
        <v>19</v>
      </c>
      <c r="E146" s="43" t="s">
        <v>263</v>
      </c>
    </row>
    <row r="147" spans="2:5" ht="20" customHeight="1" x14ac:dyDescent="0.2">
      <c r="B147" s="17" t="s">
        <v>215</v>
      </c>
      <c r="C147" s="89" t="str">
        <f>IF(cluster_wld_domain_chosen&lt;&gt;"MGMT Workload Domain",CONCATENATE(this_instance,"01-w0",wld_domain_number_chosen,"-r03-esx01",".",sample_child_dns_zone),CONCATENATE(this_instance,"01-m01-r03-esx01",".",sample_child_dns_zone))</f>
        <v>sfo01-w01-r03-esx01.sfo.rainpole.io</v>
      </c>
      <c r="D147" s="347"/>
      <c r="E147" s="32"/>
    </row>
    <row r="148" spans="2:5" ht="20" customHeight="1" x14ac:dyDescent="0.2">
      <c r="B148" s="17" t="s">
        <v>217</v>
      </c>
      <c r="C148" s="89" t="str">
        <f>IF(cluster_wld_domain_chosen&lt;&gt;"MGMT Workload Domain",CONCATENATE(this_instance,"01-w0",wld_domain_number_chosen,"-r03-esx02",".",sample_child_dns_zone),CONCATENATE(this_instance,"01-m01-r03-esx02",".",sample_child_dns_zone))</f>
        <v>sfo01-w01-r03-esx02.sfo.rainpole.io</v>
      </c>
      <c r="D148" s="347"/>
      <c r="E148" s="32"/>
    </row>
    <row r="149" spans="2:5" ht="20" customHeight="1" x14ac:dyDescent="0.2">
      <c r="B149" s="17" t="s">
        <v>219</v>
      </c>
      <c r="C149" s="89" t="str">
        <f>IF(cluster_wld_domain_chosen&lt;&gt;"MGMT Workload Domain",CONCATENATE(this_instance,"01-w0",wld_domain_number_chosen,"-r03-esx03",".",sample_child_dns_zone),CONCATENATE(this_instance,"01-m01-r03-esx03",".",sample_child_dns_zone))</f>
        <v>sfo01-w01-r03-esx03.sfo.rainpole.io</v>
      </c>
      <c r="D149" s="347"/>
      <c r="E149" s="32"/>
    </row>
    <row r="150" spans="2:5" ht="20" customHeight="1" x14ac:dyDescent="0.2">
      <c r="B150" s="17" t="s">
        <v>221</v>
      </c>
      <c r="C150" s="89" t="str">
        <f>IF(cluster_wld_domain_chosen&lt;&gt;"MGMT Workload Domain",CONCATENATE(this_instance,"01-w0",wld_domain_number_chosen,"-r03-esx04",".",sample_child_dns_zone),CONCATENATE(this_instance,"01-m01-r03-esx04",".",sample_child_dns_zone))</f>
        <v>sfo01-w01-r03-esx04.sfo.rainpole.io</v>
      </c>
      <c r="D150" s="347"/>
      <c r="E150" s="32"/>
    </row>
    <row r="151" spans="2:5" ht="20" customHeight="1" x14ac:dyDescent="0.2">
      <c r="B151" s="17" t="s">
        <v>223</v>
      </c>
      <c r="C151" s="89" t="str">
        <f>IF(cluster_wld_domain_chosen&lt;&gt;"MGMT Workload Domain",CONCATENATE(this_instance,"01-w0",wld_domain_number_chosen,"-r03-esx05",".",sample_child_dns_zone),CONCATENATE(this_instance,"01-m01-r03-esx05",".",sample_child_dns_zone))</f>
        <v>sfo01-w01-r03-esx05.sfo.rainpole.io</v>
      </c>
      <c r="D151" s="347"/>
      <c r="E151" s="32"/>
    </row>
    <row r="152" spans="2:5" ht="20" customHeight="1" x14ac:dyDescent="0.2">
      <c r="B152" s="17" t="s">
        <v>225</v>
      </c>
      <c r="C152" s="89" t="str">
        <f>IF(cluster_wld_domain_chosen&lt;&gt;"MGMT Workload Domain",CONCATENATE(this_instance,"01-w0",wld_domain_number_chosen,"-r03-esx06",".",sample_child_dns_zone),CONCATENATE(this_instance,"01-m01-r03-esx06",".",sample_child_dns_zone))</f>
        <v>sfo01-w01-r03-esx06.sfo.rainpole.io</v>
      </c>
      <c r="D152" s="347"/>
      <c r="E152" s="32"/>
    </row>
    <row r="153" spans="2:5" ht="20" customHeight="1" x14ac:dyDescent="0.2">
      <c r="B153" s="17" t="s">
        <v>227</v>
      </c>
      <c r="C153" s="89" t="str">
        <f>IF(cluster_wld_domain_chosen&lt;&gt;"MGMT Workload Domain",CONCATENATE(this_instance,"01-w0",wld_domain_number_chosen,"-r03-esx07",".",sample_child_dns_zone),CONCATENATE(this_instance,"01-m01-r03-esx07",".",sample_child_dns_zone))</f>
        <v>sfo01-w01-r03-esx07.sfo.rainpole.io</v>
      </c>
      <c r="D153" s="347"/>
      <c r="E153" s="32"/>
    </row>
    <row r="154" spans="2:5" ht="20" customHeight="1" x14ac:dyDescent="0.2">
      <c r="B154" s="17" t="s">
        <v>229</v>
      </c>
      <c r="C154" s="89" t="str">
        <f>IF(cluster_wld_domain_chosen&lt;&gt;"MGMT Workload Domain",CONCATENATE(this_instance,"01-w0",wld_domain_number_chosen,"-r03-esx08",".",sample_child_dns_zone),CONCATENATE(this_instance,"01-m01-r03-esx08",".",sample_child_dns_zone))</f>
        <v>sfo01-w01-r03-esx08.sfo.rainpole.io</v>
      </c>
      <c r="D154" s="347"/>
      <c r="E154" s="32"/>
    </row>
    <row r="155" spans="2:5" ht="20" customHeight="1" x14ac:dyDescent="0.2">
      <c r="B155" s="17" t="s">
        <v>231</v>
      </c>
      <c r="C155" s="89" t="str">
        <f>IF(cluster_wld_domain_chosen&lt;&gt;"MGMT Workload Domain",CONCATENATE(this_instance,"01-w0",wld_domain_number_chosen,"-r03-esx09",".",sample_child_dns_zone),CONCATENATE(this_instance,"01-m01-r03-esx09",".",sample_child_dns_zone))</f>
        <v>sfo01-w01-r03-esx09.sfo.rainpole.io</v>
      </c>
      <c r="D155" s="347"/>
      <c r="E155" s="32"/>
    </row>
    <row r="156" spans="2:5" ht="20" customHeight="1" x14ac:dyDescent="0.2">
      <c r="B156" s="17" t="s">
        <v>233</v>
      </c>
      <c r="C156" s="89" t="str">
        <f>IF(cluster_wld_domain_chosen&lt;&gt;"MGMT Workload Domain",CONCATENATE(this_instance,"01-w0",wld_domain_number_chosen,"-r03-esx10",".",sample_child_dns_zone),CONCATENATE(this_instance,"01-m01-r03-esx10",".",sample_child_dns_zone))</f>
        <v>sfo01-w01-r03-esx10.sfo.rainpole.io</v>
      </c>
      <c r="D156" s="347"/>
      <c r="E156" s="32"/>
    </row>
    <row r="157" spans="2:5" ht="20" customHeight="1" x14ac:dyDescent="0.2">
      <c r="B157" s="17" t="s">
        <v>235</v>
      </c>
      <c r="C157" s="89" t="str">
        <f>IF(cluster_wld_domain_chosen&lt;&gt;"MGMT Workload Domain",CONCATENATE(this_instance,"01-w0",wld_domain_number_chosen,"-r03-esx11",".",sample_child_dns_zone),CONCATENATE(this_instance,"01-m01-r03-esx11",".",sample_child_dns_zone))</f>
        <v>sfo01-w01-r03-esx11.sfo.rainpole.io</v>
      </c>
      <c r="D157" s="347"/>
      <c r="E157" s="32"/>
    </row>
    <row r="158" spans="2:5" ht="20" customHeight="1" x14ac:dyDescent="0.2">
      <c r="B158" s="17" t="s">
        <v>237</v>
      </c>
      <c r="C158" s="89" t="str">
        <f>IF(cluster_wld_domain_chosen&lt;&gt;"MGMT Workload Domain",CONCATENATE(this_instance,"01-w0",wld_domain_number_chosen,"-r03-esx12",".",sample_child_dns_zone),CONCATENATE(this_instance,"01-m01-r03-esx12",".",sample_child_dns_zone))</f>
        <v>sfo01-w01-r03-esx12.sfo.rainpole.io</v>
      </c>
      <c r="D158" s="347"/>
      <c r="E158" s="32"/>
    </row>
    <row r="159" spans="2:5" ht="20" customHeight="1" x14ac:dyDescent="0.2">
      <c r="B159" s="17" t="s">
        <v>239</v>
      </c>
      <c r="C159" s="89" t="str">
        <f>IF(cluster_wld_domain_chosen&lt;&gt;"MGMT Workload Domain",CONCATENATE(this_instance,"01-w0",wld_domain_number_chosen,"-r03-esx13",".",sample_child_dns_zone),CONCATENATE(this_instance,"01-m01-r03-esx13",".",sample_child_dns_zone))</f>
        <v>sfo01-w01-r03-esx13.sfo.rainpole.io</v>
      </c>
      <c r="D159" s="347"/>
      <c r="E159" s="32"/>
    </row>
    <row r="160" spans="2:5" ht="20" customHeight="1" x14ac:dyDescent="0.2">
      <c r="B160" s="17" t="s">
        <v>241</v>
      </c>
      <c r="C160" s="89" t="str">
        <f>IF(cluster_wld_domain_chosen&lt;&gt;"MGMT Workload Domain",CONCATENATE(this_instance,"01-w0",wld_domain_number_chosen,"-r03-esx14",".",sample_child_dns_zone),CONCATENATE(this_instance,"01-m01-r03-esx14",".",sample_child_dns_zone))</f>
        <v>sfo01-w01-r03-esx14.sfo.rainpole.io</v>
      </c>
      <c r="D160" s="347"/>
      <c r="E160" s="32"/>
    </row>
    <row r="161" spans="2:5" ht="20" customHeight="1" x14ac:dyDescent="0.2">
      <c r="B161" s="17" t="s">
        <v>243</v>
      </c>
      <c r="C161" s="89" t="str">
        <f>IF(cluster_wld_domain_chosen&lt;&gt;"MGMT Workload Domain",CONCATENATE(this_instance,"01-w0",wld_domain_number_chosen,"-r03-esx14",".",sample_child_dns_zone),CONCATENATE(this_instance,"01-m01-r03-esx15",".",sample_child_dns_zone))</f>
        <v>sfo01-w01-r03-esx14.sfo.rainpole.io</v>
      </c>
      <c r="D161" s="347"/>
      <c r="E161" s="32"/>
    </row>
    <row r="162" spans="2:5" ht="20" customHeight="1" x14ac:dyDescent="0.2">
      <c r="B162" s="17" t="s">
        <v>245</v>
      </c>
      <c r="C162" s="89" t="str">
        <f>IF(cluster_wld_domain_chosen&lt;&gt;"MGMT Workload Domain",CONCATENATE(this_instance,"01-w0",wld_domain_number_chosen,"-r03-esx16",".",sample_child_dns_zone),CONCATENATE(this_instance,"01-m01-r03-esx16",".",sample_child_dns_zone))</f>
        <v>sfo01-w01-r03-esx16.sfo.rainpole.io</v>
      </c>
      <c r="D162" s="347"/>
      <c r="E162" s="32"/>
    </row>
    <row r="163" spans="2:5" ht="20" customHeight="1" x14ac:dyDescent="0.2">
      <c r="B163" s="17" t="s">
        <v>264</v>
      </c>
      <c r="C163" s="89" t="s">
        <v>762</v>
      </c>
      <c r="D163" s="337" t="s">
        <v>265</v>
      </c>
      <c r="E163" s="32"/>
    </row>
    <row r="164" spans="2:5" ht="20" customHeight="1" x14ac:dyDescent="0.2">
      <c r="B164" s="17" t="s">
        <v>266</v>
      </c>
      <c r="C164" s="89" t="s">
        <v>267</v>
      </c>
      <c r="D164"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164" s="4"/>
    </row>
    <row r="165" spans="2:5" ht="20" customHeight="1" x14ac:dyDescent="0.2">
      <c r="B165" s="17" t="s">
        <v>268</v>
      </c>
      <c r="C165" s="89" t="s">
        <v>159</v>
      </c>
      <c r="D165" s="337" t="str">
        <f>IF(AND(vcf_granular_option_chosen="Create Cluster",cluster_principal_storage_chosen="vSAN-ESA"),"Selected",
IF(AND(vcf_granular_option_chosen="Create VI Workload Domain",wld_principal_storage_chosen="vSAN-ESA"),"Selected","Unselected"))</f>
        <v>Unselected</v>
      </c>
      <c r="E165" s="32"/>
    </row>
    <row r="166" spans="2:5" ht="20" customHeight="1" x14ac:dyDescent="0.2">
      <c r="B166" s="17" t="s">
        <v>250</v>
      </c>
      <c r="C166" s="89" t="str">
        <f>sample_wld_az1_rack3_pool_name</f>
        <v>sfo01-w01-r03-network-pool-01</v>
      </c>
      <c r="D166" s="337" t="str">
        <f>wld_az1_rack3_pool_name</f>
        <v>Value Missing</v>
      </c>
      <c r="E166" s="32"/>
    </row>
    <row r="167" spans="2:5" ht="20" customHeight="1" x14ac:dyDescent="0.2">
      <c r="B167" s="17" t="s">
        <v>46</v>
      </c>
      <c r="C167" s="89" t="s">
        <v>269</v>
      </c>
      <c r="D167"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167" s="32"/>
    </row>
    <row r="168" spans="2:5" ht="20" customHeight="1" x14ac:dyDescent="0.2">
      <c r="B168" s="17" t="s">
        <v>29</v>
      </c>
      <c r="C168" s="89" t="s">
        <v>30</v>
      </c>
      <c r="D168"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168" s="32"/>
    </row>
    <row r="169" spans="2:5" ht="16" customHeight="1" x14ac:dyDescent="0.2"/>
    <row r="170" spans="2:5" ht="34" customHeight="1" x14ac:dyDescent="0.2">
      <c r="B170" s="522" t="s">
        <v>2945</v>
      </c>
      <c r="C170" s="523"/>
      <c r="D170" s="523"/>
      <c r="E170" s="524"/>
    </row>
    <row r="171" spans="2:5" ht="20" customHeight="1" x14ac:dyDescent="0.2">
      <c r="B171" s="4" t="s">
        <v>337</v>
      </c>
      <c r="C171" s="89" t="str">
        <f>IF(vcf_granular_option_chosen="Create Cluster",CONCATENATE(this_instance,"01-",sample_cluster_name,"-r03-network-profile"),
IF(cluster_wld_domain_chosen="VI Workload Domain",CONCATENATE(this_instance,"01-",sample_wld_cl01_cluster,"-r03-network-profile"),
CONCATENATE(this_instance,"01-",sample_mgmt_cl01_cluster,"-r03-network-profile")))</f>
        <v>sfo01-sfo-w01-cl01-r03-network-profile</v>
      </c>
      <c r="D171" s="240"/>
      <c r="E171" s="80"/>
    </row>
    <row r="172" spans="2:5" ht="20" customHeight="1" x14ac:dyDescent="0.2">
      <c r="B172" s="4" t="s">
        <v>2936</v>
      </c>
      <c r="C172" s="362" t="s">
        <v>339</v>
      </c>
      <c r="D172" s="127" t="s">
        <v>339</v>
      </c>
      <c r="E172" s="280" t="str">
        <f>IF(wld_az1_rack3_host_overlay_new_pool_chosen="Re-use an existing Pool","An exisitng Pool will be reused for Host TEP assignment","A new Pool will be created for Host TEP assignment")</f>
        <v>A new Pool will be created for Host TEP assignment</v>
      </c>
    </row>
    <row r="173" spans="2:5" ht="20" customHeight="1" x14ac:dyDescent="0.2">
      <c r="B173" s="4" t="s">
        <v>340</v>
      </c>
      <c r="C173" s="89" t="str">
        <f>IF(cluster_wld_domain_chosen="VI Workload Domain",CONCATENATE(this_instance,"01-w0",wld_domain_number_chosen,"-r03-ip-pool01-host"),CONCATENATE(this_instance,"01-m01","-r03-ip-pool01-host"))</f>
        <v>sfo01-w01-r03-ip-pool01-host</v>
      </c>
      <c r="D173" s="240"/>
      <c r="E173" s="80"/>
    </row>
    <row r="174" spans="2:5" ht="20" customHeight="1" x14ac:dyDescent="0.2">
      <c r="B174" s="4" t="s">
        <v>341</v>
      </c>
      <c r="C174" s="89" t="str">
        <f>IF(cluster_wld_domain_chosen="VI Workload Domain",CONCATENATE(this_instance,"01-w0",wld_domain_number_chosen,"-r03-uplink-profile01"),CONCATENATE(this_instance,"01-m01","-r03-uplink-profile01"))</f>
        <v>sfo01-w01-r03-uplink-profile01</v>
      </c>
      <c r="D174" s="240"/>
      <c r="E174" s="80"/>
    </row>
    <row r="175" spans="2:5" ht="20" customHeight="1" x14ac:dyDescent="0.2">
      <c r="B175" s="4" t="s">
        <v>2937</v>
      </c>
      <c r="C175" s="89" t="str">
        <f>IF(cluster_wld_domain_chosen="VI Workload Domain",CONCATENATE(this_instance,"01-w0",wld_domain_number_chosen,"-r03-ip-pool02-edge"),CONCATENATE(this_instance,"01-m01","-r03-ip-pool02-edge"))</f>
        <v>sfo01-w01-r03-ip-pool02-edge</v>
      </c>
      <c r="D175" s="240"/>
      <c r="E175" s="80"/>
    </row>
    <row r="176" spans="2:5" ht="20" customHeight="1" x14ac:dyDescent="0.2">
      <c r="B176" s="4" t="s">
        <v>2938</v>
      </c>
      <c r="C176" s="89" t="str">
        <f>IF(cluster_wld_domain_chosen="VI Workload Domain",CONCATENATE(this_instance,"01-w0",wld_domain_number_chosen,"-r03-ip-pool03-rtep"),CONCATENATE(this_instance,"01-m01","-r03-ip-pool03-rtep"))</f>
        <v>sfo01-w01-r03-ip-pool03-rtep</v>
      </c>
      <c r="D176" s="347"/>
      <c r="E176" s="80"/>
    </row>
    <row r="177" spans="2:5" ht="20" customHeight="1" x14ac:dyDescent="0.2">
      <c r="B177" s="492" t="s">
        <v>834</v>
      </c>
      <c r="C177" s="493"/>
      <c r="D177" s="493"/>
      <c r="E177" s="494"/>
    </row>
    <row r="178" spans="2:5" ht="20" customHeight="1" x14ac:dyDescent="0.2">
      <c r="B178" s="207" t="s">
        <v>261</v>
      </c>
      <c r="C178" s="207" t="s">
        <v>262</v>
      </c>
      <c r="D178" s="239" t="s">
        <v>19</v>
      </c>
      <c r="E178" s="207" t="s">
        <v>20</v>
      </c>
    </row>
    <row r="179" spans="2:5" ht="20" customHeight="1" x14ac:dyDescent="0.2">
      <c r="B179" s="4" t="s">
        <v>1448</v>
      </c>
      <c r="C179" s="80" t="str">
        <f>IF(cluster_wld_domain_chosen&lt;&gt;"MGMT Workload Domain",CONCATENATE(this_instance,"-w0",wld_domain_number_chosen,"-r03","-vsan-fault-domain"),CONCATENATE(this_instance,"-m01","-r03","-vsan-fault-domain"))</f>
        <v>sfo-w01-r03-vsan-fault-domain</v>
      </c>
      <c r="D179" s="347"/>
      <c r="E179" s="337"/>
    </row>
    <row r="180" spans="2:5" ht="16" customHeight="1" x14ac:dyDescent="0.2"/>
    <row r="181" spans="2:5" ht="34" customHeight="1" x14ac:dyDescent="0.2">
      <c r="B181" s="522" t="s">
        <v>2946</v>
      </c>
      <c r="C181" s="523"/>
      <c r="D181" s="523"/>
      <c r="E181" s="524"/>
    </row>
    <row r="182" spans="2:5" ht="20" customHeight="1" x14ac:dyDescent="0.2">
      <c r="B182" s="43" t="s">
        <v>261</v>
      </c>
      <c r="C182" s="43" t="s">
        <v>262</v>
      </c>
      <c r="D182" s="130" t="s">
        <v>19</v>
      </c>
      <c r="E182" s="43" t="s">
        <v>20</v>
      </c>
    </row>
    <row r="183" spans="2:5" ht="20" customHeight="1" x14ac:dyDescent="0.2">
      <c r="B183" s="492" t="s">
        <v>938</v>
      </c>
      <c r="C183" s="493"/>
      <c r="D183" s="493"/>
      <c r="E183" s="494"/>
    </row>
    <row r="184" spans="2:5" ht="20" customHeight="1" x14ac:dyDescent="0.2">
      <c r="B184" s="4" t="s">
        <v>85</v>
      </c>
      <c r="C184" s="362" t="str">
        <f>IF(cluster_wld_domain_chosen&lt;&gt;"MGMT Workload Domain",CONCATENATE(prefix_wld_az1_rack_vlan,"36"),CONCATENATE(prefix_mgmt_az1_vlan,"36"))</f>
        <v>1336</v>
      </c>
      <c r="D184" s="347"/>
      <c r="E184" s="93"/>
    </row>
    <row r="185" spans="2:5" ht="20" customHeight="1" x14ac:dyDescent="0.2">
      <c r="B185" s="4" t="s">
        <v>160</v>
      </c>
      <c r="C185" s="362">
        <v>9000</v>
      </c>
      <c r="D185" s="347"/>
      <c r="E185" s="32"/>
    </row>
    <row r="186" spans="2:5" ht="20" customHeight="1" x14ac:dyDescent="0.2">
      <c r="B186" s="4" t="s">
        <v>188</v>
      </c>
      <c r="C186" s="362" t="str">
        <f>IF(cluster_wld_domain_chosen&lt;&gt;"MGMT Workload Domain",CONCATENATE(prefix_wld_az1_rack_cidr,"36.0"),CONCATENATE(prefix_mgmt_az1_cidr,"36.0"))</f>
        <v>10.13.36.0</v>
      </c>
      <c r="D186" s="347"/>
      <c r="E186" s="32"/>
    </row>
    <row r="187" spans="2:5" ht="20" customHeight="1" x14ac:dyDescent="0.2">
      <c r="B187" s="4" t="s">
        <v>285</v>
      </c>
      <c r="C187" s="126" t="s">
        <v>128</v>
      </c>
      <c r="D187" s="347"/>
      <c r="E187" s="32"/>
    </row>
    <row r="188" spans="2:5" ht="20" customHeight="1" x14ac:dyDescent="0.2">
      <c r="B188" s="4" t="s">
        <v>187</v>
      </c>
      <c r="C188" s="362" t="str">
        <f>IF(cluster_wld_domain_chosen&lt;&gt;"MGMT Workload Domain",CONCATENATE(prefix_wld_az1_rack_cidr,"36.1"),CONCATENATE(prefix_mgmt_az1_cidr,"36.1"))</f>
        <v>10.13.36.1</v>
      </c>
      <c r="D188" s="347"/>
      <c r="E188" s="32"/>
    </row>
    <row r="189" spans="2:5" ht="20" customHeight="1" x14ac:dyDescent="0.2">
      <c r="B189" s="17" t="s">
        <v>255</v>
      </c>
      <c r="C189" s="362" t="str">
        <f>IF(cluster_wld_domain_chosen&lt;&gt;"MGMT Workload Domain",CONCATENATE(prefix_wld_az1_rack_cidr,"36.101"),CONCATENATE(prefix_mgmt_az1_cidr,"36.101"))</f>
        <v>10.13.36.101</v>
      </c>
      <c r="D189" s="347"/>
      <c r="E189" s="100" t="s">
        <v>2940</v>
      </c>
    </row>
    <row r="190" spans="2:5" ht="20" customHeight="1" x14ac:dyDescent="0.2">
      <c r="B190" s="17" t="s">
        <v>256</v>
      </c>
      <c r="C190" s="362" t="str">
        <f>IF(cluster_wld_domain_chosen&lt;&gt;"MGMT Workload Domain",CONCATENATE(prefix_wld_az1_rack_cidr,"36.116"),CONCATENATE(prefix_mgmt_az1_cidr,"36.116"))</f>
        <v>10.13.36.116</v>
      </c>
      <c r="D190" s="347"/>
      <c r="E190" s="100" t="s">
        <v>2941</v>
      </c>
    </row>
    <row r="191" spans="2:5" ht="16" customHeight="1" x14ac:dyDescent="0.2"/>
    <row r="192" spans="2:5" ht="34" customHeight="1" x14ac:dyDescent="0.2">
      <c r="B192" s="522" t="s">
        <v>2947</v>
      </c>
      <c r="C192" s="523"/>
      <c r="D192" s="523"/>
      <c r="E192" s="524"/>
    </row>
    <row r="193" spans="2:5" ht="20" customHeight="1" x14ac:dyDescent="0.2">
      <c r="B193" s="43" t="s">
        <v>261</v>
      </c>
      <c r="C193" s="43" t="s">
        <v>262</v>
      </c>
      <c r="D193" s="130" t="s">
        <v>19</v>
      </c>
      <c r="E193" s="43" t="s">
        <v>263</v>
      </c>
    </row>
    <row r="194" spans="2:5" ht="20" customHeight="1" x14ac:dyDescent="0.2">
      <c r="B194" s="492" t="s">
        <v>213</v>
      </c>
      <c r="C194" s="493"/>
      <c r="D194" s="493"/>
      <c r="E194" s="494"/>
    </row>
    <row r="195" spans="2:5" ht="20" customHeight="1" x14ac:dyDescent="0.2">
      <c r="B195" s="4" t="s">
        <v>85</v>
      </c>
      <c r="C195" s="362" t="str">
        <f>IF(cluster_wld_domain_chosen&lt;&gt;"MGMT Workload Domain",CONCATENATE(prefix_wld_az1_rack_vlan,"44"),CONCATENATE(prefix_mgmt_az1_vlan,"44"))</f>
        <v>1344</v>
      </c>
      <c r="D195" s="347"/>
      <c r="E195" s="93"/>
    </row>
    <row r="196" spans="2:5" ht="20" customHeight="1" x14ac:dyDescent="0.2">
      <c r="B196" s="4" t="s">
        <v>187</v>
      </c>
      <c r="C196" s="362" t="str">
        <f>IF(cluster_wld_domain_chosen&lt;&gt;"MGMT Workload Domain",CONCATENATE(prefix_wld_az1_rack_cidr,"44.1"),CONCATENATE(prefix_mgmt_az1_cidr,"44.1"))</f>
        <v>10.13.44.1</v>
      </c>
      <c r="D196" s="347"/>
      <c r="E196" s="32"/>
    </row>
    <row r="197" spans="2:5" ht="20" customHeight="1" x14ac:dyDescent="0.2">
      <c r="B197" s="4" t="s">
        <v>188</v>
      </c>
      <c r="C197" s="362" t="str">
        <f>IF(cluster_wld_domain_chosen&lt;&gt;"MGMT Workload Domain",CONCATENATE(prefix_wld_az1_rack_cidr,"44.0/24"),CONCATENATE(prefix_mgmt_az1_cidr,"44.0/24"))</f>
        <v>10.13.44.0/24</v>
      </c>
      <c r="D197" s="347"/>
      <c r="E197" s="32"/>
    </row>
    <row r="198" spans="2:5" ht="20" customHeight="1" x14ac:dyDescent="0.2">
      <c r="B198" s="4" t="s">
        <v>160</v>
      </c>
      <c r="C198" s="362">
        <v>1500</v>
      </c>
      <c r="D198" s="347"/>
      <c r="E198" s="32"/>
    </row>
    <row r="199" spans="2:5" ht="20" customHeight="1" x14ac:dyDescent="0.2">
      <c r="B199" s="535" t="s">
        <v>214</v>
      </c>
      <c r="C199" s="536"/>
      <c r="D199" s="536"/>
      <c r="E199" s="537"/>
    </row>
    <row r="200" spans="2:5" ht="20" customHeight="1" x14ac:dyDescent="0.2">
      <c r="B200" s="17" t="s">
        <v>215</v>
      </c>
      <c r="C200" s="126" t="str">
        <f>IF(cluster_wld_domain_chosen&lt;&gt;"MGMT Workload Domain",CONCATENATE(prefix_wld_az1_rack_cidr,"44.101"),CONCATENATE(prefix_mgmt_az1_cidr,"44.101"))</f>
        <v>10.13.44.101</v>
      </c>
      <c r="D200" s="347"/>
      <c r="E200" s="100" t="s">
        <v>216</v>
      </c>
    </row>
    <row r="201" spans="2:5" ht="20" customHeight="1" x14ac:dyDescent="0.2">
      <c r="B201" s="17" t="s">
        <v>217</v>
      </c>
      <c r="C201" s="126" t="str">
        <f>IF(cluster_wld_domain_chosen&lt;&gt;"MGMT Workload Domain",CONCATENATE(prefix_wld_az1_rack_cidr,"44.102"),CONCATENATE(prefix_mgmt_az1_cidr,"44.102"))</f>
        <v>10.13.44.102</v>
      </c>
      <c r="D201" s="347"/>
      <c r="E201" s="100" t="s">
        <v>218</v>
      </c>
    </row>
    <row r="202" spans="2:5" ht="20" customHeight="1" x14ac:dyDescent="0.2">
      <c r="B202" s="17" t="s">
        <v>219</v>
      </c>
      <c r="C202" s="126" t="str">
        <f>IF(cluster_wld_domain_chosen&lt;&gt;"MGMT Workload Domain",CONCATENATE(prefix_wld_az1_rack_cidr,"44.103"),CONCATENATE(prefix_mgmt_az1_cidr,"44.103"))</f>
        <v>10.13.44.103</v>
      </c>
      <c r="D202" s="347"/>
      <c r="E202" s="100" t="s">
        <v>220</v>
      </c>
    </row>
    <row r="203" spans="2:5" ht="20" customHeight="1" x14ac:dyDescent="0.2">
      <c r="B203" s="17" t="s">
        <v>221</v>
      </c>
      <c r="C203" s="126" t="str">
        <f>IF(cluster_wld_domain_chosen&lt;&gt;"MGMT Workload Domain",CONCATENATE(prefix_wld_az1_rack_cidr,"44.104"),CONCATENATE(prefix_mgmt_az1_cidr,"44.104"))</f>
        <v>10.13.44.104</v>
      </c>
      <c r="D203" s="347"/>
      <c r="E203" s="100" t="s">
        <v>222</v>
      </c>
    </row>
    <row r="204" spans="2:5" ht="20" customHeight="1" x14ac:dyDescent="0.2">
      <c r="B204" s="17" t="s">
        <v>223</v>
      </c>
      <c r="C204" s="126" t="str">
        <f>IF(cluster_wld_domain_chosen&lt;&gt;"MGMT Workload Domain",CONCATENATE(prefix_wld_az1_rack_cidr,"44.105"),CONCATENATE(prefix_mgmt_az1_cidr,"44.105"))</f>
        <v>10.13.44.105</v>
      </c>
      <c r="D204" s="347"/>
      <c r="E204" s="100" t="s">
        <v>224</v>
      </c>
    </row>
    <row r="205" spans="2:5" ht="20" customHeight="1" x14ac:dyDescent="0.2">
      <c r="B205" s="17" t="s">
        <v>225</v>
      </c>
      <c r="C205" s="126" t="str">
        <f>IF(cluster_wld_domain_chosen&lt;&gt;"MGMT Workload Domain",CONCATENATE(prefix_wld_az1_rack_cidr,"44.106"),CONCATENATE(prefix_mgmt_az1_cidr,"44.106"))</f>
        <v>10.13.44.106</v>
      </c>
      <c r="D205" s="347"/>
      <c r="E205" s="100" t="s">
        <v>226</v>
      </c>
    </row>
    <row r="206" spans="2:5" ht="20" customHeight="1" x14ac:dyDescent="0.2">
      <c r="B206" s="17" t="s">
        <v>227</v>
      </c>
      <c r="C206" s="126" t="str">
        <f>IF(cluster_wld_domain_chosen&lt;&gt;"MGMT Workload Domain",CONCATENATE(prefix_wld_az1_rack_cidr,"44.107"),CONCATENATE(prefix_mgmt_az1_cidr,"44.107"))</f>
        <v>10.13.44.107</v>
      </c>
      <c r="D206" s="347"/>
      <c r="E206" s="100" t="s">
        <v>228</v>
      </c>
    </row>
    <row r="207" spans="2:5" ht="20" customHeight="1" x14ac:dyDescent="0.2">
      <c r="B207" s="17" t="s">
        <v>229</v>
      </c>
      <c r="C207" s="126" t="str">
        <f>IF(cluster_wld_domain_chosen&lt;&gt;"MGMT Workload Domain",CONCATENATE(prefix_wld_az1_rack_cidr,"44.108"),CONCATENATE(prefix_mgmt_az1_cidr,"44.108"))</f>
        <v>10.13.44.108</v>
      </c>
      <c r="D207" s="347"/>
      <c r="E207" s="100" t="s">
        <v>230</v>
      </c>
    </row>
    <row r="208" spans="2:5" ht="20" customHeight="1" x14ac:dyDescent="0.2">
      <c r="B208" s="17" t="s">
        <v>231</v>
      </c>
      <c r="C208" s="126" t="str">
        <f>IF(cluster_wld_domain_chosen&lt;&gt;"MGMT Workload Domain",CONCATENATE(prefix_wld_az1_rack_cidr,"44.109"),CONCATENATE(prefix_mgmt_az1_cidr,"44.109"))</f>
        <v>10.13.44.109</v>
      </c>
      <c r="D208" s="347"/>
      <c r="E208" s="100" t="s">
        <v>232</v>
      </c>
    </row>
    <row r="209" spans="2:5" ht="20" customHeight="1" x14ac:dyDescent="0.2">
      <c r="B209" s="17" t="s">
        <v>233</v>
      </c>
      <c r="C209" s="126" t="str">
        <f>IF(cluster_wld_domain_chosen&lt;&gt;"MGMT Workload Domain",CONCATENATE(prefix_wld_az1_rack_cidr,"44.110"),CONCATENATE(prefix_mgmt_az1_cidr,"44.110"))</f>
        <v>10.13.44.110</v>
      </c>
      <c r="D209" s="347"/>
      <c r="E209" s="100" t="s">
        <v>234</v>
      </c>
    </row>
    <row r="210" spans="2:5" ht="20" customHeight="1" x14ac:dyDescent="0.2">
      <c r="B210" s="17" t="s">
        <v>235</v>
      </c>
      <c r="C210" s="126" t="str">
        <f>IF(cluster_wld_domain_chosen&lt;&gt;"MGMT Workload Domain",CONCATENATE(prefix_wld_az1_rack_cidr,"44.111"),CONCATENATE(prefix_mgmt_az1_cidr,"44.111"))</f>
        <v>10.13.44.111</v>
      </c>
      <c r="D210" s="347"/>
      <c r="E210" s="100" t="s">
        <v>236</v>
      </c>
    </row>
    <row r="211" spans="2:5" ht="20" customHeight="1" x14ac:dyDescent="0.2">
      <c r="B211" s="17" t="s">
        <v>237</v>
      </c>
      <c r="C211" s="126" t="str">
        <f>IF(cluster_wld_domain_chosen&lt;&gt;"MGMT Workload Domain",CONCATENATE(prefix_wld_az1_rack_cidr,"44.112"),CONCATENATE(prefix_mgmt_az1_cidr,"44.112"))</f>
        <v>10.13.44.112</v>
      </c>
      <c r="D211" s="347"/>
      <c r="E211" s="100" t="s">
        <v>238</v>
      </c>
    </row>
    <row r="212" spans="2:5" ht="20" customHeight="1" x14ac:dyDescent="0.2">
      <c r="B212" s="17" t="s">
        <v>239</v>
      </c>
      <c r="C212" s="126" t="str">
        <f>IF(cluster_wld_domain_chosen&lt;&gt;"MGMT Workload Domain",CONCATENATE(prefix_wld_az1_rack_cidr,"44.113"),CONCATENATE(prefix_mgmt_az1_cidr,"44.113"))</f>
        <v>10.13.44.113</v>
      </c>
      <c r="D212" s="347"/>
      <c r="E212" s="100" t="s">
        <v>240</v>
      </c>
    </row>
    <row r="213" spans="2:5" ht="20" customHeight="1" x14ac:dyDescent="0.2">
      <c r="B213" s="17" t="s">
        <v>241</v>
      </c>
      <c r="C213" s="126" t="str">
        <f>IF(cluster_wld_domain_chosen&lt;&gt;"MGMT Workload Domain",CONCATENATE(prefix_wld_az1_rack_cidr,"44.114"),CONCATENATE(prefix_mgmt_az1_cidr,"44.114"))</f>
        <v>10.13.44.114</v>
      </c>
      <c r="D213" s="347"/>
      <c r="E213" s="100" t="s">
        <v>242</v>
      </c>
    </row>
    <row r="214" spans="2:5" ht="20" customHeight="1" x14ac:dyDescent="0.2">
      <c r="B214" s="17" t="s">
        <v>243</v>
      </c>
      <c r="C214" s="126" t="str">
        <f>IF(cluster_wld_domain_chosen&lt;&gt;"MGMT Workload Domain",CONCATENATE(prefix_wld_az1_rack_cidr,"44.115"),CONCATENATE(prefix_mgmt_az1_cidr,"44.115"))</f>
        <v>10.13.44.115</v>
      </c>
      <c r="D214" s="347"/>
      <c r="E214" s="100" t="s">
        <v>244</v>
      </c>
    </row>
    <row r="215" spans="2:5" ht="20" customHeight="1" x14ac:dyDescent="0.2">
      <c r="B215" s="17" t="s">
        <v>245</v>
      </c>
      <c r="C215" s="126" t="str">
        <f>IF(cluster_wld_domain_chosen&lt;&gt;"MGMT Workload Domain",CONCATENATE(prefix_wld_az1_rack_cidr,"44.116"),CONCATENATE(prefix_mgmt_az1_cidr,"44.116"))</f>
        <v>10.13.44.116</v>
      </c>
      <c r="D215" s="347"/>
      <c r="E215" s="100" t="s">
        <v>246</v>
      </c>
    </row>
    <row r="216" spans="2:5" ht="16" customHeight="1" x14ac:dyDescent="0.2">
      <c r="B216" s="8"/>
      <c r="C216" s="8"/>
      <c r="D216" s="8"/>
      <c r="E216" s="8"/>
    </row>
    <row r="217" spans="2:5" ht="34" customHeight="1" x14ac:dyDescent="0.2">
      <c r="B217" s="522" t="s">
        <v>2948</v>
      </c>
      <c r="C217" s="523"/>
      <c r="D217" s="523"/>
      <c r="E217" s="524"/>
    </row>
    <row r="218" spans="2:5" ht="20" customHeight="1" x14ac:dyDescent="0.2">
      <c r="B218" s="43" t="s">
        <v>261</v>
      </c>
      <c r="C218" s="43" t="s">
        <v>262</v>
      </c>
      <c r="D218" s="130" t="s">
        <v>19</v>
      </c>
      <c r="E218" s="43" t="s">
        <v>263</v>
      </c>
    </row>
    <row r="219" spans="2:5" ht="20" customHeight="1" x14ac:dyDescent="0.2">
      <c r="B219" s="4" t="s">
        <v>2929</v>
      </c>
      <c r="C219" s="362" t="s">
        <v>249</v>
      </c>
      <c r="D219" s="127" t="s">
        <v>249</v>
      </c>
      <c r="E219" s="4" t="str">
        <f>IF(wld_az1_rack4_reuse_vcf_networkpool_chosen="Re-use an existing  VCF Network Pool","An exisiting VCF Network Pool will be reused for Host TEP assignment","A new VCF Network Pool will be created")</f>
        <v>A new VCF Network Pool will be created</v>
      </c>
    </row>
    <row r="220" spans="2:5" ht="20" customHeight="1" x14ac:dyDescent="0.2">
      <c r="B220" s="17" t="s">
        <v>250</v>
      </c>
      <c r="C220" s="89" t="str">
        <f>IF(cluster_wld_domain_chosen="VI Workload Domain",CONCATENATE(this_instance,"01-w0",wld_domain_number_chosen,"-r04-network-pool-01"),CONCATENATE(this_instance,"01-m01","-r04-network-pool-01"))</f>
        <v>sfo01-w01-r04-network-pool-01</v>
      </c>
      <c r="D220" s="347"/>
      <c r="E220" s="32"/>
    </row>
    <row r="221" spans="2:5" ht="20" customHeight="1" x14ac:dyDescent="0.2">
      <c r="B221" s="492" t="s">
        <v>251</v>
      </c>
      <c r="C221" s="493"/>
      <c r="D221" s="493"/>
      <c r="E221" s="494"/>
    </row>
    <row r="222" spans="2:5" ht="20" customHeight="1" x14ac:dyDescent="0.2">
      <c r="B222" s="4" t="s">
        <v>85</v>
      </c>
      <c r="C222" s="362" t="str">
        <f>IF(cluster_wld_domain_chosen&lt;&gt;"MGMT Workload Domain",CONCATENATE(prefix_wld_az1_rack_vlan,"45"),CONCATENATE(prefix_mgmt_az1_vlan,"45"))</f>
        <v>1345</v>
      </c>
      <c r="D222" s="347"/>
      <c r="E222" s="93"/>
    </row>
    <row r="223" spans="2:5" ht="20" customHeight="1" x14ac:dyDescent="0.2">
      <c r="B223" s="4" t="s">
        <v>160</v>
      </c>
      <c r="C223" s="362">
        <v>9000</v>
      </c>
      <c r="D223" s="347"/>
      <c r="E223" s="32"/>
    </row>
    <row r="224" spans="2:5" ht="20" customHeight="1" x14ac:dyDescent="0.2">
      <c r="B224" s="4" t="s">
        <v>188</v>
      </c>
      <c r="C224" s="126" t="str">
        <f>IF(cluster_wld_domain_chosen&lt;&gt;"MGMT Workload Domain",CONCATENATE(prefix_wld_az1_rack_cidr,"45.0"),CONCATENATE(prefix_mgmt_az1_cidr,"45.0"))</f>
        <v>10.13.45.0</v>
      </c>
      <c r="D224" s="347"/>
      <c r="E224" s="32"/>
    </row>
    <row r="225" spans="2:5" ht="20" customHeight="1" x14ac:dyDescent="0.2">
      <c r="B225" s="4" t="s">
        <v>285</v>
      </c>
      <c r="C225" s="126" t="s">
        <v>128</v>
      </c>
      <c r="D225" s="347"/>
      <c r="E225" s="32"/>
    </row>
    <row r="226" spans="2:5" ht="20" customHeight="1" x14ac:dyDescent="0.2">
      <c r="B226" s="4" t="s">
        <v>187</v>
      </c>
      <c r="C226" s="362" t="str">
        <f>IF(cluster_wld_domain_chosen&lt;&gt;"MGMT Workload Domain",CONCATENATE(prefix_wld_az1_rack_cidr,"45.1"),CONCATENATE(prefix_mgmt_az1_cidr,"45.1"))</f>
        <v>10.13.45.1</v>
      </c>
      <c r="D226" s="347"/>
      <c r="E226" s="32"/>
    </row>
    <row r="227" spans="2:5" ht="20" customHeight="1" x14ac:dyDescent="0.2">
      <c r="B227" s="17" t="s">
        <v>255</v>
      </c>
      <c r="C227" s="362" t="str">
        <f>IF(cluster_wld_domain_chosen&lt;&gt;"MGMT Workload Domain",CONCATENATE(prefix_wld_az1_rack_cidr,"45.101"),CONCATENATE(prefix_mgmt_az1_cidr,"45.101"))</f>
        <v>10.13.45.101</v>
      </c>
      <c r="D227" s="347"/>
      <c r="E227" s="100" t="s">
        <v>2949</v>
      </c>
    </row>
    <row r="228" spans="2:5" ht="20" customHeight="1" x14ac:dyDescent="0.2">
      <c r="B228" s="17" t="s">
        <v>256</v>
      </c>
      <c r="C228" s="362" t="str">
        <f>IF(cluster_wld_domain_chosen&lt;&gt;"MGMT Workload Domain",CONCATENATE(prefix_wld_az1_rack_cidr,"45.116"),CONCATENATE(prefix_mgmt_az1_cidr,"45.116"))</f>
        <v>10.13.45.116</v>
      </c>
      <c r="D228" s="347"/>
      <c r="E228" s="100" t="s">
        <v>2950</v>
      </c>
    </row>
    <row r="229" spans="2:5" ht="20" customHeight="1" x14ac:dyDescent="0.2">
      <c r="B229" s="492" t="s">
        <v>257</v>
      </c>
      <c r="C229" s="493"/>
      <c r="D229" s="493"/>
      <c r="E229" s="494"/>
    </row>
    <row r="230" spans="2:5" ht="20" customHeight="1" x14ac:dyDescent="0.2">
      <c r="B230" s="4" t="s">
        <v>85</v>
      </c>
      <c r="C230" s="362" t="str">
        <f>IF(cluster_wld_domain_chosen&lt;&gt;"MGMT Workload Domain",CONCATENATE(prefix_wld_az1_rack_vlan,"46"),CONCATENATE(prefix_mgmt_az1_vlan,"46"))</f>
        <v>1346</v>
      </c>
      <c r="D230" s="347"/>
      <c r="E230" s="32"/>
    </row>
    <row r="231" spans="2:5" ht="20" customHeight="1" x14ac:dyDescent="0.2">
      <c r="B231" s="4" t="s">
        <v>160</v>
      </c>
      <c r="C231" s="362">
        <v>9000</v>
      </c>
      <c r="D231" s="347"/>
      <c r="E231" s="32"/>
    </row>
    <row r="232" spans="2:5" ht="20" customHeight="1" x14ac:dyDescent="0.2">
      <c r="B232" s="4" t="s">
        <v>188</v>
      </c>
      <c r="C232" s="126" t="str">
        <f>IF(cluster_wld_domain_chosen&lt;&gt;"MGMT Workload Domain",CONCATENATE(prefix_wld_az1_rack_cidr,"46.0"),CONCATENATE(prefix_mgmt_az1_cidr,"46.0"))</f>
        <v>10.13.46.0</v>
      </c>
      <c r="D232" s="347"/>
      <c r="E232" s="56"/>
    </row>
    <row r="233" spans="2:5" ht="20" customHeight="1" x14ac:dyDescent="0.2">
      <c r="B233" s="4" t="s">
        <v>285</v>
      </c>
      <c r="C233" s="126" t="s">
        <v>128</v>
      </c>
      <c r="D233" s="347"/>
      <c r="E233" s="32"/>
    </row>
    <row r="234" spans="2:5" ht="20" customHeight="1" x14ac:dyDescent="0.2">
      <c r="B234" s="4" t="s">
        <v>187</v>
      </c>
      <c r="C234" s="362" t="str">
        <f>IF(cluster_wld_domain_chosen&lt;&gt;"MGMT Workload Domain",CONCATENATE(prefix_wld_az1_rack_cidr,"46.1"),CONCATENATE(prefix_mgmt_az1_cidr,"46.1"))</f>
        <v>10.13.46.1</v>
      </c>
      <c r="D234" s="347"/>
      <c r="E234" s="32" t="str">
        <f>IF(AND(mgmt_stretched_cluster_result="Included",mgmt_dpg_reuse_result="Excluded"),"Stretched L2","")</f>
        <v/>
      </c>
    </row>
    <row r="235" spans="2:5" ht="20" customHeight="1" x14ac:dyDescent="0.2">
      <c r="B235" s="17" t="s">
        <v>255</v>
      </c>
      <c r="C235" s="362" t="str">
        <f>IF(cluster_wld_domain_chosen&lt;&gt;"MGMT Workload Domain",CONCATENATE(prefix_wld_az1_rack_cidr,"46.101"),CONCATENATE(prefix_mgmt_az1_cidr,"46.101"))</f>
        <v>10.13.46.101</v>
      </c>
      <c r="D235" s="347"/>
      <c r="E235" s="100" t="s">
        <v>2932</v>
      </c>
    </row>
    <row r="236" spans="2:5" ht="20" customHeight="1" x14ac:dyDescent="0.2">
      <c r="B236" s="17" t="s">
        <v>256</v>
      </c>
      <c r="C236" s="362" t="str">
        <f>IF(cluster_wld_domain_chosen&lt;&gt;"MGMT Workload Domain",CONCATENATE(prefix_wld_az1_rack_cidr,"46.116"),CONCATENATE(prefix_mgmt_az1_cidr,"46.116"))</f>
        <v>10.13.46.116</v>
      </c>
      <c r="D236" s="347"/>
      <c r="E236" s="100" t="s">
        <v>2933</v>
      </c>
    </row>
    <row r="237" spans="2:5" ht="16" customHeight="1" x14ac:dyDescent="0.2">
      <c r="B237" s="8"/>
      <c r="C237" s="8"/>
      <c r="D237" s="8"/>
      <c r="E237" s="8"/>
    </row>
    <row r="238" spans="2:5" ht="34" customHeight="1" x14ac:dyDescent="0.2">
      <c r="B238" s="522" t="s">
        <v>2951</v>
      </c>
      <c r="C238" s="523"/>
      <c r="D238" s="523"/>
      <c r="E238" s="524"/>
    </row>
    <row r="239" spans="2:5" ht="20" customHeight="1" x14ac:dyDescent="0.2">
      <c r="B239" s="43" t="s">
        <v>261</v>
      </c>
      <c r="C239" s="43" t="s">
        <v>262</v>
      </c>
      <c r="D239" s="130" t="s">
        <v>19</v>
      </c>
      <c r="E239" s="43" t="s">
        <v>263</v>
      </c>
    </row>
    <row r="240" spans="2:5" ht="20" customHeight="1" x14ac:dyDescent="0.2">
      <c r="B240" s="17" t="s">
        <v>215</v>
      </c>
      <c r="C240" s="126" t="str">
        <f>IF(cluster_wld_domain_chosen&lt;&gt;"MGMT Workload Domain",CONCATENATE(this_instance,"01-w0",wld_domain_number_chosen,"-r04-esx01",".",sample_child_dns_zone),CONCATENATE(this_instance,"01-m01-r04-esx01",".",sample_child_dns_zone))</f>
        <v>sfo01-w01-r04-esx01.sfo.rainpole.io</v>
      </c>
      <c r="D240" s="347"/>
      <c r="E240" s="32"/>
    </row>
    <row r="241" spans="2:5" ht="20" customHeight="1" x14ac:dyDescent="0.2">
      <c r="B241" s="17" t="s">
        <v>217</v>
      </c>
      <c r="C241" s="126" t="str">
        <f>IF(cluster_wld_domain_chosen&lt;&gt;"MGMT Workload Domain",CONCATENATE(this_instance,"01-w0",wld_domain_number_chosen,"-r04-esx02",".",sample_child_dns_zone),CONCATENATE(this_instance,"01-m01-r04-esx02",".",sample_child_dns_zone))</f>
        <v>sfo01-w01-r04-esx02.sfo.rainpole.io</v>
      </c>
      <c r="D241" s="347"/>
      <c r="E241" s="32"/>
    </row>
    <row r="242" spans="2:5" ht="20" customHeight="1" x14ac:dyDescent="0.2">
      <c r="B242" s="17" t="s">
        <v>219</v>
      </c>
      <c r="C242" s="126" t="str">
        <f>IF(cluster_wld_domain_chosen&lt;&gt;"MGMT Workload Domain",CONCATENATE(this_instance,"01-w0",wld_domain_number_chosen,"-r04-esx03",".",sample_child_dns_zone),CONCATENATE(this_instance,"01-m01-r04-esx03",".",sample_child_dns_zone))</f>
        <v>sfo01-w01-r04-esx03.sfo.rainpole.io</v>
      </c>
      <c r="D242" s="347"/>
      <c r="E242" s="32"/>
    </row>
    <row r="243" spans="2:5" ht="20" customHeight="1" x14ac:dyDescent="0.2">
      <c r="B243" s="17" t="s">
        <v>221</v>
      </c>
      <c r="C243" s="126" t="str">
        <f>IF(cluster_wld_domain_chosen&lt;&gt;"MGMT Workload Domain",CONCATENATE(this_instance,"01-w0",wld_domain_number_chosen,"-r04-esx04",".",sample_child_dns_zone),CONCATENATE(this_instance,"01-m01-r04-esx04",".",sample_child_dns_zone))</f>
        <v>sfo01-w01-r04-esx04.sfo.rainpole.io</v>
      </c>
      <c r="D243" s="347"/>
      <c r="E243" s="32"/>
    </row>
    <row r="244" spans="2:5" ht="20" customHeight="1" x14ac:dyDescent="0.2">
      <c r="B244" s="17" t="s">
        <v>223</v>
      </c>
      <c r="C244" s="126" t="str">
        <f>IF(cluster_wld_domain_chosen&lt;&gt;"MGMT Workload Domain",CONCATENATE(this_instance,"01-w0",wld_domain_number_chosen,"-r04-esx05",".",sample_child_dns_zone),CONCATENATE(this_instance,"01-m01-r04-esx05",".",sample_child_dns_zone))</f>
        <v>sfo01-w01-r04-esx05.sfo.rainpole.io</v>
      </c>
      <c r="D244" s="347"/>
      <c r="E244" s="32"/>
    </row>
    <row r="245" spans="2:5" ht="20" customHeight="1" x14ac:dyDescent="0.2">
      <c r="B245" s="17" t="s">
        <v>225</v>
      </c>
      <c r="C245" s="126" t="str">
        <f>IF(cluster_wld_domain_chosen&lt;&gt;"MGMT Workload Domain",CONCATENATE(this_instance,"01-w0",wld_domain_number_chosen,"-r04-esx06",".",sample_child_dns_zone),CONCATENATE(this_instance,"01-m01-r04-esx06",".",sample_child_dns_zone))</f>
        <v>sfo01-w01-r04-esx06.sfo.rainpole.io</v>
      </c>
      <c r="D245" s="347"/>
      <c r="E245" s="32"/>
    </row>
    <row r="246" spans="2:5" ht="20" customHeight="1" x14ac:dyDescent="0.2">
      <c r="B246" s="17" t="s">
        <v>227</v>
      </c>
      <c r="C246" s="126" t="str">
        <f>IF(cluster_wld_domain_chosen&lt;&gt;"MGMT Workload Domain",CONCATENATE(this_instance,"01-w0",wld_domain_number_chosen,"-r04-esx07",".",sample_child_dns_zone),CONCATENATE(this_instance,"01-m01-r04-esx07",".",sample_child_dns_zone))</f>
        <v>sfo01-w01-r04-esx07.sfo.rainpole.io</v>
      </c>
      <c r="D246" s="347"/>
      <c r="E246" s="32"/>
    </row>
    <row r="247" spans="2:5" ht="20" customHeight="1" x14ac:dyDescent="0.2">
      <c r="B247" s="17" t="s">
        <v>229</v>
      </c>
      <c r="C247" s="126" t="str">
        <f>IF(cluster_wld_domain_chosen&lt;&gt;"MGMT Workload Domain",CONCATENATE(this_instance,"01-w0",wld_domain_number_chosen,"-r04-esx08",".",sample_child_dns_zone),CONCATENATE(this_instance,"01-m01-r04-esx08",".",sample_child_dns_zone))</f>
        <v>sfo01-w01-r04-esx08.sfo.rainpole.io</v>
      </c>
      <c r="D247" s="347"/>
      <c r="E247" s="32"/>
    </row>
    <row r="248" spans="2:5" ht="20" customHeight="1" x14ac:dyDescent="0.2">
      <c r="B248" s="17" t="s">
        <v>231</v>
      </c>
      <c r="C248" s="126" t="str">
        <f>IF(cluster_wld_domain_chosen&lt;&gt;"MGMT Workload Domain",CONCATENATE(this_instance,"01-w0",wld_domain_number_chosen,"-r04-esx09",".",sample_child_dns_zone),CONCATENATE(this_instance,"01-m01-r04-esx09",".",sample_child_dns_zone))</f>
        <v>sfo01-w01-r04-esx09.sfo.rainpole.io</v>
      </c>
      <c r="D248" s="347"/>
      <c r="E248" s="32"/>
    </row>
    <row r="249" spans="2:5" ht="20" customHeight="1" x14ac:dyDescent="0.2">
      <c r="B249" s="17" t="s">
        <v>233</v>
      </c>
      <c r="C249" s="126" t="str">
        <f>IF(cluster_wld_domain_chosen&lt;&gt;"MGMT Workload Domain",CONCATENATE(this_instance,"01-w0",wld_domain_number_chosen,"-r04-esx10",".",sample_child_dns_zone),CONCATENATE(this_instance,"01-m01-r04-esx10",".",sample_child_dns_zone))</f>
        <v>sfo01-w01-r04-esx10.sfo.rainpole.io</v>
      </c>
      <c r="D249" s="347"/>
      <c r="E249" s="32"/>
    </row>
    <row r="250" spans="2:5" ht="20" customHeight="1" x14ac:dyDescent="0.2">
      <c r="B250" s="17" t="s">
        <v>235</v>
      </c>
      <c r="C250" s="126" t="str">
        <f>IF(cluster_wld_domain_chosen&lt;&gt;"MGMT Workload Domain",CONCATENATE(this_instance,"01-w0",wld_domain_number_chosen,"-r04-esx11",".",sample_child_dns_zone),CONCATENATE(this_instance,"01-m01-r04-esx11",".",sample_child_dns_zone))</f>
        <v>sfo01-w01-r04-esx11.sfo.rainpole.io</v>
      </c>
      <c r="D250" s="347"/>
      <c r="E250" s="32"/>
    </row>
    <row r="251" spans="2:5" ht="20" customHeight="1" x14ac:dyDescent="0.2">
      <c r="B251" s="17" t="s">
        <v>237</v>
      </c>
      <c r="C251" s="126" t="str">
        <f>IF(cluster_wld_domain_chosen&lt;&gt;"MGMT Workload Domain",CONCATENATE(this_instance,"01-w0",wld_domain_number_chosen,"-r04-esx12",".",sample_child_dns_zone),CONCATENATE(this_instance,"01-m01-r04-esx12",".",sample_child_dns_zone))</f>
        <v>sfo01-w01-r04-esx12.sfo.rainpole.io</v>
      </c>
      <c r="D251" s="347"/>
      <c r="E251" s="32"/>
    </row>
    <row r="252" spans="2:5" ht="20" customHeight="1" x14ac:dyDescent="0.2">
      <c r="B252" s="17" t="s">
        <v>239</v>
      </c>
      <c r="C252" s="126" t="str">
        <f>IF(cluster_wld_domain_chosen&lt;&gt;"MGMT Workload Domain",CONCATENATE(this_instance,"01-w0",wld_domain_number_chosen,"-r04-esx13",".",sample_child_dns_zone),CONCATENATE(this_instance,"01-m01-r04-esx13",".",sample_child_dns_zone))</f>
        <v>sfo01-w01-r04-esx13.sfo.rainpole.io</v>
      </c>
      <c r="D252" s="347"/>
      <c r="E252" s="32"/>
    </row>
    <row r="253" spans="2:5" ht="20" customHeight="1" x14ac:dyDescent="0.2">
      <c r="B253" s="17" t="s">
        <v>241</v>
      </c>
      <c r="C253" s="126" t="str">
        <f>IF(cluster_wld_domain_chosen&lt;&gt;"MGMT Workload Domain",CONCATENATE(this_instance,"01-w0",wld_domain_number_chosen,"-r04-esx14",".",sample_child_dns_zone),CONCATENATE(this_instance,"01-m01-r04-esx14",".",sample_child_dns_zone))</f>
        <v>sfo01-w01-r04-esx14.sfo.rainpole.io</v>
      </c>
      <c r="D253" s="347"/>
      <c r="E253" s="32"/>
    </row>
    <row r="254" spans="2:5" ht="20" customHeight="1" x14ac:dyDescent="0.2">
      <c r="B254" s="17" t="s">
        <v>243</v>
      </c>
      <c r="C254" s="126" t="str">
        <f>IF(cluster_wld_domain_chosen&lt;&gt;"MGMT Workload Domain",CONCATENATE(this_instance,"01-w0",wld_domain_number_chosen,"-r04-esx14",".",sample_child_dns_zone),CONCATENATE(this_instance,"01-m01-r04-esx15",".",sample_child_dns_zone))</f>
        <v>sfo01-w01-r04-esx14.sfo.rainpole.io</v>
      </c>
      <c r="D254" s="347"/>
      <c r="E254" s="32"/>
    </row>
    <row r="255" spans="2:5" ht="20" customHeight="1" x14ac:dyDescent="0.2">
      <c r="B255" s="17" t="s">
        <v>245</v>
      </c>
      <c r="C255" s="126" t="str">
        <f>IF(cluster_wld_domain_chosen&lt;&gt;"MGMT Workload Domain",CONCATENATE(this_instance,"01-w0",wld_domain_number_chosen,"-r04-esx16",".",sample_child_dns_zone),CONCATENATE(this_instance,"01-m01-r04-esx16",".",sample_child_dns_zone))</f>
        <v>sfo01-w01-r04-esx16.sfo.rainpole.io</v>
      </c>
      <c r="D255" s="347"/>
      <c r="E255" s="32"/>
    </row>
    <row r="256" spans="2:5" ht="20" customHeight="1" x14ac:dyDescent="0.2">
      <c r="B256" s="17" t="s">
        <v>264</v>
      </c>
      <c r="C256" s="126" t="s">
        <v>762</v>
      </c>
      <c r="D256" s="337" t="s">
        <v>265</v>
      </c>
      <c r="E256" s="32"/>
    </row>
    <row r="257" spans="2:5" ht="20" customHeight="1" x14ac:dyDescent="0.2">
      <c r="B257" s="17" t="s">
        <v>266</v>
      </c>
      <c r="C257" s="126" t="s">
        <v>267</v>
      </c>
      <c r="D257"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257" s="4"/>
    </row>
    <row r="258" spans="2:5" ht="20" customHeight="1" x14ac:dyDescent="0.2">
      <c r="B258" s="17" t="s">
        <v>268</v>
      </c>
      <c r="C258" s="126" t="s">
        <v>159</v>
      </c>
      <c r="D258" s="337" t="str">
        <f>IF(AND(vcf_granular_option_chosen="Create Cluster",cluster_principal_storage_chosen="vSAN-ESA"),"Selected",
IF(AND(vcf_granular_option_chosen="Create VI Workload Domain",wld_principal_storage_chosen="vSAN-ESA"),"Selected","Unselected"))</f>
        <v>Unselected</v>
      </c>
      <c r="E258" s="32"/>
    </row>
    <row r="259" spans="2:5" ht="20" customHeight="1" x14ac:dyDescent="0.2">
      <c r="B259" s="17" t="s">
        <v>250</v>
      </c>
      <c r="C259" s="126" t="str">
        <f>sample_wld_az1_rack4_pool_name</f>
        <v>sfo01-w01-r04-network-pool-01</v>
      </c>
      <c r="D259" s="337" t="str">
        <f>wld_az1_rack4_pool_name</f>
        <v>Value Missing</v>
      </c>
      <c r="E259" s="32"/>
    </row>
    <row r="260" spans="2:5" ht="20" customHeight="1" x14ac:dyDescent="0.2">
      <c r="B260" s="17" t="s">
        <v>46</v>
      </c>
      <c r="C260" s="126" t="s">
        <v>269</v>
      </c>
      <c r="D260"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260" s="32"/>
    </row>
    <row r="261" spans="2:5" ht="20" customHeight="1" x14ac:dyDescent="0.2">
      <c r="B261" s="17" t="s">
        <v>29</v>
      </c>
      <c r="C261" s="126" t="s">
        <v>30</v>
      </c>
      <c r="D261"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261" s="32"/>
    </row>
    <row r="262" spans="2:5" ht="16" customHeight="1" x14ac:dyDescent="0.2"/>
    <row r="263" spans="2:5" ht="34" customHeight="1" x14ac:dyDescent="0.2">
      <c r="B263" s="522" t="s">
        <v>2952</v>
      </c>
      <c r="C263" s="523"/>
      <c r="D263" s="523"/>
      <c r="E263" s="524"/>
    </row>
    <row r="264" spans="2:5" ht="20" customHeight="1" x14ac:dyDescent="0.2">
      <c r="B264" s="4" t="s">
        <v>337</v>
      </c>
      <c r="C264" s="89" t="str">
        <f>IF(vcf_granular_option_chosen="Create Cluster",CONCATENATE(this_instance,"01-",sample_cluster_name,"-r04-network-profile"),
IF(cluster_wld_domain_chosen="VI Workload Domain",CONCATENATE(this_instance,"01-",sample_wld_cl01_cluster,"-r04-network-profile"),
CONCATENATE(this_instance,"01-",sample_mgmt_cl01_cluster,"-r04-network-profile")))</f>
        <v>sfo01-sfo-w01-cl01-r04-network-profile</v>
      </c>
      <c r="D264" s="347"/>
      <c r="E264" s="80"/>
    </row>
    <row r="265" spans="2:5" ht="20" customHeight="1" x14ac:dyDescent="0.2">
      <c r="B265" s="4" t="s">
        <v>2936</v>
      </c>
      <c r="C265" s="362" t="s">
        <v>339</v>
      </c>
      <c r="D265" s="127" t="s">
        <v>339</v>
      </c>
      <c r="E265" s="4" t="str">
        <f>IF(wld_az1_rack4_host_overlay_new_pool_chosen="Re-use an existing Pool","An exisitng Pool will be reused for Host TEP assignment","A new Pool will be created for Host TEP assignment")</f>
        <v>A new Pool will be created for Host TEP assignment</v>
      </c>
    </row>
    <row r="266" spans="2:5" ht="20" customHeight="1" x14ac:dyDescent="0.2">
      <c r="B266" s="4" t="s">
        <v>340</v>
      </c>
      <c r="C266" s="89" t="str">
        <f>IF(cluster_wld_domain_chosen="VI Workload Domain",CONCATENATE(this_instance,"01-w0",wld_domain_number_chosen,"-r04-ip-pool01-host"),CONCATENATE(this_instance,"01-m01","-r04-ip-pool01-host"))</f>
        <v>sfo01-w01-r04-ip-pool01-host</v>
      </c>
      <c r="D266" s="347"/>
      <c r="E266" s="80"/>
    </row>
    <row r="267" spans="2:5" ht="20" customHeight="1" x14ac:dyDescent="0.2">
      <c r="B267" s="4" t="s">
        <v>341</v>
      </c>
      <c r="C267" s="89" t="str">
        <f>IF(cluster_wld_domain_chosen="VI Workload Domain",CONCATENATE(this_instance,"01-w0",wld_domain_number_chosen,"-r04-uplink-profile01"),CONCATENATE(this_instance,"01-m01","-r04-uplink-profile01"))</f>
        <v>sfo01-w01-r04-uplink-profile01</v>
      </c>
      <c r="D267" s="347"/>
      <c r="E267" s="80"/>
    </row>
    <row r="268" spans="2:5" ht="20" customHeight="1" x14ac:dyDescent="0.2">
      <c r="B268" s="4" t="s">
        <v>2937</v>
      </c>
      <c r="C268" s="89" t="str">
        <f>IF(cluster_wld_domain_chosen="VI Workload Domain",CONCATENATE(this_instance,"01-w0",wld_domain_number_chosen,"-r04-ip-pool02-edge"),CONCATENATE(this_instance,"01-m01","-r04-ip-pool02-edge"))</f>
        <v>sfo01-w01-r04-ip-pool02-edge</v>
      </c>
      <c r="D268" s="347"/>
      <c r="E268" s="80"/>
    </row>
    <row r="269" spans="2:5" ht="20" customHeight="1" x14ac:dyDescent="0.2">
      <c r="B269" s="4" t="s">
        <v>2938</v>
      </c>
      <c r="C269" s="89" t="str">
        <f>IF(cluster_wld_domain_chosen="VI Workload Domain",CONCATENATE(this_instance,"01-w0",wld_domain_number_chosen,"-r02-ip-pool04-rtep"),CONCATENATE(this_instance,"01-m01","-r04-ip-pool03-rtep"))</f>
        <v>sfo01-w01-r02-ip-pool04-rtep</v>
      </c>
      <c r="D269" s="347"/>
      <c r="E269" s="80"/>
    </row>
    <row r="270" spans="2:5" ht="20" customHeight="1" x14ac:dyDescent="0.2">
      <c r="B270" s="492" t="s">
        <v>834</v>
      </c>
      <c r="C270" s="493"/>
      <c r="D270" s="493"/>
      <c r="E270" s="494"/>
    </row>
    <row r="271" spans="2:5" ht="20" customHeight="1" x14ac:dyDescent="0.2">
      <c r="B271" s="207" t="s">
        <v>261</v>
      </c>
      <c r="C271" s="207" t="s">
        <v>262</v>
      </c>
      <c r="D271" s="239" t="s">
        <v>19</v>
      </c>
      <c r="E271" s="207" t="s">
        <v>20</v>
      </c>
    </row>
    <row r="272" spans="2:5" ht="20" customHeight="1" x14ac:dyDescent="0.2">
      <c r="B272" s="4" t="s">
        <v>1448</v>
      </c>
      <c r="C272" s="80" t="str">
        <f>IF(cluster_wld_domain_chosen&lt;&gt;"MGMT Workload Domain",CONCATENATE(this_instance,"-w0",wld_domain_number_chosen,"-r04","-vsan-fault-domain"),CONCATENATE(this_instance,"-m01","-r04","-vsan-fault-domain"))</f>
        <v>sfo-w01-r04-vsan-fault-domain</v>
      </c>
      <c r="D272" s="347"/>
      <c r="E272" s="337"/>
    </row>
    <row r="273" spans="2:5" ht="16" customHeight="1" x14ac:dyDescent="0.2"/>
    <row r="274" spans="2:5" ht="34" customHeight="1" x14ac:dyDescent="0.2">
      <c r="B274" s="522" t="s">
        <v>2953</v>
      </c>
      <c r="C274" s="523"/>
      <c r="D274" s="523"/>
      <c r="E274" s="524"/>
    </row>
    <row r="275" spans="2:5" ht="20" customHeight="1" x14ac:dyDescent="0.2">
      <c r="B275" s="43" t="s">
        <v>261</v>
      </c>
      <c r="C275" s="43" t="s">
        <v>262</v>
      </c>
      <c r="D275" s="130" t="s">
        <v>19</v>
      </c>
      <c r="E275" s="43" t="s">
        <v>20</v>
      </c>
    </row>
    <row r="276" spans="2:5" ht="20" customHeight="1" x14ac:dyDescent="0.2">
      <c r="B276" s="492" t="s">
        <v>938</v>
      </c>
      <c r="C276" s="493"/>
      <c r="D276" s="493"/>
      <c r="E276" s="494"/>
    </row>
    <row r="277" spans="2:5" ht="20" customHeight="1" x14ac:dyDescent="0.2">
      <c r="B277" s="4" t="s">
        <v>85</v>
      </c>
      <c r="C277" s="362" t="str">
        <f>IF(cluster_wld_domain_chosen&lt;&gt;"MGMT Workload Domain",CONCATENATE(prefix_wld_az1_rack_vlan,"47"),CONCATENATE(prefix_mgmt_az1_vlan,"47"))</f>
        <v>1347</v>
      </c>
      <c r="D277" s="347"/>
      <c r="E277" s="93"/>
    </row>
    <row r="278" spans="2:5" ht="20" customHeight="1" x14ac:dyDescent="0.2">
      <c r="B278" s="4" t="s">
        <v>160</v>
      </c>
      <c r="C278" s="362">
        <v>9000</v>
      </c>
      <c r="D278" s="347"/>
      <c r="E278" s="32"/>
    </row>
    <row r="279" spans="2:5" ht="20" customHeight="1" x14ac:dyDescent="0.2">
      <c r="B279" s="4" t="s">
        <v>188</v>
      </c>
      <c r="C279" s="362" t="str">
        <f>IF(cluster_wld_domain_chosen&lt;&gt;"MGMT Workload Domain",CONCATENATE(prefix_wld_az1_rack_cidr,"47.0"),CONCATENATE(prefix_mgmt_az1_cidr,"47.0"))</f>
        <v>10.13.47.0</v>
      </c>
      <c r="D279" s="347"/>
      <c r="E279" s="32"/>
    </row>
    <row r="280" spans="2:5" ht="20" customHeight="1" x14ac:dyDescent="0.2">
      <c r="B280" s="4" t="s">
        <v>285</v>
      </c>
      <c r="C280" s="126" t="s">
        <v>128</v>
      </c>
      <c r="D280" s="347"/>
      <c r="E280" s="32"/>
    </row>
    <row r="281" spans="2:5" ht="20" customHeight="1" x14ac:dyDescent="0.2">
      <c r="B281" s="4" t="s">
        <v>187</v>
      </c>
      <c r="C281" s="362" t="str">
        <f>IF(cluster_wld_domain_chosen&lt;&gt;"MGMT Workload Domain",CONCATENATE(prefix_wld_az1_rack_cidr,"47.1"),CONCATENATE(prefix_mgmt_az1_cidr,"47.1"))</f>
        <v>10.13.47.1</v>
      </c>
      <c r="D281" s="347"/>
      <c r="E281" s="32"/>
    </row>
    <row r="282" spans="2:5" ht="20" customHeight="1" x14ac:dyDescent="0.2">
      <c r="B282" s="17" t="s">
        <v>255</v>
      </c>
      <c r="C282" s="362" t="str">
        <f>IF(cluster_wld_domain_chosen&lt;&gt;"MGMT Workload Domain",CONCATENATE(prefix_wld_az1_rack_cidr,"47.101"),CONCATENATE(prefix_mgmt_az1_cidr,"47.101"))</f>
        <v>10.13.47.101</v>
      </c>
      <c r="D282" s="347"/>
      <c r="E282" s="100" t="s">
        <v>2940</v>
      </c>
    </row>
    <row r="283" spans="2:5" ht="20" customHeight="1" x14ac:dyDescent="0.2">
      <c r="B283" s="17" t="s">
        <v>256</v>
      </c>
      <c r="C283" s="362" t="str">
        <f>IF(cluster_wld_domain_chosen&lt;&gt;"MGMT Workload Domain",CONCATENATE(prefix_wld_az1_rack_cidr,"47.132"),CONCATENATE(prefix_mgmt_az1_cidr,"47.132"))</f>
        <v>10.13.47.132</v>
      </c>
      <c r="D283" s="347"/>
      <c r="E283" s="100" t="s">
        <v>2954</v>
      </c>
    </row>
    <row r="284" spans="2:5" ht="16" customHeight="1" x14ac:dyDescent="0.2"/>
    <row r="285" spans="2:5" ht="34" customHeight="1" x14ac:dyDescent="0.2">
      <c r="B285" s="522" t="s">
        <v>2955</v>
      </c>
      <c r="C285" s="523"/>
      <c r="D285" s="523"/>
      <c r="E285" s="524"/>
    </row>
    <row r="286" spans="2:5" ht="20" customHeight="1" x14ac:dyDescent="0.2">
      <c r="B286" s="43" t="s">
        <v>261</v>
      </c>
      <c r="C286" s="43" t="s">
        <v>262</v>
      </c>
      <c r="D286" s="130" t="s">
        <v>19</v>
      </c>
      <c r="E286" s="43" t="s">
        <v>263</v>
      </c>
    </row>
    <row r="287" spans="2:5" ht="20" customHeight="1" x14ac:dyDescent="0.2">
      <c r="B287" s="492" t="s">
        <v>213</v>
      </c>
      <c r="C287" s="493"/>
      <c r="D287" s="493"/>
      <c r="E287" s="494"/>
    </row>
    <row r="288" spans="2:5" ht="20" customHeight="1" x14ac:dyDescent="0.2">
      <c r="B288" s="4" t="s">
        <v>85</v>
      </c>
      <c r="C288" s="362" t="str">
        <f>IF(cluster_wld_domain_chosen&lt;&gt;"MGMT Workload Domain",CONCATENATE(prefix_wld_az1_rack_vlan,"55"),CONCATENATE(prefix_mgmt_az1_vlan,"55"))</f>
        <v>1355</v>
      </c>
      <c r="D288" s="347"/>
      <c r="E288" s="93"/>
    </row>
    <row r="289" spans="2:5" ht="20" customHeight="1" x14ac:dyDescent="0.2">
      <c r="B289" s="4" t="s">
        <v>187</v>
      </c>
      <c r="C289" s="362" t="str">
        <f>IF(cluster_wld_domain_chosen&lt;&gt;"MGMT Workload Domain",CONCATENATE(prefix_wld_az1_rack_cidr,"55.1"),CONCATENATE(prefix_mgmt_az1_cidr,"55.1"))</f>
        <v>10.13.55.1</v>
      </c>
      <c r="D289" s="347"/>
      <c r="E289" s="32"/>
    </row>
    <row r="290" spans="2:5" ht="20" customHeight="1" x14ac:dyDescent="0.2">
      <c r="B290" s="4" t="s">
        <v>188</v>
      </c>
      <c r="C290" s="362" t="str">
        <f>IF(cluster_wld_domain_chosen&lt;&gt;"MGMT Workload Domain",CONCATENATE(prefix_wld_az1_rack_cidr,"55.0/24"),CONCATENATE(prefix_mgmt_az1_cidr,"55.0/24"))</f>
        <v>10.13.55.0/24</v>
      </c>
      <c r="D290" s="347"/>
      <c r="E290" s="32"/>
    </row>
    <row r="291" spans="2:5" ht="20" customHeight="1" x14ac:dyDescent="0.2">
      <c r="B291" s="4" t="s">
        <v>160</v>
      </c>
      <c r="C291" s="362">
        <v>1500</v>
      </c>
      <c r="D291" s="347"/>
      <c r="E291" s="32"/>
    </row>
    <row r="292" spans="2:5" ht="20" customHeight="1" x14ac:dyDescent="0.2">
      <c r="B292" s="535" t="s">
        <v>214</v>
      </c>
      <c r="C292" s="536"/>
      <c r="D292" s="536"/>
      <c r="E292" s="537"/>
    </row>
    <row r="293" spans="2:5" ht="20" customHeight="1" x14ac:dyDescent="0.2">
      <c r="B293" s="17" t="s">
        <v>215</v>
      </c>
      <c r="C293" s="126" t="str">
        <f>IF(cluster_wld_domain_chosen&lt;&gt;"MGMT Workload Domain",CONCATENATE(prefix_wld_az1_rack_cidr,"55.101"),CONCATENATE(prefix_mgmt_az1_cidr,"55.101"))</f>
        <v>10.13.55.101</v>
      </c>
      <c r="D293" s="347"/>
      <c r="E293" s="100" t="s">
        <v>216</v>
      </c>
    </row>
    <row r="294" spans="2:5" ht="20" customHeight="1" x14ac:dyDescent="0.2">
      <c r="B294" s="17" t="s">
        <v>217</v>
      </c>
      <c r="C294" s="126" t="str">
        <f>IF(cluster_wld_domain_chosen&lt;&gt;"MGMT Workload Domain",CONCATENATE(prefix_wld_az1_rack_cidr,"55.102"),CONCATENATE(prefix_mgmt_az1_cidr,"55.102"))</f>
        <v>10.13.55.102</v>
      </c>
      <c r="D294" s="347"/>
      <c r="E294" s="100" t="s">
        <v>218</v>
      </c>
    </row>
    <row r="295" spans="2:5" ht="20" customHeight="1" x14ac:dyDescent="0.2">
      <c r="B295" s="17" t="s">
        <v>219</v>
      </c>
      <c r="C295" s="126" t="str">
        <f>IF(cluster_wld_domain_chosen&lt;&gt;"MGMT Workload Domain",CONCATENATE(prefix_wld_az1_rack_cidr,"55.103"),CONCATENATE(prefix_mgmt_az1_cidr,"55.103"))</f>
        <v>10.13.55.103</v>
      </c>
      <c r="D295" s="347"/>
      <c r="E295" s="100" t="s">
        <v>220</v>
      </c>
    </row>
    <row r="296" spans="2:5" ht="20" customHeight="1" x14ac:dyDescent="0.2">
      <c r="B296" s="17" t="s">
        <v>221</v>
      </c>
      <c r="C296" s="126" t="str">
        <f>IF(cluster_wld_domain_chosen&lt;&gt;"MGMT Workload Domain",CONCATENATE(prefix_wld_az1_rack_cidr,"55.104"),CONCATENATE(prefix_mgmt_az1_cidr,"55.104"))</f>
        <v>10.13.55.104</v>
      </c>
      <c r="D296" s="347"/>
      <c r="E296" s="100" t="s">
        <v>222</v>
      </c>
    </row>
    <row r="297" spans="2:5" ht="20" customHeight="1" x14ac:dyDescent="0.2">
      <c r="B297" s="17" t="s">
        <v>223</v>
      </c>
      <c r="C297" s="126" t="str">
        <f>IF(cluster_wld_domain_chosen&lt;&gt;"MGMT Workload Domain",CONCATENATE(prefix_wld_az1_rack_cidr,"55.105"),CONCATENATE(prefix_mgmt_az1_cidr,"55.105"))</f>
        <v>10.13.55.105</v>
      </c>
      <c r="D297" s="347"/>
      <c r="E297" s="100" t="s">
        <v>224</v>
      </c>
    </row>
    <row r="298" spans="2:5" ht="20" customHeight="1" x14ac:dyDescent="0.2">
      <c r="B298" s="17" t="s">
        <v>225</v>
      </c>
      <c r="C298" s="126" t="str">
        <f>IF(cluster_wld_domain_chosen&lt;&gt;"MGMT Workload Domain",CONCATENATE(prefix_wld_az1_rack_cidr,"55.106"),CONCATENATE(prefix_mgmt_az1_cidr,"55.106"))</f>
        <v>10.13.55.106</v>
      </c>
      <c r="D298" s="347"/>
      <c r="E298" s="100" t="s">
        <v>226</v>
      </c>
    </row>
    <row r="299" spans="2:5" ht="20" customHeight="1" x14ac:dyDescent="0.2">
      <c r="B299" s="17" t="s">
        <v>227</v>
      </c>
      <c r="C299" s="126" t="str">
        <f>IF(cluster_wld_domain_chosen&lt;&gt;"MGMT Workload Domain",CONCATENATE(prefix_wld_az1_rack_cidr,"55.107"),CONCATENATE(prefix_mgmt_az1_cidr,"55.107"))</f>
        <v>10.13.55.107</v>
      </c>
      <c r="D299" s="347"/>
      <c r="E299" s="100" t="s">
        <v>228</v>
      </c>
    </row>
    <row r="300" spans="2:5" ht="20" customHeight="1" x14ac:dyDescent="0.2">
      <c r="B300" s="17" t="s">
        <v>229</v>
      </c>
      <c r="C300" s="126" t="str">
        <f>IF(cluster_wld_domain_chosen&lt;&gt;"MGMT Workload Domain",CONCATENATE(prefix_wld_az1_rack_cidr,"55.108"),CONCATENATE(prefix_mgmt_az1_cidr,"55.108"))</f>
        <v>10.13.55.108</v>
      </c>
      <c r="D300" s="347"/>
      <c r="E300" s="100" t="s">
        <v>230</v>
      </c>
    </row>
    <row r="301" spans="2:5" ht="20" customHeight="1" x14ac:dyDescent="0.2">
      <c r="B301" s="17" t="s">
        <v>231</v>
      </c>
      <c r="C301" s="126" t="str">
        <f>IF(cluster_wld_domain_chosen&lt;&gt;"MGMT Workload Domain",CONCATENATE(prefix_wld_az1_rack_cidr,"55.109"),CONCATENATE(prefix_mgmt_az1_cidr,"55.109"))</f>
        <v>10.13.55.109</v>
      </c>
      <c r="D301" s="347"/>
      <c r="E301" s="100" t="s">
        <v>232</v>
      </c>
    </row>
    <row r="302" spans="2:5" ht="20" customHeight="1" x14ac:dyDescent="0.2">
      <c r="B302" s="17" t="s">
        <v>233</v>
      </c>
      <c r="C302" s="126" t="str">
        <f>IF(cluster_wld_domain_chosen&lt;&gt;"MGMT Workload Domain",CONCATENATE(prefix_wld_az1_rack_cidr,"55.110"),CONCATENATE(prefix_mgmt_az1_cidr,"55.110"))</f>
        <v>10.13.55.110</v>
      </c>
      <c r="D302" s="347"/>
      <c r="E302" s="100" t="s">
        <v>234</v>
      </c>
    </row>
    <row r="303" spans="2:5" ht="20" customHeight="1" x14ac:dyDescent="0.2">
      <c r="B303" s="17" t="s">
        <v>235</v>
      </c>
      <c r="C303" s="126" t="str">
        <f>IF(cluster_wld_domain_chosen&lt;&gt;"MGMT Workload Domain",CONCATENATE(prefix_wld_az1_rack_cidr,"55.111"),CONCATENATE(prefix_mgmt_az1_cidr,"55.111"))</f>
        <v>10.13.55.111</v>
      </c>
      <c r="D303" s="347"/>
      <c r="E303" s="100" t="s">
        <v>236</v>
      </c>
    </row>
    <row r="304" spans="2:5" ht="20" customHeight="1" x14ac:dyDescent="0.2">
      <c r="B304" s="17" t="s">
        <v>237</v>
      </c>
      <c r="C304" s="126" t="str">
        <f>IF(cluster_wld_domain_chosen&lt;&gt;"MGMT Workload Domain",CONCATENATE(prefix_wld_az1_rack_cidr,"55.112"),CONCATENATE(prefix_mgmt_az1_cidr,"55.112"))</f>
        <v>10.13.55.112</v>
      </c>
      <c r="D304" s="347"/>
      <c r="E304" s="100" t="s">
        <v>238</v>
      </c>
    </row>
    <row r="305" spans="2:5" ht="20" customHeight="1" x14ac:dyDescent="0.2">
      <c r="B305" s="17" t="s">
        <v>239</v>
      </c>
      <c r="C305" s="126" t="str">
        <f>IF(cluster_wld_domain_chosen&lt;&gt;"MGMT Workload Domain",CONCATENATE(prefix_wld_az1_rack_cidr,"55.113"),CONCATENATE(prefix_mgmt_az1_cidr,"55.113"))</f>
        <v>10.13.55.113</v>
      </c>
      <c r="D305" s="347"/>
      <c r="E305" s="100" t="s">
        <v>240</v>
      </c>
    </row>
    <row r="306" spans="2:5" ht="20" customHeight="1" x14ac:dyDescent="0.2">
      <c r="B306" s="17" t="s">
        <v>241</v>
      </c>
      <c r="C306" s="126" t="str">
        <f>IF(cluster_wld_domain_chosen&lt;&gt;"MGMT Workload Domain",CONCATENATE(prefix_wld_az1_rack_cidr,"55.114"),CONCATENATE(prefix_mgmt_az1_cidr,"55.114"))</f>
        <v>10.13.55.114</v>
      </c>
      <c r="D306" s="347"/>
      <c r="E306" s="100" t="s">
        <v>242</v>
      </c>
    </row>
    <row r="307" spans="2:5" ht="20" customHeight="1" x14ac:dyDescent="0.2">
      <c r="B307" s="17" t="s">
        <v>243</v>
      </c>
      <c r="C307" s="126" t="str">
        <f>IF(cluster_wld_domain_chosen&lt;&gt;"MGMT Workload Domain",CONCATENATE(prefix_wld_az1_rack_cidr,"55.115"),CONCATENATE(prefix_mgmt_az1_cidr,"55.115"))</f>
        <v>10.13.55.115</v>
      </c>
      <c r="D307" s="347"/>
      <c r="E307" s="100" t="s">
        <v>244</v>
      </c>
    </row>
    <row r="308" spans="2:5" ht="20" customHeight="1" x14ac:dyDescent="0.2">
      <c r="B308" s="17" t="s">
        <v>245</v>
      </c>
      <c r="C308" s="126" t="str">
        <f>IF(cluster_wld_domain_chosen&lt;&gt;"MGMT Workload Domain",CONCATENATE(prefix_wld_az1_rack_cidr,"55.116"),CONCATENATE(prefix_mgmt_az1_cidr,"55.116"))</f>
        <v>10.13.55.116</v>
      </c>
      <c r="D308" s="347"/>
      <c r="E308" s="100" t="s">
        <v>246</v>
      </c>
    </row>
    <row r="309" spans="2:5" ht="16" customHeight="1" x14ac:dyDescent="0.2">
      <c r="B309" s="8"/>
      <c r="C309" s="8"/>
      <c r="D309" s="8"/>
      <c r="E309" s="8"/>
    </row>
    <row r="310" spans="2:5" ht="34" customHeight="1" x14ac:dyDescent="0.2">
      <c r="B310" s="522" t="s">
        <v>2956</v>
      </c>
      <c r="C310" s="523"/>
      <c r="D310" s="523"/>
      <c r="E310" s="524"/>
    </row>
    <row r="311" spans="2:5" ht="20" customHeight="1" x14ac:dyDescent="0.2">
      <c r="B311" s="43" t="s">
        <v>261</v>
      </c>
      <c r="C311" s="43" t="s">
        <v>262</v>
      </c>
      <c r="D311" s="130" t="s">
        <v>19</v>
      </c>
      <c r="E311" s="43" t="s">
        <v>263</v>
      </c>
    </row>
    <row r="312" spans="2:5" ht="20" customHeight="1" x14ac:dyDescent="0.2">
      <c r="B312" s="4" t="s">
        <v>2929</v>
      </c>
      <c r="C312" s="362" t="s">
        <v>249</v>
      </c>
      <c r="D312" s="127" t="s">
        <v>249</v>
      </c>
      <c r="E312" s="4" t="str">
        <f>IF(wld_az1_rack5_reuse_vcf_networkpool_chosen="Re-use an existing  VCF Network Pool","An exisiting VCF Network Pool will be reused for Host TEP assignment","A new VCF Network Pool will be created")</f>
        <v>A new VCF Network Pool will be created</v>
      </c>
    </row>
    <row r="313" spans="2:5" ht="20" customHeight="1" x14ac:dyDescent="0.2">
      <c r="B313" s="17" t="s">
        <v>250</v>
      </c>
      <c r="C313" s="89" t="str">
        <f>IF(cluster_wld_domain_chosen="VI Workload Domain",CONCATENATE(this_instance,"01-w0",wld_domain_number_chosen,"-r05-network-pool-01"),CONCATENATE(this_instance,"01-m01","-r05-network-pool-01"))</f>
        <v>sfo01-w01-r05-network-pool-01</v>
      </c>
      <c r="D313" s="347"/>
      <c r="E313" s="32"/>
    </row>
    <row r="314" spans="2:5" ht="20" customHeight="1" x14ac:dyDescent="0.2">
      <c r="B314" s="492" t="s">
        <v>251</v>
      </c>
      <c r="C314" s="493"/>
      <c r="D314" s="493"/>
      <c r="E314" s="494"/>
    </row>
    <row r="315" spans="2:5" ht="20" customHeight="1" x14ac:dyDescent="0.2">
      <c r="B315" s="4" t="s">
        <v>85</v>
      </c>
      <c r="C315" s="362" t="str">
        <f>IF(cluster_wld_domain_chosen&lt;&gt;"MGMT Workload Domain",CONCATENATE(prefix_wld_az1_rack_vlan,"56"),CONCATENATE(prefix_mgmt_az1_vlan,"56"))</f>
        <v>1356</v>
      </c>
      <c r="D315" s="347"/>
      <c r="E315" s="93"/>
    </row>
    <row r="316" spans="2:5" ht="20" customHeight="1" x14ac:dyDescent="0.2">
      <c r="B316" s="4" t="s">
        <v>160</v>
      </c>
      <c r="C316" s="362">
        <v>9000</v>
      </c>
      <c r="D316" s="347"/>
      <c r="E316" s="32"/>
    </row>
    <row r="317" spans="2:5" ht="20" customHeight="1" x14ac:dyDescent="0.2">
      <c r="B317" s="4" t="s">
        <v>188</v>
      </c>
      <c r="C317" s="126" t="str">
        <f>IF(cluster_wld_domain_chosen&lt;&gt;"MGMT Workload Domain",CONCATENATE(prefix_wld_az1_rack_cidr,"56.0"),CONCATENATE(prefix_mgmt_az1_cidr,"56.0"))</f>
        <v>10.13.56.0</v>
      </c>
      <c r="D317" s="347"/>
      <c r="E317" s="32"/>
    </row>
    <row r="318" spans="2:5" ht="20" customHeight="1" x14ac:dyDescent="0.2">
      <c r="B318" s="4" t="s">
        <v>285</v>
      </c>
      <c r="C318" s="126" t="s">
        <v>128</v>
      </c>
      <c r="D318" s="347"/>
      <c r="E318" s="32"/>
    </row>
    <row r="319" spans="2:5" ht="20" customHeight="1" x14ac:dyDescent="0.2">
      <c r="B319" s="4" t="s">
        <v>187</v>
      </c>
      <c r="C319" s="362" t="str">
        <f>IF(cluster_wld_domain_chosen&lt;&gt;"MGMT Workload Domain",CONCATENATE(prefix_wld_az1_rack_cidr,"56.1"),CONCATENATE(prefix_mgmt_az1_cidr,"56.1"))</f>
        <v>10.13.56.1</v>
      </c>
      <c r="D319" s="347"/>
      <c r="E319" s="32"/>
    </row>
    <row r="320" spans="2:5" ht="20" customHeight="1" x14ac:dyDescent="0.2">
      <c r="B320" s="17" t="s">
        <v>255</v>
      </c>
      <c r="C320" s="362" t="str">
        <f>IF(cluster_wld_domain_chosen&lt;&gt;"MGMT Workload Domain",CONCATENATE(prefix_wld_az1_rack_cidr,"56.101"),CONCATENATE(prefix_mgmt_az1_cidr,"56.101"))</f>
        <v>10.13.56.101</v>
      </c>
      <c r="D320" s="347"/>
      <c r="E320" s="100" t="s">
        <v>2949</v>
      </c>
    </row>
    <row r="321" spans="2:5" ht="20" customHeight="1" x14ac:dyDescent="0.2">
      <c r="B321" s="17" t="s">
        <v>256</v>
      </c>
      <c r="C321" s="362" t="str">
        <f>IF(cluster_wld_domain_chosen&lt;&gt;"MGMT Workload Domain",CONCATENATE(prefix_wld_az1_rack_cidr,"56.116"),CONCATENATE(prefix_mgmt_az1_cidr,"56.116"))</f>
        <v>10.13.56.116</v>
      </c>
      <c r="D321" s="347"/>
      <c r="E321" s="100" t="s">
        <v>2950</v>
      </c>
    </row>
    <row r="322" spans="2:5" ht="20" customHeight="1" x14ac:dyDescent="0.2">
      <c r="B322" s="492" t="s">
        <v>257</v>
      </c>
      <c r="C322" s="493"/>
      <c r="D322" s="493"/>
      <c r="E322" s="494"/>
    </row>
    <row r="323" spans="2:5" ht="20" customHeight="1" x14ac:dyDescent="0.2">
      <c r="B323" s="4" t="s">
        <v>85</v>
      </c>
      <c r="C323" s="362" t="str">
        <f>IF(cluster_wld_domain_chosen&lt;&gt;"MGMT Workload Domain",CONCATENATE(prefix_wld_az1_rack_vlan,"57"),CONCATENATE(prefix_mgmt_az1_vlan,"57"))</f>
        <v>1357</v>
      </c>
      <c r="D323" s="347"/>
      <c r="E323" s="32"/>
    </row>
    <row r="324" spans="2:5" ht="20" customHeight="1" x14ac:dyDescent="0.2">
      <c r="B324" s="4" t="s">
        <v>160</v>
      </c>
      <c r="C324" s="362">
        <v>9000</v>
      </c>
      <c r="D324" s="347"/>
      <c r="E324" s="32"/>
    </row>
    <row r="325" spans="2:5" ht="20" customHeight="1" x14ac:dyDescent="0.2">
      <c r="B325" s="4" t="s">
        <v>188</v>
      </c>
      <c r="C325" s="126" t="str">
        <f>IF(cluster_wld_domain_chosen&lt;&gt;"MGMT Workload Domain",CONCATENATE(prefix_wld_az1_rack_cidr,"57.0"),CONCATENATE(prefix_mgmt_az1_cidr,"57.0"))</f>
        <v>10.13.57.0</v>
      </c>
      <c r="D325" s="347"/>
      <c r="E325" s="56"/>
    </row>
    <row r="326" spans="2:5" ht="20" customHeight="1" x14ac:dyDescent="0.2">
      <c r="B326" s="4" t="s">
        <v>285</v>
      </c>
      <c r="C326" s="126" t="s">
        <v>128</v>
      </c>
      <c r="D326" s="347"/>
      <c r="E326" s="32"/>
    </row>
    <row r="327" spans="2:5" ht="20" customHeight="1" x14ac:dyDescent="0.2">
      <c r="B327" s="4" t="s">
        <v>187</v>
      </c>
      <c r="C327" s="362" t="str">
        <f>IF(cluster_wld_domain_chosen&lt;&gt;"MGMT Workload Domain",CONCATENATE(prefix_wld_az1_rack_cidr,"57.1"),CONCATENATE(prefix_mgmt_az1_cidr,"57.1"))</f>
        <v>10.13.57.1</v>
      </c>
      <c r="D327" s="347"/>
      <c r="E327" s="32" t="str">
        <f>IF(AND(mgmt_stretched_cluster_result="Included",mgmt_dpg_reuse_result="Excluded"),"Stretched L2","")</f>
        <v/>
      </c>
    </row>
    <row r="328" spans="2:5" ht="20" customHeight="1" x14ac:dyDescent="0.2">
      <c r="B328" s="17" t="s">
        <v>255</v>
      </c>
      <c r="C328" s="362" t="str">
        <f>IF(cluster_wld_domain_chosen&lt;&gt;"MGMT Workload Domain",CONCATENATE(prefix_wld_az1_rack_cidr,"57.101"),CONCATENATE(prefix_mgmt_az1_cidr,"57.101"))</f>
        <v>10.13.57.101</v>
      </c>
      <c r="D328" s="347"/>
      <c r="E328" s="100" t="s">
        <v>2932</v>
      </c>
    </row>
    <row r="329" spans="2:5" ht="20" customHeight="1" x14ac:dyDescent="0.2">
      <c r="B329" s="17" t="s">
        <v>256</v>
      </c>
      <c r="C329" s="362" t="str">
        <f>IF(cluster_wld_domain_chosen&lt;&gt;"MGMT Workload Domain",CONCATENATE(prefix_wld_az1_rack_cidr,"57.116"),CONCATENATE(prefix_mgmt_az1_cidr,"57.116"))</f>
        <v>10.13.57.116</v>
      </c>
      <c r="D329" s="347"/>
      <c r="E329" s="100" t="s">
        <v>2933</v>
      </c>
    </row>
    <row r="330" spans="2:5" ht="16" customHeight="1" x14ac:dyDescent="0.2">
      <c r="B330" s="8"/>
      <c r="C330" s="8"/>
      <c r="D330" s="8"/>
      <c r="E330" s="8"/>
    </row>
    <row r="331" spans="2:5" ht="34" customHeight="1" x14ac:dyDescent="0.2">
      <c r="B331" s="522" t="s">
        <v>2957</v>
      </c>
      <c r="C331" s="523"/>
      <c r="D331" s="523"/>
      <c r="E331" s="524"/>
    </row>
    <row r="332" spans="2:5" ht="20" customHeight="1" x14ac:dyDescent="0.2">
      <c r="B332" s="43" t="s">
        <v>261</v>
      </c>
      <c r="C332" s="43" t="s">
        <v>262</v>
      </c>
      <c r="D332" s="130" t="s">
        <v>19</v>
      </c>
      <c r="E332" s="43" t="s">
        <v>263</v>
      </c>
    </row>
    <row r="333" spans="2:5" ht="20" customHeight="1" x14ac:dyDescent="0.2">
      <c r="B333" s="17" t="s">
        <v>215</v>
      </c>
      <c r="C333" s="126" t="str">
        <f>IF(cluster_wld_domain_chosen&lt;&gt;"MGMT Workload Domain",CONCATENATE(this_instance,"01-w0",wld_domain_number_chosen,"-r05-esx01",".",sample_child_dns_zone),CONCATENATE(this_instance,"01-m01-r05-esx01",".",sample_child_dns_zone))</f>
        <v>sfo01-w01-r05-esx01.sfo.rainpole.io</v>
      </c>
      <c r="D333" s="347"/>
      <c r="E333" s="32"/>
    </row>
    <row r="334" spans="2:5" ht="20" customHeight="1" x14ac:dyDescent="0.2">
      <c r="B334" s="17" t="s">
        <v>217</v>
      </c>
      <c r="C334" s="126" t="str">
        <f>IF(cluster_wld_domain_chosen&lt;&gt;"MGMT Workload Domain",CONCATENATE(this_instance,"01-w0",wld_domain_number_chosen,"-r05-esx02",".",sample_child_dns_zone),CONCATENATE(this_instance,"01-m01-r05-esx02",".",sample_child_dns_zone))</f>
        <v>sfo01-w01-r05-esx02.sfo.rainpole.io</v>
      </c>
      <c r="D334" s="347"/>
      <c r="E334" s="32"/>
    </row>
    <row r="335" spans="2:5" ht="20" customHeight="1" x14ac:dyDescent="0.2">
      <c r="B335" s="17" t="s">
        <v>219</v>
      </c>
      <c r="C335" s="126" t="str">
        <f>IF(cluster_wld_domain_chosen&lt;&gt;"MGMT Workload Domain",CONCATENATE(this_instance,"01-w0",wld_domain_number_chosen,"-r05-esx03",".",sample_child_dns_zone),CONCATENATE(this_instance,"01-m01-r05-esx03",".",sample_child_dns_zone))</f>
        <v>sfo01-w01-r05-esx03.sfo.rainpole.io</v>
      </c>
      <c r="D335" s="347"/>
      <c r="E335" s="32"/>
    </row>
    <row r="336" spans="2:5" ht="20" customHeight="1" x14ac:dyDescent="0.2">
      <c r="B336" s="17" t="s">
        <v>221</v>
      </c>
      <c r="C336" s="126" t="str">
        <f>IF(cluster_wld_domain_chosen&lt;&gt;"MGMT Workload Domain",CONCATENATE(this_instance,"01-w0",wld_domain_number_chosen,"-r05-esx04",".",sample_child_dns_zone),CONCATENATE(this_instance,"01-m01-r05-esx04",".",sample_child_dns_zone))</f>
        <v>sfo01-w01-r05-esx04.sfo.rainpole.io</v>
      </c>
      <c r="D336" s="347"/>
      <c r="E336" s="32"/>
    </row>
    <row r="337" spans="2:5" ht="20" customHeight="1" x14ac:dyDescent="0.2">
      <c r="B337" s="17" t="s">
        <v>223</v>
      </c>
      <c r="C337" s="126" t="str">
        <f>IF(cluster_wld_domain_chosen&lt;&gt;"MGMT Workload Domain",CONCATENATE(this_instance,"01-w0",wld_domain_number_chosen,"-r05-esx05",".",sample_child_dns_zone),CONCATENATE(this_instance,"01-m01-r05-esx05",".",sample_child_dns_zone))</f>
        <v>sfo01-w01-r05-esx05.sfo.rainpole.io</v>
      </c>
      <c r="D337" s="347"/>
      <c r="E337" s="32"/>
    </row>
    <row r="338" spans="2:5" ht="20" customHeight="1" x14ac:dyDescent="0.2">
      <c r="B338" s="17" t="s">
        <v>225</v>
      </c>
      <c r="C338" s="126" t="str">
        <f>IF(cluster_wld_domain_chosen&lt;&gt;"MGMT Workload Domain",CONCATENATE(this_instance,"01-w0",wld_domain_number_chosen,"-r05-esx06",".",sample_child_dns_zone),CONCATENATE(this_instance,"01-m01-r05-esx06",".",sample_child_dns_zone))</f>
        <v>sfo01-w01-r05-esx06.sfo.rainpole.io</v>
      </c>
      <c r="D338" s="347"/>
      <c r="E338" s="32"/>
    </row>
    <row r="339" spans="2:5" ht="20" customHeight="1" x14ac:dyDescent="0.2">
      <c r="B339" s="17" t="s">
        <v>227</v>
      </c>
      <c r="C339" s="126" t="str">
        <f>IF(cluster_wld_domain_chosen&lt;&gt;"MGMT Workload Domain",CONCATENATE(this_instance,"01-w0",wld_domain_number_chosen,"-r05-esx07",".",sample_child_dns_zone),CONCATENATE(this_instance,"01-m01-r05-esx07",".",sample_child_dns_zone))</f>
        <v>sfo01-w01-r05-esx07.sfo.rainpole.io</v>
      </c>
      <c r="D339" s="347"/>
      <c r="E339" s="32"/>
    </row>
    <row r="340" spans="2:5" ht="20" customHeight="1" x14ac:dyDescent="0.2">
      <c r="B340" s="17" t="s">
        <v>229</v>
      </c>
      <c r="C340" s="126" t="str">
        <f>IF(cluster_wld_domain_chosen&lt;&gt;"MGMT Workload Domain",CONCATENATE(this_instance,"01-w0",wld_domain_number_chosen,"-r05-esx08",".",sample_child_dns_zone),CONCATENATE(this_instance,"01-m01-r05-esx08",".",sample_child_dns_zone))</f>
        <v>sfo01-w01-r05-esx08.sfo.rainpole.io</v>
      </c>
      <c r="D340" s="347"/>
      <c r="E340" s="32"/>
    </row>
    <row r="341" spans="2:5" ht="20" customHeight="1" x14ac:dyDescent="0.2">
      <c r="B341" s="17" t="s">
        <v>231</v>
      </c>
      <c r="C341" s="126" t="str">
        <f>IF(cluster_wld_domain_chosen&lt;&gt;"MGMT Workload Domain",CONCATENATE(this_instance,"01-w0",wld_domain_number_chosen,"-r05-esx09",".",sample_child_dns_zone),CONCATENATE(this_instance,"01-m01-r05-esx09",".",sample_child_dns_zone))</f>
        <v>sfo01-w01-r05-esx09.sfo.rainpole.io</v>
      </c>
      <c r="D341" s="347"/>
      <c r="E341" s="32"/>
    </row>
    <row r="342" spans="2:5" ht="20" customHeight="1" x14ac:dyDescent="0.2">
      <c r="B342" s="17" t="s">
        <v>233</v>
      </c>
      <c r="C342" s="126" t="str">
        <f>IF(cluster_wld_domain_chosen&lt;&gt;"MGMT Workload Domain",CONCATENATE(this_instance,"01-w0",wld_domain_number_chosen,"-r05-esx10",".",sample_child_dns_zone),CONCATENATE(this_instance,"01-m01-r05-esx10",".",sample_child_dns_zone))</f>
        <v>sfo01-w01-r05-esx10.sfo.rainpole.io</v>
      </c>
      <c r="D342" s="347"/>
      <c r="E342" s="32"/>
    </row>
    <row r="343" spans="2:5" ht="20" customHeight="1" x14ac:dyDescent="0.2">
      <c r="B343" s="17" t="s">
        <v>235</v>
      </c>
      <c r="C343" s="126" t="str">
        <f>IF(cluster_wld_domain_chosen&lt;&gt;"MGMT Workload Domain",CONCATENATE(this_instance,"01-w0",wld_domain_number_chosen,"-r05-esx11",".",sample_child_dns_zone),CONCATENATE(this_instance,"01-m01-r05-esx11",".",sample_child_dns_zone))</f>
        <v>sfo01-w01-r05-esx11.sfo.rainpole.io</v>
      </c>
      <c r="D343" s="347"/>
      <c r="E343" s="32"/>
    </row>
    <row r="344" spans="2:5" ht="20" customHeight="1" x14ac:dyDescent="0.2">
      <c r="B344" s="17" t="s">
        <v>237</v>
      </c>
      <c r="C344" s="126" t="str">
        <f>IF(cluster_wld_domain_chosen&lt;&gt;"MGMT Workload Domain",CONCATENATE(this_instance,"01-w0",wld_domain_number_chosen,"-r05-esx12",".",sample_child_dns_zone),CONCATENATE(this_instance,"01-m01-r05-esx12",".",sample_child_dns_zone))</f>
        <v>sfo01-w01-r05-esx12.sfo.rainpole.io</v>
      </c>
      <c r="D344" s="347"/>
      <c r="E344" s="32"/>
    </row>
    <row r="345" spans="2:5" ht="20" customHeight="1" x14ac:dyDescent="0.2">
      <c r="B345" s="17" t="s">
        <v>239</v>
      </c>
      <c r="C345" s="126" t="str">
        <f>IF(cluster_wld_domain_chosen&lt;&gt;"MGMT Workload Domain",CONCATENATE(this_instance,"01-w0",wld_domain_number_chosen,"-r05-esx13",".",sample_child_dns_zone),CONCATENATE(this_instance,"01-m01-r05-esx13",".",sample_child_dns_zone))</f>
        <v>sfo01-w01-r05-esx13.sfo.rainpole.io</v>
      </c>
      <c r="D345" s="347"/>
      <c r="E345" s="32"/>
    </row>
    <row r="346" spans="2:5" ht="20" customHeight="1" x14ac:dyDescent="0.2">
      <c r="B346" s="17" t="s">
        <v>241</v>
      </c>
      <c r="C346" s="126" t="str">
        <f>IF(cluster_wld_domain_chosen&lt;&gt;"MGMT Workload Domain",CONCATENATE(this_instance,"01-w0",wld_domain_number_chosen,"-r05-esx14",".",sample_child_dns_zone),CONCATENATE(this_instance,"01-m01-r05-esx14",".",sample_child_dns_zone))</f>
        <v>sfo01-w01-r05-esx14.sfo.rainpole.io</v>
      </c>
      <c r="D346" s="347"/>
      <c r="E346" s="32"/>
    </row>
    <row r="347" spans="2:5" ht="20" customHeight="1" x14ac:dyDescent="0.2">
      <c r="B347" s="17" t="s">
        <v>243</v>
      </c>
      <c r="C347" s="126" t="str">
        <f>IF(cluster_wld_domain_chosen&lt;&gt;"MGMT Workload Domain",CONCATENATE(this_instance,"01-w0",wld_domain_number_chosen,"-r05-esx14",".",sample_child_dns_zone),CONCATENATE(this_instance,"01-m01-r05-esx15",".",sample_child_dns_zone))</f>
        <v>sfo01-w01-r05-esx14.sfo.rainpole.io</v>
      </c>
      <c r="D347" s="347"/>
      <c r="E347" s="32"/>
    </row>
    <row r="348" spans="2:5" ht="20" customHeight="1" x14ac:dyDescent="0.2">
      <c r="B348" s="17" t="s">
        <v>245</v>
      </c>
      <c r="C348" s="126" t="str">
        <f>IF(cluster_wld_domain_chosen&lt;&gt;"MGMT Workload Domain",CONCATENATE(this_instance,"01-w0",wld_domain_number_chosen,"-r05-esx16",".",sample_child_dns_zone),CONCATENATE(this_instance,"01-m01-r05-esx16",".",sample_child_dns_zone))</f>
        <v>sfo01-w01-r05-esx16.sfo.rainpole.io</v>
      </c>
      <c r="D348" s="347"/>
      <c r="E348" s="32"/>
    </row>
    <row r="349" spans="2:5" ht="20" customHeight="1" x14ac:dyDescent="0.2">
      <c r="B349" s="17" t="s">
        <v>264</v>
      </c>
      <c r="C349" s="126" t="s">
        <v>762</v>
      </c>
      <c r="D349" s="337" t="s">
        <v>265</v>
      </c>
      <c r="E349" s="32"/>
    </row>
    <row r="350" spans="2:5" ht="20" customHeight="1" x14ac:dyDescent="0.2">
      <c r="B350" s="17" t="s">
        <v>266</v>
      </c>
      <c r="C350" s="126" t="s">
        <v>267</v>
      </c>
      <c r="D350"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350" s="4"/>
    </row>
    <row r="351" spans="2:5" ht="20" customHeight="1" x14ac:dyDescent="0.2">
      <c r="B351" s="17" t="s">
        <v>268</v>
      </c>
      <c r="C351" s="126" t="s">
        <v>159</v>
      </c>
      <c r="D351" s="337" t="str">
        <f>IF(AND(vcf_granular_option_chosen="Create Cluster",cluster_principal_storage_chosen="vSAN-ESA"),"Selected",
IF(AND(vcf_granular_option_chosen="Create VI Workload Domain",wld_principal_storage_chosen="vSAN-ESA"),"Selected","Unselected"))</f>
        <v>Unselected</v>
      </c>
      <c r="E351" s="32"/>
    </row>
    <row r="352" spans="2:5" ht="20" customHeight="1" x14ac:dyDescent="0.2">
      <c r="B352" s="17" t="s">
        <v>250</v>
      </c>
      <c r="C352" s="126" t="str">
        <f>sample_wld_az1_rack5_pool_name</f>
        <v>sfo01-w01-r05-network-pool-01</v>
      </c>
      <c r="D352" s="337" t="str">
        <f>wld_az1_rack5_pool_name</f>
        <v>Value Missing</v>
      </c>
      <c r="E352" s="32"/>
    </row>
    <row r="353" spans="2:5" ht="20" customHeight="1" x14ac:dyDescent="0.2">
      <c r="B353" s="17" t="s">
        <v>46</v>
      </c>
      <c r="C353" s="126" t="s">
        <v>269</v>
      </c>
      <c r="D353"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353" s="32"/>
    </row>
    <row r="354" spans="2:5" ht="20" customHeight="1" x14ac:dyDescent="0.2">
      <c r="B354" s="17" t="s">
        <v>29</v>
      </c>
      <c r="C354" s="126" t="s">
        <v>30</v>
      </c>
      <c r="D354"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354" s="32"/>
    </row>
    <row r="355" spans="2:5" ht="16" customHeight="1" x14ac:dyDescent="0.2"/>
    <row r="356" spans="2:5" ht="34" customHeight="1" x14ac:dyDescent="0.2">
      <c r="B356" s="522" t="s">
        <v>2958</v>
      </c>
      <c r="C356" s="523"/>
      <c r="D356" s="523"/>
      <c r="E356" s="524"/>
    </row>
    <row r="357" spans="2:5" ht="20" customHeight="1" x14ac:dyDescent="0.2">
      <c r="B357" s="4" t="s">
        <v>337</v>
      </c>
      <c r="C357" s="89" t="str">
        <f>IF(vcf_granular_option_chosen="Create Cluster",CONCATENATE(this_instance,"01-",sample_cluster_name,"-r05-network-profile"),
IF(cluster_wld_domain_chosen="VI Workload Domain",CONCATENATE(this_instance,"01-",sample_wld_cl01_cluster,"-r05-network-profile"),
CONCATENATE(this_instance,"01-",sample_mgmt_cl01_cluster,"-r05-network-profile")))</f>
        <v>sfo01-sfo-w01-cl01-r05-network-profile</v>
      </c>
      <c r="D357" s="347"/>
      <c r="E357" s="80"/>
    </row>
    <row r="358" spans="2:5" ht="20" customHeight="1" x14ac:dyDescent="0.2">
      <c r="B358" s="4" t="s">
        <v>2936</v>
      </c>
      <c r="C358" s="362" t="s">
        <v>339</v>
      </c>
      <c r="D358" s="127" t="s">
        <v>339</v>
      </c>
      <c r="E358" s="4" t="str">
        <f>IF(wld_az1_rack5_host_overlay_new_pool_chosen="Re-use an existing Pool","An exisitng Pool will be reused for Host TEP assignment","A new Pool will be created for Host TEP assignment")</f>
        <v>A new Pool will be created for Host TEP assignment</v>
      </c>
    </row>
    <row r="359" spans="2:5" ht="20" customHeight="1" x14ac:dyDescent="0.2">
      <c r="B359" s="4" t="s">
        <v>340</v>
      </c>
      <c r="C359" s="89" t="str">
        <f>IF(cluster_wld_domain_chosen="VI Workload Domain",CONCATENATE(this_instance,"01-w0",wld_domain_number_chosen,"-r05-ip-pool01-host"),CONCATENATE(this_instance,"01-m01","-r05-ip-pool01-host"))</f>
        <v>sfo01-w01-r05-ip-pool01-host</v>
      </c>
      <c r="D359" s="347"/>
      <c r="E359" s="80"/>
    </row>
    <row r="360" spans="2:5" ht="20" customHeight="1" x14ac:dyDescent="0.2">
      <c r="B360" s="4" t="s">
        <v>341</v>
      </c>
      <c r="C360" s="89" t="str">
        <f>IF(cluster_wld_domain_chosen="VI Workload Domain",CONCATENATE(this_instance,"01-w0",wld_domain_number_chosen,"-r05-uplink-profile01"),CONCATENATE(this_instance,"01-m01","-r05-uplink-profile01"))</f>
        <v>sfo01-w01-r05-uplink-profile01</v>
      </c>
      <c r="D360" s="347"/>
      <c r="E360" s="80"/>
    </row>
    <row r="361" spans="2:5" ht="20" customHeight="1" x14ac:dyDescent="0.2">
      <c r="B361" s="4" t="s">
        <v>2937</v>
      </c>
      <c r="C361" s="89" t="str">
        <f>IF(cluster_wld_domain_chosen="VI Workload Domain",CONCATENATE(this_instance,"01-w0",wld_domain_number_chosen,"-r05-ip-pool02-edge"),CONCATENATE(this_instance,"01-m01","-r05-ip-pool02-edge"))</f>
        <v>sfo01-w01-r05-ip-pool02-edge</v>
      </c>
      <c r="D361" s="347"/>
      <c r="E361" s="80"/>
    </row>
    <row r="362" spans="2:5" ht="20" customHeight="1" x14ac:dyDescent="0.2">
      <c r="B362" s="4" t="s">
        <v>2938</v>
      </c>
      <c r="C362" s="89" t="str">
        <f>IF(cluster_wld_domain_chosen="VI Workload Domain",CONCATENATE(this_instance,"01-w0",wld_domain_number_chosen,"-r05-ip-pool03-rtep"),CONCATENATE(this_instance,"01-m01","-r05-ip-pool03-rtep"))</f>
        <v>sfo01-w01-r05-ip-pool03-rtep</v>
      </c>
      <c r="D362" s="347"/>
      <c r="E362" s="80"/>
    </row>
    <row r="363" spans="2:5" ht="20" customHeight="1" x14ac:dyDescent="0.2">
      <c r="B363" s="492" t="s">
        <v>834</v>
      </c>
      <c r="C363" s="493"/>
      <c r="D363" s="493"/>
      <c r="E363" s="494"/>
    </row>
    <row r="364" spans="2:5" ht="20" customHeight="1" x14ac:dyDescent="0.2">
      <c r="B364" s="207" t="s">
        <v>261</v>
      </c>
      <c r="C364" s="207" t="s">
        <v>262</v>
      </c>
      <c r="D364" s="239" t="s">
        <v>19</v>
      </c>
      <c r="E364" s="207" t="s">
        <v>20</v>
      </c>
    </row>
    <row r="365" spans="2:5" ht="20" customHeight="1" x14ac:dyDescent="0.2">
      <c r="B365" s="4" t="s">
        <v>1448</v>
      </c>
      <c r="C365" s="80" t="str">
        <f>IF(cluster_wld_domain_chosen&lt;&gt;"MGMT Workload Domain",CONCATENATE(this_instance,"-w0",wld_domain_number_chosen,"-r05","-vsan-fault-domain"),CONCATENATE(this_instance,"-m01","-r05","-vsan-fault-domain"))</f>
        <v>sfo-w01-r05-vsan-fault-domain</v>
      </c>
      <c r="D365" s="347"/>
      <c r="E365" s="337"/>
    </row>
    <row r="366" spans="2:5" ht="16" customHeight="1" x14ac:dyDescent="0.2"/>
    <row r="367" spans="2:5" ht="34" customHeight="1" x14ac:dyDescent="0.2">
      <c r="B367" s="522" t="s">
        <v>2959</v>
      </c>
      <c r="C367" s="523"/>
      <c r="D367" s="523"/>
      <c r="E367" s="524"/>
    </row>
    <row r="368" spans="2:5" ht="20" customHeight="1" x14ac:dyDescent="0.2">
      <c r="B368" s="43" t="s">
        <v>261</v>
      </c>
      <c r="C368" s="43" t="s">
        <v>262</v>
      </c>
      <c r="D368" s="130" t="s">
        <v>19</v>
      </c>
      <c r="E368" s="43" t="s">
        <v>20</v>
      </c>
    </row>
    <row r="369" spans="2:5" ht="20" customHeight="1" x14ac:dyDescent="0.2">
      <c r="B369" s="492" t="s">
        <v>938</v>
      </c>
      <c r="C369" s="493"/>
      <c r="D369" s="493"/>
      <c r="E369" s="494"/>
    </row>
    <row r="370" spans="2:5" ht="20" customHeight="1" x14ac:dyDescent="0.2">
      <c r="B370" s="4" t="s">
        <v>85</v>
      </c>
      <c r="C370" s="362" t="str">
        <f>IF(cluster_wld_domain_chosen&lt;&gt;"MGMT Workload Domain",CONCATENATE(prefix_wld_az1_rack_vlan,"58"),CONCATENATE(prefix_mgmt_az1_vlan,"58"))</f>
        <v>1358</v>
      </c>
      <c r="D370" s="347"/>
      <c r="E370" s="93"/>
    </row>
    <row r="371" spans="2:5" ht="20" customHeight="1" x14ac:dyDescent="0.2">
      <c r="B371" s="4" t="s">
        <v>160</v>
      </c>
      <c r="C371" s="362">
        <v>9000</v>
      </c>
      <c r="D371" s="347"/>
      <c r="E371" s="32"/>
    </row>
    <row r="372" spans="2:5" ht="20" customHeight="1" x14ac:dyDescent="0.2">
      <c r="B372" s="4" t="s">
        <v>188</v>
      </c>
      <c r="C372" s="362" t="str">
        <f>IF(cluster_wld_domain_chosen&lt;&gt;"MGMT Workload Domain",CONCATENATE(prefix_wld_az1_rack_cidr,"58.0"),CONCATENATE(prefix_mgmt_az1_cidr,"58.0"))</f>
        <v>10.13.58.0</v>
      </c>
      <c r="D372" s="347"/>
      <c r="E372" s="32"/>
    </row>
    <row r="373" spans="2:5" ht="20" customHeight="1" x14ac:dyDescent="0.2">
      <c r="B373" s="4" t="s">
        <v>285</v>
      </c>
      <c r="C373" s="362" t="s">
        <v>128</v>
      </c>
      <c r="D373" s="347"/>
      <c r="E373" s="32"/>
    </row>
    <row r="374" spans="2:5" ht="20" customHeight="1" x14ac:dyDescent="0.2">
      <c r="B374" s="4" t="s">
        <v>187</v>
      </c>
      <c r="C374" s="362" t="str">
        <f>IF(cluster_wld_domain_chosen&lt;&gt;"MGMT Workload Domain",CONCATENATE(prefix_wld_az1_rack_cidr,"58.1"),CONCATENATE(prefix_mgmt_az1_cidr,"58.1"))</f>
        <v>10.13.58.1</v>
      </c>
      <c r="D374" s="347"/>
      <c r="E374" s="32"/>
    </row>
    <row r="375" spans="2:5" ht="20" customHeight="1" x14ac:dyDescent="0.2">
      <c r="B375" s="17" t="s">
        <v>255</v>
      </c>
      <c r="C375" s="362" t="str">
        <f>IF(cluster_wld_domain_chosen&lt;&gt;"MGMT Workload Domain",CONCATENATE(prefix_wld_az1_rack_cidr,"58.101"),CONCATENATE(prefix_mgmt_az1_cidr,"58.101"))</f>
        <v>10.13.58.101</v>
      </c>
      <c r="D375" s="347"/>
      <c r="E375" s="100" t="s">
        <v>2940</v>
      </c>
    </row>
    <row r="376" spans="2:5" ht="20" customHeight="1" x14ac:dyDescent="0.2">
      <c r="B376" s="17" t="s">
        <v>256</v>
      </c>
      <c r="C376" s="362" t="str">
        <f>IF(cluster_wld_domain_chosen&lt;&gt;"MGMT Workload Domain",CONCATENATE(prefix_wld_az1_rack_cidr,"58.116"),CONCATENATE(prefix_mgmt_az1_cidr,"58.116"))</f>
        <v>10.13.58.116</v>
      </c>
      <c r="D376" s="347"/>
      <c r="E376" s="100" t="s">
        <v>2941</v>
      </c>
    </row>
    <row r="377" spans="2:5" ht="16" customHeight="1" x14ac:dyDescent="0.2"/>
    <row r="378" spans="2:5" ht="34" customHeight="1" x14ac:dyDescent="0.2">
      <c r="B378" s="522" t="s">
        <v>2960</v>
      </c>
      <c r="C378" s="523"/>
      <c r="D378" s="523"/>
      <c r="E378" s="524"/>
    </row>
    <row r="379" spans="2:5" ht="20" customHeight="1" x14ac:dyDescent="0.2">
      <c r="B379" s="43" t="s">
        <v>261</v>
      </c>
      <c r="C379" s="43" t="s">
        <v>262</v>
      </c>
      <c r="D379" s="130" t="s">
        <v>19</v>
      </c>
      <c r="E379" s="43" t="s">
        <v>263</v>
      </c>
    </row>
    <row r="380" spans="2:5" ht="20" customHeight="1" x14ac:dyDescent="0.2">
      <c r="B380" s="492" t="s">
        <v>213</v>
      </c>
      <c r="C380" s="493"/>
      <c r="D380" s="493"/>
      <c r="E380" s="494"/>
    </row>
    <row r="381" spans="2:5" ht="20" customHeight="1" x14ac:dyDescent="0.2">
      <c r="B381" s="4" t="s">
        <v>85</v>
      </c>
      <c r="C381" s="362" t="str">
        <f>IF(cluster_wld_domain_chosen&lt;&gt;"MGMT Workload Domain",CONCATENATE(prefix_wld_az1_rack_vlan,"66"),CONCATENATE(prefix_mgmt_az1_vlan,"66"))</f>
        <v>1366</v>
      </c>
      <c r="D381" s="347"/>
      <c r="E381" s="93"/>
    </row>
    <row r="382" spans="2:5" ht="20" customHeight="1" x14ac:dyDescent="0.2">
      <c r="B382" s="4" t="s">
        <v>187</v>
      </c>
      <c r="C382" s="362" t="str">
        <f>IF(cluster_wld_domain_chosen&lt;&gt;"MGMT Workload Domain",CONCATENATE(prefix_wld_az1_rack_cidr,"66.1"),CONCATENATE(prefix_mgmt_az1_cidr,"66.1"))</f>
        <v>10.13.66.1</v>
      </c>
      <c r="D382" s="347"/>
      <c r="E382" s="32"/>
    </row>
    <row r="383" spans="2:5" ht="20" customHeight="1" x14ac:dyDescent="0.2">
      <c r="B383" s="4" t="s">
        <v>188</v>
      </c>
      <c r="C383" s="362" t="str">
        <f>IF(cluster_wld_domain_chosen&lt;&gt;"MGMT Workload Domain",CONCATENATE(prefix_wld_az1_rack_cidr,"66.0/24"),CONCATENATE(prefix_mgmt_az1_cidr,"66.0/24"))</f>
        <v>10.13.66.0/24</v>
      </c>
      <c r="D383" s="347"/>
      <c r="E383" s="32"/>
    </row>
    <row r="384" spans="2:5" ht="20" customHeight="1" x14ac:dyDescent="0.2">
      <c r="B384" s="4" t="s">
        <v>160</v>
      </c>
      <c r="C384" s="362">
        <v>1500</v>
      </c>
      <c r="D384" s="347"/>
      <c r="E384" s="32"/>
    </row>
    <row r="385" spans="2:5" ht="20" customHeight="1" x14ac:dyDescent="0.2">
      <c r="B385" s="535" t="s">
        <v>214</v>
      </c>
      <c r="C385" s="536"/>
      <c r="D385" s="536"/>
      <c r="E385" s="537"/>
    </row>
    <row r="386" spans="2:5" ht="20" customHeight="1" x14ac:dyDescent="0.2">
      <c r="B386" s="17" t="s">
        <v>215</v>
      </c>
      <c r="C386" s="126" t="str">
        <f>IF(cluster_wld_domain_chosen&lt;&gt;"MGMT Workload Domain",CONCATENATE(prefix_wld_az1_rack_cidr,"66.101"),CONCATENATE(prefix_mgmt_az1_cidr,"66.101"))</f>
        <v>10.13.66.101</v>
      </c>
      <c r="D386" s="347"/>
      <c r="E386" s="100" t="s">
        <v>216</v>
      </c>
    </row>
    <row r="387" spans="2:5" ht="20" customHeight="1" x14ac:dyDescent="0.2">
      <c r="B387" s="17" t="s">
        <v>217</v>
      </c>
      <c r="C387" s="126" t="str">
        <f>IF(cluster_wld_domain_chosen&lt;&gt;"MGMT Workload Domain",CONCATENATE(prefix_wld_az1_rack_cidr,"66.102"),CONCATENATE(prefix_mgmt_az1_cidr,"66.102"))</f>
        <v>10.13.66.102</v>
      </c>
      <c r="D387" s="347"/>
      <c r="E387" s="100" t="s">
        <v>218</v>
      </c>
    </row>
    <row r="388" spans="2:5" ht="20" customHeight="1" x14ac:dyDescent="0.2">
      <c r="B388" s="17" t="s">
        <v>219</v>
      </c>
      <c r="C388" s="126" t="str">
        <f>IF(cluster_wld_domain_chosen&lt;&gt;"MGMT Workload Domain",CONCATENATE(prefix_wld_az1_rack_cidr,"66.103"),CONCATENATE(prefix_mgmt_az1_cidr,"66.103"))</f>
        <v>10.13.66.103</v>
      </c>
      <c r="D388" s="347"/>
      <c r="E388" s="100" t="s">
        <v>220</v>
      </c>
    </row>
    <row r="389" spans="2:5" ht="20" customHeight="1" x14ac:dyDescent="0.2">
      <c r="B389" s="17" t="s">
        <v>221</v>
      </c>
      <c r="C389" s="126" t="str">
        <f>IF(cluster_wld_domain_chosen&lt;&gt;"MGMT Workload Domain",CONCATENATE(prefix_wld_az1_rack_cidr,"66.104"),CONCATENATE(prefix_mgmt_az1_cidr,"66.104"))</f>
        <v>10.13.66.104</v>
      </c>
      <c r="D389" s="347"/>
      <c r="E389" s="100" t="s">
        <v>222</v>
      </c>
    </row>
    <row r="390" spans="2:5" ht="20" customHeight="1" x14ac:dyDescent="0.2">
      <c r="B390" s="17" t="s">
        <v>223</v>
      </c>
      <c r="C390" s="126" t="str">
        <f>IF(cluster_wld_domain_chosen&lt;&gt;"MGMT Workload Domain",CONCATENATE(prefix_wld_az1_rack_cidr,"66.105"),CONCATENATE(prefix_mgmt_az1_cidr,"66.105"))</f>
        <v>10.13.66.105</v>
      </c>
      <c r="D390" s="347"/>
      <c r="E390" s="100" t="s">
        <v>224</v>
      </c>
    </row>
    <row r="391" spans="2:5" ht="20" customHeight="1" x14ac:dyDescent="0.2">
      <c r="B391" s="17" t="s">
        <v>225</v>
      </c>
      <c r="C391" s="126" t="str">
        <f>IF(cluster_wld_domain_chosen&lt;&gt;"MGMT Workload Domain",CONCATENATE(prefix_wld_az1_rack_cidr,"66.106"),CONCATENATE(prefix_mgmt_az1_cidr,"66.106"))</f>
        <v>10.13.66.106</v>
      </c>
      <c r="D391" s="347"/>
      <c r="E391" s="100" t="s">
        <v>226</v>
      </c>
    </row>
    <row r="392" spans="2:5" ht="20" customHeight="1" x14ac:dyDescent="0.2">
      <c r="B392" s="17" t="s">
        <v>227</v>
      </c>
      <c r="C392" s="126" t="str">
        <f>IF(cluster_wld_domain_chosen&lt;&gt;"MGMT Workload Domain",CONCATENATE(prefix_wld_az1_rack_cidr,"66.107"),CONCATENATE(prefix_mgmt_az1_cidr,"66.107"))</f>
        <v>10.13.66.107</v>
      </c>
      <c r="D392" s="347"/>
      <c r="E392" s="100" t="s">
        <v>228</v>
      </c>
    </row>
    <row r="393" spans="2:5" ht="20" customHeight="1" x14ac:dyDescent="0.2">
      <c r="B393" s="17" t="s">
        <v>229</v>
      </c>
      <c r="C393" s="126" t="str">
        <f>IF(cluster_wld_domain_chosen&lt;&gt;"MGMT Workload Domain",CONCATENATE(prefix_wld_az1_rack_cidr,"66.108"),CONCATENATE(prefix_mgmt_az1_cidr,"66.108"))</f>
        <v>10.13.66.108</v>
      </c>
      <c r="D393" s="347"/>
      <c r="E393" s="100" t="s">
        <v>230</v>
      </c>
    </row>
    <row r="394" spans="2:5" ht="20" customHeight="1" x14ac:dyDescent="0.2">
      <c r="B394" s="17" t="s">
        <v>231</v>
      </c>
      <c r="C394" s="126" t="str">
        <f>IF(cluster_wld_domain_chosen&lt;&gt;"MGMT Workload Domain",CONCATENATE(prefix_wld_az1_rack_cidr,"66.109"),CONCATENATE(prefix_mgmt_az1_cidr,"66.109"))</f>
        <v>10.13.66.109</v>
      </c>
      <c r="D394" s="347"/>
      <c r="E394" s="100" t="s">
        <v>232</v>
      </c>
    </row>
    <row r="395" spans="2:5" ht="20" customHeight="1" x14ac:dyDescent="0.2">
      <c r="B395" s="17" t="s">
        <v>233</v>
      </c>
      <c r="C395" s="126" t="str">
        <f>IF(cluster_wld_domain_chosen&lt;&gt;"MGMT Workload Domain",CONCATENATE(prefix_wld_az1_rack_cidr,"66.110"),CONCATENATE(prefix_mgmt_az1_cidr,"66.110"))</f>
        <v>10.13.66.110</v>
      </c>
      <c r="D395" s="347"/>
      <c r="E395" s="100" t="s">
        <v>234</v>
      </c>
    </row>
    <row r="396" spans="2:5" ht="20" customHeight="1" x14ac:dyDescent="0.2">
      <c r="B396" s="17" t="s">
        <v>235</v>
      </c>
      <c r="C396" s="126" t="str">
        <f>IF(cluster_wld_domain_chosen&lt;&gt;"MGMT Workload Domain",CONCATENATE(prefix_wld_az1_rack_cidr,"66.111"),CONCATENATE(prefix_mgmt_az1_cidr,"66.111"))</f>
        <v>10.13.66.111</v>
      </c>
      <c r="D396" s="347"/>
      <c r="E396" s="100" t="s">
        <v>236</v>
      </c>
    </row>
    <row r="397" spans="2:5" ht="20" customHeight="1" x14ac:dyDescent="0.2">
      <c r="B397" s="17" t="s">
        <v>237</v>
      </c>
      <c r="C397" s="126" t="str">
        <f>IF(cluster_wld_domain_chosen&lt;&gt;"MGMT Workload Domain",CONCATENATE(prefix_wld_az1_rack_cidr,"66.112"),CONCATENATE(prefix_mgmt_az1_cidr,"66.112"))</f>
        <v>10.13.66.112</v>
      </c>
      <c r="D397" s="347"/>
      <c r="E397" s="100" t="s">
        <v>238</v>
      </c>
    </row>
    <row r="398" spans="2:5" ht="20" customHeight="1" x14ac:dyDescent="0.2">
      <c r="B398" s="17" t="s">
        <v>239</v>
      </c>
      <c r="C398" s="126" t="str">
        <f>IF(cluster_wld_domain_chosen&lt;&gt;"MGMT Workload Domain",CONCATENATE(prefix_wld_az1_rack_cidr,"66.113"),CONCATENATE(prefix_mgmt_az1_cidr,"66.113"))</f>
        <v>10.13.66.113</v>
      </c>
      <c r="D398" s="347"/>
      <c r="E398" s="100" t="s">
        <v>240</v>
      </c>
    </row>
    <row r="399" spans="2:5" ht="20" customHeight="1" x14ac:dyDescent="0.2">
      <c r="B399" s="17" t="s">
        <v>241</v>
      </c>
      <c r="C399" s="126" t="str">
        <f>IF(cluster_wld_domain_chosen&lt;&gt;"MGMT Workload Domain",CONCATENATE(prefix_wld_az1_rack_cidr,"66.114"),CONCATENATE(prefix_mgmt_az1_cidr,"66.114"))</f>
        <v>10.13.66.114</v>
      </c>
      <c r="D399" s="347"/>
      <c r="E399" s="100" t="s">
        <v>242</v>
      </c>
    </row>
    <row r="400" spans="2:5" ht="20" customHeight="1" x14ac:dyDescent="0.2">
      <c r="B400" s="17" t="s">
        <v>243</v>
      </c>
      <c r="C400" s="126" t="str">
        <f>IF(cluster_wld_domain_chosen&lt;&gt;"MGMT Workload Domain",CONCATENATE(prefix_wld_az1_rack_cidr,"66.115"),CONCATENATE(prefix_mgmt_az1_cidr,"66.115"))</f>
        <v>10.13.66.115</v>
      </c>
      <c r="D400" s="347"/>
      <c r="E400" s="100" t="s">
        <v>244</v>
      </c>
    </row>
    <row r="401" spans="2:5" ht="20" customHeight="1" x14ac:dyDescent="0.2">
      <c r="B401" s="17" t="s">
        <v>245</v>
      </c>
      <c r="C401" s="126" t="str">
        <f>IF(cluster_wld_domain_chosen&lt;&gt;"MGMT Workload Domain",CONCATENATE(prefix_wld_az1_rack_cidr,"66.116"),CONCATENATE(prefix_mgmt_az1_cidr,"66.116"))</f>
        <v>10.13.66.116</v>
      </c>
      <c r="D401" s="347"/>
      <c r="E401" s="100" t="s">
        <v>246</v>
      </c>
    </row>
    <row r="402" spans="2:5" ht="16" customHeight="1" x14ac:dyDescent="0.2">
      <c r="B402" s="8"/>
      <c r="C402" s="8"/>
      <c r="D402" s="8"/>
      <c r="E402" s="8"/>
    </row>
    <row r="403" spans="2:5" ht="34" customHeight="1" x14ac:dyDescent="0.2">
      <c r="B403" s="522" t="s">
        <v>2961</v>
      </c>
      <c r="C403" s="523"/>
      <c r="D403" s="523"/>
      <c r="E403" s="524"/>
    </row>
    <row r="404" spans="2:5" ht="20" customHeight="1" x14ac:dyDescent="0.2">
      <c r="B404" s="43" t="s">
        <v>261</v>
      </c>
      <c r="C404" s="43" t="s">
        <v>262</v>
      </c>
      <c r="D404" s="130" t="s">
        <v>19</v>
      </c>
      <c r="E404" s="43" t="s">
        <v>263</v>
      </c>
    </row>
    <row r="405" spans="2:5" ht="20" customHeight="1" x14ac:dyDescent="0.2">
      <c r="B405" s="4" t="s">
        <v>2929</v>
      </c>
      <c r="C405" s="362" t="s">
        <v>249</v>
      </c>
      <c r="D405" s="127" t="s">
        <v>249</v>
      </c>
      <c r="E405" s="4" t="str">
        <f>IF(wld_az1_rack6_reuse_vcf_networkpool_chosen="Re-use an existing  VCF Network Pool","An exisiting VCF Network Pool will be reused for Host TEP assignment","A new VCF Network Pool will be created")</f>
        <v>A new VCF Network Pool will be created</v>
      </c>
    </row>
    <row r="406" spans="2:5" ht="20" customHeight="1" x14ac:dyDescent="0.2">
      <c r="B406" s="17" t="s">
        <v>250</v>
      </c>
      <c r="C406" s="89" t="str">
        <f>IF(cluster_wld_domain_chosen="VI Workload Domain",CONCATENATE(this_instance,"01-w0",wld_domain_number_chosen,"-r06-network-pool-01"),CONCATENATE(this_instance,"01-m01","-r06-network-pool-01"))</f>
        <v>sfo01-w01-r06-network-pool-01</v>
      </c>
      <c r="D406" s="347"/>
      <c r="E406" s="32"/>
    </row>
    <row r="407" spans="2:5" ht="20" customHeight="1" x14ac:dyDescent="0.2">
      <c r="B407" s="492" t="s">
        <v>251</v>
      </c>
      <c r="C407" s="493"/>
      <c r="D407" s="493"/>
      <c r="E407" s="494"/>
    </row>
    <row r="408" spans="2:5" ht="20" customHeight="1" x14ac:dyDescent="0.2">
      <c r="B408" s="4" t="s">
        <v>85</v>
      </c>
      <c r="C408" s="362" t="str">
        <f>IF(cluster_wld_domain_chosen&lt;&gt;"MGMT Workload Domain",CONCATENATE(prefix_wld_az1_rack_vlan,"67"),CONCATENATE(prefix_mgmt_az1_vlan,"67"))</f>
        <v>1367</v>
      </c>
      <c r="D408" s="347"/>
      <c r="E408" s="93"/>
    </row>
    <row r="409" spans="2:5" ht="20" customHeight="1" x14ac:dyDescent="0.2">
      <c r="B409" s="4" t="s">
        <v>160</v>
      </c>
      <c r="C409" s="362">
        <v>9000</v>
      </c>
      <c r="D409" s="347"/>
      <c r="E409" s="32"/>
    </row>
    <row r="410" spans="2:5" ht="20" customHeight="1" x14ac:dyDescent="0.2">
      <c r="B410" s="4" t="s">
        <v>188</v>
      </c>
      <c r="C410" s="126" t="str">
        <f>IF(cluster_wld_domain_chosen&lt;&gt;"MGMT Workload Domain",CONCATENATE(prefix_wld_az1_rack_cidr,"67.0"),CONCATENATE(prefix_mgmt_az1_cidr,"67.0"))</f>
        <v>10.13.67.0</v>
      </c>
      <c r="D410" s="347"/>
      <c r="E410" s="32"/>
    </row>
    <row r="411" spans="2:5" ht="20" customHeight="1" x14ac:dyDescent="0.2">
      <c r="B411" s="4" t="s">
        <v>285</v>
      </c>
      <c r="C411" s="126" t="s">
        <v>128</v>
      </c>
      <c r="D411" s="347"/>
      <c r="E411" s="32"/>
    </row>
    <row r="412" spans="2:5" ht="20" customHeight="1" x14ac:dyDescent="0.2">
      <c r="B412" s="4" t="s">
        <v>187</v>
      </c>
      <c r="C412" s="362" t="str">
        <f>IF(cluster_wld_domain_chosen&lt;&gt;"MGMT Workload Domain",CONCATENATE(prefix_wld_az1_rack_cidr,"67.1"),CONCATENATE(prefix_mgmt_az1_cidr,"67.1"))</f>
        <v>10.13.67.1</v>
      </c>
      <c r="D412" s="347"/>
      <c r="E412" s="32"/>
    </row>
    <row r="413" spans="2:5" ht="20" customHeight="1" x14ac:dyDescent="0.2">
      <c r="B413" s="17" t="s">
        <v>255</v>
      </c>
      <c r="C413" s="362" t="str">
        <f>IF(cluster_wld_domain_chosen&lt;&gt;"MGMT Workload Domain",CONCATENATE(prefix_wld_az1_rack_cidr,"67.101"),CONCATENATE(prefix_mgmt_az1_cidr,"67.101"))</f>
        <v>10.13.67.101</v>
      </c>
      <c r="D413" s="347"/>
      <c r="E413" s="100" t="s">
        <v>2930</v>
      </c>
    </row>
    <row r="414" spans="2:5" ht="20" customHeight="1" x14ac:dyDescent="0.2">
      <c r="B414" s="17" t="s">
        <v>256</v>
      </c>
      <c r="C414" s="362" t="str">
        <f>IF(cluster_wld_domain_chosen&lt;&gt;"MGMT Workload Domain",CONCATENATE(prefix_wld_az1_rack_cidr,"67.116"),CONCATENATE(prefix_mgmt_az1_cidr,"67.116"))</f>
        <v>10.13.67.116</v>
      </c>
      <c r="D414" s="347"/>
      <c r="E414" s="100" t="s">
        <v>2931</v>
      </c>
    </row>
    <row r="415" spans="2:5" ht="20" customHeight="1" x14ac:dyDescent="0.2">
      <c r="B415" s="492" t="s">
        <v>257</v>
      </c>
      <c r="C415" s="493"/>
      <c r="D415" s="493"/>
      <c r="E415" s="494"/>
    </row>
    <row r="416" spans="2:5" ht="20" customHeight="1" x14ac:dyDescent="0.2">
      <c r="B416" s="4" t="s">
        <v>85</v>
      </c>
      <c r="C416" s="362" t="str">
        <f>IF(cluster_wld_domain_chosen&lt;&gt;"MGMT Workload Domain",CONCATENATE(prefix_wld_az1_rack_vlan,"68"),CONCATENATE(prefix_mgmt_az1_vlan,"68"))</f>
        <v>1368</v>
      </c>
      <c r="D416" s="347"/>
      <c r="E416" s="32"/>
    </row>
    <row r="417" spans="2:5" ht="20" customHeight="1" x14ac:dyDescent="0.2">
      <c r="B417" s="4" t="s">
        <v>160</v>
      </c>
      <c r="C417" s="362">
        <v>9000</v>
      </c>
      <c r="D417" s="347"/>
      <c r="E417" s="32"/>
    </row>
    <row r="418" spans="2:5" ht="20" customHeight="1" x14ac:dyDescent="0.2">
      <c r="B418" s="4" t="s">
        <v>188</v>
      </c>
      <c r="C418" s="126" t="str">
        <f>IF(cluster_wld_domain_chosen&lt;&gt;"MGMT Workload Domain",CONCATENATE(prefix_wld_az1_rack_cidr,"68.0"),CONCATENATE(prefix_mgmt_az1_cidr,"68.0"))</f>
        <v>10.13.68.0</v>
      </c>
      <c r="D418" s="347"/>
      <c r="E418" s="56"/>
    </row>
    <row r="419" spans="2:5" ht="20" customHeight="1" x14ac:dyDescent="0.2">
      <c r="B419" s="4" t="s">
        <v>285</v>
      </c>
      <c r="C419" s="126" t="s">
        <v>128</v>
      </c>
      <c r="D419" s="347"/>
      <c r="E419" s="32"/>
    </row>
    <row r="420" spans="2:5" ht="20" customHeight="1" x14ac:dyDescent="0.2">
      <c r="B420" s="4" t="s">
        <v>187</v>
      </c>
      <c r="C420" s="362" t="str">
        <f>IF(cluster_wld_domain_chosen&lt;&gt;"MGMT Workload Domain",CONCATENATE(prefix_wld_az1_rack_cidr,"68.1"),CONCATENATE(prefix_mgmt_az1_cidr,"68.1"))</f>
        <v>10.13.68.1</v>
      </c>
      <c r="D420" s="347"/>
      <c r="E420" s="32" t="str">
        <f>IF(AND(mgmt_stretched_cluster_result="Included",mgmt_dpg_reuse_result="Excluded"),"Stretched L2","")</f>
        <v/>
      </c>
    </row>
    <row r="421" spans="2:5" ht="20" customHeight="1" x14ac:dyDescent="0.2">
      <c r="B421" s="17" t="s">
        <v>255</v>
      </c>
      <c r="C421" s="362" t="str">
        <f>IF(cluster_wld_domain_chosen&lt;&gt;"MGMT Workload Domain",CONCATENATE(prefix_wld_az1_rack_cidr,"68.101"),CONCATENATE(prefix_mgmt_az1_cidr,"68.101"))</f>
        <v>10.13.68.101</v>
      </c>
      <c r="D421" s="347"/>
      <c r="E421" s="100" t="s">
        <v>2932</v>
      </c>
    </row>
    <row r="422" spans="2:5" ht="20" customHeight="1" x14ac:dyDescent="0.2">
      <c r="B422" s="17" t="s">
        <v>256</v>
      </c>
      <c r="C422" s="362" t="str">
        <f>IF(cluster_wld_domain_chosen&lt;&gt;"MGMT Workload Domain",CONCATENATE(prefix_wld_az1_rack_cidr,"68.116"),CONCATENATE(prefix_mgmt_az1_cidr,"68.116"))</f>
        <v>10.13.68.116</v>
      </c>
      <c r="D422" s="347"/>
      <c r="E422" s="100" t="s">
        <v>2933</v>
      </c>
    </row>
    <row r="423" spans="2:5" ht="16" customHeight="1" x14ac:dyDescent="0.2">
      <c r="B423" s="8"/>
      <c r="C423" s="8"/>
      <c r="D423" s="8"/>
      <c r="E423" s="8"/>
    </row>
    <row r="424" spans="2:5" ht="34" customHeight="1" x14ac:dyDescent="0.2">
      <c r="B424" s="522" t="s">
        <v>2962</v>
      </c>
      <c r="C424" s="523"/>
      <c r="D424" s="523"/>
      <c r="E424" s="524"/>
    </row>
    <row r="425" spans="2:5" ht="20" customHeight="1" x14ac:dyDescent="0.2">
      <c r="B425" s="43" t="s">
        <v>261</v>
      </c>
      <c r="C425" s="43" t="s">
        <v>262</v>
      </c>
      <c r="D425" s="130" t="s">
        <v>19</v>
      </c>
      <c r="E425" s="43" t="s">
        <v>263</v>
      </c>
    </row>
    <row r="426" spans="2:5" ht="20" customHeight="1" x14ac:dyDescent="0.2">
      <c r="B426" s="17" t="s">
        <v>215</v>
      </c>
      <c r="C426" s="126" t="str">
        <f>IF(cluster_wld_domain_chosen&lt;&gt;"MGMT Workload Domain",CONCATENATE(this_instance,"01-w0",wld_domain_number_chosen,"-r06-esx01",".",sample_child_dns_zone),CONCATENATE(this_instance,"01-m01-r06-esx01",".",sample_child_dns_zone))</f>
        <v>sfo01-w01-r06-esx01.sfo.rainpole.io</v>
      </c>
      <c r="D426" s="347"/>
      <c r="E426" s="32"/>
    </row>
    <row r="427" spans="2:5" ht="20" customHeight="1" x14ac:dyDescent="0.2">
      <c r="B427" s="17" t="s">
        <v>217</v>
      </c>
      <c r="C427" s="126" t="str">
        <f>IF(cluster_wld_domain_chosen&lt;&gt;"MGMT Workload Domain",CONCATENATE(this_instance,"01-w0",wld_domain_number_chosen,"-r06-esx02",".",sample_child_dns_zone),CONCATENATE(this_instance,"01-m01-r06-esx02",".",sample_child_dns_zone))</f>
        <v>sfo01-w01-r06-esx02.sfo.rainpole.io</v>
      </c>
      <c r="D427" s="347"/>
      <c r="E427" s="32"/>
    </row>
    <row r="428" spans="2:5" ht="20" customHeight="1" x14ac:dyDescent="0.2">
      <c r="B428" s="17" t="s">
        <v>219</v>
      </c>
      <c r="C428" s="126" t="str">
        <f>IF(cluster_wld_domain_chosen&lt;&gt;"MGMT Workload Domain",CONCATENATE(this_instance,"01-w0",wld_domain_number_chosen,"-r06-esx03",".",sample_child_dns_zone),CONCATENATE(this_instance,"01-m01-r06-esx03",".",sample_child_dns_zone))</f>
        <v>sfo01-w01-r06-esx03.sfo.rainpole.io</v>
      </c>
      <c r="D428" s="347"/>
      <c r="E428" s="32"/>
    </row>
    <row r="429" spans="2:5" ht="20" customHeight="1" x14ac:dyDescent="0.2">
      <c r="B429" s="17" t="s">
        <v>221</v>
      </c>
      <c r="C429" s="126" t="str">
        <f>IF(cluster_wld_domain_chosen&lt;&gt;"MGMT Workload Domain",CONCATENATE(this_instance,"01-w0",wld_domain_number_chosen,"-r06-esx04",".",sample_child_dns_zone),CONCATENATE(this_instance,"01-m01-r06-esx04",".",sample_child_dns_zone))</f>
        <v>sfo01-w01-r06-esx04.sfo.rainpole.io</v>
      </c>
      <c r="D429" s="347"/>
      <c r="E429" s="32"/>
    </row>
    <row r="430" spans="2:5" ht="20" customHeight="1" x14ac:dyDescent="0.2">
      <c r="B430" s="17" t="s">
        <v>223</v>
      </c>
      <c r="C430" s="126" t="str">
        <f>IF(cluster_wld_domain_chosen&lt;&gt;"MGMT Workload Domain",CONCATENATE(this_instance,"01-w0",wld_domain_number_chosen,"-r06-esx05",".",sample_child_dns_zone),CONCATENATE(this_instance,"01-m01-r06-esx05",".",sample_child_dns_zone))</f>
        <v>sfo01-w01-r06-esx05.sfo.rainpole.io</v>
      </c>
      <c r="D430" s="347"/>
      <c r="E430" s="32"/>
    </row>
    <row r="431" spans="2:5" ht="20" customHeight="1" x14ac:dyDescent="0.2">
      <c r="B431" s="17" t="s">
        <v>225</v>
      </c>
      <c r="C431" s="126" t="str">
        <f>IF(cluster_wld_domain_chosen&lt;&gt;"MGMT Workload Domain",CONCATENATE(this_instance,"01-w0",wld_domain_number_chosen,"-r06-esx06",".",sample_child_dns_zone),CONCATENATE(this_instance,"01-m01-r06-esx06",".",sample_child_dns_zone))</f>
        <v>sfo01-w01-r06-esx06.sfo.rainpole.io</v>
      </c>
      <c r="D431" s="347"/>
      <c r="E431" s="32"/>
    </row>
    <row r="432" spans="2:5" ht="20" customHeight="1" x14ac:dyDescent="0.2">
      <c r="B432" s="17" t="s">
        <v>227</v>
      </c>
      <c r="C432" s="126" t="str">
        <f>IF(cluster_wld_domain_chosen&lt;&gt;"MGMT Workload Domain",CONCATENATE(this_instance,"01-w0",wld_domain_number_chosen,"-r06-esx07",".",sample_child_dns_zone),CONCATENATE(this_instance,"01-m01-r06-esx07",".",sample_child_dns_zone))</f>
        <v>sfo01-w01-r06-esx07.sfo.rainpole.io</v>
      </c>
      <c r="D432" s="347"/>
      <c r="E432" s="32"/>
    </row>
    <row r="433" spans="2:5" ht="20" customHeight="1" x14ac:dyDescent="0.2">
      <c r="B433" s="17" t="s">
        <v>229</v>
      </c>
      <c r="C433" s="126" t="str">
        <f>IF(cluster_wld_domain_chosen&lt;&gt;"MGMT Workload Domain",CONCATENATE(this_instance,"01-w0",wld_domain_number_chosen,"-r06-esx08",".",sample_child_dns_zone),CONCATENATE(this_instance,"01-m01-r06-esx08",".",sample_child_dns_zone))</f>
        <v>sfo01-w01-r06-esx08.sfo.rainpole.io</v>
      </c>
      <c r="D433" s="347"/>
      <c r="E433" s="32"/>
    </row>
    <row r="434" spans="2:5" ht="20" customHeight="1" x14ac:dyDescent="0.2">
      <c r="B434" s="17" t="s">
        <v>231</v>
      </c>
      <c r="C434" s="126" t="str">
        <f>IF(cluster_wld_domain_chosen&lt;&gt;"MGMT Workload Domain",CONCATENATE(this_instance,"01-w0",wld_domain_number_chosen,"-r06-esx09",".",sample_child_dns_zone),CONCATENATE(this_instance,"01-m01-r06-esx09",".",sample_child_dns_zone))</f>
        <v>sfo01-w01-r06-esx09.sfo.rainpole.io</v>
      </c>
      <c r="D434" s="347"/>
      <c r="E434" s="32"/>
    </row>
    <row r="435" spans="2:5" ht="20" customHeight="1" x14ac:dyDescent="0.2">
      <c r="B435" s="17" t="s">
        <v>233</v>
      </c>
      <c r="C435" s="126" t="str">
        <f>IF(cluster_wld_domain_chosen&lt;&gt;"MGMT Workload Domain",CONCATENATE(this_instance,"01-w0",wld_domain_number_chosen,"-r06-esx10",".",sample_child_dns_zone),CONCATENATE(this_instance,"01-m01-r06-esx10",".",sample_child_dns_zone))</f>
        <v>sfo01-w01-r06-esx10.sfo.rainpole.io</v>
      </c>
      <c r="D435" s="347"/>
      <c r="E435" s="32"/>
    </row>
    <row r="436" spans="2:5" ht="20" customHeight="1" x14ac:dyDescent="0.2">
      <c r="B436" s="17" t="s">
        <v>235</v>
      </c>
      <c r="C436" s="126" t="str">
        <f>IF(cluster_wld_domain_chosen&lt;&gt;"MGMT Workload Domain",CONCATENATE(this_instance,"01-w0",wld_domain_number_chosen,"-r06-esx11",".",sample_child_dns_zone),CONCATENATE(this_instance,"01-m01-r06-esx11",".",sample_child_dns_zone))</f>
        <v>sfo01-w01-r06-esx11.sfo.rainpole.io</v>
      </c>
      <c r="D436" s="347"/>
      <c r="E436" s="32"/>
    </row>
    <row r="437" spans="2:5" ht="20" customHeight="1" x14ac:dyDescent="0.2">
      <c r="B437" s="17" t="s">
        <v>237</v>
      </c>
      <c r="C437" s="126" t="str">
        <f>IF(cluster_wld_domain_chosen&lt;&gt;"MGMT Workload Domain",CONCATENATE(this_instance,"01-w0",wld_domain_number_chosen,"-r06-esx12",".",sample_child_dns_zone),CONCATENATE(this_instance,"01-m01-r06-esx12",".",sample_child_dns_zone))</f>
        <v>sfo01-w01-r06-esx12.sfo.rainpole.io</v>
      </c>
      <c r="D437" s="347"/>
      <c r="E437" s="32"/>
    </row>
    <row r="438" spans="2:5" ht="20" customHeight="1" x14ac:dyDescent="0.2">
      <c r="B438" s="17" t="s">
        <v>239</v>
      </c>
      <c r="C438" s="126" t="str">
        <f>IF(cluster_wld_domain_chosen&lt;&gt;"MGMT Workload Domain",CONCATENATE(this_instance,"01-w0",wld_domain_number_chosen,"-r06-esx13",".",sample_child_dns_zone),CONCATENATE(this_instance,"01-m01-r06-esx13",".",sample_child_dns_zone))</f>
        <v>sfo01-w01-r06-esx13.sfo.rainpole.io</v>
      </c>
      <c r="D438" s="347"/>
      <c r="E438" s="32"/>
    </row>
    <row r="439" spans="2:5" ht="20" customHeight="1" x14ac:dyDescent="0.2">
      <c r="B439" s="17" t="s">
        <v>241</v>
      </c>
      <c r="C439" s="126" t="str">
        <f>IF(cluster_wld_domain_chosen&lt;&gt;"MGMT Workload Domain",CONCATENATE(this_instance,"01-w0",wld_domain_number_chosen,"-r06-esx14",".",sample_child_dns_zone),CONCATENATE(this_instance,"01-m01-r06-esx14",".",sample_child_dns_zone))</f>
        <v>sfo01-w01-r06-esx14.sfo.rainpole.io</v>
      </c>
      <c r="D439" s="347"/>
      <c r="E439" s="32"/>
    </row>
    <row r="440" spans="2:5" ht="20" customHeight="1" x14ac:dyDescent="0.2">
      <c r="B440" s="17" t="s">
        <v>243</v>
      </c>
      <c r="C440" s="126" t="str">
        <f>IF(cluster_wld_domain_chosen&lt;&gt;"MGMT Workload Domain",CONCATENATE(this_instance,"01-w0",wld_domain_number_chosen,"-r06-esx14",".",sample_child_dns_zone),CONCATENATE(this_instance,"01-m01-r06-esx15",".",sample_child_dns_zone))</f>
        <v>sfo01-w01-r06-esx14.sfo.rainpole.io</v>
      </c>
      <c r="D440" s="347"/>
      <c r="E440" s="32"/>
    </row>
    <row r="441" spans="2:5" ht="20" customHeight="1" x14ac:dyDescent="0.2">
      <c r="B441" s="17" t="s">
        <v>245</v>
      </c>
      <c r="C441" s="126" t="str">
        <f>IF(cluster_wld_domain_chosen&lt;&gt;"MGMT Workload Domain",CONCATENATE(this_instance,"01-w0",wld_domain_number_chosen,"-r06-esx16",".",sample_child_dns_zone),CONCATENATE(this_instance,"01-m01-r06-esx16",".",sample_child_dns_zone))</f>
        <v>sfo01-w01-r06-esx16.sfo.rainpole.io</v>
      </c>
      <c r="D441" s="347"/>
      <c r="E441" s="32"/>
    </row>
    <row r="442" spans="2:5" ht="20" customHeight="1" x14ac:dyDescent="0.2">
      <c r="B442" s="17" t="s">
        <v>264</v>
      </c>
      <c r="C442" s="126" t="s">
        <v>762</v>
      </c>
      <c r="D442" s="337" t="s">
        <v>265</v>
      </c>
      <c r="E442" s="32"/>
    </row>
    <row r="443" spans="2:5" ht="20" customHeight="1" x14ac:dyDescent="0.2">
      <c r="B443" s="17" t="s">
        <v>266</v>
      </c>
      <c r="C443" s="126" t="s">
        <v>267</v>
      </c>
      <c r="D443"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443" s="4"/>
    </row>
    <row r="444" spans="2:5" ht="20" customHeight="1" x14ac:dyDescent="0.2">
      <c r="B444" s="17" t="s">
        <v>268</v>
      </c>
      <c r="C444" s="126" t="s">
        <v>159</v>
      </c>
      <c r="D444" s="337" t="str">
        <f>IF(AND(vcf_granular_option_chosen="Create Cluster",cluster_principal_storage_chosen="vSAN-ESA"),"Selected",
IF(AND(vcf_granular_option_chosen="Create VI Workload Domain",wld_principal_storage_chosen="vSAN-ESA"),"Selected","Unselected"))</f>
        <v>Unselected</v>
      </c>
      <c r="E444" s="32"/>
    </row>
    <row r="445" spans="2:5" ht="20" customHeight="1" x14ac:dyDescent="0.2">
      <c r="B445" s="17" t="s">
        <v>250</v>
      </c>
      <c r="C445" s="126" t="str">
        <f>sample_wld_az1_rack6_pool_name</f>
        <v>sfo01-w01-r06-network-pool-01</v>
      </c>
      <c r="D445" s="337" t="str">
        <f>wld_az1_rack6_pool_name</f>
        <v>Value Missing</v>
      </c>
      <c r="E445" s="32"/>
    </row>
    <row r="446" spans="2:5" ht="20" customHeight="1" x14ac:dyDescent="0.2">
      <c r="B446" s="17" t="s">
        <v>46</v>
      </c>
      <c r="C446" s="126" t="s">
        <v>269</v>
      </c>
      <c r="D446"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446" s="32"/>
    </row>
    <row r="447" spans="2:5" ht="20" customHeight="1" x14ac:dyDescent="0.2">
      <c r="B447" s="17" t="s">
        <v>29</v>
      </c>
      <c r="C447" s="126" t="s">
        <v>30</v>
      </c>
      <c r="D447"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447" s="32"/>
    </row>
    <row r="448" spans="2:5" ht="16" customHeight="1" x14ac:dyDescent="0.2"/>
    <row r="449" spans="2:5" ht="34" customHeight="1" x14ac:dyDescent="0.2">
      <c r="B449" s="522" t="s">
        <v>2963</v>
      </c>
      <c r="C449" s="523"/>
      <c r="D449" s="523"/>
      <c r="E449" s="524"/>
    </row>
    <row r="450" spans="2:5" ht="20" customHeight="1" x14ac:dyDescent="0.2">
      <c r="B450" s="4" t="s">
        <v>337</v>
      </c>
      <c r="C450" s="89" t="str">
        <f>IF(vcf_granular_option_chosen="Create Cluster",CONCATENATE(this_instance,"01-",sample_cluster_name,"-r06-network-profile"),
IF(cluster_wld_domain_chosen="VI Workload Domain",CONCATENATE(this_instance,"01-",sample_wld_cl01_cluster,"-r06-network-profile"),
CONCATENATE(this_instance,"01-",sample_mgmt_cl01_cluster,"-r06-network-profile")))</f>
        <v>sfo01-sfo-w01-cl01-r06-network-profile</v>
      </c>
      <c r="D450" s="347"/>
      <c r="E450" s="80"/>
    </row>
    <row r="451" spans="2:5" ht="20" customHeight="1" x14ac:dyDescent="0.2">
      <c r="B451" s="4" t="s">
        <v>2936</v>
      </c>
      <c r="C451" s="362" t="s">
        <v>339</v>
      </c>
      <c r="D451" s="127" t="s">
        <v>339</v>
      </c>
      <c r="E451" s="4" t="str">
        <f>IF(wld_az1_rack6_host_overlay_new_pool_chosen="Re-use an existing Pool","An exisitng Pool will be reused for Host TEP assignment","A new Pool will be created for Host TEP assignment")</f>
        <v>A new Pool will be created for Host TEP assignment</v>
      </c>
    </row>
    <row r="452" spans="2:5" ht="20" customHeight="1" x14ac:dyDescent="0.2">
      <c r="B452" s="4" t="s">
        <v>340</v>
      </c>
      <c r="C452" s="89" t="str">
        <f>IF(cluster_wld_domain_chosen="VI Workload Domain",CONCATENATE(this_instance,"01-w0",wld_domain_number_chosen,"-r06-ip-pool01-host"),CONCATENATE(this_instance,"01-m01","-r06-ip-pool01-host"))</f>
        <v>sfo01-w01-r06-ip-pool01-host</v>
      </c>
      <c r="D452" s="347"/>
      <c r="E452" s="80"/>
    </row>
    <row r="453" spans="2:5" ht="20" customHeight="1" x14ac:dyDescent="0.2">
      <c r="B453" s="4" t="s">
        <v>341</v>
      </c>
      <c r="C453" s="89" t="str">
        <f>IF(cluster_wld_domain_chosen="VI Workload Domain",CONCATENATE(this_instance,"01-w0",wld_domain_number_chosen,"-r06-uplink-profile01"),CONCATENATE(this_instance,"01-m01","-r06-uplink-profile01"))</f>
        <v>sfo01-w01-r06-uplink-profile01</v>
      </c>
      <c r="D453" s="347"/>
      <c r="E453" s="80"/>
    </row>
    <row r="454" spans="2:5" ht="20" customHeight="1" x14ac:dyDescent="0.2">
      <c r="B454" s="4" t="s">
        <v>2937</v>
      </c>
      <c r="C454" s="89" t="str">
        <f>IF(cluster_wld_domain_chosen="VI Workload Domain",CONCATENATE(this_instance,"01-w0",wld_domain_number_chosen,"-r06-ip-pool02-edge"),CONCATENATE(this_instance,"01-m01","-r06-ip-pool02-edge"))</f>
        <v>sfo01-w01-r06-ip-pool02-edge</v>
      </c>
      <c r="D454" s="347"/>
      <c r="E454" s="80"/>
    </row>
    <row r="455" spans="2:5" ht="20" customHeight="1" x14ac:dyDescent="0.2">
      <c r="B455" s="4" t="s">
        <v>2938</v>
      </c>
      <c r="C455" s="89" t="str">
        <f>IF(cluster_wld_domain_chosen="VI Workload Domain",CONCATENATE(this_instance,"01-w0",wld_domain_number_chosen,"-r06-ip-pool03-rtep"),CONCATENATE(this_instance,"01-m01","-r06-ip-pool03-rtep"))</f>
        <v>sfo01-w01-r06-ip-pool03-rtep</v>
      </c>
      <c r="D455" s="347"/>
      <c r="E455" s="80"/>
    </row>
    <row r="456" spans="2:5" ht="20" customHeight="1" x14ac:dyDescent="0.2">
      <c r="B456" s="535" t="s">
        <v>834</v>
      </c>
      <c r="C456" s="536"/>
      <c r="D456" s="536"/>
      <c r="E456" s="537"/>
    </row>
    <row r="457" spans="2:5" ht="20" customHeight="1" x14ac:dyDescent="0.2">
      <c r="B457" s="207" t="s">
        <v>261</v>
      </c>
      <c r="C457" s="207" t="s">
        <v>262</v>
      </c>
      <c r="D457" s="239" t="s">
        <v>19</v>
      </c>
      <c r="E457" s="207" t="s">
        <v>20</v>
      </c>
    </row>
    <row r="458" spans="2:5" ht="20" customHeight="1" x14ac:dyDescent="0.2">
      <c r="B458" s="4" t="s">
        <v>1448</v>
      </c>
      <c r="C458" s="80" t="str">
        <f>IF(cluster_wld_domain_chosen&lt;&gt;"MGMT Workload Domain",CONCATENATE(this_instance,"-w0",wld_domain_number_chosen,"-r06","-vsan-fault-domain"),CONCATENATE(this_instance,"-m01","-r06","-vsan-fault-domain"))</f>
        <v>sfo-w01-r06-vsan-fault-domain</v>
      </c>
      <c r="D458" s="347"/>
      <c r="E458" s="337"/>
    </row>
    <row r="459" spans="2:5" ht="16" customHeight="1" x14ac:dyDescent="0.2"/>
    <row r="460" spans="2:5" ht="34" customHeight="1" x14ac:dyDescent="0.2">
      <c r="B460" s="522" t="s">
        <v>2964</v>
      </c>
      <c r="C460" s="523"/>
      <c r="D460" s="523"/>
      <c r="E460" s="524"/>
    </row>
    <row r="461" spans="2:5" ht="20" customHeight="1" x14ac:dyDescent="0.2">
      <c r="B461" s="43" t="s">
        <v>261</v>
      </c>
      <c r="C461" s="43" t="s">
        <v>262</v>
      </c>
      <c r="D461" s="130" t="s">
        <v>19</v>
      </c>
      <c r="E461" s="43" t="s">
        <v>20</v>
      </c>
    </row>
    <row r="462" spans="2:5" ht="20" customHeight="1" x14ac:dyDescent="0.2">
      <c r="B462" s="492" t="s">
        <v>938</v>
      </c>
      <c r="C462" s="493"/>
      <c r="D462" s="493"/>
      <c r="E462" s="494"/>
    </row>
    <row r="463" spans="2:5" ht="20" customHeight="1" x14ac:dyDescent="0.2">
      <c r="B463" s="4" t="s">
        <v>85</v>
      </c>
      <c r="C463" s="362" t="str">
        <f>IF(cluster_wld_domain_chosen&lt;&gt;"MGMT Workload Domain",CONCATENATE(prefix_wld_az1_rack_vlan,"69"),CONCATENATE(prefix_mgmt_az1_vlan,"69"))</f>
        <v>1369</v>
      </c>
      <c r="D463" s="347"/>
      <c r="E463" s="93"/>
    </row>
    <row r="464" spans="2:5" ht="20" customHeight="1" x14ac:dyDescent="0.2">
      <c r="B464" s="4" t="s">
        <v>160</v>
      </c>
      <c r="C464" s="362">
        <v>9000</v>
      </c>
      <c r="D464" s="347"/>
      <c r="E464" s="32"/>
    </row>
    <row r="465" spans="2:5" ht="20" customHeight="1" x14ac:dyDescent="0.2">
      <c r="B465" s="4" t="s">
        <v>188</v>
      </c>
      <c r="C465" s="362" t="str">
        <f>IF(cluster_wld_domain_chosen&lt;&gt;"MGMT Workload Domain",CONCATENATE(prefix_wld_az1_rack_cidr,"69.0"),CONCATENATE(prefix_mgmt_az1_cidr,"69.0"))</f>
        <v>10.13.69.0</v>
      </c>
      <c r="D465" s="347"/>
      <c r="E465" s="32"/>
    </row>
    <row r="466" spans="2:5" ht="20" customHeight="1" x14ac:dyDescent="0.2">
      <c r="B466" s="4" t="s">
        <v>285</v>
      </c>
      <c r="C466" s="362" t="s">
        <v>128</v>
      </c>
      <c r="D466" s="347"/>
      <c r="E466" s="32"/>
    </row>
    <row r="467" spans="2:5" ht="20" customHeight="1" x14ac:dyDescent="0.2">
      <c r="B467" s="4" t="s">
        <v>187</v>
      </c>
      <c r="C467" s="362" t="str">
        <f>IF(cluster_wld_domain_chosen&lt;&gt;"MGMT Workload Domain",CONCATENATE(prefix_wld_az1_rack_cidr,"69.1"),CONCATENATE(prefix_mgmt_az1_cidr,"69.1"))</f>
        <v>10.13.69.1</v>
      </c>
      <c r="D467" s="347"/>
      <c r="E467" s="32"/>
    </row>
    <row r="468" spans="2:5" ht="20" customHeight="1" x14ac:dyDescent="0.2">
      <c r="B468" s="17" t="s">
        <v>255</v>
      </c>
      <c r="C468" s="362" t="str">
        <f>IF(cluster_wld_domain_chosen&lt;&gt;"MGMT Workload Domain",CONCATENATE(prefix_wld_az1_rack_cidr,"69.101"),CONCATENATE(prefix_mgmt_az1_cidr,"69.101"))</f>
        <v>10.13.69.101</v>
      </c>
      <c r="D468" s="347"/>
      <c r="E468" s="100" t="s">
        <v>2940</v>
      </c>
    </row>
    <row r="469" spans="2:5" ht="20" customHeight="1" x14ac:dyDescent="0.2">
      <c r="B469" s="17" t="s">
        <v>256</v>
      </c>
      <c r="C469" s="362" t="str">
        <f>IF(cluster_wld_domain_chosen&lt;&gt;"MGMT Workload Domain",CONCATENATE(prefix_wld_az1_rack_cidr,"69.116"),CONCATENATE(prefix_mgmt_az1_cidr,"69.116"))</f>
        <v>10.13.69.116</v>
      </c>
      <c r="D469" s="347"/>
      <c r="E469" s="100" t="s">
        <v>2941</v>
      </c>
    </row>
    <row r="470" spans="2:5" ht="16" customHeight="1" x14ac:dyDescent="0.2"/>
    <row r="471" spans="2:5" ht="34" customHeight="1" x14ac:dyDescent="0.2">
      <c r="B471" s="522" t="s">
        <v>2965</v>
      </c>
      <c r="C471" s="523"/>
      <c r="D471" s="523"/>
      <c r="E471" s="524"/>
    </row>
    <row r="472" spans="2:5" ht="20" customHeight="1" x14ac:dyDescent="0.2">
      <c r="B472" s="43" t="s">
        <v>261</v>
      </c>
      <c r="C472" s="43" t="s">
        <v>262</v>
      </c>
      <c r="D472" s="130" t="s">
        <v>19</v>
      </c>
      <c r="E472" s="43" t="s">
        <v>20</v>
      </c>
    </row>
    <row r="473" spans="2:5" ht="20" customHeight="1" x14ac:dyDescent="0.2">
      <c r="B473" s="492" t="s">
        <v>213</v>
      </c>
      <c r="C473" s="493"/>
      <c r="D473" s="493"/>
      <c r="E473" s="494"/>
    </row>
    <row r="474" spans="2:5" ht="20" customHeight="1" x14ac:dyDescent="0.2">
      <c r="B474" s="4" t="s">
        <v>85</v>
      </c>
      <c r="C474" s="362" t="str">
        <f>IF(cluster_wld_domain_chosen&lt;&gt;"MGMT Workload Domain",CONCATENATE(prefix_wld_az1_rack_vlan,"77"),CONCATENATE(prefix_mgmt_az1_vlan,"77"))</f>
        <v>1377</v>
      </c>
      <c r="D474" s="347"/>
      <c r="E474" s="93"/>
    </row>
    <row r="475" spans="2:5" ht="20" customHeight="1" x14ac:dyDescent="0.2">
      <c r="B475" s="4" t="s">
        <v>187</v>
      </c>
      <c r="C475" s="362" t="str">
        <f>IF(cluster_wld_domain_chosen&lt;&gt;"MGMT Workload Domain",CONCATENATE(prefix_wld_az1_rack_cidr,"77.1"),CONCATENATE(prefix_mgmt_az1_cidr,"77.1"))</f>
        <v>10.13.77.1</v>
      </c>
      <c r="D475" s="347"/>
      <c r="E475" s="32"/>
    </row>
    <row r="476" spans="2:5" ht="20" customHeight="1" x14ac:dyDescent="0.2">
      <c r="B476" s="4" t="s">
        <v>188</v>
      </c>
      <c r="C476" s="362" t="str">
        <f>IF(cluster_wld_domain_chosen&lt;&gt;"MGMT Workload Domain",CONCATENATE(prefix_wld_az1_rack_cidr,"77.0/24"),CONCATENATE(prefix_mgmt_az1_cidr,"77.0/24"))</f>
        <v>10.13.77.0/24</v>
      </c>
      <c r="D476" s="347"/>
      <c r="E476" s="32"/>
    </row>
    <row r="477" spans="2:5" ht="20" customHeight="1" x14ac:dyDescent="0.2">
      <c r="B477" s="4" t="s">
        <v>160</v>
      </c>
      <c r="C477" s="362">
        <v>1500</v>
      </c>
      <c r="D477" s="347"/>
      <c r="E477" s="32"/>
    </row>
    <row r="478" spans="2:5" ht="20" customHeight="1" x14ac:dyDescent="0.2">
      <c r="B478" s="535" t="s">
        <v>214</v>
      </c>
      <c r="C478" s="536"/>
      <c r="D478" s="536"/>
      <c r="E478" s="537"/>
    </row>
    <row r="479" spans="2:5" ht="20" customHeight="1" x14ac:dyDescent="0.2">
      <c r="B479" s="17" t="s">
        <v>215</v>
      </c>
      <c r="C479" s="126" t="str">
        <f>IF(cluster_wld_domain_chosen&lt;&gt;"MGMT Workload Domain",CONCATENATE(prefix_wld_az1_rack_cidr,"77.101"),CONCATENATE(prefix_mgmt_az1_cidr,"77.101"))</f>
        <v>10.13.77.101</v>
      </c>
      <c r="D479" s="347"/>
      <c r="E479" s="100" t="s">
        <v>216</v>
      </c>
    </row>
    <row r="480" spans="2:5" ht="20" customHeight="1" x14ac:dyDescent="0.2">
      <c r="B480" s="17" t="s">
        <v>217</v>
      </c>
      <c r="C480" s="126" t="str">
        <f>IF(cluster_wld_domain_chosen&lt;&gt;"MGMT Workload Domain",CONCATENATE(prefix_wld_az1_rack_cidr,"77.102"),CONCATENATE(prefix_mgmt_az1_cidr,"77.102"))</f>
        <v>10.13.77.102</v>
      </c>
      <c r="D480" s="347"/>
      <c r="E480" s="100" t="s">
        <v>218</v>
      </c>
    </row>
    <row r="481" spans="2:5" ht="20" customHeight="1" x14ac:dyDescent="0.2">
      <c r="B481" s="17" t="s">
        <v>219</v>
      </c>
      <c r="C481" s="126" t="str">
        <f>IF(cluster_wld_domain_chosen&lt;&gt;"MGMT Workload Domain",CONCATENATE(prefix_wld_az1_rack_cidr,"77.103"),CONCATENATE(prefix_mgmt_az1_cidr,"77.103"))</f>
        <v>10.13.77.103</v>
      </c>
      <c r="D481" s="347"/>
      <c r="E481" s="100" t="s">
        <v>220</v>
      </c>
    </row>
    <row r="482" spans="2:5" ht="20" customHeight="1" x14ac:dyDescent="0.2">
      <c r="B482" s="17" t="s">
        <v>221</v>
      </c>
      <c r="C482" s="126" t="str">
        <f>IF(cluster_wld_domain_chosen&lt;&gt;"MGMT Workload Domain",CONCATENATE(prefix_wld_az1_rack_cidr,"77.104"),CONCATENATE(prefix_mgmt_az1_cidr,"77.104"))</f>
        <v>10.13.77.104</v>
      </c>
      <c r="D482" s="347"/>
      <c r="E482" s="100" t="s">
        <v>222</v>
      </c>
    </row>
    <row r="483" spans="2:5" ht="20" customHeight="1" x14ac:dyDescent="0.2">
      <c r="B483" s="17" t="s">
        <v>223</v>
      </c>
      <c r="C483" s="126" t="str">
        <f>IF(cluster_wld_domain_chosen&lt;&gt;"MGMT Workload Domain",CONCATENATE(prefix_wld_az1_rack_cidr,"77.105"),CONCATENATE(prefix_mgmt_az1_cidr,"77.105"))</f>
        <v>10.13.77.105</v>
      </c>
      <c r="D483" s="347"/>
      <c r="E483" s="100" t="s">
        <v>224</v>
      </c>
    </row>
    <row r="484" spans="2:5" ht="20" customHeight="1" x14ac:dyDescent="0.2">
      <c r="B484" s="17" t="s">
        <v>225</v>
      </c>
      <c r="C484" s="126" t="str">
        <f>IF(cluster_wld_domain_chosen&lt;&gt;"MGMT Workload Domain",CONCATENATE(prefix_wld_az1_rack_cidr,"77.106"),CONCATENATE(prefix_mgmt_az1_cidr,"77.106"))</f>
        <v>10.13.77.106</v>
      </c>
      <c r="D484" s="347"/>
      <c r="E484" s="100" t="s">
        <v>226</v>
      </c>
    </row>
    <row r="485" spans="2:5" ht="20" customHeight="1" x14ac:dyDescent="0.2">
      <c r="B485" s="17" t="s">
        <v>227</v>
      </c>
      <c r="C485" s="126" t="str">
        <f>IF(cluster_wld_domain_chosen&lt;&gt;"MGMT Workload Domain",CONCATENATE(prefix_wld_az1_rack_cidr,"77.107"),CONCATENATE(prefix_mgmt_az1_cidr,"77.107"))</f>
        <v>10.13.77.107</v>
      </c>
      <c r="D485" s="347"/>
      <c r="E485" s="100" t="s">
        <v>228</v>
      </c>
    </row>
    <row r="486" spans="2:5" ht="20" customHeight="1" x14ac:dyDescent="0.2">
      <c r="B486" s="17" t="s">
        <v>229</v>
      </c>
      <c r="C486" s="126" t="str">
        <f>IF(cluster_wld_domain_chosen&lt;&gt;"MGMT Workload Domain",CONCATENATE(prefix_wld_az1_rack_cidr,"77.108"),CONCATENATE(prefix_mgmt_az1_cidr,"77.108"))</f>
        <v>10.13.77.108</v>
      </c>
      <c r="D486" s="347"/>
      <c r="E486" s="100" t="s">
        <v>230</v>
      </c>
    </row>
    <row r="487" spans="2:5" ht="20" customHeight="1" x14ac:dyDescent="0.2">
      <c r="B487" s="17" t="s">
        <v>231</v>
      </c>
      <c r="C487" s="126" t="str">
        <f>IF(cluster_wld_domain_chosen&lt;&gt;"MGMT Workload Domain",CONCATENATE(prefix_wld_az1_rack_cidr,"77.109"),CONCATENATE(prefix_mgmt_az1_cidr,"77.109"))</f>
        <v>10.13.77.109</v>
      </c>
      <c r="D487" s="347"/>
      <c r="E487" s="100" t="s">
        <v>232</v>
      </c>
    </row>
    <row r="488" spans="2:5" ht="20" customHeight="1" x14ac:dyDescent="0.2">
      <c r="B488" s="17" t="s">
        <v>233</v>
      </c>
      <c r="C488" s="126" t="str">
        <f>IF(cluster_wld_domain_chosen&lt;&gt;"MGMT Workload Domain",CONCATENATE(prefix_wld_az1_rack_cidr,"77.110"),CONCATENATE(prefix_mgmt_az1_cidr,"77.110"))</f>
        <v>10.13.77.110</v>
      </c>
      <c r="D488" s="347"/>
      <c r="E488" s="100" t="s">
        <v>234</v>
      </c>
    </row>
    <row r="489" spans="2:5" ht="20" customHeight="1" x14ac:dyDescent="0.2">
      <c r="B489" s="17" t="s">
        <v>235</v>
      </c>
      <c r="C489" s="126" t="str">
        <f>IF(cluster_wld_domain_chosen&lt;&gt;"MGMT Workload Domain",CONCATENATE(prefix_wld_az1_rack_cidr,"77.111"),CONCATENATE(prefix_mgmt_az1_cidr,"77.111"))</f>
        <v>10.13.77.111</v>
      </c>
      <c r="D489" s="347"/>
      <c r="E489" s="100" t="s">
        <v>236</v>
      </c>
    </row>
    <row r="490" spans="2:5" ht="20" customHeight="1" x14ac:dyDescent="0.2">
      <c r="B490" s="17" t="s">
        <v>237</v>
      </c>
      <c r="C490" s="126" t="str">
        <f>IF(cluster_wld_domain_chosen&lt;&gt;"MGMT Workload Domain",CONCATENATE(prefix_wld_az1_rack_cidr,"77.112"),CONCATENATE(prefix_mgmt_az1_cidr,"77.112"))</f>
        <v>10.13.77.112</v>
      </c>
      <c r="D490" s="347"/>
      <c r="E490" s="100" t="s">
        <v>238</v>
      </c>
    </row>
    <row r="491" spans="2:5" ht="20" customHeight="1" x14ac:dyDescent="0.2">
      <c r="B491" s="17" t="s">
        <v>239</v>
      </c>
      <c r="C491" s="126" t="str">
        <f>IF(cluster_wld_domain_chosen&lt;&gt;"MGMT Workload Domain",CONCATENATE(prefix_wld_az1_rack_cidr,"77.113"),CONCATENATE(prefix_mgmt_az1_cidr,"77.113"))</f>
        <v>10.13.77.113</v>
      </c>
      <c r="D491" s="347"/>
      <c r="E491" s="100" t="s">
        <v>240</v>
      </c>
    </row>
    <row r="492" spans="2:5" ht="20" customHeight="1" x14ac:dyDescent="0.2">
      <c r="B492" s="17" t="s">
        <v>241</v>
      </c>
      <c r="C492" s="126" t="str">
        <f>IF(cluster_wld_domain_chosen&lt;&gt;"MGMT Workload Domain",CONCATENATE(prefix_wld_az1_rack_cidr,"77.114"),CONCATENATE(prefix_mgmt_az1_cidr,"77.114"))</f>
        <v>10.13.77.114</v>
      </c>
      <c r="D492" s="347"/>
      <c r="E492" s="100" t="s">
        <v>242</v>
      </c>
    </row>
    <row r="493" spans="2:5" ht="20" customHeight="1" x14ac:dyDescent="0.2">
      <c r="B493" s="17" t="s">
        <v>243</v>
      </c>
      <c r="C493" s="126" t="str">
        <f>IF(cluster_wld_domain_chosen&lt;&gt;"MGMT Workload Domain",CONCATENATE(prefix_wld_az1_rack_cidr,"77.115"),CONCATENATE(prefix_mgmt_az1_cidr,"77.115"))</f>
        <v>10.13.77.115</v>
      </c>
      <c r="D493" s="347"/>
      <c r="E493" s="100" t="s">
        <v>244</v>
      </c>
    </row>
    <row r="494" spans="2:5" ht="20" customHeight="1" x14ac:dyDescent="0.2">
      <c r="B494" s="17" t="s">
        <v>245</v>
      </c>
      <c r="C494" s="126" t="str">
        <f>IF(cluster_wld_domain_chosen&lt;&gt;"MGMT Workload Domain",CONCATENATE(prefix_wld_az1_rack_cidr,"77.116"),CONCATENATE(prefix_mgmt_az1_cidr,"77.116"))</f>
        <v>10.13.77.116</v>
      </c>
      <c r="D494" s="347"/>
      <c r="E494" s="100" t="s">
        <v>246</v>
      </c>
    </row>
    <row r="495" spans="2:5" ht="16" customHeight="1" x14ac:dyDescent="0.2">
      <c r="B495" s="8"/>
      <c r="C495" s="8"/>
      <c r="D495" s="8"/>
      <c r="E495" s="8"/>
    </row>
    <row r="496" spans="2:5" ht="34" customHeight="1" x14ac:dyDescent="0.2">
      <c r="B496" s="522" t="s">
        <v>2966</v>
      </c>
      <c r="C496" s="523"/>
      <c r="D496" s="523"/>
      <c r="E496" s="524"/>
    </row>
    <row r="497" spans="2:5" ht="20" customHeight="1" x14ac:dyDescent="0.2">
      <c r="B497" s="43" t="s">
        <v>261</v>
      </c>
      <c r="C497" s="43" t="s">
        <v>262</v>
      </c>
      <c r="D497" s="130" t="s">
        <v>19</v>
      </c>
      <c r="E497" s="43" t="s">
        <v>20</v>
      </c>
    </row>
    <row r="498" spans="2:5" ht="20" customHeight="1" x14ac:dyDescent="0.2">
      <c r="B498" s="4" t="s">
        <v>2929</v>
      </c>
      <c r="C498" s="362" t="s">
        <v>249</v>
      </c>
      <c r="D498" s="127" t="s">
        <v>249</v>
      </c>
      <c r="E498" s="4" t="str">
        <f>IF(wld_az1_rack7_reuse_vcf_networkpool_chosen="Re-use an existing  VCF Network Pool","An exisiting VCF Network Pool will be reused for Host TEP assignment","A new VCF Network Pool will be created")</f>
        <v>A new VCF Network Pool will be created</v>
      </c>
    </row>
    <row r="499" spans="2:5" ht="20" customHeight="1" x14ac:dyDescent="0.2">
      <c r="B499" s="17" t="s">
        <v>250</v>
      </c>
      <c r="C499" s="89" t="str">
        <f>IF(cluster_wld_domain_chosen="VI Workload Domain",CONCATENATE(this_instance,"01-w0",wld_domain_number_chosen,"-r07-network-pool-01"),CONCATENATE(this_instance,"01-m01","-r07-network-pool-01"))</f>
        <v>sfo01-w01-r07-network-pool-01</v>
      </c>
      <c r="D499" s="347"/>
      <c r="E499" s="32"/>
    </row>
    <row r="500" spans="2:5" ht="20" customHeight="1" x14ac:dyDescent="0.2">
      <c r="B500" s="492" t="s">
        <v>251</v>
      </c>
      <c r="C500" s="493"/>
      <c r="D500" s="493"/>
      <c r="E500" s="494"/>
    </row>
    <row r="501" spans="2:5" ht="20" customHeight="1" x14ac:dyDescent="0.2">
      <c r="B501" s="4" t="s">
        <v>85</v>
      </c>
      <c r="C501" s="362" t="str">
        <f>IF(cluster_wld_domain_chosen&lt;&gt;"MGMT Workload Domain",CONCATENATE(prefix_wld_az1_rack_vlan,"78"),CONCATENATE(prefix_mgmt_az1_vlan,"78"))</f>
        <v>1378</v>
      </c>
      <c r="D501" s="347"/>
      <c r="E501" s="93"/>
    </row>
    <row r="502" spans="2:5" ht="20" customHeight="1" x14ac:dyDescent="0.2">
      <c r="B502" s="4" t="s">
        <v>160</v>
      </c>
      <c r="C502" s="362">
        <v>9000</v>
      </c>
      <c r="D502" s="347"/>
      <c r="E502" s="32"/>
    </row>
    <row r="503" spans="2:5" ht="20" customHeight="1" x14ac:dyDescent="0.2">
      <c r="B503" s="4" t="s">
        <v>188</v>
      </c>
      <c r="C503" s="126" t="str">
        <f>IF(cluster_wld_domain_chosen&lt;&gt;"MGMT Workload Domain",CONCATENATE(prefix_wld_az1_rack_cidr,"78.0"),CONCATENATE(prefix_mgmt_az1_cidr,"78.0"))</f>
        <v>10.13.78.0</v>
      </c>
      <c r="D503" s="347"/>
      <c r="E503" s="32"/>
    </row>
    <row r="504" spans="2:5" ht="20" customHeight="1" x14ac:dyDescent="0.2">
      <c r="B504" s="4" t="s">
        <v>285</v>
      </c>
      <c r="C504" s="126" t="s">
        <v>128</v>
      </c>
      <c r="D504" s="347"/>
      <c r="E504" s="32"/>
    </row>
    <row r="505" spans="2:5" ht="20" customHeight="1" x14ac:dyDescent="0.2">
      <c r="B505" s="4" t="s">
        <v>187</v>
      </c>
      <c r="C505" s="362" t="str">
        <f>IF(cluster_wld_domain_chosen&lt;&gt;"MGMT Workload Domain",CONCATENATE(prefix_wld_az1_rack_cidr,"78.1"),CONCATENATE(prefix_mgmt_az1_cidr,"78.1"))</f>
        <v>10.13.78.1</v>
      </c>
      <c r="D505" s="347"/>
      <c r="E505" s="32"/>
    </row>
    <row r="506" spans="2:5" ht="20" customHeight="1" x14ac:dyDescent="0.2">
      <c r="B506" s="17" t="s">
        <v>255</v>
      </c>
      <c r="C506" s="362" t="str">
        <f>IF(cluster_wld_domain_chosen&lt;&gt;"MGMT Workload Domain",CONCATENATE(prefix_wld_az1_rack_cidr,"78.101"),CONCATENATE(prefix_mgmt_az1_cidr,"78.101"))</f>
        <v>10.13.78.101</v>
      </c>
      <c r="D506" s="347"/>
      <c r="E506" s="100" t="s">
        <v>2930</v>
      </c>
    </row>
    <row r="507" spans="2:5" ht="20" customHeight="1" x14ac:dyDescent="0.2">
      <c r="B507" s="17" t="s">
        <v>256</v>
      </c>
      <c r="C507" s="362" t="str">
        <f>IF(cluster_wld_domain_chosen&lt;&gt;"MGMT Workload Domain",CONCATENATE(prefix_wld_az1_rack_cidr,"78.116"),CONCATENATE(prefix_mgmt_az1_cidr,"78.116"))</f>
        <v>10.13.78.116</v>
      </c>
      <c r="D507" s="347"/>
      <c r="E507" s="100" t="s">
        <v>2931</v>
      </c>
    </row>
    <row r="508" spans="2:5" ht="20" customHeight="1" x14ac:dyDescent="0.2">
      <c r="B508" s="492" t="s">
        <v>257</v>
      </c>
      <c r="C508" s="493"/>
      <c r="D508" s="493"/>
      <c r="E508" s="494"/>
    </row>
    <row r="509" spans="2:5" ht="20" customHeight="1" x14ac:dyDescent="0.2">
      <c r="B509" s="4" t="s">
        <v>85</v>
      </c>
      <c r="C509" s="362" t="str">
        <f>IF(cluster_wld_domain_chosen&lt;&gt;"MGMT Workload Domain",CONCATENATE(prefix_wld_az1_rack_vlan,"79"),CONCATENATE(prefix_mgmt_az1_vlan,"79"))</f>
        <v>1379</v>
      </c>
      <c r="D509" s="347"/>
      <c r="E509" s="32"/>
    </row>
    <row r="510" spans="2:5" ht="20" customHeight="1" x14ac:dyDescent="0.2">
      <c r="B510" s="4" t="s">
        <v>160</v>
      </c>
      <c r="C510" s="362">
        <v>9000</v>
      </c>
      <c r="D510" s="347"/>
      <c r="E510" s="32"/>
    </row>
    <row r="511" spans="2:5" ht="20" customHeight="1" x14ac:dyDescent="0.2">
      <c r="B511" s="4" t="s">
        <v>188</v>
      </c>
      <c r="C511" s="126" t="str">
        <f>IF(cluster_wld_domain_chosen&lt;&gt;"MGMT Workload Domain",CONCATENATE(prefix_wld_az1_rack_cidr,"79.0"),CONCATENATE(prefix_mgmt_az1_cidr,"79.0"))</f>
        <v>10.13.79.0</v>
      </c>
      <c r="D511" s="347"/>
      <c r="E511" s="56"/>
    </row>
    <row r="512" spans="2:5" ht="20" customHeight="1" x14ac:dyDescent="0.2">
      <c r="B512" s="4" t="s">
        <v>285</v>
      </c>
      <c r="C512" s="126" t="s">
        <v>128</v>
      </c>
      <c r="D512" s="347"/>
      <c r="E512" s="32"/>
    </row>
    <row r="513" spans="2:5" ht="20" customHeight="1" x14ac:dyDescent="0.2">
      <c r="B513" s="4" t="s">
        <v>187</v>
      </c>
      <c r="C513" s="362" t="str">
        <f>IF(cluster_wld_domain_chosen&lt;&gt;"MGMT Workload Domain",CONCATENATE(prefix_wld_az1_rack_cidr,"79.1"),CONCATENATE(prefix_mgmt_az1_cidr,"79.1"))</f>
        <v>10.13.79.1</v>
      </c>
      <c r="D513" s="347"/>
      <c r="E513" s="32" t="str">
        <f>IF(AND(mgmt_stretched_cluster_result="Included",mgmt_dpg_reuse_result="Excluded"),"Stretched L2","")</f>
        <v/>
      </c>
    </row>
    <row r="514" spans="2:5" ht="20" customHeight="1" x14ac:dyDescent="0.2">
      <c r="B514" s="17" t="s">
        <v>255</v>
      </c>
      <c r="C514" s="362" t="str">
        <f>IF(cluster_wld_domain_chosen&lt;&gt;"MGMT Workload Domain",CONCATENATE(prefix_wld_az1_rack_cidr,"79.101"),CONCATENATE(prefix_mgmt_az1_cidr,"79.101"))</f>
        <v>10.13.79.101</v>
      </c>
      <c r="D514" s="347"/>
      <c r="E514" s="100" t="s">
        <v>2932</v>
      </c>
    </row>
    <row r="515" spans="2:5" ht="20" customHeight="1" x14ac:dyDescent="0.2">
      <c r="B515" s="17" t="s">
        <v>256</v>
      </c>
      <c r="C515" s="362" t="str">
        <f>IF(cluster_wld_domain_chosen&lt;&gt;"MGMT Workload Domain",CONCATENATE(prefix_wld_az1_rack_cidr,"79.116"),CONCATENATE(prefix_mgmt_az1_cidr,"79.116"))</f>
        <v>10.13.79.116</v>
      </c>
      <c r="D515" s="347"/>
      <c r="E515" s="100" t="s">
        <v>2933</v>
      </c>
    </row>
    <row r="516" spans="2:5" ht="16" customHeight="1" x14ac:dyDescent="0.2">
      <c r="B516" s="8"/>
      <c r="C516" s="8"/>
      <c r="D516" s="8"/>
      <c r="E516" s="8"/>
    </row>
    <row r="517" spans="2:5" ht="34" customHeight="1" x14ac:dyDescent="0.2">
      <c r="B517" s="522" t="s">
        <v>2967</v>
      </c>
      <c r="C517" s="523"/>
      <c r="D517" s="523"/>
      <c r="E517" s="524"/>
    </row>
    <row r="518" spans="2:5" ht="20" customHeight="1" x14ac:dyDescent="0.2">
      <c r="B518" s="43" t="s">
        <v>261</v>
      </c>
      <c r="C518" s="43" t="s">
        <v>262</v>
      </c>
      <c r="D518" s="130" t="s">
        <v>19</v>
      </c>
      <c r="E518" s="43" t="s">
        <v>20</v>
      </c>
    </row>
    <row r="519" spans="2:5" ht="20" customHeight="1" x14ac:dyDescent="0.2">
      <c r="B519" s="17" t="s">
        <v>215</v>
      </c>
      <c r="C519" s="126" t="str">
        <f>IF(cluster_wld_domain_chosen&lt;&gt;"MGMT Workload Domain",CONCATENATE(this_instance,"01-w0",wld_domain_number_chosen,"-r07-esx01",".",sample_child_dns_zone),CONCATENATE(this_instance,"01-m01-r07-esx01",".",sample_child_dns_zone))</f>
        <v>sfo01-w01-r07-esx01.sfo.rainpole.io</v>
      </c>
      <c r="D519" s="347"/>
      <c r="E519" s="32"/>
    </row>
    <row r="520" spans="2:5" ht="20" customHeight="1" x14ac:dyDescent="0.2">
      <c r="B520" s="17" t="s">
        <v>217</v>
      </c>
      <c r="C520" s="126" t="str">
        <f>IF(cluster_wld_domain_chosen&lt;&gt;"MGMT Workload Domain",CONCATENATE(this_instance,"01-w0",wld_domain_number_chosen,"-r07-esx02",".",sample_child_dns_zone),CONCATENATE(this_instance,"01-m01-r07-esx02",".",sample_child_dns_zone))</f>
        <v>sfo01-w01-r07-esx02.sfo.rainpole.io</v>
      </c>
      <c r="D520" s="347"/>
      <c r="E520" s="32"/>
    </row>
    <row r="521" spans="2:5" ht="20" customHeight="1" x14ac:dyDescent="0.2">
      <c r="B521" s="17" t="s">
        <v>219</v>
      </c>
      <c r="C521" s="126" t="str">
        <f>IF(cluster_wld_domain_chosen&lt;&gt;"MGMT Workload Domain",CONCATENATE(this_instance,"01-w0",wld_domain_number_chosen,"-r07-esx03",".",sample_child_dns_zone),CONCATENATE(this_instance,"01-m01-r07-esx03",".",sample_child_dns_zone))</f>
        <v>sfo01-w01-r07-esx03.sfo.rainpole.io</v>
      </c>
      <c r="D521" s="347"/>
      <c r="E521" s="32"/>
    </row>
    <row r="522" spans="2:5" ht="20" customHeight="1" x14ac:dyDescent="0.2">
      <c r="B522" s="17" t="s">
        <v>221</v>
      </c>
      <c r="C522" s="126" t="str">
        <f>IF(cluster_wld_domain_chosen&lt;&gt;"MGMT Workload Domain",CONCATENATE(this_instance,"01-w0",wld_domain_number_chosen,"-r07-esx04",".",sample_child_dns_zone),CONCATENATE(this_instance,"01-m01-r07-esx04",".",sample_child_dns_zone))</f>
        <v>sfo01-w01-r07-esx04.sfo.rainpole.io</v>
      </c>
      <c r="D522" s="347"/>
      <c r="E522" s="32"/>
    </row>
    <row r="523" spans="2:5" ht="20" customHeight="1" x14ac:dyDescent="0.2">
      <c r="B523" s="17" t="s">
        <v>223</v>
      </c>
      <c r="C523" s="126" t="str">
        <f>IF(cluster_wld_domain_chosen&lt;&gt;"MGMT Workload Domain",CONCATENATE(this_instance,"01-w0",wld_domain_number_chosen,"-r07-esx05",".",sample_child_dns_zone),CONCATENATE(this_instance,"01-m01-r07-esx05",".",sample_child_dns_zone))</f>
        <v>sfo01-w01-r07-esx05.sfo.rainpole.io</v>
      </c>
      <c r="D523" s="347"/>
      <c r="E523" s="32"/>
    </row>
    <row r="524" spans="2:5" ht="20" customHeight="1" x14ac:dyDescent="0.2">
      <c r="B524" s="17" t="s">
        <v>225</v>
      </c>
      <c r="C524" s="126" t="str">
        <f>IF(cluster_wld_domain_chosen&lt;&gt;"MGMT Workload Domain",CONCATENATE(this_instance,"01-w0",wld_domain_number_chosen,"-r07-esx06",".",sample_child_dns_zone),CONCATENATE(this_instance,"01-m01-r07-esx06",".",sample_child_dns_zone))</f>
        <v>sfo01-w01-r07-esx06.sfo.rainpole.io</v>
      </c>
      <c r="D524" s="347"/>
      <c r="E524" s="32"/>
    </row>
    <row r="525" spans="2:5" ht="20" customHeight="1" x14ac:dyDescent="0.2">
      <c r="B525" s="17" t="s">
        <v>227</v>
      </c>
      <c r="C525" s="126" t="str">
        <f>IF(cluster_wld_domain_chosen&lt;&gt;"MGMT Workload Domain",CONCATENATE(this_instance,"01-w0",wld_domain_number_chosen,"-r07-esx07",".",sample_child_dns_zone),CONCATENATE(this_instance,"01-m01-r07-esx07",".",sample_child_dns_zone))</f>
        <v>sfo01-w01-r07-esx07.sfo.rainpole.io</v>
      </c>
      <c r="D525" s="347"/>
      <c r="E525" s="32"/>
    </row>
    <row r="526" spans="2:5" ht="20" customHeight="1" x14ac:dyDescent="0.2">
      <c r="B526" s="17" t="s">
        <v>229</v>
      </c>
      <c r="C526" s="126" t="str">
        <f>IF(cluster_wld_domain_chosen&lt;&gt;"MGMT Workload Domain",CONCATENATE(this_instance,"01-w0",wld_domain_number_chosen,"-r07-esx08",".",sample_child_dns_zone),CONCATENATE(this_instance,"01-m01-r07-esx08",".",sample_child_dns_zone))</f>
        <v>sfo01-w01-r07-esx08.sfo.rainpole.io</v>
      </c>
      <c r="D526" s="347"/>
      <c r="E526" s="32"/>
    </row>
    <row r="527" spans="2:5" ht="20" customHeight="1" x14ac:dyDescent="0.2">
      <c r="B527" s="17" t="s">
        <v>231</v>
      </c>
      <c r="C527" s="126" t="str">
        <f>IF(cluster_wld_domain_chosen&lt;&gt;"MGMT Workload Domain",CONCATENATE(this_instance,"01-w0",wld_domain_number_chosen,"-r07-esx09",".",sample_child_dns_zone),CONCATENATE(this_instance,"01-m01-r07-esx09",".",sample_child_dns_zone))</f>
        <v>sfo01-w01-r07-esx09.sfo.rainpole.io</v>
      </c>
      <c r="D527" s="347"/>
      <c r="E527" s="32"/>
    </row>
    <row r="528" spans="2:5" ht="20" customHeight="1" x14ac:dyDescent="0.2">
      <c r="B528" s="17" t="s">
        <v>233</v>
      </c>
      <c r="C528" s="126" t="str">
        <f>IF(cluster_wld_domain_chosen&lt;&gt;"MGMT Workload Domain",CONCATENATE(this_instance,"01-w0",wld_domain_number_chosen,"-r07-esx10",".",sample_child_dns_zone),CONCATENATE(this_instance,"01-m01-r07-esx10",".",sample_child_dns_zone))</f>
        <v>sfo01-w01-r07-esx10.sfo.rainpole.io</v>
      </c>
      <c r="D528" s="347"/>
      <c r="E528" s="32"/>
    </row>
    <row r="529" spans="2:5" ht="20" customHeight="1" x14ac:dyDescent="0.2">
      <c r="B529" s="17" t="s">
        <v>235</v>
      </c>
      <c r="C529" s="126" t="str">
        <f>IF(cluster_wld_domain_chosen&lt;&gt;"MGMT Workload Domain",CONCATENATE(this_instance,"01-w0",wld_domain_number_chosen,"-r07-esx11",".",sample_child_dns_zone),CONCATENATE(this_instance,"01-m01-r07-esx11",".",sample_child_dns_zone))</f>
        <v>sfo01-w01-r07-esx11.sfo.rainpole.io</v>
      </c>
      <c r="D529" s="347"/>
      <c r="E529" s="32"/>
    </row>
    <row r="530" spans="2:5" ht="20" customHeight="1" x14ac:dyDescent="0.2">
      <c r="B530" s="17" t="s">
        <v>237</v>
      </c>
      <c r="C530" s="126" t="str">
        <f>IF(cluster_wld_domain_chosen&lt;&gt;"MGMT Workload Domain",CONCATENATE(this_instance,"01-w0",wld_domain_number_chosen,"-r07-esx12",".",sample_child_dns_zone),CONCATENATE(this_instance,"01-m01-r07-esx12",".",sample_child_dns_zone))</f>
        <v>sfo01-w01-r07-esx12.sfo.rainpole.io</v>
      </c>
      <c r="D530" s="347"/>
      <c r="E530" s="32"/>
    </row>
    <row r="531" spans="2:5" ht="20" customHeight="1" x14ac:dyDescent="0.2">
      <c r="B531" s="17" t="s">
        <v>239</v>
      </c>
      <c r="C531" s="126" t="str">
        <f>IF(cluster_wld_domain_chosen&lt;&gt;"MGMT Workload Domain",CONCATENATE(this_instance,"01-w0",wld_domain_number_chosen,"-r07-esx13",".",sample_child_dns_zone),CONCATENATE(this_instance,"01-m01-r07-esx13",".",sample_child_dns_zone))</f>
        <v>sfo01-w01-r07-esx13.sfo.rainpole.io</v>
      </c>
      <c r="D531" s="347"/>
      <c r="E531" s="32"/>
    </row>
    <row r="532" spans="2:5" ht="20" customHeight="1" x14ac:dyDescent="0.2">
      <c r="B532" s="17" t="s">
        <v>241</v>
      </c>
      <c r="C532" s="126" t="str">
        <f>IF(cluster_wld_domain_chosen&lt;&gt;"MGMT Workload Domain",CONCATENATE(this_instance,"01-w0",wld_domain_number_chosen,"-r07-esx14",".",sample_child_dns_zone),CONCATENATE(this_instance,"01-m01-r07-esx14",".",sample_child_dns_zone))</f>
        <v>sfo01-w01-r07-esx14.sfo.rainpole.io</v>
      </c>
      <c r="D532" s="347"/>
      <c r="E532" s="32"/>
    </row>
    <row r="533" spans="2:5" ht="20" customHeight="1" x14ac:dyDescent="0.2">
      <c r="B533" s="17" t="s">
        <v>243</v>
      </c>
      <c r="C533" s="126" t="str">
        <f>IF(cluster_wld_domain_chosen&lt;&gt;"MGMT Workload Domain",CONCATENATE(this_instance,"01-w0",wld_domain_number_chosen,"-r07-esx14",".",sample_child_dns_zone),CONCATENATE(this_instance,"01-m01-r07-esx15",".",sample_child_dns_zone))</f>
        <v>sfo01-w01-r07-esx14.sfo.rainpole.io</v>
      </c>
      <c r="D533" s="347"/>
      <c r="E533" s="32"/>
    </row>
    <row r="534" spans="2:5" ht="20" customHeight="1" x14ac:dyDescent="0.2">
      <c r="B534" s="17" t="s">
        <v>245</v>
      </c>
      <c r="C534" s="126" t="str">
        <f>IF(cluster_wld_domain_chosen&lt;&gt;"MGMT Workload Domain",CONCATENATE(this_instance,"01-w0",wld_domain_number_chosen,"-r07-esx16",".",sample_child_dns_zone),CONCATENATE(this_instance,"01-m01-r07-esx16",".",sample_child_dns_zone))</f>
        <v>sfo01-w01-r07-esx16.sfo.rainpole.io</v>
      </c>
      <c r="D534" s="347"/>
      <c r="E534" s="32"/>
    </row>
    <row r="535" spans="2:5" ht="20" customHeight="1" x14ac:dyDescent="0.2">
      <c r="B535" s="17" t="s">
        <v>264</v>
      </c>
      <c r="C535" s="126" t="s">
        <v>762</v>
      </c>
      <c r="D535" s="337" t="s">
        <v>265</v>
      </c>
      <c r="E535" s="32"/>
    </row>
    <row r="536" spans="2:5" ht="20" customHeight="1" x14ac:dyDescent="0.2">
      <c r="B536" s="17" t="s">
        <v>266</v>
      </c>
      <c r="C536" s="126" t="s">
        <v>267</v>
      </c>
      <c r="D536"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536" s="4"/>
    </row>
    <row r="537" spans="2:5" ht="20" customHeight="1" x14ac:dyDescent="0.2">
      <c r="B537" s="17" t="s">
        <v>268</v>
      </c>
      <c r="C537" s="126" t="s">
        <v>159</v>
      </c>
      <c r="D537" s="337" t="str">
        <f>IF(AND(vcf_granular_option_chosen="Create Cluster",cluster_principal_storage_chosen="vSAN-ESA"),"Selected",
IF(AND(vcf_granular_option_chosen="Create VI Workload Domain",wld_principal_storage_chosen="vSAN-ESA"),"Selected","Unselected"))</f>
        <v>Unselected</v>
      </c>
      <c r="E537" s="32"/>
    </row>
    <row r="538" spans="2:5" ht="20" customHeight="1" x14ac:dyDescent="0.2">
      <c r="B538" s="17" t="s">
        <v>250</v>
      </c>
      <c r="C538" s="126" t="str">
        <f>sample_wld_az1_rack7_pool_name</f>
        <v>sfo01-w01-r07-network-pool-01</v>
      </c>
      <c r="D538" s="337" t="str">
        <f>wld_az1_rack7_pool_name</f>
        <v>Value Missing</v>
      </c>
      <c r="E538" s="32"/>
    </row>
    <row r="539" spans="2:5" ht="20" customHeight="1" x14ac:dyDescent="0.2">
      <c r="B539" s="17" t="s">
        <v>46</v>
      </c>
      <c r="C539" s="126" t="s">
        <v>269</v>
      </c>
      <c r="D539"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539" s="32"/>
    </row>
    <row r="540" spans="2:5" ht="20" customHeight="1" x14ac:dyDescent="0.2">
      <c r="B540" s="17" t="s">
        <v>29</v>
      </c>
      <c r="C540" s="126" t="s">
        <v>30</v>
      </c>
      <c r="D540"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540" s="32"/>
    </row>
    <row r="541" spans="2:5" ht="16" customHeight="1" x14ac:dyDescent="0.2"/>
    <row r="542" spans="2:5" ht="34" customHeight="1" x14ac:dyDescent="0.2">
      <c r="B542" s="522" t="s">
        <v>2968</v>
      </c>
      <c r="C542" s="523"/>
      <c r="D542" s="523"/>
      <c r="E542" s="524"/>
    </row>
    <row r="543" spans="2:5" ht="20" customHeight="1" x14ac:dyDescent="0.2">
      <c r="B543" s="4" t="s">
        <v>337</v>
      </c>
      <c r="C543" s="89" t="str">
        <f>IF(vcf_granular_option_chosen="Create Cluster",CONCATENATE(this_instance,"01-",sample_cluster_name,"-r07-network-profile"),
IF(cluster_wld_domain_chosen="VI Workload Domain",CONCATENATE(this_instance,"01-",sample_wld_cl01_cluster,"-r07-network-profile"),
CONCATENATE(this_instance,"01-",sample_mgmt_cl01_cluster,"-r07-network-profile")))</f>
        <v>sfo01-sfo-w01-cl01-r07-network-profile</v>
      </c>
      <c r="D543" s="347"/>
      <c r="E543" s="80"/>
    </row>
    <row r="544" spans="2:5" ht="20" customHeight="1" x14ac:dyDescent="0.2">
      <c r="B544" s="4" t="s">
        <v>2936</v>
      </c>
      <c r="C544" s="362" t="s">
        <v>339</v>
      </c>
      <c r="D544" s="127" t="s">
        <v>339</v>
      </c>
      <c r="E544" s="4" t="str">
        <f>IF(wld_az1_rack7_host_overlay_new_pool_chosen="Re-use an existing Pool","An exisitng Pool will be reused for Host TEP assignment","A new Pool will be created for Host TEP assignment")</f>
        <v>A new Pool will be created for Host TEP assignment</v>
      </c>
    </row>
    <row r="545" spans="2:5" ht="20" customHeight="1" x14ac:dyDescent="0.2">
      <c r="B545" s="4" t="s">
        <v>340</v>
      </c>
      <c r="C545" s="89" t="str">
        <f>IF(cluster_wld_domain_chosen="VI Workload Domain",CONCATENATE(this_instance,"01-w0",wld_domain_number_chosen,"-r07-ip-pool01-host"),CONCATENATE(this_instance,"01-m01","-r07-ip-pool01-host"))</f>
        <v>sfo01-w01-r07-ip-pool01-host</v>
      </c>
      <c r="D545" s="347"/>
      <c r="E545" s="80"/>
    </row>
    <row r="546" spans="2:5" ht="20" customHeight="1" x14ac:dyDescent="0.2">
      <c r="B546" s="4" t="s">
        <v>341</v>
      </c>
      <c r="C546" s="89" t="str">
        <f>IF(cluster_wld_domain_chosen="VI Workload Domain",CONCATENATE(this_instance,"01-w0",wld_domain_number_chosen,"-r07-uplink-profile01"),CONCATENATE(this_instance,"01-m01","-r07-uplink-profile01"))</f>
        <v>sfo01-w01-r07-uplink-profile01</v>
      </c>
      <c r="D546" s="347"/>
      <c r="E546" s="80"/>
    </row>
    <row r="547" spans="2:5" ht="20" customHeight="1" x14ac:dyDescent="0.2">
      <c r="B547" s="4" t="s">
        <v>2937</v>
      </c>
      <c r="C547" s="89" t="str">
        <f>IF(cluster_wld_domain_chosen="VI Workload Domain",CONCATENATE(this_instance,"01-w0",wld_domain_number_chosen,"-r07-ip-pool02-edge"),CONCATENATE(this_instance,"01-m01","-r07-ip-pool02-edge"))</f>
        <v>sfo01-w01-r07-ip-pool02-edge</v>
      </c>
      <c r="D547" s="347"/>
      <c r="E547" s="80"/>
    </row>
    <row r="548" spans="2:5" ht="20" customHeight="1" x14ac:dyDescent="0.2">
      <c r="B548" s="4" t="s">
        <v>2938</v>
      </c>
      <c r="C548" s="89" t="str">
        <f>IF(cluster_wld_domain_chosen="VI Workload Domain",CONCATENATE(this_instance,"01-w0",wld_domain_number_chosen,"-r07-ip-pool03-rtep"),CONCATENATE(this_instance,"01-m01","-r07-ip-pool03-rtep"))</f>
        <v>sfo01-w01-r07-ip-pool03-rtep</v>
      </c>
      <c r="D548" s="347"/>
      <c r="E548" s="80"/>
    </row>
    <row r="549" spans="2:5" ht="20" customHeight="1" x14ac:dyDescent="0.2">
      <c r="B549" s="535" t="s">
        <v>834</v>
      </c>
      <c r="C549" s="536"/>
      <c r="D549" s="536"/>
      <c r="E549" s="537"/>
    </row>
    <row r="550" spans="2:5" ht="20" customHeight="1" x14ac:dyDescent="0.2">
      <c r="B550" s="207" t="s">
        <v>261</v>
      </c>
      <c r="C550" s="207" t="s">
        <v>262</v>
      </c>
      <c r="D550" s="239" t="s">
        <v>19</v>
      </c>
      <c r="E550" s="207" t="s">
        <v>20</v>
      </c>
    </row>
    <row r="551" spans="2:5" ht="20" customHeight="1" x14ac:dyDescent="0.2">
      <c r="B551" s="4" t="s">
        <v>1448</v>
      </c>
      <c r="C551" s="80" t="str">
        <f>IF(cluster_wld_domain_chosen&lt;&gt;"MGMT Workload Domain",CONCATENATE(this_instance,"-w0",wld_domain_number_chosen,"-r07","-vsan-fault-domain"),CONCATENATE(this_instance,"-m01","-r07","-vsan-fault-domain"))</f>
        <v>sfo-w01-r07-vsan-fault-domain</v>
      </c>
      <c r="D551" s="347"/>
      <c r="E551" s="337"/>
    </row>
    <row r="552" spans="2:5" ht="16" customHeight="1" x14ac:dyDescent="0.2"/>
    <row r="553" spans="2:5" ht="34" customHeight="1" x14ac:dyDescent="0.2">
      <c r="B553" s="522" t="s">
        <v>2969</v>
      </c>
      <c r="C553" s="523"/>
      <c r="D553" s="523"/>
      <c r="E553" s="524"/>
    </row>
    <row r="554" spans="2:5" ht="20" customHeight="1" x14ac:dyDescent="0.2">
      <c r="B554" s="43" t="s">
        <v>261</v>
      </c>
      <c r="C554" s="43" t="s">
        <v>262</v>
      </c>
      <c r="D554" s="130" t="s">
        <v>19</v>
      </c>
      <c r="E554" s="43" t="s">
        <v>20</v>
      </c>
    </row>
    <row r="555" spans="2:5" ht="20" customHeight="1" x14ac:dyDescent="0.2">
      <c r="B555" s="492" t="s">
        <v>938</v>
      </c>
      <c r="C555" s="493"/>
      <c r="D555" s="493"/>
      <c r="E555" s="494"/>
    </row>
    <row r="556" spans="2:5" ht="20" customHeight="1" x14ac:dyDescent="0.2">
      <c r="B556" s="4" t="s">
        <v>85</v>
      </c>
      <c r="C556" s="362" t="str">
        <f>IF(cluster_wld_domain_chosen&lt;&gt;"MGMT Workload Domain",CONCATENATE(prefix_wld_az1_rack_vlan,"80"),CONCATENATE(prefix_mgmt_az1_vlan,"80"))</f>
        <v>1380</v>
      </c>
      <c r="D556" s="347"/>
      <c r="E556" s="93"/>
    </row>
    <row r="557" spans="2:5" ht="20" customHeight="1" x14ac:dyDescent="0.2">
      <c r="B557" s="4" t="s">
        <v>160</v>
      </c>
      <c r="C557" s="362">
        <v>9000</v>
      </c>
      <c r="D557" s="347"/>
      <c r="E557" s="32"/>
    </row>
    <row r="558" spans="2:5" ht="20" customHeight="1" x14ac:dyDescent="0.2">
      <c r="B558" s="4" t="s">
        <v>188</v>
      </c>
      <c r="C558" s="362" t="str">
        <f>IF(cluster_wld_domain_chosen&lt;&gt;"MGMT Workload Domain",CONCATENATE(prefix_wld_az1_rack_cidr,"80.0"),CONCATENATE(prefix_mgmt_az1_cidr,"80.0"))</f>
        <v>10.13.80.0</v>
      </c>
      <c r="D558" s="347"/>
      <c r="E558" s="32"/>
    </row>
    <row r="559" spans="2:5" ht="20" customHeight="1" x14ac:dyDescent="0.2">
      <c r="B559" s="4" t="s">
        <v>285</v>
      </c>
      <c r="C559" s="362" t="s">
        <v>128</v>
      </c>
      <c r="D559" s="347"/>
      <c r="E559" s="32"/>
    </row>
    <row r="560" spans="2:5" ht="20" customHeight="1" x14ac:dyDescent="0.2">
      <c r="B560" s="4" t="s">
        <v>187</v>
      </c>
      <c r="C560" s="362" t="str">
        <f>IF(cluster_wld_domain_chosen&lt;&gt;"MGMT Workload Domain",CONCATENATE(prefix_wld_az1_rack_cidr,"80.1"),CONCATENATE(prefix_mgmt_az1_cidr,"80.1"))</f>
        <v>10.13.80.1</v>
      </c>
      <c r="D560" s="347"/>
      <c r="E560" s="32"/>
    </row>
    <row r="561" spans="2:5" ht="20" customHeight="1" x14ac:dyDescent="0.2">
      <c r="B561" s="17" t="s">
        <v>255</v>
      </c>
      <c r="C561" s="362" t="str">
        <f>IF(cluster_wld_domain_chosen&lt;&gt;"MGMT Workload Domain",CONCATENATE(prefix_wld_az1_rack_cidr,"80.101"),CONCATENATE(prefix_mgmt_az1_cidr,"80.101"))</f>
        <v>10.13.80.101</v>
      </c>
      <c r="D561" s="347"/>
      <c r="E561" s="100" t="s">
        <v>2970</v>
      </c>
    </row>
    <row r="562" spans="2:5" ht="20" customHeight="1" x14ac:dyDescent="0.2">
      <c r="B562" s="17" t="s">
        <v>256</v>
      </c>
      <c r="C562" s="362" t="str">
        <f>IF(cluster_wld_domain_chosen&lt;&gt;"MGMT Workload Domain",CONCATENATE(prefix_wld_az1_rack_cidr,"80.116"),CONCATENATE(prefix_mgmt_az1_cidr,"80.116"))</f>
        <v>10.13.80.116</v>
      </c>
      <c r="D562" s="347"/>
      <c r="E562" s="100" t="s">
        <v>2971</v>
      </c>
    </row>
    <row r="563" spans="2:5" ht="16" customHeight="1" x14ac:dyDescent="0.2"/>
    <row r="564" spans="2:5" ht="34" customHeight="1" x14ac:dyDescent="0.2">
      <c r="B564" s="522" t="s">
        <v>2972</v>
      </c>
      <c r="C564" s="523"/>
      <c r="D564" s="523"/>
      <c r="E564" s="524"/>
    </row>
    <row r="565" spans="2:5" ht="20" customHeight="1" x14ac:dyDescent="0.2">
      <c r="B565" s="43" t="s">
        <v>261</v>
      </c>
      <c r="C565" s="43" t="s">
        <v>262</v>
      </c>
      <c r="D565" s="130" t="s">
        <v>19</v>
      </c>
      <c r="E565" s="43" t="s">
        <v>20</v>
      </c>
    </row>
    <row r="566" spans="2:5" ht="20" customHeight="1" x14ac:dyDescent="0.2">
      <c r="B566" s="492" t="s">
        <v>213</v>
      </c>
      <c r="C566" s="493"/>
      <c r="D566" s="493"/>
      <c r="E566" s="494"/>
    </row>
    <row r="567" spans="2:5" ht="20" customHeight="1" x14ac:dyDescent="0.2">
      <c r="B567" s="4" t="s">
        <v>85</v>
      </c>
      <c r="C567" s="362" t="str">
        <f>IF(cluster_wld_domain_chosen&lt;&gt;"MGMT Workload Domain",CONCATENATE(prefix_wld_az1_rack_vlan,"88"),CONCATENATE(prefix_mgmt_az1_vlan,"88"))</f>
        <v>1388</v>
      </c>
      <c r="D567" s="347"/>
      <c r="E567" s="93"/>
    </row>
    <row r="568" spans="2:5" ht="20" customHeight="1" x14ac:dyDescent="0.2">
      <c r="B568" s="4" t="s">
        <v>187</v>
      </c>
      <c r="C568" s="362" t="str">
        <f>IF(cluster_wld_domain_chosen&lt;&gt;"MGMT Workload Domain",CONCATENATE(prefix_wld_az1_rack_cidr,"88.1"),CONCATENATE(prefix_mgmt_az1_cidr,"88.1"))</f>
        <v>10.13.88.1</v>
      </c>
      <c r="D568" s="347"/>
      <c r="E568" s="32"/>
    </row>
    <row r="569" spans="2:5" ht="20" customHeight="1" x14ac:dyDescent="0.2">
      <c r="B569" s="4" t="s">
        <v>188</v>
      </c>
      <c r="C569" s="362" t="str">
        <f>IF(cluster_wld_domain_chosen&lt;&gt;"MGMT Workload Domain",CONCATENATE(prefix_wld_az1_rack_cidr,"88.0/24"),CONCATENATE(prefix_mgmt_az1_cidr,"88.0/24"))</f>
        <v>10.13.88.0/24</v>
      </c>
      <c r="D569" s="347"/>
      <c r="E569" s="32"/>
    </row>
    <row r="570" spans="2:5" ht="20" customHeight="1" x14ac:dyDescent="0.2">
      <c r="B570" s="4" t="s">
        <v>160</v>
      </c>
      <c r="C570" s="362">
        <v>1500</v>
      </c>
      <c r="D570" s="347"/>
      <c r="E570" s="32"/>
    </row>
    <row r="571" spans="2:5" ht="20" customHeight="1" x14ac:dyDescent="0.2">
      <c r="B571" s="535" t="s">
        <v>214</v>
      </c>
      <c r="C571" s="536"/>
      <c r="D571" s="536"/>
      <c r="E571" s="537"/>
    </row>
    <row r="572" spans="2:5" ht="20" customHeight="1" x14ac:dyDescent="0.2">
      <c r="B572" s="17" t="s">
        <v>215</v>
      </c>
      <c r="C572" s="126" t="str">
        <f>IF(cluster_wld_domain_chosen&lt;&gt;"MGMT Workload Domain",CONCATENATE(prefix_wld_az1_rack_cidr,"88.101"),CONCATENATE(prefix_mgmt_az1_cidr,"88.101"))</f>
        <v>10.13.88.101</v>
      </c>
      <c r="D572" s="347"/>
      <c r="E572" s="100" t="s">
        <v>216</v>
      </c>
    </row>
    <row r="573" spans="2:5" ht="20" customHeight="1" x14ac:dyDescent="0.2">
      <c r="B573" s="17" t="s">
        <v>217</v>
      </c>
      <c r="C573" s="126" t="str">
        <f>IF(cluster_wld_domain_chosen&lt;&gt;"MGMT Workload Domain",CONCATENATE(prefix_wld_az1_rack_cidr,"88.102"),CONCATENATE(prefix_mgmt_az1_cidr,"88.102"))</f>
        <v>10.13.88.102</v>
      </c>
      <c r="D573" s="347"/>
      <c r="E573" s="100" t="s">
        <v>218</v>
      </c>
    </row>
    <row r="574" spans="2:5" ht="20" customHeight="1" x14ac:dyDescent="0.2">
      <c r="B574" s="17" t="s">
        <v>219</v>
      </c>
      <c r="C574" s="126" t="str">
        <f>IF(cluster_wld_domain_chosen&lt;&gt;"MGMT Workload Domain",CONCATENATE(prefix_wld_az1_rack_cidr,"88.103"),CONCATENATE(prefix_mgmt_az1_cidr,"88.103"))</f>
        <v>10.13.88.103</v>
      </c>
      <c r="D574" s="347"/>
      <c r="E574" s="100" t="s">
        <v>220</v>
      </c>
    </row>
    <row r="575" spans="2:5" ht="20" customHeight="1" x14ac:dyDescent="0.2">
      <c r="B575" s="17" t="s">
        <v>221</v>
      </c>
      <c r="C575" s="126" t="str">
        <f>IF(cluster_wld_domain_chosen&lt;&gt;"MGMT Workload Domain",CONCATENATE(prefix_wld_az1_rack_cidr,"88.104"),CONCATENATE(prefix_mgmt_az1_cidr,"88.104"))</f>
        <v>10.13.88.104</v>
      </c>
      <c r="D575" s="347"/>
      <c r="E575" s="100" t="s">
        <v>222</v>
      </c>
    </row>
    <row r="576" spans="2:5" ht="20" customHeight="1" x14ac:dyDescent="0.2">
      <c r="B576" s="17" t="s">
        <v>223</v>
      </c>
      <c r="C576" s="126" t="str">
        <f>IF(cluster_wld_domain_chosen&lt;&gt;"MGMT Workload Domain",CONCATENATE(prefix_wld_az1_rack_cidr,"88.105"),CONCATENATE(prefix_mgmt_az1_cidr,"88.105"))</f>
        <v>10.13.88.105</v>
      </c>
      <c r="D576" s="347"/>
      <c r="E576" s="100" t="s">
        <v>224</v>
      </c>
    </row>
    <row r="577" spans="2:5" ht="20" customHeight="1" x14ac:dyDescent="0.2">
      <c r="B577" s="17" t="s">
        <v>225</v>
      </c>
      <c r="C577" s="126" t="str">
        <f>IF(cluster_wld_domain_chosen&lt;&gt;"MGMT Workload Domain",CONCATENATE(prefix_wld_az1_rack_cidr,"88.106"),CONCATENATE(prefix_mgmt_az1_cidr,"88.106"))</f>
        <v>10.13.88.106</v>
      </c>
      <c r="D577" s="347"/>
      <c r="E577" s="100" t="s">
        <v>226</v>
      </c>
    </row>
    <row r="578" spans="2:5" ht="20" customHeight="1" x14ac:dyDescent="0.2">
      <c r="B578" s="17" t="s">
        <v>227</v>
      </c>
      <c r="C578" s="126" t="str">
        <f>IF(cluster_wld_domain_chosen&lt;&gt;"MGMT Workload Domain",CONCATENATE(prefix_wld_az1_rack_cidr,"88.107"),CONCATENATE(prefix_mgmt_az1_cidr,"88.107"))</f>
        <v>10.13.88.107</v>
      </c>
      <c r="D578" s="347"/>
      <c r="E578" s="100" t="s">
        <v>228</v>
      </c>
    </row>
    <row r="579" spans="2:5" ht="20" customHeight="1" x14ac:dyDescent="0.2">
      <c r="B579" s="17" t="s">
        <v>229</v>
      </c>
      <c r="C579" s="126" t="str">
        <f>IF(cluster_wld_domain_chosen&lt;&gt;"MGMT Workload Domain",CONCATENATE(prefix_wld_az1_rack_cidr,"88.108"),CONCATENATE(prefix_mgmt_az1_cidr,"88.108"))</f>
        <v>10.13.88.108</v>
      </c>
      <c r="D579" s="347"/>
      <c r="E579" s="100" t="s">
        <v>230</v>
      </c>
    </row>
    <row r="580" spans="2:5" ht="20" customHeight="1" x14ac:dyDescent="0.2">
      <c r="B580" s="17" t="s">
        <v>231</v>
      </c>
      <c r="C580" s="126" t="str">
        <f>IF(cluster_wld_domain_chosen&lt;&gt;"MGMT Workload Domain",CONCATENATE(prefix_wld_az1_rack_cidr,"88.109"),CONCATENATE(prefix_mgmt_az1_cidr,"88.109"))</f>
        <v>10.13.88.109</v>
      </c>
      <c r="D580" s="347"/>
      <c r="E580" s="100" t="s">
        <v>232</v>
      </c>
    </row>
    <row r="581" spans="2:5" ht="20" customHeight="1" x14ac:dyDescent="0.2">
      <c r="B581" s="17" t="s">
        <v>233</v>
      </c>
      <c r="C581" s="126" t="str">
        <f>IF(cluster_wld_domain_chosen&lt;&gt;"MGMT Workload Domain",CONCATENATE(prefix_wld_az1_rack_cidr,"88.110"),CONCATENATE(prefix_mgmt_az1_cidr,"88.110"))</f>
        <v>10.13.88.110</v>
      </c>
      <c r="D581" s="347"/>
      <c r="E581" s="100" t="s">
        <v>234</v>
      </c>
    </row>
    <row r="582" spans="2:5" ht="20" customHeight="1" x14ac:dyDescent="0.2">
      <c r="B582" s="17" t="s">
        <v>235</v>
      </c>
      <c r="C582" s="126" t="str">
        <f>IF(cluster_wld_domain_chosen&lt;&gt;"MGMT Workload Domain",CONCATENATE(prefix_wld_az1_rack_cidr,"88.111"),CONCATENATE(prefix_mgmt_az1_cidr,"88.111"))</f>
        <v>10.13.88.111</v>
      </c>
      <c r="D582" s="347"/>
      <c r="E582" s="100" t="s">
        <v>236</v>
      </c>
    </row>
    <row r="583" spans="2:5" ht="20" customHeight="1" x14ac:dyDescent="0.2">
      <c r="B583" s="17" t="s">
        <v>237</v>
      </c>
      <c r="C583" s="126" t="str">
        <f>IF(cluster_wld_domain_chosen&lt;&gt;"MGMT Workload Domain",CONCATENATE(prefix_wld_az1_rack_cidr,"88.112"),CONCATENATE(prefix_mgmt_az1_cidr,"88.112"))</f>
        <v>10.13.88.112</v>
      </c>
      <c r="D583" s="347"/>
      <c r="E583" s="100" t="s">
        <v>238</v>
      </c>
    </row>
    <row r="584" spans="2:5" ht="20" customHeight="1" x14ac:dyDescent="0.2">
      <c r="B584" s="17" t="s">
        <v>239</v>
      </c>
      <c r="C584" s="126" t="str">
        <f>IF(cluster_wld_domain_chosen&lt;&gt;"MGMT Workload Domain",CONCATENATE(prefix_wld_az1_rack_cidr,"88.113"),CONCATENATE(prefix_mgmt_az1_cidr,"88.113"))</f>
        <v>10.13.88.113</v>
      </c>
      <c r="D584" s="347"/>
      <c r="E584" s="100" t="s">
        <v>240</v>
      </c>
    </row>
    <row r="585" spans="2:5" ht="20" customHeight="1" x14ac:dyDescent="0.2">
      <c r="B585" s="17" t="s">
        <v>241</v>
      </c>
      <c r="C585" s="126" t="str">
        <f>IF(cluster_wld_domain_chosen&lt;&gt;"MGMT Workload Domain",CONCATENATE(prefix_wld_az1_rack_cidr,"88.114"),CONCATENATE(prefix_mgmt_az1_cidr,"88.114"))</f>
        <v>10.13.88.114</v>
      </c>
      <c r="D585" s="347"/>
      <c r="E585" s="100" t="s">
        <v>242</v>
      </c>
    </row>
    <row r="586" spans="2:5" ht="20" customHeight="1" x14ac:dyDescent="0.2">
      <c r="B586" s="17" t="s">
        <v>243</v>
      </c>
      <c r="C586" s="126" t="str">
        <f>IF(cluster_wld_domain_chosen&lt;&gt;"MGMT Workload Domain",CONCATENATE(prefix_wld_az1_rack_cidr,"88.115"),CONCATENATE(prefix_mgmt_az1_cidr,"88.115"))</f>
        <v>10.13.88.115</v>
      </c>
      <c r="D586" s="347"/>
      <c r="E586" s="100" t="s">
        <v>244</v>
      </c>
    </row>
    <row r="587" spans="2:5" ht="20" customHeight="1" x14ac:dyDescent="0.2">
      <c r="B587" s="17" t="s">
        <v>245</v>
      </c>
      <c r="C587" s="126" t="str">
        <f>IF(cluster_wld_domain_chosen&lt;&gt;"MGMT Workload Domain",CONCATENATE(prefix_wld_az1_rack_cidr,"88.116"),CONCATENATE(prefix_mgmt_az1_cidr,"88.116"))</f>
        <v>10.13.88.116</v>
      </c>
      <c r="D587" s="347"/>
      <c r="E587" s="100" t="s">
        <v>246</v>
      </c>
    </row>
    <row r="588" spans="2:5" ht="16" customHeight="1" x14ac:dyDescent="0.2">
      <c r="B588" s="8"/>
      <c r="C588" s="8"/>
      <c r="D588" s="8"/>
      <c r="E588" s="8"/>
    </row>
    <row r="589" spans="2:5" ht="34" customHeight="1" x14ac:dyDescent="0.2">
      <c r="B589" s="522" t="s">
        <v>2973</v>
      </c>
      <c r="C589" s="523"/>
      <c r="D589" s="523"/>
      <c r="E589" s="524"/>
    </row>
    <row r="590" spans="2:5" ht="20" customHeight="1" x14ac:dyDescent="0.2">
      <c r="B590" s="43" t="s">
        <v>261</v>
      </c>
      <c r="C590" s="43" t="s">
        <v>262</v>
      </c>
      <c r="D590" s="130" t="s">
        <v>19</v>
      </c>
      <c r="E590" s="43" t="s">
        <v>20</v>
      </c>
    </row>
    <row r="591" spans="2:5" ht="20" customHeight="1" x14ac:dyDescent="0.2">
      <c r="B591" s="4" t="s">
        <v>2929</v>
      </c>
      <c r="C591" s="362" t="s">
        <v>249</v>
      </c>
      <c r="D591" s="127" t="s">
        <v>249</v>
      </c>
      <c r="E591" s="4" t="str">
        <f>IF(wld_az1_rack7_reuse_vcf_networkpool_chosen="Re-use an existing  VCF Network Pool","An exisiting VCF Network Pool will be reused for Host TEP assignment","A new VCF Network Pool will be created")</f>
        <v>A new VCF Network Pool will be created</v>
      </c>
    </row>
    <row r="592" spans="2:5" ht="20" customHeight="1" x14ac:dyDescent="0.2">
      <c r="B592" s="17" t="s">
        <v>250</v>
      </c>
      <c r="C592" s="89" t="str">
        <f>IF(cluster_wld_domain_chosen="VI Workload Domain",CONCATENATE(this_instance,"01-w0",wld_domain_number_chosen,"-r08-network-pool-01"),CONCATENATE(this_instance,"01-m01","-r08-network-pool-01"))</f>
        <v>sfo01-w01-r08-network-pool-01</v>
      </c>
      <c r="D592" s="347"/>
      <c r="E592" s="32"/>
    </row>
    <row r="593" spans="2:5" ht="20" customHeight="1" x14ac:dyDescent="0.2">
      <c r="B593" s="492" t="s">
        <v>251</v>
      </c>
      <c r="C593" s="493"/>
      <c r="D593" s="493"/>
      <c r="E593" s="494"/>
    </row>
    <row r="594" spans="2:5" ht="20" customHeight="1" x14ac:dyDescent="0.2">
      <c r="B594" s="4" t="s">
        <v>85</v>
      </c>
      <c r="C594" s="362" t="str">
        <f>IF(cluster_wld_domain_chosen&lt;&gt;"MGMT Workload Domain",CONCATENATE(prefix_wld_az1_rack_vlan,"89"),CONCATENATE(prefix_mgmt_az1_vlan,"89"))</f>
        <v>1389</v>
      </c>
      <c r="D594" s="347"/>
      <c r="E594" s="93"/>
    </row>
    <row r="595" spans="2:5" ht="20" customHeight="1" x14ac:dyDescent="0.2">
      <c r="B595" s="4" t="s">
        <v>160</v>
      </c>
      <c r="C595" s="362">
        <v>9000</v>
      </c>
      <c r="D595" s="347"/>
      <c r="E595" s="32"/>
    </row>
    <row r="596" spans="2:5" ht="20" customHeight="1" x14ac:dyDescent="0.2">
      <c r="B596" s="4" t="s">
        <v>188</v>
      </c>
      <c r="C596" s="126" t="str">
        <f>IF(cluster_wld_domain_chosen&lt;&gt;"MGMT Workload Domain",CONCATENATE(prefix_wld_az1_rack_cidr,"89.0"),CONCATENATE(prefix_mgmt_az1_cidr,"89.0"))</f>
        <v>10.13.89.0</v>
      </c>
      <c r="D596" s="347"/>
      <c r="E596" s="32"/>
    </row>
    <row r="597" spans="2:5" ht="20" customHeight="1" x14ac:dyDescent="0.2">
      <c r="B597" s="4" t="s">
        <v>285</v>
      </c>
      <c r="C597" s="126" t="s">
        <v>128</v>
      </c>
      <c r="D597" s="347"/>
      <c r="E597" s="32"/>
    </row>
    <row r="598" spans="2:5" ht="20" customHeight="1" x14ac:dyDescent="0.2">
      <c r="B598" s="4" t="s">
        <v>187</v>
      </c>
      <c r="C598" s="362" t="str">
        <f>IF(cluster_wld_domain_chosen&lt;&gt;"MGMT Workload Domain",CONCATENATE(prefix_wld_az1_rack_cidr,"89.1"),CONCATENATE(prefix_mgmt_az1_cidr,"89.1"))</f>
        <v>10.13.89.1</v>
      </c>
      <c r="D598" s="347"/>
      <c r="E598" s="32"/>
    </row>
    <row r="599" spans="2:5" ht="20" customHeight="1" x14ac:dyDescent="0.2">
      <c r="B599" s="17" t="s">
        <v>255</v>
      </c>
      <c r="C599" s="362" t="str">
        <f>IF(cluster_wld_domain_chosen&lt;&gt;"MGMT Workload Domain",CONCATENATE(prefix_wld_az1_rack_cidr,"89.101"),CONCATENATE(prefix_mgmt_az1_cidr,"89.101"))</f>
        <v>10.13.89.101</v>
      </c>
      <c r="D599" s="347"/>
      <c r="E599" s="100" t="s">
        <v>2949</v>
      </c>
    </row>
    <row r="600" spans="2:5" ht="20" customHeight="1" x14ac:dyDescent="0.2">
      <c r="B600" s="17" t="s">
        <v>256</v>
      </c>
      <c r="C600" s="362" t="str">
        <f>IF(cluster_wld_domain_chosen&lt;&gt;"MGMT Workload Domain",CONCATENATE(prefix_wld_az1_rack_cidr,"89.116"),CONCATENATE(prefix_mgmt_az1_cidr,"89.116"))</f>
        <v>10.13.89.116</v>
      </c>
      <c r="D600" s="347"/>
      <c r="E600" s="100" t="s">
        <v>2950</v>
      </c>
    </row>
    <row r="601" spans="2:5" ht="20" customHeight="1" x14ac:dyDescent="0.2">
      <c r="B601" s="492" t="s">
        <v>257</v>
      </c>
      <c r="C601" s="493"/>
      <c r="D601" s="493"/>
      <c r="E601" s="494"/>
    </row>
    <row r="602" spans="2:5" ht="20" customHeight="1" x14ac:dyDescent="0.2">
      <c r="B602" s="4" t="s">
        <v>85</v>
      </c>
      <c r="C602" s="362" t="str">
        <f>IF(cluster_wld_domain_chosen&lt;&gt;"MGMT Workload Domain",CONCATENATE(prefix_wld_az1_rack_vlan,"90"),CONCATENATE(prefix_mgmt_az1_vlan,"90"))</f>
        <v>1390</v>
      </c>
      <c r="D602" s="347"/>
      <c r="E602" s="32"/>
    </row>
    <row r="603" spans="2:5" ht="20" customHeight="1" x14ac:dyDescent="0.2">
      <c r="B603" s="4" t="s">
        <v>160</v>
      </c>
      <c r="C603" s="362">
        <v>9000</v>
      </c>
      <c r="D603" s="347"/>
      <c r="E603" s="32"/>
    </row>
    <row r="604" spans="2:5" ht="20" customHeight="1" x14ac:dyDescent="0.2">
      <c r="B604" s="4" t="s">
        <v>188</v>
      </c>
      <c r="C604" s="126" t="str">
        <f>IF(cluster_wld_domain_chosen&lt;&gt;"MGMT Workload Domain",CONCATENATE(prefix_wld_az1_rack_cidr,"90.0"),CONCATENATE(prefix_mgmt_az1_cidr,"90.0"))</f>
        <v>10.13.90.0</v>
      </c>
      <c r="D604" s="347"/>
      <c r="E604" s="56"/>
    </row>
    <row r="605" spans="2:5" ht="20" customHeight="1" x14ac:dyDescent="0.2">
      <c r="B605" s="4" t="s">
        <v>285</v>
      </c>
      <c r="C605" s="126" t="s">
        <v>128</v>
      </c>
      <c r="D605" s="347"/>
      <c r="E605" s="32"/>
    </row>
    <row r="606" spans="2:5" ht="20" customHeight="1" x14ac:dyDescent="0.2">
      <c r="B606" s="4" t="s">
        <v>187</v>
      </c>
      <c r="C606" s="362" t="str">
        <f>IF(cluster_wld_domain_chosen&lt;&gt;"MGMT Workload Domain",CONCATENATE(prefix_wld_az1_rack_cidr,"90.1"),CONCATENATE(prefix_mgmt_az1_cidr,"90.1"))</f>
        <v>10.13.90.1</v>
      </c>
      <c r="D606" s="347"/>
      <c r="E606" s="32" t="str">
        <f>IF(AND(mgmt_stretched_cluster_result="Included",mgmt_dpg_reuse_result="Excluded"),"Stretched L2","")</f>
        <v/>
      </c>
    </row>
    <row r="607" spans="2:5" ht="20" customHeight="1" x14ac:dyDescent="0.2">
      <c r="B607" s="17" t="s">
        <v>255</v>
      </c>
      <c r="C607" s="362" t="str">
        <f>IF(cluster_wld_domain_chosen&lt;&gt;"MGMT Workload Domain",CONCATENATE(prefix_wld_az1_rack_cidr,"90.101"),CONCATENATE(prefix_mgmt_az1_cidr,"90.101"))</f>
        <v>10.13.90.101</v>
      </c>
      <c r="D607" s="347"/>
      <c r="E607" s="100" t="s">
        <v>2974</v>
      </c>
    </row>
    <row r="608" spans="2:5" ht="20" customHeight="1" x14ac:dyDescent="0.2">
      <c r="B608" s="17" t="s">
        <v>256</v>
      </c>
      <c r="C608" s="362" t="str">
        <f>IF(cluster_wld_domain_chosen&lt;&gt;"MGMT Workload Domain",CONCATENATE(prefix_wld_az1_rack_cidr,"90.116"),CONCATENATE(prefix_mgmt_az1_cidr,"90.116"))</f>
        <v>10.13.90.116</v>
      </c>
      <c r="D608" s="347"/>
      <c r="E608" s="100" t="s">
        <v>2975</v>
      </c>
    </row>
    <row r="609" spans="2:5" ht="16" customHeight="1" x14ac:dyDescent="0.2">
      <c r="B609" s="8"/>
      <c r="C609" s="8"/>
      <c r="D609" s="8"/>
      <c r="E609" s="8"/>
    </row>
    <row r="610" spans="2:5" ht="34" customHeight="1" x14ac:dyDescent="0.2">
      <c r="B610" s="522" t="s">
        <v>2976</v>
      </c>
      <c r="C610" s="523"/>
      <c r="D610" s="523"/>
      <c r="E610" s="524"/>
    </row>
    <row r="611" spans="2:5" ht="20" customHeight="1" x14ac:dyDescent="0.2">
      <c r="B611" s="43" t="s">
        <v>261</v>
      </c>
      <c r="C611" s="43" t="s">
        <v>262</v>
      </c>
      <c r="D611" s="130" t="s">
        <v>19</v>
      </c>
      <c r="E611" s="43" t="s">
        <v>20</v>
      </c>
    </row>
    <row r="612" spans="2:5" ht="20" customHeight="1" x14ac:dyDescent="0.2">
      <c r="B612" s="17" t="s">
        <v>215</v>
      </c>
      <c r="C612" s="126" t="str">
        <f>IF(cluster_wld_domain_chosen&lt;&gt;"MGMT Workload Domain",CONCATENATE(this_instance,"01-w0",wld_domain_number_chosen,"-r08-esx01",".",sample_child_dns_zone),CONCATENATE(this_instance,"01-m01-r08-esx01",".",sample_child_dns_zone))</f>
        <v>sfo01-w01-r08-esx01.sfo.rainpole.io</v>
      </c>
      <c r="D612" s="347"/>
      <c r="E612" s="32"/>
    </row>
    <row r="613" spans="2:5" ht="20" customHeight="1" x14ac:dyDescent="0.2">
      <c r="B613" s="17" t="s">
        <v>217</v>
      </c>
      <c r="C613" s="126" t="str">
        <f>IF(cluster_wld_domain_chosen&lt;&gt;"MGMT Workload Domain",CONCATENATE(this_instance,"01-w0",wld_domain_number_chosen,"-r08-esx02",".",sample_child_dns_zone),CONCATENATE(this_instance,"01-m01-r08-esx02",".",sample_child_dns_zone))</f>
        <v>sfo01-w01-r08-esx02.sfo.rainpole.io</v>
      </c>
      <c r="D613" s="347"/>
      <c r="E613" s="32"/>
    </row>
    <row r="614" spans="2:5" ht="20" customHeight="1" x14ac:dyDescent="0.2">
      <c r="B614" s="17" t="s">
        <v>219</v>
      </c>
      <c r="C614" s="126" t="str">
        <f>IF(cluster_wld_domain_chosen&lt;&gt;"MGMT Workload Domain",CONCATENATE(this_instance,"01-w0",wld_domain_number_chosen,"-r08-esx03",".",sample_child_dns_zone),CONCATENATE(this_instance,"01-m01-r08-esx03",".",sample_child_dns_zone))</f>
        <v>sfo01-w01-r08-esx03.sfo.rainpole.io</v>
      </c>
      <c r="D614" s="347"/>
      <c r="E614" s="32"/>
    </row>
    <row r="615" spans="2:5" ht="20" customHeight="1" x14ac:dyDescent="0.2">
      <c r="B615" s="17" t="s">
        <v>221</v>
      </c>
      <c r="C615" s="126" t="str">
        <f>IF(cluster_wld_domain_chosen&lt;&gt;"MGMT Workload Domain",CONCATENATE(this_instance,"01-w0",wld_domain_number_chosen,"-r08-esx04",".",sample_child_dns_zone),CONCATENATE(this_instance,"01-m01-r08-esx04",".",sample_child_dns_zone))</f>
        <v>sfo01-w01-r08-esx04.sfo.rainpole.io</v>
      </c>
      <c r="D615" s="347"/>
      <c r="E615" s="32"/>
    </row>
    <row r="616" spans="2:5" ht="20" customHeight="1" x14ac:dyDescent="0.2">
      <c r="B616" s="17" t="s">
        <v>223</v>
      </c>
      <c r="C616" s="126" t="str">
        <f>IF(cluster_wld_domain_chosen&lt;&gt;"MGMT Workload Domain",CONCATENATE(this_instance,"01-w0",wld_domain_number_chosen,"-r08-esx05",".",sample_child_dns_zone),CONCATENATE(this_instance,"01-m01-r08-esx05",".",sample_child_dns_zone))</f>
        <v>sfo01-w01-r08-esx05.sfo.rainpole.io</v>
      </c>
      <c r="D616" s="347"/>
      <c r="E616" s="32"/>
    </row>
    <row r="617" spans="2:5" ht="20" customHeight="1" x14ac:dyDescent="0.2">
      <c r="B617" s="17" t="s">
        <v>225</v>
      </c>
      <c r="C617" s="126" t="str">
        <f>IF(cluster_wld_domain_chosen&lt;&gt;"MGMT Workload Domain",CONCATENATE(this_instance,"01-w0",wld_domain_number_chosen,"-r08-esx06",".",sample_child_dns_zone),CONCATENATE(this_instance,"01-m01-r08-esx06",".",sample_child_dns_zone))</f>
        <v>sfo01-w01-r08-esx06.sfo.rainpole.io</v>
      </c>
      <c r="D617" s="347"/>
      <c r="E617" s="32"/>
    </row>
    <row r="618" spans="2:5" ht="20" customHeight="1" x14ac:dyDescent="0.2">
      <c r="B618" s="17" t="s">
        <v>227</v>
      </c>
      <c r="C618" s="126" t="str">
        <f>IF(cluster_wld_domain_chosen&lt;&gt;"MGMT Workload Domain",CONCATENATE(this_instance,"01-w0",wld_domain_number_chosen,"-r08-esx07",".",sample_child_dns_zone),CONCATENATE(this_instance,"01-m01-r08-esx07",".",sample_child_dns_zone))</f>
        <v>sfo01-w01-r08-esx07.sfo.rainpole.io</v>
      </c>
      <c r="D618" s="347"/>
      <c r="E618" s="32"/>
    </row>
    <row r="619" spans="2:5" ht="20" customHeight="1" x14ac:dyDescent="0.2">
      <c r="B619" s="17" t="s">
        <v>229</v>
      </c>
      <c r="C619" s="126" t="str">
        <f>IF(cluster_wld_domain_chosen&lt;&gt;"MGMT Workload Domain",CONCATENATE(this_instance,"01-w0",wld_domain_number_chosen,"-r08-esx08",".",sample_child_dns_zone),CONCATENATE(this_instance,"01-m01-r08-esx08",".",sample_child_dns_zone))</f>
        <v>sfo01-w01-r08-esx08.sfo.rainpole.io</v>
      </c>
      <c r="D619" s="347"/>
      <c r="E619" s="32"/>
    </row>
    <row r="620" spans="2:5" ht="20" customHeight="1" x14ac:dyDescent="0.2">
      <c r="B620" s="17" t="s">
        <v>231</v>
      </c>
      <c r="C620" s="126" t="str">
        <f>IF(cluster_wld_domain_chosen&lt;&gt;"MGMT Workload Domain",CONCATENATE(this_instance,"01-w0",wld_domain_number_chosen,"-r08-esx09",".",sample_child_dns_zone),CONCATENATE(this_instance,"01-m01-r08-esx09",".",sample_child_dns_zone))</f>
        <v>sfo01-w01-r08-esx09.sfo.rainpole.io</v>
      </c>
      <c r="D620" s="347"/>
      <c r="E620" s="32"/>
    </row>
    <row r="621" spans="2:5" ht="20" customHeight="1" x14ac:dyDescent="0.2">
      <c r="B621" s="17" t="s">
        <v>233</v>
      </c>
      <c r="C621" s="126" t="str">
        <f>IF(cluster_wld_domain_chosen&lt;&gt;"MGMT Workload Domain",CONCATENATE(this_instance,"01-w0",wld_domain_number_chosen,"-r08-esx10",".",sample_child_dns_zone),CONCATENATE(this_instance,"01-m01-r08-esx10",".",sample_child_dns_zone))</f>
        <v>sfo01-w01-r08-esx10.sfo.rainpole.io</v>
      </c>
      <c r="D621" s="347"/>
      <c r="E621" s="32"/>
    </row>
    <row r="622" spans="2:5" ht="20" customHeight="1" x14ac:dyDescent="0.2">
      <c r="B622" s="17" t="s">
        <v>235</v>
      </c>
      <c r="C622" s="126" t="str">
        <f>IF(cluster_wld_domain_chosen&lt;&gt;"MGMT Workload Domain",CONCATENATE(this_instance,"01-w0",wld_domain_number_chosen,"-r08-esx11",".",sample_child_dns_zone),CONCATENATE(this_instance,"01-m01-r08-esx11",".",sample_child_dns_zone))</f>
        <v>sfo01-w01-r08-esx11.sfo.rainpole.io</v>
      </c>
      <c r="D622" s="347"/>
      <c r="E622" s="32"/>
    </row>
    <row r="623" spans="2:5" ht="20" customHeight="1" x14ac:dyDescent="0.2">
      <c r="B623" s="17" t="s">
        <v>237</v>
      </c>
      <c r="C623" s="126" t="str">
        <f>IF(cluster_wld_domain_chosen&lt;&gt;"MGMT Workload Domain",CONCATENATE(this_instance,"01-w0",wld_domain_number_chosen,"-r08-esx12",".",sample_child_dns_zone),CONCATENATE(this_instance,"01-m01-r08-esx12",".",sample_child_dns_zone))</f>
        <v>sfo01-w01-r08-esx12.sfo.rainpole.io</v>
      </c>
      <c r="D623" s="347"/>
      <c r="E623" s="32"/>
    </row>
    <row r="624" spans="2:5" ht="20" customHeight="1" x14ac:dyDescent="0.2">
      <c r="B624" s="17" t="s">
        <v>239</v>
      </c>
      <c r="C624" s="126" t="str">
        <f>IF(cluster_wld_domain_chosen&lt;&gt;"MGMT Workload Domain",CONCATENATE(this_instance,"01-w0",wld_domain_number_chosen,"-r08-esx13",".",sample_child_dns_zone),CONCATENATE(this_instance,"01-m01-r08-esx13",".",sample_child_dns_zone))</f>
        <v>sfo01-w01-r08-esx13.sfo.rainpole.io</v>
      </c>
      <c r="D624" s="347"/>
      <c r="E624" s="32"/>
    </row>
    <row r="625" spans="2:5" ht="20" customHeight="1" x14ac:dyDescent="0.2">
      <c r="B625" s="17" t="s">
        <v>241</v>
      </c>
      <c r="C625" s="126" t="str">
        <f>IF(cluster_wld_domain_chosen&lt;&gt;"MGMT Workload Domain",CONCATENATE(this_instance,"01-w0",wld_domain_number_chosen,"-r08-esx14",".",sample_child_dns_zone),CONCATENATE(this_instance,"01-m01-r08-esx14",".",sample_child_dns_zone))</f>
        <v>sfo01-w01-r08-esx14.sfo.rainpole.io</v>
      </c>
      <c r="D625" s="347"/>
      <c r="E625" s="32"/>
    </row>
    <row r="626" spans="2:5" ht="20" customHeight="1" x14ac:dyDescent="0.2">
      <c r="B626" s="17" t="s">
        <v>243</v>
      </c>
      <c r="C626" s="126" t="str">
        <f>IF(cluster_wld_domain_chosen&lt;&gt;"MGMT Workload Domain",CONCATENATE(this_instance,"01-w0",wld_domain_number_chosen,"-r08-esx14",".",sample_child_dns_zone),CONCATENATE(this_instance,"01-m01-r08-esx15",".",sample_child_dns_zone))</f>
        <v>sfo01-w01-r08-esx14.sfo.rainpole.io</v>
      </c>
      <c r="D626" s="347"/>
      <c r="E626" s="32"/>
    </row>
    <row r="627" spans="2:5" ht="20" customHeight="1" x14ac:dyDescent="0.2">
      <c r="B627" s="17" t="s">
        <v>245</v>
      </c>
      <c r="C627" s="126" t="str">
        <f>IF(cluster_wld_domain_chosen&lt;&gt;"MGMT Workload Domain",CONCATENATE(this_instance,"01-w0",wld_domain_number_chosen,"-r08-esx16",".",sample_child_dns_zone),CONCATENATE(this_instance,"01-m01-r08-esx16",".",sample_child_dns_zone))</f>
        <v>sfo01-w01-r08-esx16.sfo.rainpole.io</v>
      </c>
      <c r="D627" s="347"/>
      <c r="E627" s="32"/>
    </row>
    <row r="628" spans="2:5" ht="20" customHeight="1" x14ac:dyDescent="0.2">
      <c r="B628" s="17" t="s">
        <v>264</v>
      </c>
      <c r="C628" s="89" t="s">
        <v>762</v>
      </c>
      <c r="D628" s="337" t="s">
        <v>265</v>
      </c>
      <c r="E628" s="32"/>
    </row>
    <row r="629" spans="2:5" ht="20" customHeight="1" x14ac:dyDescent="0.2">
      <c r="B629" s="17" t="s">
        <v>266</v>
      </c>
      <c r="C629" s="89" t="s">
        <v>267</v>
      </c>
      <c r="D629"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629" s="4"/>
    </row>
    <row r="630" spans="2:5" ht="20" customHeight="1" x14ac:dyDescent="0.2">
      <c r="B630" s="17" t="s">
        <v>268</v>
      </c>
      <c r="C630" s="89" t="s">
        <v>159</v>
      </c>
      <c r="D630" s="337" t="str">
        <f>IF(AND(vcf_granular_option_chosen="Create Cluster",cluster_principal_storage_chosen="vSAN-ESA"),"Selected",
IF(AND(vcf_granular_option_chosen="Create VI Workload Domain",wld_principal_storage_chosen="vSAN-ESA"),"Selected","Unselected"))</f>
        <v>Unselected</v>
      </c>
      <c r="E630" s="32"/>
    </row>
    <row r="631" spans="2:5" ht="20" customHeight="1" x14ac:dyDescent="0.2">
      <c r="B631" s="17" t="s">
        <v>250</v>
      </c>
      <c r="C631" s="89" t="str">
        <f>sample_wld_az1_rack8_pool_name</f>
        <v>sfo01-w01-r08-network-pool-01</v>
      </c>
      <c r="D631" s="337" t="str">
        <f>wld_az1_rack8_pool_name</f>
        <v>Value Missing</v>
      </c>
      <c r="E631" s="32"/>
    </row>
    <row r="632" spans="2:5" ht="20" customHeight="1" x14ac:dyDescent="0.2">
      <c r="B632" s="17" t="s">
        <v>46</v>
      </c>
      <c r="C632" s="89" t="s">
        <v>269</v>
      </c>
      <c r="D632"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632" s="32"/>
    </row>
    <row r="633" spans="2:5" ht="20" customHeight="1" x14ac:dyDescent="0.2">
      <c r="B633" s="17" t="s">
        <v>29</v>
      </c>
      <c r="C633" s="89" t="s">
        <v>30</v>
      </c>
      <c r="D633" s="337"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32"/>
    </row>
    <row r="634" spans="2:5" ht="20" customHeight="1" x14ac:dyDescent="0.2"/>
    <row r="635" spans="2:5" ht="34" customHeight="1" x14ac:dyDescent="0.2">
      <c r="B635" s="522" t="s">
        <v>2977</v>
      </c>
      <c r="C635" s="523"/>
      <c r="D635" s="523"/>
      <c r="E635" s="524"/>
    </row>
    <row r="636" spans="2:5" ht="20" customHeight="1" x14ac:dyDescent="0.2">
      <c r="B636" s="4" t="s">
        <v>337</v>
      </c>
      <c r="C636" s="89" t="str">
        <f>IF(vcf_granular_option_chosen="Create Cluster",CONCATENATE(this_instance,"01-",sample_cluster_name,"-r08-network-profile"),
IF(cluster_wld_domain_chosen="VI Workload Domain",CONCATENATE(this_instance,"01-",sample_wld_cl01_cluster,"-r08-network-profile"),
CONCATENATE(this_instance,"01-",sample_mgmt_cl01_cluster,"-r08-network-profile")))</f>
        <v>sfo01-sfo-w01-cl01-r08-network-profile</v>
      </c>
      <c r="D636" s="347"/>
      <c r="E636" s="80"/>
    </row>
    <row r="637" spans="2:5" ht="20" customHeight="1" x14ac:dyDescent="0.2">
      <c r="B637" s="4" t="s">
        <v>2936</v>
      </c>
      <c r="C637" s="362" t="s">
        <v>339</v>
      </c>
      <c r="D637" s="127" t="s">
        <v>339</v>
      </c>
      <c r="E637" s="4" t="str">
        <f>IF(wld_az1_rack8_host_overlay_new_pool_chosen="Re-use an existing Pool","An existing Pool will be reused for Host TEP assignment","A new Pool will be created for Host TEP assignment")</f>
        <v>A new Pool will be created for Host TEP assignment</v>
      </c>
    </row>
    <row r="638" spans="2:5" ht="20" customHeight="1" x14ac:dyDescent="0.2">
      <c r="B638" s="4" t="s">
        <v>340</v>
      </c>
      <c r="C638" s="89" t="str">
        <f>IF(cluster_wld_domain_chosen="VI Workload Domain",CONCATENATE(this_instance,"01-w0",wld_domain_number_chosen,"-r08-ip-pool01-host"),CONCATENATE(this_instance,"01-m01","-r08-ip-pool01-host"))</f>
        <v>sfo01-w01-r08-ip-pool01-host</v>
      </c>
      <c r="D638" s="347"/>
      <c r="E638" s="80"/>
    </row>
    <row r="639" spans="2:5" ht="20" customHeight="1" x14ac:dyDescent="0.2">
      <c r="B639" s="4" t="s">
        <v>341</v>
      </c>
      <c r="C639" s="89" t="str">
        <f>IF(cluster_wld_domain_chosen="VI Workload Domain",CONCATENATE(this_instance,"01-w0",wld_domain_number_chosen,"-r08-uplink-profile01"),CONCATENATE(this_instance,"01-m01","-r08-uplink-profile01"))</f>
        <v>sfo01-w01-r08-uplink-profile01</v>
      </c>
      <c r="D639" s="347"/>
      <c r="E639" s="80"/>
    </row>
    <row r="640" spans="2:5" ht="20" customHeight="1" x14ac:dyDescent="0.2">
      <c r="B640" s="4" t="s">
        <v>2937</v>
      </c>
      <c r="C640" s="89" t="str">
        <f>IF(cluster_wld_domain_chosen="VI Workload Domain",CONCATENATE(this_instance,"01-w0",wld_domain_number_chosen,"-r08-ip-pool02-edge"),CONCATENATE(this_instance,"01-m01","-r08-ip-pool02-edge"))</f>
        <v>sfo01-w01-r08-ip-pool02-edge</v>
      </c>
      <c r="D640" s="347"/>
      <c r="E640" s="80"/>
    </row>
    <row r="641" spans="2:5" ht="20" customHeight="1" x14ac:dyDescent="0.2">
      <c r="B641" s="4" t="s">
        <v>2938</v>
      </c>
      <c r="C641" s="89" t="str">
        <f>IF(cluster_wld_domain_chosen="VI Workload Domain",CONCATENATE(this_instance,"01-w0",wld_domain_number_chosen,"-r08-ip-pool03-rtep"),CONCATENATE(this_instance,"01-m01","-r08-ip-pool03-rtep"))</f>
        <v>sfo01-w01-r08-ip-pool03-rtep</v>
      </c>
      <c r="D641" s="347"/>
      <c r="E641" s="80"/>
    </row>
    <row r="642" spans="2:5" ht="20" customHeight="1" x14ac:dyDescent="0.2">
      <c r="B642" s="492" t="s">
        <v>834</v>
      </c>
      <c r="C642" s="493"/>
      <c r="D642" s="493"/>
      <c r="E642" s="494"/>
    </row>
    <row r="643" spans="2:5" ht="20" customHeight="1" x14ac:dyDescent="0.2">
      <c r="B643" s="207" t="s">
        <v>261</v>
      </c>
      <c r="C643" s="207" t="s">
        <v>262</v>
      </c>
      <c r="D643" s="239" t="s">
        <v>19</v>
      </c>
      <c r="E643" s="207" t="s">
        <v>20</v>
      </c>
    </row>
    <row r="644" spans="2:5" ht="20" customHeight="1" x14ac:dyDescent="0.2">
      <c r="B644" s="4" t="s">
        <v>1448</v>
      </c>
      <c r="C644" s="80" t="str">
        <f>IF(cluster_wld_domain_chosen&lt;&gt;"MGMT Workload Domain",CONCATENATE(this_instance,"-w0",wld_domain_number_chosen,"-r08","-vsan-fault-domain"),CONCATENATE(this_instance,"-m01","-r08","-vsan-fault-domain"))</f>
        <v>sfo-w01-r08-vsan-fault-domain</v>
      </c>
      <c r="D644" s="347"/>
      <c r="E644" s="337"/>
    </row>
    <row r="645" spans="2:5" ht="16" customHeight="1" x14ac:dyDescent="0.2"/>
    <row r="646" spans="2:5" ht="34" customHeight="1" x14ac:dyDescent="0.2">
      <c r="B646" s="522" t="s">
        <v>2978</v>
      </c>
      <c r="C646" s="523"/>
      <c r="D646" s="523"/>
      <c r="E646" s="524"/>
    </row>
    <row r="647" spans="2:5" ht="20" customHeight="1" x14ac:dyDescent="0.2">
      <c r="B647" s="43" t="s">
        <v>261</v>
      </c>
      <c r="C647" s="43" t="s">
        <v>262</v>
      </c>
      <c r="D647" s="130" t="s">
        <v>19</v>
      </c>
      <c r="E647" s="43" t="s">
        <v>20</v>
      </c>
    </row>
    <row r="648" spans="2:5" ht="20" customHeight="1" x14ac:dyDescent="0.2">
      <c r="B648" s="492" t="s">
        <v>938</v>
      </c>
      <c r="C648" s="493"/>
      <c r="D648" s="493"/>
      <c r="E648" s="494"/>
    </row>
    <row r="649" spans="2:5" ht="20" customHeight="1" x14ac:dyDescent="0.2">
      <c r="B649" s="4" t="s">
        <v>85</v>
      </c>
      <c r="C649" s="362" t="str">
        <f>IF(cluster_wld_domain_chosen&lt;&gt;"MGMT Workload Domain",CONCATENATE(prefix_wld_az1_rack_vlan,"91"),CONCATENATE(prefix_mgmt_az1_vlan,"91"))</f>
        <v>1391</v>
      </c>
      <c r="D649" s="347"/>
      <c r="E649" s="93"/>
    </row>
    <row r="650" spans="2:5" ht="20" customHeight="1" x14ac:dyDescent="0.2">
      <c r="B650" s="4" t="s">
        <v>160</v>
      </c>
      <c r="C650" s="362">
        <v>9000</v>
      </c>
      <c r="D650" s="347"/>
      <c r="E650" s="32"/>
    </row>
    <row r="651" spans="2:5" ht="20" customHeight="1" x14ac:dyDescent="0.2">
      <c r="B651" s="4" t="s">
        <v>188</v>
      </c>
      <c r="C651" s="126" t="str">
        <f>IF(cluster_wld_domain_chosen&lt;&gt;"MGMT Workload Domain",CONCATENATE(prefix_wld_az1_rack_cidr,"91.0"),CONCATENATE(prefix_mgmt_az1_cidr,"91.0"))</f>
        <v>10.13.91.0</v>
      </c>
      <c r="D651" s="347"/>
      <c r="E651" s="32"/>
    </row>
    <row r="652" spans="2:5" ht="20" customHeight="1" x14ac:dyDescent="0.2">
      <c r="B652" s="4" t="s">
        <v>285</v>
      </c>
      <c r="C652" s="126" t="s">
        <v>128</v>
      </c>
      <c r="D652" s="347"/>
      <c r="E652" s="32"/>
    </row>
    <row r="653" spans="2:5" ht="20" customHeight="1" x14ac:dyDescent="0.2">
      <c r="B653" s="4" t="s">
        <v>187</v>
      </c>
      <c r="C653" s="362" t="str">
        <f>IF(cluster_wld_domain_chosen&lt;&gt;"MGMT Workload Domain",CONCATENATE(prefix_wld_az1_rack_cidr,"91.1"),CONCATENATE(prefix_mgmt_az1_cidr,"91.1"))</f>
        <v>10.13.91.1</v>
      </c>
      <c r="D653" s="347"/>
      <c r="E653" s="32"/>
    </row>
    <row r="654" spans="2:5" ht="20" customHeight="1" x14ac:dyDescent="0.2">
      <c r="B654" s="17" t="s">
        <v>255</v>
      </c>
      <c r="C654" s="362" t="str">
        <f>IF(cluster_wld_domain_chosen&lt;&gt;"MGMT Workload Domain",CONCATENATE(prefix_wld_az1_rack_cidr,"91.101"),CONCATENATE(prefix_mgmt_az1_cidr,"91.101"))</f>
        <v>10.13.91.101</v>
      </c>
      <c r="D654" s="347"/>
      <c r="E654" s="100" t="s">
        <v>2970</v>
      </c>
    </row>
    <row r="655" spans="2:5" ht="20" customHeight="1" x14ac:dyDescent="0.2">
      <c r="B655" s="17" t="s">
        <v>256</v>
      </c>
      <c r="C655" s="362" t="str">
        <f>IF(cluster_wld_domain_chosen&lt;&gt;"MGMT Workload Domain",CONCATENATE(prefix_wld_az1_rack_cidr,"91.116"),CONCATENATE(prefix_mgmt_az1_cidr,"91.116"))</f>
        <v>10.13.91.116</v>
      </c>
      <c r="D655" s="347"/>
      <c r="E655" s="100" t="s">
        <v>2971</v>
      </c>
    </row>
    <row r="656" spans="2:5" ht="20" customHeight="1" x14ac:dyDescent="0.2"/>
  </sheetData>
  <sheetProtection algorithmName="SHA-512" hashValue="O/AeHnxuTVVBohpoyFPYyPFE4zxCMwH6kdi2foH07iElrVBUXBDx+w2cDGNMdXB+s/erCuiJDgDeyRfeej2HgQ==" saltValue="bQPXAcre10A9/7XOkWQQIQ==" spinCount="100000" sheet="1" selectLockedCells="1"/>
  <mergeCells count="79">
    <mergeCell ref="B177:E177"/>
    <mergeCell ref="B263:E263"/>
    <mergeCell ref="B270:E270"/>
    <mergeCell ref="B217:E217"/>
    <mergeCell ref="B221:E221"/>
    <mergeCell ref="B229:E229"/>
    <mergeCell ref="B238:E238"/>
    <mergeCell ref="B31:E31"/>
    <mergeCell ref="B84:E84"/>
    <mergeCell ref="B77:E77"/>
    <mergeCell ref="B99:E99"/>
    <mergeCell ref="B101:E101"/>
    <mergeCell ref="B2:E2"/>
    <mergeCell ref="B3:E3"/>
    <mergeCell ref="B6:E6"/>
    <mergeCell ref="B8:E8"/>
    <mergeCell ref="B13:E13"/>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363:E363"/>
    <mergeCell ref="B314:E314"/>
    <mergeCell ref="B322:E322"/>
    <mergeCell ref="B331:E331"/>
    <mergeCell ref="B356:E356"/>
    <mergeCell ref="B415:E415"/>
    <mergeCell ref="B424:E424"/>
    <mergeCell ref="B449:E449"/>
    <mergeCell ref="B456:E456"/>
    <mergeCell ref="B378:E378"/>
    <mergeCell ref="B380:E380"/>
    <mergeCell ref="B385:E385"/>
    <mergeCell ref="B403:E403"/>
    <mergeCell ref="B407:E407"/>
    <mergeCell ref="B508:E508"/>
    <mergeCell ref="B517:E517"/>
    <mergeCell ref="B542:E542"/>
    <mergeCell ref="B549:E549"/>
    <mergeCell ref="B471:E471"/>
    <mergeCell ref="B473:E473"/>
    <mergeCell ref="B478:E478"/>
    <mergeCell ref="B496:E496"/>
    <mergeCell ref="B500:E500"/>
    <mergeCell ref="B635:E635"/>
    <mergeCell ref="B642:E642"/>
    <mergeCell ref="B564:E564"/>
    <mergeCell ref="B566:E566"/>
    <mergeCell ref="B571:E571"/>
    <mergeCell ref="B589:E589"/>
    <mergeCell ref="B593:E593"/>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432"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431"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430" priority="1431">
      <formula>LEN(TRIM(D9))&gt;0</formula>
    </cfRule>
  </conditionalFormatting>
  <conditionalFormatting sqref="D15 D55 D108 D148 D201 D241 D294 D334 D387 D427 D480 D520 D573 D613">
    <cfRule type="expression" dxfId="429" priority="46">
      <formula>AND((wld_compute_hosts_per_rack_chosen&lt;2),(vcf_granular_option_chosen="Create VI Workload Domain"))</formula>
    </cfRule>
    <cfRule type="expression" dxfId="428" priority="27">
      <formula>AND((cluster_compute_hosts_per_rack_chosen&lt;2),(vcf_granular_option_chosen="Create Cluster"))</formula>
    </cfRule>
  </conditionalFormatting>
  <conditionalFormatting sqref="D16 D56 D109 D149 D202 D242 D295 D335 D388 D428 D481 D521 D574 D614">
    <cfRule type="expression" dxfId="427" priority="47">
      <formula>AND((wld_compute_hosts_per_rack_chosen&lt;3),(vcf_granular_option_chosen="Create VI Workload Domain"))</formula>
    </cfRule>
    <cfRule type="expression" dxfId="426" priority="28">
      <formula>AND((cluster_compute_hosts_per_rack_chosen&lt;3),(vcf_granular_option_chosen="Create Cluster"))</formula>
    </cfRule>
  </conditionalFormatting>
  <conditionalFormatting sqref="D17 D57 D110 D150 D203 D243 D296 D336 D389 D429 D482 D522 D575 D615">
    <cfRule type="expression" dxfId="425" priority="48">
      <formula>AND((wld_compute_hosts_per_rack_chosen&lt;4),(vcf_granular_option_chosen="Create VI Workload Domain"))</formula>
    </cfRule>
    <cfRule type="expression" dxfId="424" priority="29">
      <formula>AND((cluster_compute_hosts_per_rack_chosen&lt;4),(vcf_granular_option_chosen="Create Cluster"))</formula>
    </cfRule>
  </conditionalFormatting>
  <conditionalFormatting sqref="D18 D58 D111 D151 D204 D244 D297 D337 D390 D430 D483 D523 D576 D616">
    <cfRule type="expression" dxfId="423" priority="49">
      <formula>AND((wld_compute_hosts_per_rack_chosen&lt;5),(vcf_granular_option_chosen="Create VI Workload Domain"))</formula>
    </cfRule>
    <cfRule type="expression" dxfId="422" priority="30">
      <formula>AND((cluster_compute_hosts_per_rack_chosen&lt;5),(vcf_granular_option_chosen="Create Cluster"))</formula>
    </cfRule>
  </conditionalFormatting>
  <conditionalFormatting sqref="D19 D59 D112 D152 D205 D245 D298 D338 D391 D431 D484 D524 D577 D617">
    <cfRule type="expression" dxfId="421" priority="50">
      <formula>AND((wld_compute_hosts_per_rack_chosen&lt;6),(vcf_granular_option_chosen="Create VI Workload Domain"))</formula>
    </cfRule>
    <cfRule type="expression" dxfId="420" priority="31">
      <formula>AND((cluster_compute_hosts_per_rack_chosen&lt;6),(vcf_granular_option_chosen="Create Cluster"))</formula>
    </cfRule>
  </conditionalFormatting>
  <conditionalFormatting sqref="D20 D60 D113 D153 D206 D246 D299 D339 D392 D432 D485 D525 D578 D618">
    <cfRule type="expression" dxfId="419" priority="32">
      <formula>AND((cluster_compute_hosts_per_rack_chosen&lt;7),(vcf_granular_option_chosen="Create Cluster"))</formula>
    </cfRule>
    <cfRule type="expression" dxfId="418" priority="51">
      <formula>AND((wld_compute_hosts_per_rack_chosen&lt;7),(vcf_granular_option_chosen="Create VI Workload Domain"))</formula>
    </cfRule>
  </conditionalFormatting>
  <conditionalFormatting sqref="D21 D61 D114 D154 D207 D247 D300 D340 D393 D433 D486 D526 D579 D619">
    <cfRule type="expression" dxfId="417" priority="52">
      <formula>AND((wld_compute_hosts_per_rack_chosen&lt;8),(vcf_granular_option_chosen="Create VI Workload Domain"))</formula>
    </cfRule>
    <cfRule type="expression" dxfId="416" priority="33">
      <formula>AND((cluster_compute_hosts_per_rack_chosen&lt;8),(vcf_granular_option_chosen="Create Cluster"))</formula>
    </cfRule>
  </conditionalFormatting>
  <conditionalFormatting sqref="D22 D62 D115 D155 D208 D248 D301 D341 D394 D434 D487 D527 D580 D620">
    <cfRule type="expression" dxfId="415" priority="53">
      <formula>AND((wld_compute_hosts_per_rack_chosen&lt;9),(vcf_granular_option_chosen="Create VI Workload Domain"))</formula>
    </cfRule>
    <cfRule type="expression" dxfId="414" priority="34">
      <formula>AND((cluster_compute_hosts_per_rack_chosen&lt;9),(vcf_granular_option_chosen="Create Cluster"))</formula>
    </cfRule>
  </conditionalFormatting>
  <conditionalFormatting sqref="D23 D63 D116 D156 D209 D249 D302 D342 D395 D435 D488 D528 D581 D621">
    <cfRule type="expression" dxfId="413" priority="54">
      <formula>AND((wld_compute_hosts_per_rack_chosen&lt;10),(vcf_granular_option_chosen="Create VI Workload Domain"))</formula>
    </cfRule>
    <cfRule type="expression" dxfId="412" priority="35">
      <formula>AND((cluster_compute_hosts_per_rack_chosen&lt;10),(vcf_granular_option_chosen="Create Cluster"))</formula>
    </cfRule>
  </conditionalFormatting>
  <conditionalFormatting sqref="D24 D64 D117 D157 D210 D250 D303 D343 D396 D436 D489 D529 D582 D622">
    <cfRule type="expression" dxfId="411" priority="55">
      <formula>AND((wld_compute_hosts_per_rack_chosen&lt;11),(vcf_granular_option_chosen="Create VI Workload Domain"))</formula>
    </cfRule>
    <cfRule type="expression" dxfId="410" priority="36">
      <formula>AND((cluster_compute_hosts_per_rack_chosen&lt;11),(vcf_granular_option_chosen="Create Cluster"))</formula>
    </cfRule>
  </conditionalFormatting>
  <conditionalFormatting sqref="D25 D65 D118 D158 D211 D251 D304 D344 D397 D437 D490 D530 D583 D623">
    <cfRule type="expression" dxfId="409" priority="56">
      <formula>AND((wld_compute_hosts_per_rack_chosen&lt;12),(vcf_granular_option_chosen="Create VI Workload Domain"))</formula>
    </cfRule>
    <cfRule type="expression" dxfId="408" priority="37">
      <formula>AND((cluster_compute_hosts_per_rack_chosen&lt;12),(vcf_granular_option_chosen="Create Cluster"))</formula>
    </cfRule>
  </conditionalFormatting>
  <conditionalFormatting sqref="D26 D66 D119 D159 D212 D252 D305 D345 D398 D438 D491 D531 D584 D624">
    <cfRule type="expression" dxfId="407" priority="57">
      <formula>AND((wld_compute_hosts_per_rack_chosen&lt;13),(vcf_granular_option_chosen="Create VI Workload Domain"))</formula>
    </cfRule>
    <cfRule type="expression" dxfId="406" priority="38">
      <formula>AND((cluster_compute_hosts_per_rack_chosen&lt;13),(vcf_granular_option_chosen="Create Cluster"))</formula>
    </cfRule>
  </conditionalFormatting>
  <conditionalFormatting sqref="D27 D67 D120 D160 D213 D253 D306 D346 D399 D439 D492 D532 D585 D625">
    <cfRule type="expression" dxfId="405" priority="58">
      <formula>AND((wld_compute_hosts_per_rack_chosen&lt;14),(vcf_granular_option_chosen="Create VI Workload Domain"))</formula>
    </cfRule>
    <cfRule type="expression" dxfId="404" priority="39">
      <formula>AND((cluster_compute_hosts_per_rack_chosen&lt;14),(vcf_granular_option_chosen="Create Cluster"))</formula>
    </cfRule>
  </conditionalFormatting>
  <conditionalFormatting sqref="D28 D68 D121 D161 D214 D254 D307 D347 D400 D440 D493 D533 D586 D626">
    <cfRule type="expression" dxfId="403" priority="59">
      <formula>AND((wld_compute_hosts_per_rack_chosen&lt;15),(vcf_granular_option_chosen="Create VI Workload Domain"))</formula>
    </cfRule>
    <cfRule type="expression" dxfId="402" priority="40">
      <formula>AND((cluster_compute_hosts_per_rack_chosen&lt;15),(vcf_granular_option_chosen="Create Cluster"))</formula>
    </cfRule>
  </conditionalFormatting>
  <conditionalFormatting sqref="D29 D69 D122 D162 D215 D255 D308 D348 D401 D441 D494 D534 D587 D627">
    <cfRule type="expression" dxfId="401" priority="60">
      <formula>AND((wld_compute_hosts_per_rack_chosen&lt;16),(vcf_granular_option_chosen="Create VI Workload Domain"))</formula>
    </cfRule>
    <cfRule type="expression" dxfId="400" priority="41">
      <formula>AND((cluster_compute_hosts_per_rack_chosen&lt;16),(vcf_granular_option_chosen="Create Cluster"))</formula>
    </cfRule>
  </conditionalFormatting>
  <conditionalFormatting sqref="D36:D42 D44:D50">
    <cfRule type="expression" dxfId="399" priority="7">
      <formula>wld_az1_rack2_reuse_vcf_networkpool_chosen="Re-use an existing VCF Network Pool"</formula>
    </cfRule>
  </conditionalFormatting>
  <conditionalFormatting sqref="D36:D50">
    <cfRule type="notContainsBlanks" dxfId="398" priority="1394">
      <formula>LEN(TRIM(D36))&gt;0</formula>
    </cfRule>
  </conditionalFormatting>
  <conditionalFormatting sqref="D43">
    <cfRule type="expression" dxfId="397" priority="1391">
      <formula>mgmt_domain_existing_vcenter_chosen="Selected"</formula>
    </cfRule>
    <cfRule type="containsBlanks" dxfId="396" priority="1393">
      <formula>LEN(TRIM(D43))=0</formula>
    </cfRule>
  </conditionalFormatting>
  <conditionalFormatting sqref="D91:D97">
    <cfRule type="expression" dxfId="394" priority="14">
      <formula>wld_az1_rack2_host_overlay_new_pool_chosen="Re-use an existing Pool"</formula>
    </cfRule>
  </conditionalFormatting>
  <conditionalFormatting sqref="D129:D135 D137:D143">
    <cfRule type="expression" dxfId="393" priority="6">
      <formula>wld_az1_rack3_reuse_vcf_networkpool_chosen="Re-use an existing VCF Network Pool"</formula>
    </cfRule>
  </conditionalFormatting>
  <conditionalFormatting sqref="D184:D190">
    <cfRule type="expression" dxfId="392" priority="13">
      <formula>wld_az1_rack3_host_overlay_new_pool_chosen="Re-use an existing Pool"</formula>
    </cfRule>
  </conditionalFormatting>
  <conditionalFormatting sqref="D222:D228 D230:D236">
    <cfRule type="expression" dxfId="391" priority="5">
      <formula>wld_az1_rack4_reuse_vcf_networkpool_chosen="Re-use an existing VCF Network Pool"</formula>
    </cfRule>
  </conditionalFormatting>
  <conditionalFormatting sqref="D277:D283">
    <cfRule type="expression" dxfId="390" priority="12">
      <formula>wld_az1_rack3_host_overlay_new_pool_chosen="Re-use an existing Pool"</formula>
    </cfRule>
  </conditionalFormatting>
  <conditionalFormatting sqref="D293:D308 D333:D354 D288:D291 D312:D313 D315:D321 D323:D329 D357:D362 D365 D370:D376">
    <cfRule type="expression" dxfId="389" priority="61">
      <formula>wld_multi_rack_count_chosen&lt;4</formula>
    </cfRule>
  </conditionalFormatting>
  <conditionalFormatting sqref="D315:D321 D323:D329">
    <cfRule type="expression" dxfId="388" priority="4">
      <formula>wld_az1_rack5_reuse_vcf_networkpool_chosen="Re-use an existing VCF Network Pool"</formula>
    </cfRule>
  </conditionalFormatting>
  <conditionalFormatting sqref="D370:D376">
    <cfRule type="expression" dxfId="387" priority="8">
      <formula>wld_az1_rack5_host_overlay_new_pool_chosen="Re-use an existing Pool"</formula>
    </cfRule>
  </conditionalFormatting>
  <conditionalFormatting sqref="D386:D401 D426:D447 D479:D494 D381:D384 D405:D406 D408:D414 D416:D422 D450:D455 D458 D463:D469 D474:D477">
    <cfRule type="expression" dxfId="386" priority="62">
      <formula>wld_multi_rack_count_chosen&lt;5</formula>
    </cfRule>
  </conditionalFormatting>
  <conditionalFormatting sqref="D408:D414 D416:D422">
    <cfRule type="expression" dxfId="385" priority="3">
      <formula>wld_az1_rack6_reuse_vcf_networkpool_chosen="Re-use an existing VCF Network Pool"</formula>
    </cfRule>
  </conditionalFormatting>
  <conditionalFormatting sqref="D463:D469">
    <cfRule type="expression" dxfId="384" priority="9">
      <formula>wld_az1_rack6_host_overlay_new_pool_chosen="Re-use an existing Pool"</formula>
    </cfRule>
  </conditionalFormatting>
  <conditionalFormatting sqref="D479:D494 D519:D540 D572:D587 D474:D477 D498:D507 D509:D515 D543:D548 D551 D556:D562 D567:D570">
    <cfRule type="expression" dxfId="383" priority="68">
      <formula>wld_multi_rack_count_chosen&lt;6</formula>
    </cfRule>
  </conditionalFormatting>
  <conditionalFormatting sqref="D501:D507 D509:D515">
    <cfRule type="expression" dxfId="382" priority="2">
      <formula>wld_az1_rack7_reuse_vcf_networkpool_chosen="Re-use an existing VCF Network Pool"</formula>
    </cfRule>
  </conditionalFormatting>
  <conditionalFormatting sqref="D556:D562">
    <cfRule type="expression" dxfId="381" priority="10">
      <formula>wld_az1_rack7_host_overlay_new_pool_chosen="Re-use an existing Pool"</formula>
    </cfRule>
  </conditionalFormatting>
  <conditionalFormatting sqref="D594:D600 D602:D608">
    <cfRule type="expression" dxfId="379" priority="1">
      <formula>wld_az1_rack8_reuse_vcf_networkpool_chosen="Re-use an existing VCF Network Pool"</formula>
    </cfRule>
  </conditionalFormatting>
  <conditionalFormatting sqref="D612:D633 D591:D600 D602:D608 D636:D641 D644 D649:D655">
    <cfRule type="expression" dxfId="378" priority="69">
      <formula>wld_multi_rack_count_chosen&lt;7</formula>
    </cfRule>
  </conditionalFormatting>
  <conditionalFormatting sqref="D649:D655">
    <cfRule type="expression" dxfId="377" priority="11">
      <formula>wld_az1_rack8_host_overlay_new_pool_chosen="Re-use an existing Pool"</formula>
    </cfRule>
  </conditionalFormatting>
  <conditionalFormatting sqref="E54:E69">
    <cfRule type="expression" dxfId="376" priority="1387">
      <formula>OR((wld_vlcm_model_result="Excluded"),(wld_vlcm_model_chosen="Baselines"))</formula>
    </cfRule>
  </conditionalFormatting>
  <conditionalFormatting sqref="E147:E162">
    <cfRule type="expression" dxfId="375" priority="1343">
      <formula>OR((wld_vlcm_model_result="Excluded"),(wld_vlcm_model_chosen="Baselines"))</formula>
    </cfRule>
  </conditionalFormatting>
  <conditionalFormatting sqref="E240:E255">
    <cfRule type="expression" dxfId="374" priority="1213">
      <formula>OR((wld_vlcm_model_result="Excluded"),(wld_vlcm_model_chosen="Baselines"))</formula>
    </cfRule>
  </conditionalFormatting>
  <conditionalFormatting sqref="E333:E348">
    <cfRule type="expression" dxfId="373" priority="1071">
      <formula>OR((wld_vlcm_model_result="Excluded"),(wld_vlcm_model_chosen="Baselines"))</formula>
    </cfRule>
  </conditionalFormatting>
  <conditionalFormatting sqref="E426:E441">
    <cfRule type="expression" dxfId="372" priority="867">
      <formula>OR((wld_vlcm_model_result="Excluded"),(wld_vlcm_model_chosen="Baselines"))</formula>
    </cfRule>
  </conditionalFormatting>
  <conditionalFormatting sqref="E519:E534">
    <cfRule type="expression" dxfId="371" priority="664">
      <formula>OR((wld_vlcm_model_result="Excluded"),(wld_vlcm_model_chosen="Baselines"))</formula>
    </cfRule>
  </conditionalFormatting>
  <conditionalFormatting sqref="E612:E627">
    <cfRule type="expression" dxfId="370" priority="433">
      <formula>OR((wld_vlcm_model_result="Excluded"),(wld_vlcm_model_chosen="Baselines"))</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9" activePane="bottomLeft" state="frozen"/>
      <selection pane="bottomLeft"/>
    </sheetView>
  </sheetViews>
  <sheetFormatPr baseColWidth="10" defaultColWidth="11" defaultRowHeight="16" x14ac:dyDescent="0.2"/>
  <cols>
    <col min="1" max="1" width="2.83203125" style="8" customWidth="1"/>
    <col min="2" max="2" width="79.83203125" style="2" customWidth="1"/>
    <col min="3" max="3" width="70.83203125" style="8" customWidth="1"/>
    <col min="4" max="4" width="70.83203125" style="2" customWidth="1"/>
    <col min="5" max="5" width="83.6640625" style="8" customWidth="1"/>
    <col min="6" max="6" width="24" style="8" bestFit="1" customWidth="1"/>
    <col min="7" max="7" width="10.83203125" style="8" customWidth="1"/>
    <col min="8" max="15" width="11" style="8" customWidth="1"/>
    <col min="16" max="16384" width="11" style="8"/>
  </cols>
  <sheetData>
    <row r="1" spans="1:10" s="2" customFormat="1" ht="16" customHeight="1" x14ac:dyDescent="0.2">
      <c r="A1" s="311"/>
      <c r="F1" s="8"/>
      <c r="G1" s="8"/>
      <c r="H1" s="8"/>
      <c r="I1" s="8"/>
      <c r="J1" s="8"/>
    </row>
    <row r="2" spans="1:10" s="2" customFormat="1" ht="54" customHeight="1" x14ac:dyDescent="0.2">
      <c r="B2" s="625" t="s">
        <v>2979</v>
      </c>
      <c r="C2" s="626"/>
      <c r="D2" s="626"/>
      <c r="E2" s="627"/>
      <c r="F2" s="8"/>
      <c r="G2" s="8"/>
      <c r="H2" s="8"/>
      <c r="I2" s="8"/>
      <c r="J2" s="8"/>
    </row>
    <row r="3" spans="1:10" s="2" customFormat="1" ht="20" customHeight="1" x14ac:dyDescent="0.2">
      <c r="B3" s="628" t="s">
        <v>2980</v>
      </c>
      <c r="C3" s="629"/>
      <c r="D3" s="629"/>
      <c r="E3" s="630"/>
      <c r="F3" s="8"/>
      <c r="G3" s="8"/>
      <c r="H3" s="8"/>
      <c r="I3" s="8"/>
      <c r="J3" s="8"/>
    </row>
    <row r="5" spans="1:10" ht="34" customHeight="1" x14ac:dyDescent="0.2">
      <c r="B5" s="208" t="s">
        <v>2724</v>
      </c>
      <c r="C5" s="208" t="s">
        <v>2981</v>
      </c>
      <c r="D5" s="294"/>
      <c r="E5" s="294"/>
    </row>
    <row r="6" spans="1:10" s="2" customFormat="1" x14ac:dyDescent="0.2">
      <c r="D6" s="10"/>
      <c r="E6" s="3"/>
      <c r="F6" s="3"/>
    </row>
    <row r="7" spans="1:10" ht="16" customHeight="1" x14ac:dyDescent="0.2"/>
    <row r="8" spans="1:10" ht="34" customHeight="1" x14ac:dyDescent="0.2">
      <c r="B8" s="556" t="s">
        <v>2724</v>
      </c>
      <c r="C8" s="557"/>
      <c r="D8" s="557"/>
      <c r="E8" s="557"/>
    </row>
    <row r="10" spans="1:10" ht="30" customHeight="1" x14ac:dyDescent="0.2">
      <c r="B10" s="557" t="s">
        <v>2982</v>
      </c>
      <c r="C10" s="557"/>
      <c r="D10" s="557"/>
      <c r="E10" s="557"/>
    </row>
    <row r="11" spans="1:10" ht="20" customHeight="1" x14ac:dyDescent="0.2">
      <c r="B11" s="562"/>
      <c r="C11" s="562"/>
      <c r="D11" s="562"/>
      <c r="E11" s="562"/>
    </row>
    <row r="12" spans="1:10" ht="20" customHeight="1" x14ac:dyDescent="0.2">
      <c r="B12" s="307" t="s">
        <v>17</v>
      </c>
      <c r="C12" s="308" t="s">
        <v>18</v>
      </c>
      <c r="D12" s="308" t="s">
        <v>19</v>
      </c>
      <c r="E12" s="308" t="s">
        <v>20</v>
      </c>
    </row>
    <row r="13" spans="1:10" ht="20" customHeight="1" x14ac:dyDescent="0.2">
      <c r="B13" s="4" t="s">
        <v>2983</v>
      </c>
      <c r="C13" s="362" t="str">
        <f>CONCATENATE(prefix_portable_component,"-fm01.",sample_vvs_dr_parent_dns_zone)</f>
        <v>flt-fm01.rainpole.io</v>
      </c>
      <c r="D13" s="347"/>
      <c r="E13" s="32"/>
    </row>
    <row r="14" spans="1:10" ht="20" customHeight="1" x14ac:dyDescent="0.2">
      <c r="B14" s="511" t="s">
        <v>2984</v>
      </c>
      <c r="C14" s="512"/>
      <c r="D14" s="512"/>
      <c r="E14" s="513"/>
    </row>
    <row r="15" spans="1:10" ht="20" customHeight="1" x14ac:dyDescent="0.2">
      <c r="B15" s="4" t="s">
        <v>1313</v>
      </c>
      <c r="C15" s="362" t="str">
        <f>CONCATENATE("DNS=",sample_vvs_dr_dns1_ip)</f>
        <v>DNS=10.21.10.4</v>
      </c>
      <c r="D15" s="347"/>
      <c r="E15" s="32"/>
    </row>
    <row r="16" spans="1:10" ht="20" customHeight="1" x14ac:dyDescent="0.2">
      <c r="B16" s="511" t="s">
        <v>2985</v>
      </c>
      <c r="C16" s="512"/>
      <c r="D16" s="512"/>
      <c r="E16" s="513"/>
    </row>
    <row r="17" spans="2:5" ht="20" customHeight="1" x14ac:dyDescent="0.2">
      <c r="B17" s="361" t="s">
        <v>2986</v>
      </c>
      <c r="C17" s="362" t="s">
        <v>1625</v>
      </c>
      <c r="D17" s="347"/>
      <c r="E17" s="32"/>
    </row>
    <row r="18" spans="2:5" ht="16" customHeight="1" x14ac:dyDescent="0.2"/>
    <row r="19" spans="2:5" ht="30" customHeight="1" x14ac:dyDescent="0.2">
      <c r="B19" s="557" t="s">
        <v>2987</v>
      </c>
      <c r="C19" s="557"/>
      <c r="D19" s="557"/>
      <c r="E19" s="557"/>
    </row>
    <row r="20" spans="2:5" ht="20" customHeight="1" x14ac:dyDescent="0.2">
      <c r="B20" s="307" t="s">
        <v>17</v>
      </c>
      <c r="C20" s="308" t="s">
        <v>18</v>
      </c>
      <c r="D20" s="308" t="s">
        <v>19</v>
      </c>
      <c r="E20" s="308" t="s">
        <v>20</v>
      </c>
    </row>
    <row r="21" spans="2:5" ht="20" customHeight="1" x14ac:dyDescent="0.2">
      <c r="B21" s="4" t="s">
        <v>2988</v>
      </c>
      <c r="C21" s="362" t="str">
        <f>CONCATENATE(prefix_portable_component,"-ops01a.",sample_vvs_dr_parent_dns_zone)</f>
        <v>flt-ops01a.rainpole.io</v>
      </c>
      <c r="D21" s="347"/>
      <c r="E21" s="32"/>
    </row>
    <row r="22" spans="2:5" ht="20" customHeight="1" x14ac:dyDescent="0.2">
      <c r="B22" s="4" t="s">
        <v>261</v>
      </c>
      <c r="C22" s="362" t="s">
        <v>2989</v>
      </c>
      <c r="D22" s="347"/>
      <c r="E22" s="32"/>
    </row>
    <row r="23" spans="2:5" ht="20" customHeight="1" x14ac:dyDescent="0.2">
      <c r="B23" s="4" t="s">
        <v>2990</v>
      </c>
      <c r="C23" s="362" t="str">
        <f>CONCATENATE("ntp0",".",other_instance,".",sample_vvs_dr_parent_dns_zone)</f>
        <v>ntp0.lax.rainpole.io</v>
      </c>
      <c r="D23" s="347"/>
      <c r="E23" s="32"/>
    </row>
    <row r="24" spans="2:5" ht="16" customHeight="1" x14ac:dyDescent="0.2"/>
    <row r="25" spans="2:5" ht="30" customHeight="1" x14ac:dyDescent="0.2">
      <c r="B25" s="557" t="s">
        <v>2991</v>
      </c>
      <c r="C25" s="557"/>
      <c r="D25" s="557"/>
      <c r="E25" s="557"/>
    </row>
    <row r="26" spans="2:5" ht="20" customHeight="1" x14ac:dyDescent="0.2">
      <c r="B26" s="562"/>
      <c r="C26" s="562"/>
      <c r="D26" s="562"/>
      <c r="E26" s="562"/>
    </row>
    <row r="27" spans="2:5" ht="20" customHeight="1" x14ac:dyDescent="0.2">
      <c r="B27" s="307" t="s">
        <v>17</v>
      </c>
      <c r="C27" s="308" t="s">
        <v>18</v>
      </c>
      <c r="D27" s="308" t="s">
        <v>19</v>
      </c>
      <c r="E27" s="308" t="s">
        <v>20</v>
      </c>
    </row>
    <row r="28" spans="2:5" ht="20" customHeight="1" x14ac:dyDescent="0.2">
      <c r="B28" s="4" t="s">
        <v>2988</v>
      </c>
      <c r="C28" s="362" t="str">
        <f>sample_vvs_dr_flt_ops_nodea_fqdn</f>
        <v>flt-ops01a.rainpole.io</v>
      </c>
      <c r="D28" s="337" t="str">
        <f>vvs_dr_flt_ops_nodea_fqdn</f>
        <v>Value Missing</v>
      </c>
      <c r="E28" s="32"/>
    </row>
    <row r="29" spans="2:5" ht="20" customHeight="1" x14ac:dyDescent="0.2">
      <c r="B29" s="511" t="s">
        <v>2984</v>
      </c>
      <c r="C29" s="512"/>
      <c r="D29" s="512"/>
      <c r="E29" s="513"/>
    </row>
    <row r="30" spans="2:5" ht="20" customHeight="1" x14ac:dyDescent="0.2">
      <c r="B30" s="4" t="s">
        <v>1313</v>
      </c>
      <c r="C30" s="362" t="str">
        <f>CONCATENATE("DNS=",sample_vvs_dr_dns1_ip)</f>
        <v>DNS=10.21.10.4</v>
      </c>
      <c r="D30" s="337" t="str">
        <f>IF(ISBLANK(D15),"Value Missing",D15)</f>
        <v>Value Missing</v>
      </c>
      <c r="E30" s="32"/>
    </row>
    <row r="31" spans="2:5" ht="20" customHeight="1" x14ac:dyDescent="0.2">
      <c r="B31" s="511" t="s">
        <v>2985</v>
      </c>
      <c r="C31" s="512"/>
      <c r="D31" s="512"/>
      <c r="E31" s="513"/>
    </row>
    <row r="32" spans="2:5" ht="20" customHeight="1" x14ac:dyDescent="0.2">
      <c r="B32" s="361" t="s">
        <v>2986</v>
      </c>
      <c r="C32" s="362" t="str">
        <f>sample_vvs_dr_parent_dns_zone</f>
        <v>rainpole.io</v>
      </c>
      <c r="D32" s="337" t="str">
        <f t="array" ref="D32">vvs_dr_parent_dns_zone</f>
        <v>Value Missing</v>
      </c>
      <c r="E32" s="32"/>
    </row>
    <row r="33" spans="2:5" ht="20" customHeight="1" x14ac:dyDescent="0.2">
      <c r="B33" s="4" t="s">
        <v>2050</v>
      </c>
      <c r="C33" s="362" t="str">
        <f>CONCATENATE(prefix_portable_component,"-ops01b.",sample_vvs_dr_parent_dns_zone)</f>
        <v>flt-ops01b.rainpole.io</v>
      </c>
      <c r="D33" s="347"/>
      <c r="E33" s="32"/>
    </row>
    <row r="34" spans="2:5" ht="20" customHeight="1" x14ac:dyDescent="0.2">
      <c r="B34" s="4" t="s">
        <v>2056</v>
      </c>
      <c r="C34" s="362" t="str">
        <f>CONCATENATE(prefix_portable_component,"-ops01c.",sample_vvs_dr_parent_dns_zone)</f>
        <v>flt-ops01c.rainpole.io</v>
      </c>
      <c r="D34" s="347"/>
      <c r="E34" s="32"/>
    </row>
    <row r="35" spans="2:5" ht="20" customHeight="1" x14ac:dyDescent="0.2">
      <c r="B35" s="4" t="s">
        <v>2060</v>
      </c>
      <c r="C35" s="362" t="str">
        <f>CONCATENATE(prefix_portable_component,"-logs01a",".",sample_vvs_dr_parent_dns_zone)</f>
        <v>flt-logs01a.rainpole.io</v>
      </c>
      <c r="D35" s="347"/>
      <c r="E35" s="32"/>
    </row>
    <row r="36" spans="2:5" ht="20" customHeight="1" x14ac:dyDescent="0.2">
      <c r="B36" s="4" t="s">
        <v>2065</v>
      </c>
      <c r="C36" s="362" t="str">
        <f>CONCATENATE(prefix_portable_component,"-logs01b",".",sample_vvs_dr_parent_dns_zone)</f>
        <v>flt-logs01b.rainpole.io</v>
      </c>
      <c r="D36" s="347"/>
      <c r="E36" s="32"/>
    </row>
    <row r="37" spans="2:5" ht="20" customHeight="1" x14ac:dyDescent="0.2">
      <c r="B37" s="4" t="s">
        <v>2069</v>
      </c>
      <c r="C37" s="362" t="str">
        <f>CONCATENATE(prefix_portable_component,"-logs01c",".",sample_vvs_dr_parent_dns_zone)</f>
        <v>flt-logs01c.rainpole.io</v>
      </c>
      <c r="D37" s="347"/>
      <c r="E37" s="32"/>
    </row>
    <row r="38" spans="2:5" ht="20" customHeight="1" x14ac:dyDescent="0.2">
      <c r="B38" s="4" t="s">
        <v>2074</v>
      </c>
      <c r="C38" s="362" t="str">
        <f>CONCATENATE(prefix_portable_component,"-net01a",".",sample_vvs_dr_parent_dns_zone)</f>
        <v>flt-net01a.rainpole.io</v>
      </c>
      <c r="D38" s="347"/>
      <c r="E38" s="32"/>
    </row>
    <row r="39" spans="2:5" ht="20" customHeight="1" x14ac:dyDescent="0.2">
      <c r="B39" s="4" t="s">
        <v>2079</v>
      </c>
      <c r="C39" s="362" t="str">
        <f>CONCATENATE(prefix_portable_component,"-net01b",".",sample_vvs_dr_parent_dns_zone)</f>
        <v>flt-net01b.rainpole.io</v>
      </c>
      <c r="D39" s="347"/>
      <c r="E39" s="32"/>
    </row>
    <row r="40" spans="2:5" ht="20" customHeight="1" x14ac:dyDescent="0.2">
      <c r="B40" s="4" t="s">
        <v>2082</v>
      </c>
      <c r="C40" s="362" t="str">
        <f>CONCATENATE(prefix_portable_component,"-net01c",".",sample_vvs_dr_parent_dns_zone)</f>
        <v>flt-net01c.rainpole.io</v>
      </c>
      <c r="D40" s="347"/>
      <c r="E40" s="32"/>
    </row>
    <row r="41" spans="2:5" ht="16" customHeight="1" x14ac:dyDescent="0.2"/>
    <row r="42" spans="2:5" ht="30" customHeight="1" x14ac:dyDescent="0.2">
      <c r="B42" s="557" t="s">
        <v>2992</v>
      </c>
      <c r="C42" s="557"/>
      <c r="D42" s="557"/>
      <c r="E42" s="557"/>
    </row>
    <row r="43" spans="2:5" ht="20" customHeight="1" x14ac:dyDescent="0.2">
      <c r="B43" s="562"/>
      <c r="C43" s="562"/>
      <c r="D43" s="562"/>
      <c r="E43" s="562"/>
    </row>
    <row r="44" spans="2:5" ht="20" customHeight="1" x14ac:dyDescent="0.2">
      <c r="B44" s="307" t="s">
        <v>17</v>
      </c>
      <c r="C44" s="308" t="s">
        <v>18</v>
      </c>
      <c r="D44" s="308" t="s">
        <v>19</v>
      </c>
      <c r="E44" s="308" t="s">
        <v>20</v>
      </c>
    </row>
    <row r="45" spans="2:5" ht="20" customHeight="1" x14ac:dyDescent="0.2">
      <c r="B45" s="4" t="s">
        <v>2988</v>
      </c>
      <c r="C45" s="362" t="str">
        <f>sample_vvs_dr_flt_ops_nodea_fqdn</f>
        <v>flt-ops01a.rainpole.io</v>
      </c>
      <c r="D45" s="337" t="str">
        <f>vvs_dr_flt_ops_nodea_fqdn</f>
        <v>Value Missing</v>
      </c>
      <c r="E45" s="32"/>
    </row>
    <row r="46" spans="2:5" ht="20" customHeight="1" x14ac:dyDescent="0.2">
      <c r="B46" s="4" t="s">
        <v>2993</v>
      </c>
      <c r="C46" s="362" t="str">
        <f>sample_vvs_dr_ntp1_server</f>
        <v>ntp0.lax.rainpole.io</v>
      </c>
      <c r="D46" s="337" t="str">
        <f>vvs_dr_ntp1_server</f>
        <v>Value Missing</v>
      </c>
      <c r="E46" s="32"/>
    </row>
    <row r="47" spans="2:5" ht="16" customHeight="1" x14ac:dyDescent="0.2"/>
    <row r="48" spans="2:5" ht="30" customHeight="1" x14ac:dyDescent="0.2">
      <c r="B48" s="557" t="s">
        <v>2994</v>
      </c>
      <c r="C48" s="557"/>
      <c r="D48" s="557"/>
      <c r="E48" s="557"/>
    </row>
    <row r="49" spans="2:5" ht="20" customHeight="1" x14ac:dyDescent="0.2">
      <c r="B49" s="562"/>
      <c r="C49" s="562"/>
      <c r="D49" s="562"/>
      <c r="E49" s="562"/>
    </row>
    <row r="50" spans="2:5" ht="20" customHeight="1" x14ac:dyDescent="0.2">
      <c r="B50" s="307" t="s">
        <v>17</v>
      </c>
      <c r="C50" s="308" t="s">
        <v>18</v>
      </c>
      <c r="D50" s="308" t="s">
        <v>19</v>
      </c>
      <c r="E50" s="308" t="s">
        <v>20</v>
      </c>
    </row>
    <row r="51" spans="2:5" ht="20" customHeight="1" x14ac:dyDescent="0.2">
      <c r="B51" s="4" t="s">
        <v>2060</v>
      </c>
      <c r="C51" s="362" t="str">
        <f>sample_vvs_dr_flt_logs_nodea_fqdn</f>
        <v>flt-logs01a.rainpole.io</v>
      </c>
      <c r="D51" s="337" t="str">
        <f>vvs_dr_flt_logs_nodea_fqdn</f>
        <v>Value Missing</v>
      </c>
      <c r="E51" s="32"/>
    </row>
    <row r="52" spans="2:5" ht="20" customHeight="1" x14ac:dyDescent="0.2">
      <c r="B52" s="4" t="s">
        <v>2993</v>
      </c>
      <c r="C52" s="362" t="str">
        <f>sample_vvs_dr_ntp1_server</f>
        <v>ntp0.lax.rainpole.io</v>
      </c>
      <c r="D52" s="337" t="str">
        <f>vvs_dr_ntp1_server</f>
        <v>Value Missing</v>
      </c>
      <c r="E52" s="32"/>
    </row>
    <row r="53" spans="2:5" ht="20" customHeight="1" x14ac:dyDescent="0.2">
      <c r="B53" s="4" t="s">
        <v>2065</v>
      </c>
      <c r="C53" s="362" t="str">
        <f>sample_vvs_dr_flt_logs_nodeb_fqdn</f>
        <v>flt-logs01b.rainpole.io</v>
      </c>
      <c r="D53" s="337" t="str">
        <f>vvs_dr_flt_logs_nodeb_fqdn</f>
        <v>Value Missing</v>
      </c>
      <c r="E53" s="32"/>
    </row>
    <row r="54" spans="2:5" ht="20" customHeight="1" x14ac:dyDescent="0.2">
      <c r="B54" s="4" t="s">
        <v>2069</v>
      </c>
      <c r="C54" s="362" t="str">
        <f>sample_vvs_dr_flt_logs_nodec_fqdn</f>
        <v>flt-logs01c.rainpole.io</v>
      </c>
      <c r="D54" s="337" t="str">
        <f>vvs_dr_flt_logs_nodec_fqdn</f>
        <v>Value Missing</v>
      </c>
      <c r="E54" s="32"/>
    </row>
    <row r="55" spans="2:5" ht="16" customHeight="1" x14ac:dyDescent="0.2"/>
    <row r="56" spans="2:5" ht="30" customHeight="1" x14ac:dyDescent="0.2">
      <c r="B56" s="557" t="s">
        <v>2995</v>
      </c>
      <c r="C56" s="557"/>
      <c r="D56" s="557"/>
      <c r="E56" s="557"/>
    </row>
    <row r="57" spans="2:5" ht="20" customHeight="1" x14ac:dyDescent="0.2">
      <c r="B57" s="562"/>
      <c r="C57" s="562"/>
      <c r="D57" s="562"/>
      <c r="E57" s="562"/>
    </row>
    <row r="58" spans="2:5" ht="20" customHeight="1" x14ac:dyDescent="0.2">
      <c r="B58" s="307" t="s">
        <v>17</v>
      </c>
      <c r="C58" s="308" t="s">
        <v>18</v>
      </c>
      <c r="D58" s="308" t="s">
        <v>19</v>
      </c>
      <c r="E58" s="308" t="s">
        <v>20</v>
      </c>
    </row>
    <row r="59" spans="2:5" ht="20" customHeight="1" x14ac:dyDescent="0.2">
      <c r="B59" s="4" t="s">
        <v>2074</v>
      </c>
      <c r="C59" s="362" t="str">
        <f>sample_vvs_dr_flt_net_nodea_fqdn</f>
        <v>flt-net01a.rainpole.io</v>
      </c>
      <c r="D59" s="337" t="str">
        <f>vvs_dr_flt_net_nodea_fqdn</f>
        <v>Value Missing</v>
      </c>
      <c r="E59" s="32"/>
    </row>
    <row r="60" spans="2:5" ht="20" customHeight="1" x14ac:dyDescent="0.2">
      <c r="B60" s="4" t="s">
        <v>2993</v>
      </c>
      <c r="C60" s="362" t="str">
        <f>sample_vvs_dr_ntp1_server</f>
        <v>ntp0.lax.rainpole.io</v>
      </c>
      <c r="D60" s="337" t="str">
        <f>vvs_dr_ntp1_server</f>
        <v>Value Missing</v>
      </c>
      <c r="E60" s="32"/>
    </row>
    <row r="61" spans="2:5" ht="20" customHeight="1" x14ac:dyDescent="0.2">
      <c r="B61" s="4" t="s">
        <v>2079</v>
      </c>
      <c r="C61" s="362" t="str">
        <f>sample_vvs_dr_flt_net_nodeb_fqdn</f>
        <v>flt-net01b.rainpole.io</v>
      </c>
      <c r="D61" s="337" t="str">
        <f>vvs_dr_flt_net_nodeb_fqdn</f>
        <v>Value Missing</v>
      </c>
      <c r="E61" s="32"/>
    </row>
    <row r="62" spans="2:5" ht="20" customHeight="1" x14ac:dyDescent="0.2">
      <c r="B62" s="4" t="s">
        <v>2082</v>
      </c>
      <c r="C62" s="362" t="str">
        <f>sample_vvs_dr_flt_net_nodec_fqdn</f>
        <v>flt-net01c.rainpole.io</v>
      </c>
      <c r="D62" s="337" t="str">
        <f>vvs_dr_flt_net_nodec_fqdn</f>
        <v>Value Missing</v>
      </c>
      <c r="E62" s="32"/>
    </row>
    <row r="63" spans="2:5" ht="16" customHeight="1" x14ac:dyDescent="0.2"/>
    <row r="64" spans="2:5" ht="30" customHeight="1" x14ac:dyDescent="0.2">
      <c r="B64" s="557" t="s">
        <v>2996</v>
      </c>
      <c r="C64" s="557"/>
      <c r="D64" s="557"/>
      <c r="E64" s="557"/>
    </row>
    <row r="65" spans="2:5" ht="20" customHeight="1" x14ac:dyDescent="0.2">
      <c r="B65" s="562"/>
      <c r="C65" s="562"/>
      <c r="D65" s="562"/>
      <c r="E65" s="562"/>
    </row>
    <row r="66" spans="2:5" ht="20" customHeight="1" x14ac:dyDescent="0.2">
      <c r="B66" s="307" t="s">
        <v>17</v>
      </c>
      <c r="C66" s="308" t="s">
        <v>18</v>
      </c>
      <c r="D66" s="308" t="s">
        <v>19</v>
      </c>
      <c r="E66" s="308" t="s">
        <v>20</v>
      </c>
    </row>
    <row r="67" spans="2:5" ht="20" customHeight="1" x14ac:dyDescent="0.2">
      <c r="B67" s="4" t="s">
        <v>2997</v>
      </c>
      <c r="C67" s="362" t="str">
        <f>CONCATENATE(prefix_portable_component,"-auto01",".",sample_vvs_dr_parent_dns_zone)</f>
        <v>flt-auto01.rainpole.io</v>
      </c>
      <c r="D67" s="347"/>
      <c r="E67" s="32"/>
    </row>
    <row r="68" spans="2:5" ht="20" customHeight="1" x14ac:dyDescent="0.2">
      <c r="B68" s="4" t="s">
        <v>2998</v>
      </c>
      <c r="C68" s="362" t="s">
        <v>2999</v>
      </c>
      <c r="D68" s="337" t="str">
        <f>C68</f>
        <v>automation</v>
      </c>
      <c r="E68" s="32"/>
    </row>
    <row r="69" spans="2:5" ht="20" customHeight="1" x14ac:dyDescent="0.2">
      <c r="B69" s="4" t="s">
        <v>3000</v>
      </c>
      <c r="C69" s="362" t="str">
        <f>CONCATENATE(prefix_other_region_az1_cidr,"10.4")</f>
        <v>10.21.10.4</v>
      </c>
      <c r="D69" s="347"/>
      <c r="E69" s="32"/>
    </row>
    <row r="70" spans="2:5" ht="20" customHeight="1" x14ac:dyDescent="0.2">
      <c r="B70" s="4" t="s">
        <v>3000</v>
      </c>
      <c r="C70" s="362" t="str">
        <f>CONCATENATE(prefix_other_region_az1_cidr,"10.5")</f>
        <v>10.21.10.5</v>
      </c>
      <c r="D70" s="347"/>
      <c r="E70" s="32"/>
    </row>
    <row r="71" spans="2:5" ht="16" customHeight="1" x14ac:dyDescent="0.2"/>
    <row r="72" spans="2:5" ht="34" customHeight="1" x14ac:dyDescent="0.2">
      <c r="B72" s="557" t="s">
        <v>3001</v>
      </c>
      <c r="C72" s="557"/>
      <c r="D72" s="557"/>
      <c r="E72" s="557"/>
    </row>
    <row r="73" spans="2:5" ht="20" customHeight="1" x14ac:dyDescent="0.2">
      <c r="B73" s="562"/>
      <c r="C73" s="562"/>
      <c r="D73" s="562"/>
      <c r="E73" s="562"/>
    </row>
    <row r="74" spans="2:5" ht="20" customHeight="1" x14ac:dyDescent="0.2">
      <c r="B74" s="307" t="s">
        <v>17</v>
      </c>
      <c r="C74" s="308" t="s">
        <v>18</v>
      </c>
      <c r="D74" s="308" t="s">
        <v>19</v>
      </c>
      <c r="E74" s="308" t="s">
        <v>20</v>
      </c>
    </row>
    <row r="75" spans="2:5" ht="20" customHeight="1" x14ac:dyDescent="0.2">
      <c r="B75" s="4" t="s">
        <v>3002</v>
      </c>
      <c r="C75" s="362" t="str">
        <f>sample_xreg_vra_virtual_fqdn</f>
        <v>flt-auto01.rainpole.io</v>
      </c>
      <c r="D75" s="337" t="str">
        <f>vvs_dr_flt_auto_fqdn</f>
        <v>Value Missing</v>
      </c>
      <c r="E75" s="32"/>
    </row>
    <row r="76" spans="2:5" ht="20" customHeight="1" x14ac:dyDescent="0.2">
      <c r="B76" s="4" t="s">
        <v>2998</v>
      </c>
      <c r="C76" s="362" t="s">
        <v>2999</v>
      </c>
      <c r="D76" s="337" t="str">
        <f>C76</f>
        <v>automation</v>
      </c>
      <c r="E76" s="32"/>
    </row>
    <row r="77" spans="2:5" ht="20" customHeight="1" x14ac:dyDescent="0.2">
      <c r="B77" s="4" t="s">
        <v>3003</v>
      </c>
      <c r="C77" s="362" t="str">
        <f>sample_vvs_dr_ntp1_server</f>
        <v>ntp0.lax.rainpole.io</v>
      </c>
      <c r="D77" s="337" t="str">
        <f>vvs_dr_ntp1_server</f>
        <v>Value Missing</v>
      </c>
      <c r="E77" s="32"/>
    </row>
    <row r="78" spans="2:5" ht="16" customHeight="1" x14ac:dyDescent="0.2"/>
    <row r="79" spans="2:5" ht="30" customHeight="1" x14ac:dyDescent="0.2">
      <c r="B79" s="557" t="s">
        <v>3004</v>
      </c>
      <c r="C79" s="557"/>
      <c r="D79" s="557"/>
      <c r="E79" s="557"/>
    </row>
    <row r="80" spans="2:5" ht="20" customHeight="1" x14ac:dyDescent="0.2">
      <c r="B80" s="562"/>
      <c r="C80" s="562"/>
      <c r="D80" s="562"/>
      <c r="E80" s="562"/>
    </row>
    <row r="81" spans="2:5" ht="20" customHeight="1" x14ac:dyDescent="0.2">
      <c r="B81" s="307" t="s">
        <v>17</v>
      </c>
      <c r="C81" s="308" t="s">
        <v>18</v>
      </c>
      <c r="D81" s="308" t="s">
        <v>19</v>
      </c>
      <c r="E81" s="308" t="s">
        <v>20</v>
      </c>
    </row>
    <row r="82" spans="2:5" ht="20" customHeight="1" x14ac:dyDescent="0.2">
      <c r="B82" s="4" t="s">
        <v>2997</v>
      </c>
      <c r="C82" s="362" t="str">
        <f>sample_vvs_dr_flt_ops_nodea_fqdn</f>
        <v>flt-ops01a.rainpole.io</v>
      </c>
      <c r="D82" s="337" t="str">
        <f>vvs_dr_flt_ops_nodea_fqdn</f>
        <v>Value Missing</v>
      </c>
      <c r="E82" s="32"/>
    </row>
    <row r="83" spans="2:5" ht="20" customHeight="1" x14ac:dyDescent="0.2">
      <c r="B83" s="4" t="s">
        <v>2998</v>
      </c>
      <c r="C83" s="362" t="s">
        <v>3005</v>
      </c>
      <c r="D83" s="337" t="s">
        <v>3005</v>
      </c>
      <c r="E83" s="32"/>
    </row>
    <row r="84" spans="2:5" ht="20" customHeight="1" x14ac:dyDescent="0.2">
      <c r="B84" s="4" t="s">
        <v>3000</v>
      </c>
      <c r="C84" s="362" t="str">
        <f>CONCATENATE(prefix_other_region_az1_cidr,"10.4")</f>
        <v>10.21.10.4</v>
      </c>
      <c r="D84" s="337" t="str">
        <f>vvs_dr_dns1_ip</f>
        <v>Value Missing</v>
      </c>
      <c r="E84" s="32"/>
    </row>
    <row r="85" spans="2:5" ht="20" customHeight="1" x14ac:dyDescent="0.2">
      <c r="B85" s="4" t="s">
        <v>3000</v>
      </c>
      <c r="C85" s="362" t="str">
        <f>sample_vvs_dr_dns2_ip</f>
        <v>10.21.10.5</v>
      </c>
      <c r="D85" s="337" t="str">
        <f t="array" ref="D85">vvs_dr_dns2_ip</f>
        <v>Value Missing</v>
      </c>
      <c r="E85" s="32"/>
    </row>
    <row r="86" spans="2:5" ht="16" customHeight="1" x14ac:dyDescent="0.2"/>
    <row r="87" spans="2:5" ht="34" customHeight="1" x14ac:dyDescent="0.2">
      <c r="B87" s="557" t="s">
        <v>3006</v>
      </c>
      <c r="C87" s="557"/>
      <c r="D87" s="557"/>
      <c r="E87" s="557"/>
    </row>
    <row r="88" spans="2:5" ht="20" customHeight="1" x14ac:dyDescent="0.2">
      <c r="B88" s="562"/>
      <c r="C88" s="562"/>
      <c r="D88" s="562"/>
      <c r="E88" s="562"/>
    </row>
    <row r="89" spans="2:5" ht="20" customHeight="1" x14ac:dyDescent="0.2">
      <c r="B89" s="307" t="s">
        <v>17</v>
      </c>
      <c r="C89" s="308" t="s">
        <v>18</v>
      </c>
      <c r="D89" s="308" t="s">
        <v>19</v>
      </c>
      <c r="E89" s="308" t="s">
        <v>20</v>
      </c>
    </row>
    <row r="90" spans="2:5" ht="20" customHeight="1" x14ac:dyDescent="0.2">
      <c r="B90" s="4" t="s">
        <v>2997</v>
      </c>
      <c r="C90" s="362" t="str">
        <f>sample_vvs_dr_flt_ops_nodea_fqdn</f>
        <v>flt-ops01a.rainpole.io</v>
      </c>
      <c r="D90" s="337" t="str">
        <f>vvs_dr_flt_ops_nodea_fqdn</f>
        <v>Value Missing</v>
      </c>
      <c r="E90" s="32"/>
    </row>
    <row r="91" spans="2:5" ht="20" customHeight="1" x14ac:dyDescent="0.2">
      <c r="B91" s="4" t="s">
        <v>2998</v>
      </c>
      <c r="C91" s="362" t="s">
        <v>3005</v>
      </c>
      <c r="D91" s="337" t="s">
        <v>3005</v>
      </c>
      <c r="E91" s="32"/>
    </row>
    <row r="92" spans="2:5" ht="20" customHeight="1" x14ac:dyDescent="0.2">
      <c r="B92" s="4" t="s">
        <v>3003</v>
      </c>
      <c r="C92" s="362" t="str">
        <f>sample_vvs_dr_ntp1_server</f>
        <v>ntp0.lax.rainpole.io</v>
      </c>
      <c r="D92" s="337" t="str">
        <f>vvs_dr_ntp1_server</f>
        <v>Value Missing</v>
      </c>
      <c r="E92" s="32"/>
    </row>
    <row r="93" spans="2:5" ht="16" customHeight="1" x14ac:dyDescent="0.2"/>
    <row r="94" spans="2:5" ht="34" customHeight="1" x14ac:dyDescent="0.2">
      <c r="B94" s="556" t="s">
        <v>3007</v>
      </c>
      <c r="C94" s="557"/>
      <c r="D94" s="557"/>
      <c r="E94" s="557"/>
    </row>
    <row r="95" spans="2:5" ht="16" customHeight="1" x14ac:dyDescent="0.2"/>
    <row r="96" spans="2:5" ht="34" customHeight="1" x14ac:dyDescent="0.2">
      <c r="B96" s="557" t="s">
        <v>3008</v>
      </c>
      <c r="C96" s="557"/>
      <c r="D96" s="557"/>
      <c r="E96" s="557"/>
    </row>
    <row r="97" spans="2:6" ht="20" customHeight="1" x14ac:dyDescent="0.2">
      <c r="B97" s="562"/>
      <c r="C97" s="562"/>
      <c r="D97" s="562"/>
      <c r="E97" s="562"/>
    </row>
    <row r="98" spans="2:6" ht="20" customHeight="1" x14ac:dyDescent="0.2">
      <c r="B98" s="307" t="s">
        <v>17</v>
      </c>
      <c r="C98" s="308" t="s">
        <v>18</v>
      </c>
      <c r="D98" s="308" t="s">
        <v>19</v>
      </c>
      <c r="E98" s="308" t="s">
        <v>20</v>
      </c>
    </row>
    <row r="99" spans="2:6" ht="20" customHeight="1" x14ac:dyDescent="0.2">
      <c r="B99" s="4" t="s">
        <v>368</v>
      </c>
      <c r="C99" s="362" t="str">
        <f>CONCATENATE(this_instance,"-m01-vc01.",sample_child_dns_zone)</f>
        <v>sfo-m01-vc01.sfo.rainpole.io</v>
      </c>
      <c r="D99" s="347"/>
      <c r="E99" s="32"/>
    </row>
    <row r="100" spans="2:6" ht="20" customHeight="1" x14ac:dyDescent="0.2">
      <c r="B100" s="361" t="s">
        <v>732</v>
      </c>
      <c r="C100" s="362" t="str">
        <f>CONCATENATE(this_instance,"-m01-cl01")</f>
        <v>sfo-m01-cl01</v>
      </c>
      <c r="D100" s="347"/>
      <c r="E100" s="32"/>
    </row>
    <row r="101" spans="2:6" ht="20" customHeight="1" x14ac:dyDescent="0.2">
      <c r="B101" s="361" t="s">
        <v>2845</v>
      </c>
      <c r="C101" s="89" t="str">
        <f>CONCATENATE(this_instance,"-m01-vlr01")</f>
        <v>sfo-m01-vlr01</v>
      </c>
      <c r="D101" s="347"/>
      <c r="E101" s="32"/>
    </row>
    <row r="102" spans="2:6" ht="20" customHeight="1" x14ac:dyDescent="0.2">
      <c r="B102" s="361" t="s">
        <v>2847</v>
      </c>
      <c r="C102" s="362" t="str">
        <f>sample_vvs_dr_mgmt_cl01_cluster</f>
        <v>sfo-m01-cl01</v>
      </c>
      <c r="D102" s="337" t="str">
        <f>vvs_dr_mgmt_cl01_cluster</f>
        <v>Value Missing</v>
      </c>
      <c r="E102" s="32"/>
    </row>
    <row r="103" spans="2:6" ht="20" customHeight="1" x14ac:dyDescent="0.2">
      <c r="B103" s="361" t="s">
        <v>103</v>
      </c>
      <c r="C103" s="362" t="str">
        <f>CONCATENATE(this_instance,"-m01-cl01-ds-vsan01")</f>
        <v>sfo-m01-cl01-ds-vsan01</v>
      </c>
      <c r="D103" s="347"/>
      <c r="E103" s="32"/>
    </row>
    <row r="104" spans="2:6" ht="20" customHeight="1" x14ac:dyDescent="0.2">
      <c r="B104" s="4" t="s">
        <v>2848</v>
      </c>
      <c r="C104" s="362" t="str">
        <f>CONCATENATE(this_instance,"-m01-cl01-vds01-pg-vm-mgmt")</f>
        <v>sfo-m01-cl01-vds01-pg-vm-mgmt</v>
      </c>
      <c r="D104" s="347"/>
      <c r="E104" s="32"/>
    </row>
    <row r="105" spans="2:6" ht="20" customHeight="1" x14ac:dyDescent="0.2">
      <c r="B105" s="4" t="s">
        <v>302</v>
      </c>
      <c r="C105" s="362" t="str">
        <f>CONCATENATE(sample_vvs_mgmt_dr_vlr_hostname,".",sample_child_dns_zone)</f>
        <v>sfo-m01-vlr01.sfo.rainpole.io</v>
      </c>
      <c r="D105" s="347"/>
      <c r="E105" s="32"/>
      <c r="F105" s="2"/>
    </row>
    <row r="106" spans="2:6" ht="20" customHeight="1" x14ac:dyDescent="0.2">
      <c r="B106" s="4" t="s">
        <v>2849</v>
      </c>
      <c r="C106" s="362" t="str">
        <f>sample_mgmt_vrms_root_password</f>
        <v>VMw@re1!</v>
      </c>
      <c r="D106" s="347"/>
      <c r="E106" s="32"/>
    </row>
    <row r="107" spans="2:6" ht="20" customHeight="1" x14ac:dyDescent="0.2">
      <c r="B107" s="361" t="s">
        <v>2850</v>
      </c>
      <c r="C107" s="362" t="str">
        <f>sample_mgmt_vrms_admin_password</f>
        <v>VMw@re1!</v>
      </c>
      <c r="D107" s="347"/>
      <c r="E107" s="32"/>
    </row>
    <row r="108" spans="2:6" ht="20" customHeight="1" x14ac:dyDescent="0.2">
      <c r="B108" s="361" t="s">
        <v>299</v>
      </c>
      <c r="C108" s="362" t="str">
        <f>CONCATENATE("ntp0.",this_instance,".rainpole.io")</f>
        <v>ntp0.sfo.rainpole.io</v>
      </c>
      <c r="D108" s="337"/>
      <c r="E108" s="32"/>
    </row>
    <row r="109" spans="2:6" ht="20" customHeight="1" x14ac:dyDescent="0.2">
      <c r="B109" s="4" t="s">
        <v>254</v>
      </c>
      <c r="C109" s="362" t="str">
        <f>IF(mgmt_dpg_reuse_result="Included",CONCATENATE(prefix_mgmt_az1_cidr,"10.1"),CONCATENATE(prefix_mgmt_az1_cidr,"11.1"))</f>
        <v>10.11.10.1</v>
      </c>
      <c r="D109" s="347"/>
      <c r="E109" s="32"/>
    </row>
    <row r="110" spans="2:6" ht="20" customHeight="1" x14ac:dyDescent="0.2">
      <c r="B110" s="361" t="s">
        <v>606</v>
      </c>
      <c r="C110" s="362" t="str">
        <f>CONCATENATE(this_instance,".rainpole.io")</f>
        <v>sfo.rainpole.io</v>
      </c>
      <c r="D110" s="347"/>
      <c r="E110" s="32"/>
    </row>
    <row r="111" spans="2:6" ht="20" customHeight="1" x14ac:dyDescent="0.2">
      <c r="B111" s="361" t="s">
        <v>2851</v>
      </c>
      <c r="C111" s="362" t="str">
        <f>CONCATENATE(this_instance,".rainpole.io")</f>
        <v>sfo.rainpole.io</v>
      </c>
      <c r="D111" s="347"/>
      <c r="E111" s="32"/>
    </row>
    <row r="112" spans="2:6" ht="20" customHeight="1" x14ac:dyDescent="0.2">
      <c r="B112" s="361" t="s">
        <v>2852</v>
      </c>
      <c r="C112" s="362" t="str">
        <f>CONCATENATE(sample_region_dns1_ip,",",sample_region_dns2_ip)</f>
        <v>10.11.10.4,10.11.10.5</v>
      </c>
      <c r="D112" s="347"/>
      <c r="E112" s="32"/>
    </row>
    <row r="113" spans="2:5" ht="20" customHeight="1" x14ac:dyDescent="0.2">
      <c r="B113" s="361" t="s">
        <v>2853</v>
      </c>
      <c r="C113" s="89" t="str">
        <f>IF(mgmt_dpg_reuse_result="Included",CONCATENATE(prefix_mgmt_az1_cidr,"10.125"),CONCATENATE(prefix_mgmt_az1_cidr,"11.125"))</f>
        <v>10.11.10.125</v>
      </c>
      <c r="D113" s="347"/>
      <c r="E113" s="100" t="s">
        <v>3009</v>
      </c>
    </row>
    <row r="114" spans="2:5" ht="20" customHeight="1" x14ac:dyDescent="0.2">
      <c r="B114" s="361" t="s">
        <v>2854</v>
      </c>
      <c r="C114" s="362">
        <v>24</v>
      </c>
      <c r="D114" s="347"/>
      <c r="E114" s="32"/>
    </row>
    <row r="115" spans="2:5" ht="16" customHeight="1" x14ac:dyDescent="0.2"/>
    <row r="116" spans="2:5" ht="34" customHeight="1" x14ac:dyDescent="0.2">
      <c r="B116" s="557" t="s">
        <v>3010</v>
      </c>
      <c r="C116" s="557"/>
      <c r="D116" s="557"/>
      <c r="E116" s="557"/>
    </row>
    <row r="117" spans="2:5" ht="20" customHeight="1" x14ac:dyDescent="0.2">
      <c r="B117" s="562"/>
      <c r="C117" s="562"/>
      <c r="D117" s="562"/>
      <c r="E117" s="562"/>
    </row>
    <row r="118" spans="2:5" ht="20" customHeight="1" x14ac:dyDescent="0.2">
      <c r="B118" s="307" t="s">
        <v>17</v>
      </c>
      <c r="C118" s="308" t="s">
        <v>18</v>
      </c>
      <c r="D118" s="308" t="s">
        <v>19</v>
      </c>
      <c r="E118" s="308" t="s">
        <v>20</v>
      </c>
    </row>
    <row r="119" spans="2:5" ht="20" customHeight="1" x14ac:dyDescent="0.2">
      <c r="B119" s="4" t="s">
        <v>2856</v>
      </c>
      <c r="C119" s="362" t="str">
        <f>CONCATENATE(sample_vvs_mgmt_dr_vlr_fqdn,":5480")</f>
        <v>sfo-m01-vlr01.sfo.rainpole.io:5480</v>
      </c>
      <c r="D119" s="337" t="str">
        <f>CONCATENATE(vvs_mgmt_dr_vlr_fqdn,":5480")</f>
        <v>Value Missing:5480</v>
      </c>
      <c r="E119" s="32"/>
    </row>
    <row r="120" spans="2:5" ht="20" customHeight="1" x14ac:dyDescent="0.2">
      <c r="B120" s="4" t="s">
        <v>58</v>
      </c>
      <c r="C120" s="85" t="str">
        <f>sample_ca_organization_unit</f>
        <v>Rainpole</v>
      </c>
      <c r="D120" s="347"/>
      <c r="E120" s="32"/>
    </row>
    <row r="121" spans="2:5" ht="20" customHeight="1" x14ac:dyDescent="0.2">
      <c r="B121" s="4" t="s">
        <v>3011</v>
      </c>
      <c r="C121" s="85" t="str">
        <f>sample_ca_organization</f>
        <v>IT</v>
      </c>
      <c r="D121" s="347"/>
      <c r="E121" s="32"/>
    </row>
    <row r="122" spans="2:5" ht="20" customHeight="1" x14ac:dyDescent="0.2">
      <c r="B122" s="4" t="s">
        <v>66</v>
      </c>
      <c r="C122" s="85" t="str">
        <f>sample_ca_locality</f>
        <v>San Francisco</v>
      </c>
      <c r="D122" s="347"/>
      <c r="E122" s="32"/>
    </row>
    <row r="123" spans="2:5" ht="20" customHeight="1" x14ac:dyDescent="0.2">
      <c r="B123" s="4" t="s">
        <v>64</v>
      </c>
      <c r="C123" s="85" t="str">
        <f>sample_ca_state</f>
        <v>CA</v>
      </c>
      <c r="D123" s="347"/>
      <c r="E123" s="32"/>
    </row>
    <row r="124" spans="2:5" ht="20" customHeight="1" x14ac:dyDescent="0.2">
      <c r="B124" s="4" t="s">
        <v>62</v>
      </c>
      <c r="C124" s="85" t="str">
        <f>sample_ca_country</f>
        <v>US</v>
      </c>
      <c r="D124" s="347"/>
      <c r="E124" s="32"/>
    </row>
    <row r="125" spans="2:5" ht="20" customHeight="1" x14ac:dyDescent="0.2">
      <c r="B125" s="4" t="s">
        <v>38</v>
      </c>
      <c r="C125" s="85" t="str">
        <f>sample_vvs_mgmt_dr_vlr_fqdn</f>
        <v>sfo-m01-vlr01.sfo.rainpole.io</v>
      </c>
      <c r="D125" s="337" t="str">
        <f>vvs_mgmt_dr_vlr_fqdn</f>
        <v>Value Missing</v>
      </c>
      <c r="E125" s="32"/>
    </row>
    <row r="126" spans="2:5" ht="20" customHeight="1" x14ac:dyDescent="0.2">
      <c r="B126" s="4" t="s">
        <v>3012</v>
      </c>
      <c r="C126" s="85" t="str">
        <f>sample_mgmt_vrms_mgmt_ip</f>
        <v>10.11.10.125</v>
      </c>
      <c r="D126" s="337" t="str">
        <f>mgmt_vrms_mgmt_ip</f>
        <v>Value Missing</v>
      </c>
      <c r="E126" s="32"/>
    </row>
    <row r="127" spans="2:5" ht="20" customHeight="1" x14ac:dyDescent="0.2">
      <c r="B127" s="4" t="s">
        <v>3013</v>
      </c>
      <c r="C127" s="362" t="s">
        <v>3014</v>
      </c>
      <c r="D127" s="347"/>
      <c r="E127" s="32"/>
    </row>
    <row r="128" spans="2:5" ht="16" customHeight="1" x14ac:dyDescent="0.2"/>
    <row r="129" spans="2:5" ht="34" customHeight="1" x14ac:dyDescent="0.2">
      <c r="B129" s="557" t="s">
        <v>3015</v>
      </c>
      <c r="C129" s="557"/>
      <c r="D129" s="557"/>
      <c r="E129" s="557"/>
    </row>
    <row r="130" spans="2:5" ht="20" customHeight="1" x14ac:dyDescent="0.2">
      <c r="B130" s="562"/>
      <c r="C130" s="562"/>
      <c r="D130" s="562"/>
      <c r="E130" s="562"/>
    </row>
    <row r="131" spans="2:5" ht="20" customHeight="1" x14ac:dyDescent="0.2">
      <c r="B131" s="307" t="s">
        <v>17</v>
      </c>
      <c r="C131" s="308" t="s">
        <v>18</v>
      </c>
      <c r="D131" s="308" t="s">
        <v>19</v>
      </c>
      <c r="E131" s="308" t="s">
        <v>20</v>
      </c>
    </row>
    <row r="132" spans="2:5" ht="20" customHeight="1" x14ac:dyDescent="0.2">
      <c r="B132" s="361" t="s">
        <v>3016</v>
      </c>
      <c r="C132" s="362" t="str">
        <f>sample_vvs_dr_mgmt_vc_fqdn</f>
        <v>sfo-m01-vc01.sfo.rainpole.io</v>
      </c>
      <c r="D132" s="337" t="str">
        <f>vvs_dr_mgmt_vc_fqdn</f>
        <v>Value Missing</v>
      </c>
      <c r="E132" s="32"/>
    </row>
    <row r="133" spans="2:5" ht="20" customHeight="1" x14ac:dyDescent="0.2">
      <c r="B133" s="361" t="s">
        <v>2726</v>
      </c>
      <c r="C133" s="362" t="s">
        <v>3017</v>
      </c>
      <c r="D133" s="347"/>
      <c r="E133" s="32"/>
    </row>
    <row r="134" spans="2:5" ht="20" customHeight="1" x14ac:dyDescent="0.2">
      <c r="B134" s="361" t="s">
        <v>3018</v>
      </c>
      <c r="C134" s="362" t="str">
        <f>IF(mgmt_domain_chosen="First Instance","svc_sfo-m01-vlr01_sfo-m01-vc01","svc_lax-m01-vlr01_lax-m01-vc01")</f>
        <v>svc_sfo-m01-vlr01_sfo-m01-vc01</v>
      </c>
      <c r="D134" s="347"/>
      <c r="E134" s="32"/>
    </row>
    <row r="135" spans="2:5" ht="20" customHeight="1" x14ac:dyDescent="0.2">
      <c r="B135" s="361" t="s">
        <v>3019</v>
      </c>
      <c r="C135" s="362" t="s">
        <v>30</v>
      </c>
      <c r="D135" s="347"/>
      <c r="E135" s="32"/>
    </row>
    <row r="136" spans="2:5" ht="16" customHeight="1" x14ac:dyDescent="0.2"/>
    <row r="137" spans="2:5" ht="34" customHeight="1" x14ac:dyDescent="0.2">
      <c r="B137" s="557" t="s">
        <v>3020</v>
      </c>
      <c r="C137" s="557"/>
      <c r="D137" s="557"/>
      <c r="E137" s="557"/>
    </row>
    <row r="138" spans="2:5" ht="20" customHeight="1" x14ac:dyDescent="0.2">
      <c r="B138" s="562"/>
      <c r="C138" s="562"/>
      <c r="D138" s="562"/>
      <c r="E138" s="562"/>
    </row>
    <row r="139" spans="2:5" ht="20" customHeight="1" x14ac:dyDescent="0.2">
      <c r="B139" s="307" t="s">
        <v>17</v>
      </c>
      <c r="C139" s="308" t="s">
        <v>18</v>
      </c>
      <c r="D139" s="308" t="s">
        <v>19</v>
      </c>
      <c r="E139" s="308" t="s">
        <v>20</v>
      </c>
    </row>
    <row r="140" spans="2:5" ht="20" customHeight="1" x14ac:dyDescent="0.2">
      <c r="B140" s="361" t="s">
        <v>3016</v>
      </c>
      <c r="C140" s="362" t="str">
        <f>sample_vvs_dr_mgmt_vc_fqdn</f>
        <v>sfo-m01-vc01.sfo.rainpole.io</v>
      </c>
      <c r="D140" s="337" t="str">
        <f>vvs_dr_mgmt_vc_fqdn</f>
        <v>Value Missing</v>
      </c>
      <c r="E140" s="32"/>
    </row>
    <row r="141" spans="2:5" ht="20" customHeight="1" x14ac:dyDescent="0.2">
      <c r="B141" s="361" t="s">
        <v>2726</v>
      </c>
      <c r="C141" s="362" t="str">
        <f>sample_vvs_dr_sso_domain</f>
        <v>vsphere.local</v>
      </c>
      <c r="D141" s="337" t="str">
        <f>vvs_dr_sso_domain</f>
        <v>Value Missing</v>
      </c>
      <c r="E141" s="32"/>
    </row>
    <row r="142" spans="2:5" ht="20" customHeight="1" x14ac:dyDescent="0.2">
      <c r="B142" s="361" t="s">
        <v>3021</v>
      </c>
      <c r="C142" s="362" t="str">
        <f>IF(mgmt_domain_chosen="First Instance","svc_sfo-m01-vlr01_sfo-m01-vc01","svc_lax-m01-vlr01_lax-m01-vc01")</f>
        <v>svc_sfo-m01-vlr01_sfo-m01-vc01</v>
      </c>
      <c r="D142" s="337" t="str">
        <f>vvs_dr_vr_username</f>
        <v>Value Missing</v>
      </c>
      <c r="E142" s="32"/>
    </row>
    <row r="143" spans="2:5" ht="16" customHeight="1" x14ac:dyDescent="0.2">
      <c r="B143" s="23"/>
      <c r="C143" s="142"/>
    </row>
    <row r="144" spans="2:5" ht="34" customHeight="1" x14ac:dyDescent="0.2">
      <c r="B144" s="557" t="s">
        <v>3022</v>
      </c>
      <c r="C144" s="557"/>
      <c r="D144" s="557"/>
      <c r="E144" s="557"/>
    </row>
    <row r="145" spans="2:5" ht="20" customHeight="1" x14ac:dyDescent="0.2">
      <c r="B145" s="562"/>
      <c r="C145" s="562"/>
      <c r="D145" s="562"/>
      <c r="E145" s="562"/>
    </row>
    <row r="146" spans="2:5" ht="20" customHeight="1" x14ac:dyDescent="0.2">
      <c r="B146" s="307" t="s">
        <v>17</v>
      </c>
      <c r="C146" s="308" t="s">
        <v>18</v>
      </c>
      <c r="D146" s="308" t="s">
        <v>19</v>
      </c>
      <c r="E146" s="308" t="s">
        <v>20</v>
      </c>
    </row>
    <row r="147" spans="2:5" ht="20" customHeight="1" x14ac:dyDescent="0.2">
      <c r="B147" s="295" t="s">
        <v>3023</v>
      </c>
      <c r="C147" s="362" t="str">
        <f>sample_vvs_mgmt_dr_vlr_fqdn</f>
        <v>sfo-m01-vlr01.sfo.rainpole.io</v>
      </c>
      <c r="D147" s="337" t="str">
        <f>CONCATENATE(vvs_mgmt_dr_vlr_fqdn,":5480")</f>
        <v>Value Missing:5480</v>
      </c>
      <c r="E147" s="32"/>
    </row>
    <row r="148" spans="2:5" ht="20" customHeight="1" x14ac:dyDescent="0.2">
      <c r="B148" s="295" t="s">
        <v>2859</v>
      </c>
      <c r="C148" s="362" t="str">
        <f>sample_mgmt_vc_fqdn</f>
        <v>sfo-m01-vc01.sfo.rainpole.io</v>
      </c>
      <c r="D148" s="337" t="str">
        <f>vvs_dr_mgmt_vc_fqdn</f>
        <v>Value Missing</v>
      </c>
      <c r="E148" s="32"/>
    </row>
    <row r="149" spans="2:5" ht="20" customHeight="1" x14ac:dyDescent="0.2">
      <c r="B149" s="295" t="s">
        <v>78</v>
      </c>
      <c r="C149" s="362" t="str">
        <f>IF(mgmt_domain_chosen="First Instance","svc_sfo-m01-vlr01_sfo-m01-vc01@vsphere.local","svc_lax-m01-vlr01_lax-m01-vc01@vsphere.local")</f>
        <v>svc_sfo-m01-vlr01_sfo-m01-vc01@vsphere.local</v>
      </c>
      <c r="D149" s="337" t="str">
        <f>CONCATENATE(vvs_dr_vr_username,"@",vvs_dr_sso_domain)</f>
        <v>Value Missing@Value Missing</v>
      </c>
      <c r="E149" s="32"/>
    </row>
    <row r="150" spans="2:5" ht="20" customHeight="1" x14ac:dyDescent="0.2">
      <c r="B150" s="295" t="s">
        <v>29</v>
      </c>
      <c r="C150" s="362" t="s">
        <v>30</v>
      </c>
      <c r="D150" s="337" t="str">
        <f>vvs_dr_vr_password</f>
        <v>Value Missing</v>
      </c>
      <c r="E150" s="32"/>
    </row>
    <row r="151" spans="2:5" ht="20" customHeight="1" x14ac:dyDescent="0.2">
      <c r="B151" s="295" t="s">
        <v>1657</v>
      </c>
      <c r="C151" s="362" t="str">
        <f>sample_mgmt_vc_fqdn</f>
        <v>sfo-m01-vc01.sfo.rainpole.io</v>
      </c>
      <c r="D151" s="337" t="str">
        <f>vvs_dr_mgmt_vc_fqdn</f>
        <v>Value Missing</v>
      </c>
      <c r="E151" s="32"/>
    </row>
    <row r="152" spans="2:5" ht="20" customHeight="1" x14ac:dyDescent="0.2">
      <c r="B152" s="295" t="s">
        <v>2743</v>
      </c>
      <c r="C152" s="362" t="str">
        <f>UPPER(sample_mgmt_sddc_domain)</f>
        <v>SFO-M01</v>
      </c>
      <c r="D152" s="347"/>
      <c r="E152" s="32"/>
    </row>
    <row r="153" spans="2:5" ht="20" customHeight="1" x14ac:dyDescent="0.2">
      <c r="B153" s="295" t="s">
        <v>2860</v>
      </c>
      <c r="C153" s="362" t="str">
        <f>CONCATENATE("vlr-administrator@",sample_parent_dns_zone)</f>
        <v>vlr-administrator@rainpole.io</v>
      </c>
      <c r="D153" s="347"/>
      <c r="E153" s="32"/>
    </row>
    <row r="154" spans="2:5" ht="20" customHeight="1" x14ac:dyDescent="0.2">
      <c r="B154" s="295" t="s">
        <v>2861</v>
      </c>
      <c r="C154" s="84" t="str">
        <f>sample_vvs_mgmt_dr_vlr_fqdn</f>
        <v>sfo-m01-vlr01.sfo.rainpole.io</v>
      </c>
      <c r="D154" s="253" t="str">
        <f>vvs_mgmt_dr_vlr_fqdn</f>
        <v>Value Missing</v>
      </c>
      <c r="E154" s="32"/>
    </row>
    <row r="155" spans="2:5" ht="16" customHeight="1" x14ac:dyDescent="0.2">
      <c r="B155" s="23"/>
      <c r="C155" s="142"/>
    </row>
    <row r="156" spans="2:5" ht="34" customHeight="1" x14ac:dyDescent="0.2">
      <c r="B156" s="557" t="s">
        <v>3024</v>
      </c>
      <c r="C156" s="557"/>
      <c r="D156" s="557"/>
      <c r="E156" s="557"/>
    </row>
    <row r="157" spans="2:5" ht="20" customHeight="1" x14ac:dyDescent="0.2">
      <c r="B157" s="562"/>
      <c r="C157" s="562"/>
      <c r="D157" s="562"/>
      <c r="E157" s="562"/>
    </row>
    <row r="158" spans="2:5" ht="20" customHeight="1" x14ac:dyDescent="0.2">
      <c r="B158" s="307" t="s">
        <v>17</v>
      </c>
      <c r="C158" s="308" t="s">
        <v>18</v>
      </c>
      <c r="D158" s="308" t="s">
        <v>19</v>
      </c>
      <c r="E158" s="308" t="s">
        <v>20</v>
      </c>
    </row>
    <row r="159" spans="2:5" ht="20" customHeight="1" x14ac:dyDescent="0.2">
      <c r="B159" s="361" t="s">
        <v>368</v>
      </c>
      <c r="C159" s="362" t="str">
        <f>sample_vvs_dr_mgmt_vc_fqdn</f>
        <v>sfo-m01-vc01.sfo.rainpole.io</v>
      </c>
      <c r="D159" s="337" t="str">
        <f>vvs_dr_mgmt_vc_fqdn</f>
        <v>Value Missing</v>
      </c>
      <c r="E159" s="32"/>
    </row>
    <row r="160" spans="2:5" ht="20" customHeight="1" x14ac:dyDescent="0.2">
      <c r="B160" s="361" t="s">
        <v>2863</v>
      </c>
      <c r="C160" s="362" t="str">
        <f>sample_mgmt_cl01_vds01_name</f>
        <v>sfo-m01-cl01-vds01</v>
      </c>
      <c r="D160" s="347"/>
      <c r="E160" s="32"/>
    </row>
    <row r="161" spans="2:5" ht="20" customHeight="1" x14ac:dyDescent="0.2">
      <c r="B161" s="495" t="s">
        <v>2864</v>
      </c>
      <c r="C161" s="496"/>
      <c r="D161" s="496"/>
      <c r="E161" s="497"/>
    </row>
    <row r="162" spans="2:5" ht="20" customHeight="1" x14ac:dyDescent="0.2">
      <c r="B162" s="361" t="s">
        <v>261</v>
      </c>
      <c r="C162" s="80" t="str">
        <f>CONCATENATE(this_instance,"01-m01-cl01-vds01-pg-vrms")</f>
        <v>sfo01-m01-cl01-vds01-pg-vrms</v>
      </c>
      <c r="D162" s="347"/>
      <c r="E162" s="32"/>
    </row>
    <row r="163" spans="2:5" ht="20" customHeight="1" x14ac:dyDescent="0.2">
      <c r="B163" s="22" t="s">
        <v>85</v>
      </c>
      <c r="C163" s="80" t="str">
        <f>CONCATENATE(prefix_mgmt_az1_vlan,"09")</f>
        <v>1109</v>
      </c>
      <c r="D163" s="347"/>
      <c r="E163" s="210"/>
    </row>
    <row r="164" spans="2:5" ht="16" customHeight="1" x14ac:dyDescent="0.2"/>
    <row r="165" spans="2:5" ht="34" customHeight="1" x14ac:dyDescent="0.2">
      <c r="B165" s="557" t="s">
        <v>3025</v>
      </c>
      <c r="C165" s="557"/>
      <c r="D165" s="557"/>
      <c r="E165" s="557"/>
    </row>
    <row r="166" spans="2:5" ht="20" customHeight="1" x14ac:dyDescent="0.2">
      <c r="B166" s="562"/>
      <c r="C166" s="562"/>
      <c r="D166" s="562"/>
      <c r="E166" s="562"/>
    </row>
    <row r="167" spans="2:5" ht="20" customHeight="1" x14ac:dyDescent="0.2">
      <c r="B167" s="307" t="s">
        <v>17</v>
      </c>
      <c r="C167" s="308" t="s">
        <v>18</v>
      </c>
      <c r="D167" s="308" t="s">
        <v>19</v>
      </c>
      <c r="E167" s="308" t="s">
        <v>20</v>
      </c>
    </row>
    <row r="168" spans="2:5" ht="20" customHeight="1" x14ac:dyDescent="0.2">
      <c r="B168" s="361" t="s">
        <v>368</v>
      </c>
      <c r="C168" s="362" t="str">
        <f>sample_vvs_dr_mgmt_vc_fqdn</f>
        <v>sfo-m01-vc01.sfo.rainpole.io</v>
      </c>
      <c r="D168" s="337" t="str">
        <f>vvs_dr_mgmt_vc_fqdn</f>
        <v>Value Missing</v>
      </c>
      <c r="E168" s="32"/>
    </row>
    <row r="169" spans="2:5" ht="20" customHeight="1" x14ac:dyDescent="0.2">
      <c r="B169" s="361" t="s">
        <v>732</v>
      </c>
      <c r="C169" s="362" t="str">
        <f>CONCATENATE(this_instance,"-m01-cl01")</f>
        <v>sfo-m01-cl01</v>
      </c>
      <c r="D169" s="347"/>
      <c r="E169" s="32"/>
    </row>
    <row r="170" spans="2:5" ht="20" customHeight="1" x14ac:dyDescent="0.2">
      <c r="B170" s="4" t="s">
        <v>604</v>
      </c>
      <c r="C170" s="362" t="str">
        <f>sample_mgmt_vrms_pg</f>
        <v>sfo01-m01-cl01-vds01-pg-vrms</v>
      </c>
      <c r="D170" s="337" t="str">
        <f>mgmt_vrms_pg</f>
        <v>Value Missing</v>
      </c>
      <c r="E170" s="32"/>
    </row>
    <row r="171" spans="2:5" ht="20" customHeight="1" x14ac:dyDescent="0.2">
      <c r="B171" s="4" t="s">
        <v>188</v>
      </c>
      <c r="C171" s="80" t="str">
        <f>CONCATENATE(prefix_mgmt_az1_cidr,"9.0/24")</f>
        <v>10.11.9.0/24</v>
      </c>
      <c r="D171" s="347"/>
      <c r="E171" s="289"/>
    </row>
    <row r="172" spans="2:5" ht="20" customHeight="1" x14ac:dyDescent="0.2">
      <c r="B172" s="152" t="s">
        <v>253</v>
      </c>
      <c r="C172" s="80" t="s">
        <v>128</v>
      </c>
      <c r="D172" s="347"/>
      <c r="E172" s="289"/>
    </row>
    <row r="173" spans="2:5" ht="20" customHeight="1" x14ac:dyDescent="0.2">
      <c r="B173" s="4" t="s">
        <v>187</v>
      </c>
      <c r="C173" s="80" t="str">
        <f>CONCATENATE(prefix_mgmt_az1_cidr,"9.1")</f>
        <v>10.11.9.1</v>
      </c>
      <c r="D173" s="347"/>
      <c r="E173" s="289"/>
    </row>
    <row r="174" spans="2:5" ht="20" customHeight="1" x14ac:dyDescent="0.2">
      <c r="B174" s="22" t="s">
        <v>160</v>
      </c>
      <c r="C174" s="80">
        <v>9000</v>
      </c>
      <c r="D174" s="347"/>
      <c r="E174" s="289"/>
    </row>
    <row r="175" spans="2:5" ht="20" customHeight="1" x14ac:dyDescent="0.2">
      <c r="B175" s="511" t="s">
        <v>2876</v>
      </c>
      <c r="C175" s="512"/>
      <c r="D175" s="512"/>
      <c r="E175" s="513"/>
    </row>
    <row r="176" spans="2:5" ht="20" customHeight="1" x14ac:dyDescent="0.2">
      <c r="B176" s="361" t="str">
        <f t="array" ref="B176:B191">mgmt_az1_host_fqdns</f>
        <v>Value Missing</v>
      </c>
      <c r="C176" s="89" t="str">
        <f>CONCATENATE(prefix_mgmt_az1_cidr,"9.101")</f>
        <v>10.11.9.101</v>
      </c>
      <c r="D176" s="347"/>
      <c r="E176" s="100" t="s">
        <v>3026</v>
      </c>
    </row>
    <row r="177" spans="2:5" ht="20" customHeight="1" x14ac:dyDescent="0.2">
      <c r="B177" s="361" t="str">
        <v>Value Missing</v>
      </c>
      <c r="C177" s="89" t="str">
        <f>CONCATENATE(prefix_mgmt_az1_cidr,"9.102")</f>
        <v>10.11.9.102</v>
      </c>
      <c r="D177" s="347"/>
      <c r="E177" s="100" t="s">
        <v>3027</v>
      </c>
    </row>
    <row r="178" spans="2:5" ht="20" customHeight="1" x14ac:dyDescent="0.2">
      <c r="B178" s="361" t="str">
        <v>Value Missing</v>
      </c>
      <c r="C178" s="89" t="str">
        <f>CONCATENATE(prefix_mgmt_az1_cidr,"9.103")</f>
        <v>10.11.9.103</v>
      </c>
      <c r="D178" s="347"/>
      <c r="E178" s="100" t="s">
        <v>3028</v>
      </c>
    </row>
    <row r="179" spans="2:5" ht="20" customHeight="1" x14ac:dyDescent="0.2">
      <c r="B179" s="361" t="str">
        <v>Value Missing</v>
      </c>
      <c r="C179" s="89" t="str">
        <f>CONCATENATE(prefix_mgmt_az1_cidr,"9.104")</f>
        <v>10.11.9.104</v>
      </c>
      <c r="D179" s="347"/>
      <c r="E179" s="100" t="s">
        <v>3029</v>
      </c>
    </row>
    <row r="180" spans="2:5" ht="20" customHeight="1" x14ac:dyDescent="0.2">
      <c r="B180" s="361" t="str">
        <v>Value Missing</v>
      </c>
      <c r="C180" s="89" t="str">
        <f>CONCATENATE(prefix_mgmt_az1_cidr,"9.105")</f>
        <v>10.11.9.105</v>
      </c>
      <c r="D180" s="347"/>
      <c r="E180" s="100" t="s">
        <v>3030</v>
      </c>
    </row>
    <row r="181" spans="2:5" ht="20" customHeight="1" x14ac:dyDescent="0.2">
      <c r="B181" s="361" t="str">
        <v>Value Missing</v>
      </c>
      <c r="C181" s="89" t="str">
        <f>CONCATENATE(prefix_mgmt_az1_cidr,"9.106")</f>
        <v>10.11.9.106</v>
      </c>
      <c r="D181" s="347"/>
      <c r="E181" s="100" t="s">
        <v>3031</v>
      </c>
    </row>
    <row r="182" spans="2:5" ht="20" customHeight="1" x14ac:dyDescent="0.2">
      <c r="B182" s="4" t="str">
        <v>Value Missing</v>
      </c>
      <c r="C182" s="89" t="str">
        <f>CONCATENATE(prefix_mgmt_az1_cidr,"9.107")</f>
        <v>10.11.9.107</v>
      </c>
      <c r="D182" s="347"/>
      <c r="E182" s="100" t="s">
        <v>3032</v>
      </c>
    </row>
    <row r="183" spans="2:5" ht="20" customHeight="1" x14ac:dyDescent="0.2">
      <c r="B183" s="4" t="str">
        <v>Value Missing</v>
      </c>
      <c r="C183" s="89" t="str">
        <f>CONCATENATE(prefix_mgmt_az1_cidr,"9.108")</f>
        <v>10.11.9.108</v>
      </c>
      <c r="D183" s="347"/>
      <c r="E183" s="100" t="s">
        <v>3033</v>
      </c>
    </row>
    <row r="184" spans="2:5" ht="20" customHeight="1" x14ac:dyDescent="0.2">
      <c r="B184" s="4" t="str">
        <v>Value Missing</v>
      </c>
      <c r="C184" s="89" t="str">
        <f>CONCATENATE(prefix_mgmt_az1_cidr,"9.109")</f>
        <v>10.11.9.109</v>
      </c>
      <c r="D184" s="347"/>
      <c r="E184" s="100" t="s">
        <v>3034</v>
      </c>
    </row>
    <row r="185" spans="2:5" ht="20" customHeight="1" x14ac:dyDescent="0.2">
      <c r="B185" s="361" t="str">
        <v>Value Missing</v>
      </c>
      <c r="C185" s="89" t="str">
        <f>CONCATENATE(prefix_mgmt_az1_cidr,"9.110")</f>
        <v>10.11.9.110</v>
      </c>
      <c r="D185" s="347"/>
      <c r="E185" s="100" t="s">
        <v>3035</v>
      </c>
    </row>
    <row r="186" spans="2:5" ht="20" customHeight="1" x14ac:dyDescent="0.2">
      <c r="B186" s="361" t="str">
        <v>Value Missing</v>
      </c>
      <c r="C186" s="89" t="str">
        <f>CONCATENATE(prefix_mgmt_az1_cidr,"9.111")</f>
        <v>10.11.9.111</v>
      </c>
      <c r="D186" s="347"/>
      <c r="E186" s="100" t="s">
        <v>3036</v>
      </c>
    </row>
    <row r="187" spans="2:5" ht="20" customHeight="1" x14ac:dyDescent="0.2">
      <c r="B187" s="361" t="str">
        <v>Value Missing</v>
      </c>
      <c r="C187" s="89" t="str">
        <f>CONCATENATE(prefix_mgmt_az1_cidr,"9.112")</f>
        <v>10.11.9.112</v>
      </c>
      <c r="D187" s="347"/>
      <c r="E187" s="100" t="s">
        <v>3037</v>
      </c>
    </row>
    <row r="188" spans="2:5" ht="20" customHeight="1" x14ac:dyDescent="0.2">
      <c r="B188" s="358" t="str">
        <v>Value Missing</v>
      </c>
      <c r="C188" s="89" t="str">
        <f>CONCATENATE(prefix_mgmt_az1_cidr,"9.113")</f>
        <v>10.11.9.113</v>
      </c>
      <c r="D188" s="347"/>
      <c r="E188" s="100" t="s">
        <v>3038</v>
      </c>
    </row>
    <row r="189" spans="2:5" ht="20" customHeight="1" x14ac:dyDescent="0.2">
      <c r="B189" s="358" t="str">
        <v>Value Missing</v>
      </c>
      <c r="C189" s="89" t="str">
        <f>CONCATENATE(prefix_mgmt_az1_cidr,"9.114")</f>
        <v>10.11.9.114</v>
      </c>
      <c r="D189" s="347"/>
      <c r="E189" s="100" t="s">
        <v>3039</v>
      </c>
    </row>
    <row r="190" spans="2:5" ht="20" customHeight="1" x14ac:dyDescent="0.2">
      <c r="B190" s="358" t="str">
        <v>Value Missing</v>
      </c>
      <c r="C190" s="89" t="str">
        <f>CONCATENATE(prefix_mgmt_az1_cidr,"9.115")</f>
        <v>10.11.9.115</v>
      </c>
      <c r="D190" s="347"/>
      <c r="E190" s="100" t="s">
        <v>3040</v>
      </c>
    </row>
    <row r="191" spans="2:5" ht="20" customHeight="1" x14ac:dyDescent="0.2">
      <c r="B191" s="358" t="str">
        <v>Value Missing</v>
      </c>
      <c r="C191" s="89" t="str">
        <f>CONCATENATE(prefix_mgmt_az1_cidr,"9.116")</f>
        <v>10.11.9.116</v>
      </c>
      <c r="D191" s="347"/>
      <c r="E191" s="100" t="s">
        <v>3041</v>
      </c>
    </row>
    <row r="192" spans="2:5" ht="20" customHeight="1" x14ac:dyDescent="0.2">
      <c r="B192" s="511" t="s">
        <v>2893</v>
      </c>
      <c r="C192" s="512"/>
      <c r="D192" s="512"/>
      <c r="E192" s="513"/>
    </row>
    <row r="193" spans="2:5" ht="20" customHeight="1" x14ac:dyDescent="0.2">
      <c r="B193" s="361" t="str">
        <f t="array" ref="B193:B208">mgmt_az2_host_fqdns</f>
        <v>Value Missing</v>
      </c>
      <c r="C193" s="89" t="str">
        <f>CONCATENATE(prefix_mgmt_az1_cidr,"9.201")</f>
        <v>10.11.9.201</v>
      </c>
      <c r="D193" s="347"/>
      <c r="E193" s="100" t="s">
        <v>3026</v>
      </c>
    </row>
    <row r="194" spans="2:5" ht="20" customHeight="1" x14ac:dyDescent="0.2">
      <c r="B194" s="361" t="str">
        <v>Value Missing</v>
      </c>
      <c r="C194" s="89" t="str">
        <f>CONCATENATE(prefix_mgmt_az1_cidr,"9.202")</f>
        <v>10.11.9.202</v>
      </c>
      <c r="D194" s="347"/>
      <c r="E194" s="100" t="s">
        <v>3027</v>
      </c>
    </row>
    <row r="195" spans="2:5" ht="20" customHeight="1" x14ac:dyDescent="0.2">
      <c r="B195" s="361" t="str">
        <v>Value Missing</v>
      </c>
      <c r="C195" s="89" t="str">
        <f>CONCATENATE(prefix_mgmt_az1_cidr,"9.203")</f>
        <v>10.11.9.203</v>
      </c>
      <c r="D195" s="347"/>
      <c r="E195" s="100" t="s">
        <v>3028</v>
      </c>
    </row>
    <row r="196" spans="2:5" ht="20" customHeight="1" x14ac:dyDescent="0.2">
      <c r="B196" s="361" t="str">
        <v>Value Missing</v>
      </c>
      <c r="C196" s="89" t="str">
        <f>CONCATENATE(prefix_mgmt_az1_cidr,"9.204")</f>
        <v>10.11.9.204</v>
      </c>
      <c r="D196" s="347"/>
      <c r="E196" s="100" t="s">
        <v>3029</v>
      </c>
    </row>
    <row r="197" spans="2:5" ht="20" customHeight="1" x14ac:dyDescent="0.2">
      <c r="B197" s="361" t="str">
        <v>Value Missing</v>
      </c>
      <c r="C197" s="89" t="str">
        <f>CONCATENATE(prefix_mgmt_az1_cidr,"9.205")</f>
        <v>10.11.9.205</v>
      </c>
      <c r="D197" s="347"/>
      <c r="E197" s="100" t="s">
        <v>3030</v>
      </c>
    </row>
    <row r="198" spans="2:5" ht="20" customHeight="1" x14ac:dyDescent="0.2">
      <c r="B198" s="361" t="str">
        <v>Value Missing</v>
      </c>
      <c r="C198" s="89" t="str">
        <f>CONCATENATE(prefix_mgmt_az1_cidr,"9.206")</f>
        <v>10.11.9.206</v>
      </c>
      <c r="D198" s="347"/>
      <c r="E198" s="100" t="s">
        <v>3031</v>
      </c>
    </row>
    <row r="199" spans="2:5" ht="20" customHeight="1" x14ac:dyDescent="0.2">
      <c r="B199" s="4" t="str">
        <v>Value Missing</v>
      </c>
      <c r="C199" s="89" t="str">
        <f>CONCATENATE(prefix_mgmt_az1_cidr,"9.207")</f>
        <v>10.11.9.207</v>
      </c>
      <c r="D199" s="347"/>
      <c r="E199" s="100" t="s">
        <v>3032</v>
      </c>
    </row>
    <row r="200" spans="2:5" ht="20" customHeight="1" x14ac:dyDescent="0.2">
      <c r="B200" s="4" t="str">
        <v>Value Missing</v>
      </c>
      <c r="C200" s="89" t="str">
        <f>CONCATENATE(prefix_mgmt_az1_cidr,"9.208")</f>
        <v>10.11.9.208</v>
      </c>
      <c r="D200" s="347"/>
      <c r="E200" s="100" t="s">
        <v>3033</v>
      </c>
    </row>
    <row r="201" spans="2:5" ht="20" customHeight="1" x14ac:dyDescent="0.2">
      <c r="B201" s="4" t="str">
        <v>Value Missing</v>
      </c>
      <c r="C201" s="89" t="str">
        <f>CONCATENATE(prefix_mgmt_az1_cidr,"9.209")</f>
        <v>10.11.9.209</v>
      </c>
      <c r="D201" s="347"/>
      <c r="E201" s="100" t="s">
        <v>3034</v>
      </c>
    </row>
    <row r="202" spans="2:5" ht="20" customHeight="1" x14ac:dyDescent="0.2">
      <c r="B202" s="361" t="str">
        <v>Value Missing</v>
      </c>
      <c r="C202" s="89" t="str">
        <f>CONCATENATE(prefix_mgmt_az1_cidr,"9.210")</f>
        <v>10.11.9.210</v>
      </c>
      <c r="D202" s="347"/>
      <c r="E202" s="100" t="s">
        <v>3035</v>
      </c>
    </row>
    <row r="203" spans="2:5" ht="20" customHeight="1" x14ac:dyDescent="0.2">
      <c r="B203" s="361" t="str">
        <v>Value Missing</v>
      </c>
      <c r="C203" s="89" t="str">
        <f>CONCATENATE(prefix_mgmt_az1_cidr,"9.211")</f>
        <v>10.11.9.211</v>
      </c>
      <c r="D203" s="347"/>
      <c r="E203" s="100" t="s">
        <v>3036</v>
      </c>
    </row>
    <row r="204" spans="2:5" ht="20" customHeight="1" x14ac:dyDescent="0.2">
      <c r="B204" s="361" t="str">
        <v>Value Missing</v>
      </c>
      <c r="C204" s="89" t="str">
        <f>CONCATENATE(prefix_mgmt_az1_cidr,"9.212")</f>
        <v>10.11.9.212</v>
      </c>
      <c r="D204" s="347"/>
      <c r="E204" s="100" t="s">
        <v>3037</v>
      </c>
    </row>
    <row r="205" spans="2:5" ht="20" customHeight="1" x14ac:dyDescent="0.2">
      <c r="B205" s="361" t="str">
        <v>Value Missing</v>
      </c>
      <c r="C205" s="89" t="str">
        <f>CONCATENATE(prefix_mgmt_az1_cidr,"9.213")</f>
        <v>10.11.9.213</v>
      </c>
      <c r="D205" s="347"/>
      <c r="E205" s="100" t="s">
        <v>3038</v>
      </c>
    </row>
    <row r="206" spans="2:5" ht="20" customHeight="1" x14ac:dyDescent="0.2">
      <c r="B206" s="361" t="str">
        <v>Value Missing</v>
      </c>
      <c r="C206" s="89" t="str">
        <f>CONCATENATE(prefix_mgmt_az1_cidr,"9.214")</f>
        <v>10.11.9.214</v>
      </c>
      <c r="D206" s="347"/>
      <c r="E206" s="100" t="s">
        <v>3039</v>
      </c>
    </row>
    <row r="207" spans="2:5" ht="20" customHeight="1" x14ac:dyDescent="0.2">
      <c r="B207" s="361" t="str">
        <v>Value Missing</v>
      </c>
      <c r="C207" s="89" t="str">
        <f>CONCATENATE(prefix_mgmt_az1_cidr,"9.215")</f>
        <v>10.11.9.215</v>
      </c>
      <c r="D207" s="347"/>
      <c r="E207" s="100" t="s">
        <v>3040</v>
      </c>
    </row>
    <row r="208" spans="2:5" ht="20" customHeight="1" x14ac:dyDescent="0.2">
      <c r="B208" s="361" t="str">
        <v>Value Missing</v>
      </c>
      <c r="C208" s="89" t="str">
        <f>CONCATENATE(prefix_mgmt_az1_cidr,"9.216")</f>
        <v>10.11.9.216</v>
      </c>
      <c r="D208" s="347"/>
      <c r="E208" s="100" t="s">
        <v>3041</v>
      </c>
    </row>
    <row r="209" spans="2:5" ht="16" customHeight="1" x14ac:dyDescent="0.2"/>
    <row r="210" spans="2:5" ht="34" customHeight="1" x14ac:dyDescent="0.2">
      <c r="B210" s="556" t="s">
        <v>3042</v>
      </c>
      <c r="C210" s="557"/>
      <c r="D210" s="557"/>
      <c r="E210" s="557"/>
    </row>
    <row r="211" spans="2:5" ht="16" customHeight="1" x14ac:dyDescent="0.2"/>
    <row r="212" spans="2:5" ht="34" customHeight="1" x14ac:dyDescent="0.2">
      <c r="B212" s="557" t="s">
        <v>3043</v>
      </c>
      <c r="C212" s="557"/>
      <c r="D212" s="557"/>
      <c r="E212" s="557"/>
    </row>
    <row r="213" spans="2:5" ht="20" customHeight="1" x14ac:dyDescent="0.2">
      <c r="B213" s="562"/>
      <c r="C213" s="562"/>
      <c r="D213" s="562"/>
      <c r="E213" s="562"/>
    </row>
    <row r="214" spans="2:5" ht="20" customHeight="1" x14ac:dyDescent="0.2">
      <c r="B214" s="307" t="s">
        <v>17</v>
      </c>
      <c r="C214" s="308" t="s">
        <v>18</v>
      </c>
      <c r="D214" s="308" t="s">
        <v>19</v>
      </c>
      <c r="E214" s="308" t="s">
        <v>20</v>
      </c>
    </row>
    <row r="215" spans="2:5" ht="20" customHeight="1" x14ac:dyDescent="0.2">
      <c r="B215" s="295" t="s">
        <v>3044</v>
      </c>
      <c r="C215" s="362" t="str">
        <f>sample_vvs_dr_mgmt_vc_fqdn</f>
        <v>sfo-m01-vc01.sfo.rainpole.io</v>
      </c>
      <c r="D215" s="337" t="str">
        <f>vvs_dr_mgmt_vc_fqdn</f>
        <v>Value Missing</v>
      </c>
      <c r="E215" s="32"/>
    </row>
    <row r="216" spans="2:5" ht="20" customHeight="1" x14ac:dyDescent="0.2">
      <c r="B216" s="295" t="s">
        <v>2922</v>
      </c>
      <c r="C216" s="362" t="str">
        <f>sample_vvs_dr_mgmt_vc_fqdn</f>
        <v>sfo-m01-vc01.sfo.rainpole.io</v>
      </c>
      <c r="D216" s="337" t="str">
        <f>vvs_dr_mgmt_vc_fqdn</f>
        <v>Value Missing</v>
      </c>
      <c r="E216" s="32"/>
    </row>
    <row r="217" spans="2:5" ht="20" customHeight="1" x14ac:dyDescent="0.2">
      <c r="B217" s="295" t="s">
        <v>2859</v>
      </c>
      <c r="C217" s="362" t="str">
        <f>CONCATENATE(other_instance,"-m01-vc01.",other_instance,".",sample_parent_dns_zone)</f>
        <v>lax-m01-vc01.lax.rainpole.io</v>
      </c>
      <c r="D217" s="347"/>
      <c r="E217" s="32"/>
    </row>
    <row r="218" spans="2:5" ht="20" customHeight="1" x14ac:dyDescent="0.2">
      <c r="B218" s="295" t="s">
        <v>78</v>
      </c>
      <c r="C218" s="362" t="str">
        <f>IF(mgmt_domain_chosen="First Instance","svc_lax-m01-vlr01_lax-m01-vc01@vsphere.local","svc_sfo-m01-vlr01_sfo-m01-vc01@vsphere.local")</f>
        <v>svc_lax-m01-vlr01_lax-m01-vc01@vsphere.local</v>
      </c>
      <c r="D218" s="347"/>
      <c r="E218" s="32"/>
    </row>
    <row r="219" spans="2:5" ht="20" customHeight="1" x14ac:dyDescent="0.2">
      <c r="B219" s="295" t="s">
        <v>29</v>
      </c>
      <c r="C219" s="362" t="s">
        <v>30</v>
      </c>
      <c r="D219" s="347"/>
      <c r="E219" s="32"/>
    </row>
    <row r="220" spans="2:5" ht="20" customHeight="1" x14ac:dyDescent="0.2">
      <c r="B220" s="295" t="s">
        <v>2925</v>
      </c>
      <c r="C220" s="362" t="str">
        <f>sample_mgmt_srm_recovery_vcenter_fqdn</f>
        <v>lax-m01-vc01.lax.rainpole.io</v>
      </c>
      <c r="D220" s="337" t="str">
        <f>mgmt_srm_recovery_vcenter_fqdn</f>
        <v>Value Missing</v>
      </c>
      <c r="E220" s="32"/>
    </row>
    <row r="221" spans="2:5" ht="16" customHeight="1" x14ac:dyDescent="0.2">
      <c r="B221" s="298"/>
      <c r="C221" s="142"/>
    </row>
    <row r="222" spans="2:5" ht="34" customHeight="1" x14ac:dyDescent="0.2">
      <c r="B222" s="557" t="s">
        <v>3045</v>
      </c>
      <c r="C222" s="557"/>
      <c r="D222" s="557"/>
      <c r="E222" s="557"/>
    </row>
    <row r="223" spans="2:5" ht="20" customHeight="1" x14ac:dyDescent="0.2">
      <c r="B223" s="562"/>
      <c r="C223" s="562"/>
      <c r="D223" s="562"/>
      <c r="E223" s="562"/>
    </row>
    <row r="224" spans="2:5" ht="20" customHeight="1" x14ac:dyDescent="0.2">
      <c r="B224" s="307" t="s">
        <v>17</v>
      </c>
      <c r="C224" s="308" t="s">
        <v>18</v>
      </c>
      <c r="D224" s="308" t="s">
        <v>19</v>
      </c>
      <c r="E224" s="308" t="s">
        <v>20</v>
      </c>
    </row>
    <row r="225" spans="2:5" ht="20" customHeight="1" x14ac:dyDescent="0.2">
      <c r="B225" s="295" t="s">
        <v>3044</v>
      </c>
      <c r="C225" s="362" t="str">
        <f>sample_vvs_dr_mgmt_vc_fqdn</f>
        <v>sfo-m01-vc01.sfo.rainpole.io</v>
      </c>
      <c r="D225" s="337" t="str">
        <f>vvs_dr_mgmt_vc_fqdn</f>
        <v>Value Missing</v>
      </c>
      <c r="E225" s="32"/>
    </row>
    <row r="226" spans="2:5" ht="20" customHeight="1" x14ac:dyDescent="0.2">
      <c r="B226" s="295" t="s">
        <v>1657</v>
      </c>
      <c r="C226" s="362" t="str">
        <f>sample_vvs_dr_mgmt_vc_fqdn</f>
        <v>sfo-m01-vc01.sfo.rainpole.io</v>
      </c>
      <c r="D226" s="337" t="str">
        <f>vvs_dr_mgmt_vc_fqdn</f>
        <v>Value Missing</v>
      </c>
      <c r="E226" s="32"/>
    </row>
    <row r="227" spans="2:5" ht="20" customHeight="1" x14ac:dyDescent="0.2">
      <c r="B227" s="295" t="s">
        <v>3046</v>
      </c>
      <c r="C227" s="362" t="str">
        <f>sample_vvs_mgmt_dr_vlr_fqdn</f>
        <v>sfo-m01-vlr01.sfo.rainpole.io</v>
      </c>
      <c r="D227" s="337" t="str">
        <f>vvs_mgmt_dr_vlr_fqdn</f>
        <v>Value Missing</v>
      </c>
      <c r="E227" s="32"/>
    </row>
    <row r="228" spans="2:5" ht="20" customHeight="1" x14ac:dyDescent="0.2">
      <c r="B228" s="295" t="s">
        <v>3047</v>
      </c>
      <c r="C228" s="362" t="s">
        <v>3048</v>
      </c>
      <c r="D228" s="347"/>
      <c r="E228" s="32"/>
    </row>
    <row r="229" spans="2:5" ht="20" customHeight="1" x14ac:dyDescent="0.2">
      <c r="B229" s="295" t="s">
        <v>3049</v>
      </c>
      <c r="C229" s="362" t="s">
        <v>3048</v>
      </c>
      <c r="D229" s="347"/>
      <c r="E229" s="32"/>
    </row>
    <row r="230" spans="2:5" ht="16" customHeight="1" x14ac:dyDescent="0.2"/>
    <row r="231" spans="2:5" ht="34" customHeight="1" x14ac:dyDescent="0.2">
      <c r="B231" s="557" t="s">
        <v>3050</v>
      </c>
      <c r="C231" s="557"/>
      <c r="D231" s="557"/>
      <c r="E231" s="557"/>
    </row>
    <row r="232" spans="2:5" ht="20" customHeight="1" x14ac:dyDescent="0.2">
      <c r="B232" s="562"/>
      <c r="C232" s="562"/>
      <c r="D232" s="562"/>
      <c r="E232" s="562"/>
    </row>
    <row r="233" spans="2:5" ht="20" customHeight="1" x14ac:dyDescent="0.2">
      <c r="B233" s="307" t="s">
        <v>17</v>
      </c>
      <c r="C233" s="308" t="s">
        <v>18</v>
      </c>
      <c r="D233" s="308" t="s">
        <v>19</v>
      </c>
      <c r="E233" s="308" t="s">
        <v>20</v>
      </c>
    </row>
    <row r="234" spans="2:5" ht="20" customHeight="1" x14ac:dyDescent="0.2">
      <c r="B234" s="295" t="s">
        <v>3044</v>
      </c>
      <c r="C234" s="362" t="str">
        <f>sample_vvs_dr_mgmt_vc_fqdn</f>
        <v>sfo-m01-vc01.sfo.rainpole.io</v>
      </c>
      <c r="D234" s="337" t="str">
        <f>vvs_dr_mgmt_vc_fqdn</f>
        <v>Value Missing</v>
      </c>
      <c r="E234" s="32"/>
    </row>
    <row r="235" spans="2:5" ht="20" customHeight="1" x14ac:dyDescent="0.2">
      <c r="B235" s="295" t="s">
        <v>3051</v>
      </c>
      <c r="C235" s="362" t="str">
        <f>CONCATENATE(sample_mgmt_vc_fqdn," &lt;--&gt; ",sample_mgmt_srm_recovery_vcenter_fqdn)</f>
        <v>sfo-m01-vc01.sfo.rainpole.io &lt;--&gt; lax-m01-vc01.lax.rainpole.io</v>
      </c>
      <c r="D235" s="337" t="str">
        <f>CONCATENATE(vvs_dr_mgmt_vc_fqdn," &lt;--&gt; ",mgmt_srm_recovery_vcenter_fqdn)</f>
        <v>Value Missing &lt;--&gt; Value Missing</v>
      </c>
      <c r="E235" s="32"/>
    </row>
    <row r="236" spans="2:5" ht="20" customHeight="1" x14ac:dyDescent="0.2">
      <c r="B236" s="4" t="s">
        <v>3052</v>
      </c>
      <c r="C236" s="362" t="str">
        <f>CONCATENATE(sample_mgmt_cl01_vds01_name," --&gt; ",sample_flt_custom_network_x_reg_pg)</f>
        <v>sfo-m01-cl01-vds01 --&gt; sfo-m01-cl01-vds01-pg-vm-mgmt</v>
      </c>
      <c r="D236" s="347"/>
      <c r="E236" s="32"/>
    </row>
    <row r="237" spans="2:5" ht="20" customHeight="1" x14ac:dyDescent="0.2">
      <c r="B237" s="4" t="s">
        <v>3053</v>
      </c>
      <c r="C237" s="362" t="str">
        <f>CONCATENATE(other_instance,"-m01-cl01-vds01"," --&gt; ",other_instance,"-m01-cl01-vds01-pg-vm-fleet")</f>
        <v>lax-m01-cl01-vds01 --&gt; lax-m01-cl01-vds01-pg-vm-fleet</v>
      </c>
      <c r="D237" s="347"/>
      <c r="E237" s="32"/>
    </row>
    <row r="238" spans="2:5" ht="20" customHeight="1" x14ac:dyDescent="0.2">
      <c r="B238" s="4" t="s">
        <v>3054</v>
      </c>
      <c r="C238" s="362" t="str">
        <f>CONCATENATE(sample_mgmt_srm_recovery_vcenter_fqdn," --&gt; ",this_instance,"-m01-DC")</f>
        <v>lax-m01-vc01.lax.rainpole.io --&gt; sfo-m01-DC</v>
      </c>
      <c r="D238" s="347"/>
      <c r="E238" s="32"/>
    </row>
    <row r="239" spans="2:5" ht="20" customHeight="1" x14ac:dyDescent="0.2">
      <c r="B239" s="4" t="s">
        <v>3055</v>
      </c>
      <c r="C239" s="362" t="str">
        <f>CONCATENATE(sample_mgmt_srm_recovery_vcenter_fqdn," --&gt; ",other_instance,"-m01-DC")</f>
        <v>lax-m01-vc01.lax.rainpole.io --&gt; lax-m01-DC</v>
      </c>
      <c r="D239" s="347"/>
      <c r="E239" s="32"/>
    </row>
    <row r="240" spans="2:5" ht="20" customHeight="1" x14ac:dyDescent="0.2">
      <c r="B240" s="4" t="s">
        <v>3056</v>
      </c>
      <c r="C240" s="362" t="str">
        <f>CONCATENATE(this_instance,"-m01-DC"," --&gt; ",this_instance,"-m01-cl01")</f>
        <v>sfo-m01-DC --&gt; sfo-m01-cl01</v>
      </c>
      <c r="D240" s="347"/>
      <c r="E240" s="32"/>
    </row>
    <row r="241" spans="2:5" ht="20" customHeight="1" x14ac:dyDescent="0.2">
      <c r="B241" s="4" t="s">
        <v>3057</v>
      </c>
      <c r="C241" s="362" t="str">
        <f>CONCATENATE(other_instance,"-m01-DC"," --&gt; ",other_instance,"-m01-cl01")</f>
        <v>lax-m01-DC --&gt; lax-m01-cl01</v>
      </c>
      <c r="D241" s="347"/>
      <c r="E241" s="32"/>
    </row>
    <row r="242" spans="2:5" ht="16" customHeight="1" x14ac:dyDescent="0.2"/>
    <row r="243" spans="2:5" ht="34" customHeight="1" x14ac:dyDescent="0.2">
      <c r="B243" s="557" t="s">
        <v>3058</v>
      </c>
      <c r="C243" s="557"/>
      <c r="D243" s="557"/>
      <c r="E243" s="557"/>
    </row>
    <row r="244" spans="2:5" ht="20" customHeight="1" x14ac:dyDescent="0.2">
      <c r="B244" s="562"/>
      <c r="C244" s="562"/>
      <c r="D244" s="562"/>
      <c r="E244" s="562"/>
    </row>
    <row r="245" spans="2:5" ht="20" customHeight="1" x14ac:dyDescent="0.2">
      <c r="B245" s="307" t="s">
        <v>17</v>
      </c>
      <c r="C245" s="308" t="s">
        <v>18</v>
      </c>
      <c r="D245" s="308" t="s">
        <v>19</v>
      </c>
      <c r="E245" s="308" t="s">
        <v>20</v>
      </c>
    </row>
    <row r="246" spans="2:5" ht="20" customHeight="1" x14ac:dyDescent="0.2">
      <c r="B246" s="295" t="s">
        <v>3023</v>
      </c>
      <c r="C246" s="362" t="str">
        <f>sample_vvs_mgmt_dr_vlr_fqdn</f>
        <v>sfo-m01-vlr01.sfo.rainpole.io</v>
      </c>
      <c r="D246" s="337" t="str">
        <f>vvs_mgmt_dr_vlr_fqdn</f>
        <v>Value Missing</v>
      </c>
      <c r="E246" s="32"/>
    </row>
    <row r="247" spans="2:5" ht="20" customHeight="1" x14ac:dyDescent="0.2">
      <c r="B247" s="4" t="s">
        <v>3051</v>
      </c>
      <c r="C247" s="362" t="str">
        <f>CONCATENATE(sample_mgmt_vc_fqdn," &lt;--&gt; ",sample_mgmt_srm_recovery_vcenter_fqdn)</f>
        <v>sfo-m01-vc01.sfo.rainpole.io &lt;--&gt; lax-m01-vc01.lax.rainpole.io</v>
      </c>
      <c r="D247" s="337" t="str">
        <f>vs_dr_site_pair</f>
        <v>Value Missing &lt;--&gt; Value Missing</v>
      </c>
      <c r="E247" s="32"/>
    </row>
    <row r="248" spans="2:5" ht="20" customHeight="1" x14ac:dyDescent="0.2">
      <c r="B248" s="361" t="s">
        <v>3059</v>
      </c>
      <c r="C248" s="362" t="str">
        <f>CONCATENATE(prefix_portable_component,"-fm01")</f>
        <v>flt-fm01</v>
      </c>
      <c r="D248" s="337" t="str">
        <f t="array" ref="D248">vvs_dr_flt_fleet_manager_hostname</f>
        <v>Value Missing</v>
      </c>
      <c r="E248" s="32"/>
    </row>
    <row r="249" spans="2:5" ht="20" customHeight="1" x14ac:dyDescent="0.2">
      <c r="B249" s="361" t="s">
        <v>3059</v>
      </c>
      <c r="C249" s="362" t="str">
        <f>CONCATENATE(prefix_portable_component,"-ops01a")</f>
        <v>flt-ops01a</v>
      </c>
      <c r="D249" s="337" t="str">
        <f t="array" ref="D249">vvs_dr_flt_ops_nodea_hostname</f>
        <v>Value Missing</v>
      </c>
      <c r="E249" s="32"/>
    </row>
    <row r="250" spans="2:5" ht="20" customHeight="1" x14ac:dyDescent="0.2">
      <c r="B250" s="361" t="s">
        <v>3059</v>
      </c>
      <c r="C250" s="362" t="str">
        <f>CONCATENATE(prefix_portable_component,"-ops01b")</f>
        <v>flt-ops01b</v>
      </c>
      <c r="D250" s="337" t="str">
        <f t="array" ref="D250">vvs_dr_flt_ops_nodeb_hostname</f>
        <v>Value Missing</v>
      </c>
      <c r="E250" s="32"/>
    </row>
    <row r="251" spans="2:5" ht="20" customHeight="1" x14ac:dyDescent="0.2">
      <c r="B251" s="361" t="s">
        <v>3059</v>
      </c>
      <c r="C251" s="362" t="str">
        <f>CONCATENATE(prefix_portable_component,"-ops01c")</f>
        <v>flt-ops01c</v>
      </c>
      <c r="D251" s="337" t="str">
        <f t="array" ref="D251">vvs_dr_flt_ops_nodec_hostname</f>
        <v>Value Missing</v>
      </c>
      <c r="E251" s="32"/>
    </row>
    <row r="252" spans="2:5" ht="20" customHeight="1" x14ac:dyDescent="0.2">
      <c r="B252" s="361" t="s">
        <v>3060</v>
      </c>
      <c r="C252" s="362" t="str">
        <f>CONCATENATE(other_instance,"-m01-cl01-ds-vsan01")</f>
        <v>lax-m01-cl01-ds-vsan01</v>
      </c>
      <c r="D252" s="347"/>
      <c r="E252" s="32"/>
    </row>
    <row r="253" spans="2:5" ht="20" customHeight="1" x14ac:dyDescent="0.2">
      <c r="B253" s="361" t="s">
        <v>3061</v>
      </c>
      <c r="C253" s="362">
        <v>15</v>
      </c>
      <c r="D253" s="347"/>
      <c r="E253" s="32"/>
    </row>
    <row r="254" spans="2:5" ht="20" customHeight="1" x14ac:dyDescent="0.2">
      <c r="B254" s="361" t="s">
        <v>1978</v>
      </c>
      <c r="C254" s="362">
        <v>3</v>
      </c>
      <c r="D254" s="347"/>
      <c r="E254" s="32"/>
    </row>
    <row r="255" spans="2:5" ht="20" customHeight="1" x14ac:dyDescent="0.2">
      <c r="B255" s="4" t="s">
        <v>1984</v>
      </c>
      <c r="C255" s="362">
        <v>1</v>
      </c>
      <c r="D255" s="347"/>
      <c r="E255" s="32"/>
    </row>
    <row r="256" spans="2:5" ht="20" customHeight="1" x14ac:dyDescent="0.2">
      <c r="B256" s="4" t="s">
        <v>3062</v>
      </c>
      <c r="C256" s="362" t="s">
        <v>3063</v>
      </c>
      <c r="D256" s="347"/>
      <c r="E256" s="32"/>
    </row>
    <row r="257" spans="2:5" ht="20" customHeight="1" x14ac:dyDescent="0.2">
      <c r="B257" s="361" t="s">
        <v>3064</v>
      </c>
      <c r="C257" s="362" t="s">
        <v>3065</v>
      </c>
      <c r="D257" s="347"/>
      <c r="E257" s="32"/>
    </row>
    <row r="258" spans="2:5" ht="16" customHeight="1" x14ac:dyDescent="0.2"/>
    <row r="259" spans="2:5" ht="34" customHeight="1" x14ac:dyDescent="0.2">
      <c r="B259" s="557" t="s">
        <v>3066</v>
      </c>
      <c r="C259" s="557"/>
      <c r="D259" s="557"/>
      <c r="E259" s="557"/>
    </row>
    <row r="260" spans="2:5" ht="20" customHeight="1" x14ac:dyDescent="0.2">
      <c r="B260" s="562"/>
      <c r="C260" s="562"/>
      <c r="D260" s="562"/>
      <c r="E260" s="562"/>
    </row>
    <row r="261" spans="2:5" ht="20" customHeight="1" x14ac:dyDescent="0.2">
      <c r="B261" s="307" t="s">
        <v>17</v>
      </c>
      <c r="C261" s="308" t="s">
        <v>18</v>
      </c>
      <c r="D261" s="308" t="s">
        <v>19</v>
      </c>
      <c r="E261" s="308" t="s">
        <v>20</v>
      </c>
    </row>
    <row r="262" spans="2:5" ht="20" customHeight="1" x14ac:dyDescent="0.2">
      <c r="B262" s="295" t="s">
        <v>3023</v>
      </c>
      <c r="C262" s="362" t="str">
        <f>CONCATENATE(sample_vvs_mgmt_dr_vlr_fqdn,"/dr")</f>
        <v>sfo-m01-vlr01.sfo.rainpole.io/dr</v>
      </c>
      <c r="D262" s="337" t="str">
        <f>CONCATENATE(vvs_mgmt_dr_vlr_fqdn,"/dr")</f>
        <v>Value Missing/dr</v>
      </c>
      <c r="E262" s="32"/>
    </row>
    <row r="263" spans="2:5" ht="20" customHeight="1" x14ac:dyDescent="0.2">
      <c r="B263" s="295" t="s">
        <v>3051</v>
      </c>
      <c r="C263" s="362" t="str">
        <f>CONCATENATE(sample_mgmt_vc_fqdn," &lt;--&gt; ",sample_mgmt_srm_recovery_vcenter_fqdn)</f>
        <v>sfo-m01-vc01.sfo.rainpole.io &lt;--&gt; lax-m01-vc01.lax.rainpole.io</v>
      </c>
      <c r="D263" s="337" t="str">
        <f>vs_dr_site_pair</f>
        <v>Value Missing &lt;--&gt; Value Missing</v>
      </c>
      <c r="E263" s="32"/>
    </row>
    <row r="264" spans="2:5" ht="20" customHeight="1" x14ac:dyDescent="0.2">
      <c r="B264" s="295" t="s">
        <v>3067</v>
      </c>
      <c r="C264" s="362" t="str">
        <f>sample_mgmt_srm_vrops_rp</f>
        <v>VCF-OPS-RP</v>
      </c>
      <c r="D264" s="337" t="str">
        <f>mgmt_srm_vrops_rp</f>
        <v>Value Missing</v>
      </c>
      <c r="E264" s="32"/>
    </row>
    <row r="265" spans="2:5" ht="20" customHeight="1" x14ac:dyDescent="0.2">
      <c r="B265" s="295" t="s">
        <v>3068</v>
      </c>
      <c r="C265" s="362" t="str">
        <f>CONCATENATE(prefix_portable_component,"-fm01")</f>
        <v>flt-fm01</v>
      </c>
      <c r="D265" s="337" t="str">
        <f>vvs_dr_flt_fleet_manager_hostname</f>
        <v>Value Missing</v>
      </c>
      <c r="E265" s="32"/>
    </row>
    <row r="266" spans="2:5" ht="20" customHeight="1" x14ac:dyDescent="0.2">
      <c r="B266" s="295" t="s">
        <v>3069</v>
      </c>
      <c r="C266" s="362" t="str">
        <f>CONCATENATE(prefix_portable_component,"-ops01a")</f>
        <v>flt-ops01a</v>
      </c>
      <c r="D266" s="337" t="str">
        <f t="array" ref="D266">vvs_dr_flt_ops_nodea_hostname</f>
        <v>Value Missing</v>
      </c>
      <c r="E266" s="32"/>
    </row>
    <row r="267" spans="2:5" ht="20" customHeight="1" x14ac:dyDescent="0.2">
      <c r="B267" s="295" t="s">
        <v>3070</v>
      </c>
      <c r="C267" s="362" t="str">
        <f>CONCATENATE(prefix_portable_component,"-ops01b")</f>
        <v>flt-ops01b</v>
      </c>
      <c r="D267" s="337" t="str">
        <f t="array" ref="D267">vvs_dr_flt_ops_nodeb_hostname</f>
        <v>Value Missing</v>
      </c>
      <c r="E267" s="32"/>
    </row>
    <row r="268" spans="2:5" ht="20" customHeight="1" x14ac:dyDescent="0.2">
      <c r="B268" s="295" t="s">
        <v>3071</v>
      </c>
      <c r="C268" s="362" t="str">
        <f>CONCATENATE(prefix_portable_component,"-ops01c")</f>
        <v>flt-ops01c</v>
      </c>
      <c r="D268" s="337" t="str">
        <f t="array" ref="D268">vvs_dr_flt_ops_nodec_hostname</f>
        <v>Value Missing</v>
      </c>
      <c r="E268" s="32"/>
    </row>
    <row r="269" spans="2:5" ht="16" customHeight="1" x14ac:dyDescent="0.2"/>
    <row r="270" spans="2:5" ht="34" customHeight="1" x14ac:dyDescent="0.2">
      <c r="B270" s="557" t="s">
        <v>3072</v>
      </c>
      <c r="C270" s="557"/>
      <c r="D270" s="557"/>
      <c r="E270" s="557"/>
    </row>
    <row r="271" spans="2:5" ht="20" customHeight="1" x14ac:dyDescent="0.2">
      <c r="B271" s="562"/>
      <c r="C271" s="562"/>
      <c r="D271" s="562"/>
      <c r="E271" s="562"/>
    </row>
    <row r="272" spans="2:5" ht="20" customHeight="1" x14ac:dyDescent="0.2">
      <c r="B272" s="307" t="s">
        <v>17</v>
      </c>
      <c r="C272" s="308" t="s">
        <v>18</v>
      </c>
      <c r="D272" s="308" t="s">
        <v>19</v>
      </c>
      <c r="E272" s="308" t="s">
        <v>20</v>
      </c>
    </row>
    <row r="273" spans="2:5" ht="20" customHeight="1" x14ac:dyDescent="0.2">
      <c r="B273" s="295" t="s">
        <v>3023</v>
      </c>
      <c r="C273" s="362" t="str">
        <f>CONCATENATE(sample_vvs_mgmt_dr_vlr_fqdn,"/dr")</f>
        <v>sfo-m01-vlr01.sfo.rainpole.io/dr</v>
      </c>
      <c r="D273" s="337" t="str">
        <f>CONCATENATE(vvs_mgmt_dr_vlr_fqdn,"/dr")</f>
        <v>Value Missing/dr</v>
      </c>
      <c r="E273" s="32"/>
    </row>
    <row r="274" spans="2:5" ht="20" customHeight="1" x14ac:dyDescent="0.2">
      <c r="B274" s="295" t="s">
        <v>3051</v>
      </c>
      <c r="C274" s="362" t="str">
        <f>CONCATENATE(sample_mgmt_vc_fqdn," &lt;--&gt; ",sample_mgmt_srm_recovery_vcenter_fqdn)</f>
        <v>sfo-m01-vc01.sfo.rainpole.io &lt;--&gt; lax-m01-vc01.lax.rainpole.io</v>
      </c>
      <c r="D274" s="337" t="str">
        <f>vs_dr_site_pair</f>
        <v>Value Missing &lt;--&gt; Value Missing</v>
      </c>
      <c r="E274" s="32"/>
    </row>
    <row r="275" spans="2:5" ht="20" customHeight="1" x14ac:dyDescent="0.2">
      <c r="B275" s="295" t="s">
        <v>3073</v>
      </c>
      <c r="C275" s="362" t="str">
        <f>CONCATENATE(prefix_portable_component,"-logs01a")</f>
        <v>flt-logs01a</v>
      </c>
      <c r="D275" s="337" t="str">
        <f>vvs_dr_flt_logs_nodea_hostname</f>
        <v>Value Missing</v>
      </c>
      <c r="E275" s="32"/>
    </row>
    <row r="276" spans="2:5" ht="20" customHeight="1" x14ac:dyDescent="0.2">
      <c r="B276" s="295" t="s">
        <v>3074</v>
      </c>
      <c r="C276" s="362" t="str">
        <f>CONCATENATE(prefix_portable_component,"-logs01b")</f>
        <v>flt-logs01b</v>
      </c>
      <c r="D276" s="337" t="str">
        <f>vvs_dr_flt_logs_nodeb_hostname</f>
        <v>Value Missing</v>
      </c>
      <c r="E276" s="32"/>
    </row>
    <row r="277" spans="2:5" ht="20" customHeight="1" x14ac:dyDescent="0.2">
      <c r="B277" s="295" t="s">
        <v>3075</v>
      </c>
      <c r="C277" s="362" t="str">
        <f>CONCATENATE(prefix_portable_component,"-logs01c")</f>
        <v>flt-logs01c</v>
      </c>
      <c r="D277" s="337" t="str">
        <f>vvs_dr_flt_logs_nodec_hostname</f>
        <v>Value Missing</v>
      </c>
      <c r="E277" s="32"/>
    </row>
    <row r="278" spans="2:5" ht="20" customHeight="1" x14ac:dyDescent="0.2">
      <c r="B278" s="295" t="s">
        <v>3060</v>
      </c>
      <c r="C278" s="362" t="str">
        <f>sample_mgmt_srm_recovery_datastore</f>
        <v>lax-m01-cl01-ds-vsan01</v>
      </c>
      <c r="D278" s="337" t="str">
        <f>mgmt_srm_recovery_datastore</f>
        <v>Value Missing</v>
      </c>
      <c r="E278" s="32"/>
    </row>
    <row r="279" spans="2:5" ht="20" customHeight="1" x14ac:dyDescent="0.2">
      <c r="B279" s="295" t="s">
        <v>3061</v>
      </c>
      <c r="C279" s="362">
        <f>sample_mgmt_srm_rpo</f>
        <v>15</v>
      </c>
      <c r="D279" s="337" t="str">
        <f>mgmt_srm_rpo</f>
        <v>Value Missing</v>
      </c>
      <c r="E279" s="32"/>
    </row>
    <row r="280" spans="2:5" ht="20" customHeight="1" x14ac:dyDescent="0.2">
      <c r="B280" s="295" t="s">
        <v>1978</v>
      </c>
      <c r="C280" s="362">
        <f>sample_mgmt_srm_instances_per_day</f>
        <v>3</v>
      </c>
      <c r="D280" s="337" t="str">
        <f>mgmt_srm_instances_per_day</f>
        <v>Value Missing</v>
      </c>
      <c r="E280" s="32"/>
    </row>
    <row r="281" spans="2:5" ht="20" customHeight="1" x14ac:dyDescent="0.2">
      <c r="B281" s="295" t="s">
        <v>1984</v>
      </c>
      <c r="C281" s="362">
        <f>sample_mgmt_srm_days</f>
        <v>1</v>
      </c>
      <c r="D281" s="337" t="str">
        <f>mgmt_srm_days</f>
        <v>Value Missing</v>
      </c>
      <c r="E281" s="32"/>
    </row>
    <row r="282" spans="2:5" ht="20" customHeight="1" x14ac:dyDescent="0.2">
      <c r="B282" s="295" t="s">
        <v>3062</v>
      </c>
      <c r="C282" s="362" t="s">
        <v>3076</v>
      </c>
      <c r="D282" s="347"/>
      <c r="E282" s="32"/>
    </row>
    <row r="283" spans="2:5" ht="20" customHeight="1" x14ac:dyDescent="0.2">
      <c r="B283" s="295" t="s">
        <v>3064</v>
      </c>
      <c r="C283" s="362" t="s">
        <v>3077</v>
      </c>
      <c r="D283" s="347"/>
      <c r="E283" s="32"/>
    </row>
    <row r="284" spans="2:5" ht="16" customHeight="1" x14ac:dyDescent="0.2">
      <c r="B284" s="298"/>
      <c r="C284" s="142"/>
    </row>
    <row r="285" spans="2:5" ht="34" customHeight="1" x14ac:dyDescent="0.2">
      <c r="B285" s="557" t="s">
        <v>3078</v>
      </c>
      <c r="C285" s="557"/>
      <c r="D285" s="557"/>
      <c r="E285" s="557"/>
    </row>
    <row r="286" spans="2:5" ht="20" customHeight="1" x14ac:dyDescent="0.2">
      <c r="B286" s="562"/>
      <c r="C286" s="562"/>
      <c r="D286" s="562"/>
      <c r="E286" s="562"/>
    </row>
    <row r="287" spans="2:5" ht="20" customHeight="1" x14ac:dyDescent="0.2">
      <c r="B287" s="43" t="s">
        <v>261</v>
      </c>
      <c r="C287" s="43" t="s">
        <v>262</v>
      </c>
      <c r="D287" s="130" t="s">
        <v>19</v>
      </c>
      <c r="E287" s="43" t="s">
        <v>20</v>
      </c>
    </row>
    <row r="288" spans="2:5" ht="20" customHeight="1" x14ac:dyDescent="0.2">
      <c r="B288" s="295" t="s">
        <v>3023</v>
      </c>
      <c r="C288" s="362" t="str">
        <f>CONCATENATE(sample_vvs_mgmt_dr_vlr_fqdn,"/dr")</f>
        <v>sfo-m01-vlr01.sfo.rainpole.io/dr</v>
      </c>
      <c r="D288" s="337" t="str">
        <f>CONCATENATE(vvs_mgmt_dr_vlr_fqdn,"/dr")</f>
        <v>Value Missing/dr</v>
      </c>
      <c r="E288" s="32"/>
    </row>
    <row r="289" spans="2:5" ht="20" customHeight="1" x14ac:dyDescent="0.2">
      <c r="B289" s="295" t="s">
        <v>3051</v>
      </c>
      <c r="C289" s="362" t="str">
        <f>CONCATENATE(sample_mgmt_vc_fqdn," &lt;--&gt; ",sample_mgmt_srm_recovery_vcenter_fqdn)</f>
        <v>sfo-m01-vc01.sfo.rainpole.io &lt;--&gt; lax-m01-vc01.lax.rainpole.io</v>
      </c>
      <c r="D289" s="337" t="str">
        <f>vs_dr_site_pair</f>
        <v>Value Missing &lt;--&gt; Value Missing</v>
      </c>
      <c r="E289" s="32"/>
    </row>
    <row r="290" spans="2:5" ht="20" customHeight="1" x14ac:dyDescent="0.2">
      <c r="B290" s="295" t="s">
        <v>3067</v>
      </c>
      <c r="C290" s="362" t="str">
        <f>sample_mgmt_srm_logs_rp</f>
        <v>VCF-OPS-LOGS-RP</v>
      </c>
      <c r="D290" s="337" t="str">
        <f t="array" ref="D290">mgmt_srm_logs_rp</f>
        <v>Value Missing</v>
      </c>
      <c r="E290" s="32"/>
    </row>
    <row r="291" spans="2:5" ht="20" customHeight="1" x14ac:dyDescent="0.2">
      <c r="B291" s="295" t="s">
        <v>3073</v>
      </c>
      <c r="C291" s="362" t="str">
        <f>CONCATENATE(prefix_portable_component,"-logs01a")</f>
        <v>flt-logs01a</v>
      </c>
      <c r="D291" s="337" t="str">
        <f>vvs_dr_flt_logs_nodea_hostname</f>
        <v>Value Missing</v>
      </c>
      <c r="E291" s="32"/>
    </row>
    <row r="292" spans="2:5" ht="20" customHeight="1" x14ac:dyDescent="0.2">
      <c r="B292" s="295" t="s">
        <v>3074</v>
      </c>
      <c r="C292" s="362" t="str">
        <f>CONCATENATE(prefix_portable_component,"-logs01b")</f>
        <v>flt-logs01b</v>
      </c>
      <c r="D292" s="337" t="str">
        <f>vvs_dr_flt_logs_nodeb_hostname</f>
        <v>Value Missing</v>
      </c>
      <c r="E292" s="32"/>
    </row>
    <row r="293" spans="2:5" ht="20" customHeight="1" x14ac:dyDescent="0.2">
      <c r="B293" s="295" t="s">
        <v>3075</v>
      </c>
      <c r="C293" s="362" t="str">
        <f>CONCATENATE(prefix_portable_component,"-logs01c")</f>
        <v>flt-logs01c</v>
      </c>
      <c r="D293" s="337" t="str">
        <f>vvs_dr_flt_logs_nodec_hostname</f>
        <v>Value Missing</v>
      </c>
      <c r="E293" s="32"/>
    </row>
    <row r="294" spans="2:5" ht="16" customHeight="1" x14ac:dyDescent="0.2">
      <c r="B294" s="298"/>
      <c r="C294" s="142"/>
    </row>
    <row r="295" spans="2:5" ht="34" customHeight="1" x14ac:dyDescent="0.2">
      <c r="B295" s="557" t="s">
        <v>3079</v>
      </c>
      <c r="C295" s="557"/>
      <c r="D295" s="557"/>
      <c r="E295" s="557"/>
    </row>
    <row r="296" spans="2:5" ht="20" customHeight="1" x14ac:dyDescent="0.2">
      <c r="B296" s="562"/>
      <c r="C296" s="562"/>
      <c r="D296" s="562"/>
      <c r="E296" s="562"/>
    </row>
    <row r="297" spans="2:5" ht="20" customHeight="1" x14ac:dyDescent="0.2">
      <c r="B297" s="307" t="s">
        <v>17</v>
      </c>
      <c r="C297" s="308" t="s">
        <v>18</v>
      </c>
      <c r="D297" s="308" t="s">
        <v>19</v>
      </c>
      <c r="E297" s="308" t="s">
        <v>20</v>
      </c>
    </row>
    <row r="298" spans="2:5" ht="20" customHeight="1" x14ac:dyDescent="0.2">
      <c r="B298" s="295" t="s">
        <v>3023</v>
      </c>
      <c r="C298" s="362" t="str">
        <f>CONCATENATE(sample_vvs_mgmt_dr_vlr_fqdn,"/dr")</f>
        <v>sfo-m01-vlr01.sfo.rainpole.io/dr</v>
      </c>
      <c r="D298" s="337" t="str">
        <f>CONCATENATE(vvs_mgmt_dr_vlr_fqdn,"/dr")</f>
        <v>Value Missing/dr</v>
      </c>
      <c r="E298" s="32"/>
    </row>
    <row r="299" spans="2:5" ht="20" customHeight="1" x14ac:dyDescent="0.2">
      <c r="B299" s="295" t="s">
        <v>3051</v>
      </c>
      <c r="C299" s="362" t="str">
        <f>CONCATENATE(sample_mgmt_vc_fqdn," &lt;--&gt; ",sample_mgmt_srm_recovery_vcenter_fqdn)</f>
        <v>sfo-m01-vc01.sfo.rainpole.io &lt;--&gt; lax-m01-vc01.lax.rainpole.io</v>
      </c>
      <c r="D299" s="337" t="str">
        <f>vs_dr_site_pair</f>
        <v>Value Missing &lt;--&gt; Value Missing</v>
      </c>
      <c r="E299" s="32"/>
    </row>
    <row r="300" spans="2:5" ht="20" customHeight="1" x14ac:dyDescent="0.2">
      <c r="B300" s="295" t="s">
        <v>3080</v>
      </c>
      <c r="C300" s="362" t="str">
        <f>CONCATENATE(prefix_portable_component,"-net01a")</f>
        <v>flt-net01a</v>
      </c>
      <c r="D300" s="337" t="str">
        <f>vvs_dr_flt_net_nodea_hostname</f>
        <v>Value Missing</v>
      </c>
      <c r="E300" s="32"/>
    </row>
    <row r="301" spans="2:5" ht="20" customHeight="1" x14ac:dyDescent="0.2">
      <c r="B301" s="295" t="s">
        <v>3081</v>
      </c>
      <c r="C301" s="362" t="str">
        <f>CONCATENATE(prefix_portable_component,"-net01b")</f>
        <v>flt-net01b</v>
      </c>
      <c r="D301" s="337" t="str">
        <f>vvs_dr_flt_net_nodeb_hostname</f>
        <v>Value Missing</v>
      </c>
      <c r="E301" s="32"/>
    </row>
    <row r="302" spans="2:5" ht="20" customHeight="1" x14ac:dyDescent="0.2">
      <c r="B302" s="295" t="s">
        <v>3082</v>
      </c>
      <c r="C302" s="362" t="str">
        <f>CONCATENATE(prefix_portable_component,"-net01c")</f>
        <v>flt-net01c</v>
      </c>
      <c r="D302" s="337" t="str">
        <f>vvs_dr_flt_net_nodec_hostname</f>
        <v>Value Missing</v>
      </c>
      <c r="E302" s="32"/>
    </row>
    <row r="303" spans="2:5" ht="20" customHeight="1" x14ac:dyDescent="0.2">
      <c r="B303" s="295" t="s">
        <v>3060</v>
      </c>
      <c r="C303" s="362" t="str">
        <f>sample_mgmt_srm_recovery_datastore</f>
        <v>lax-m01-cl01-ds-vsan01</v>
      </c>
      <c r="D303" s="337" t="str">
        <f>mgmt_srm_recovery_datastore</f>
        <v>Value Missing</v>
      </c>
      <c r="E303" s="32"/>
    </row>
    <row r="304" spans="2:5" ht="20" customHeight="1" x14ac:dyDescent="0.2">
      <c r="B304" s="295" t="s">
        <v>3061</v>
      </c>
      <c r="C304" s="362">
        <f>sample_mgmt_srm_rpo</f>
        <v>15</v>
      </c>
      <c r="D304" s="337" t="str">
        <f>mgmt_srm_rpo</f>
        <v>Value Missing</v>
      </c>
      <c r="E304" s="32"/>
    </row>
    <row r="305" spans="2:5" ht="20" customHeight="1" x14ac:dyDescent="0.2">
      <c r="B305" s="295" t="s">
        <v>1978</v>
      </c>
      <c r="C305" s="362">
        <f>sample_mgmt_srm_instances_per_day</f>
        <v>3</v>
      </c>
      <c r="D305" s="337" t="str">
        <f>mgmt_srm_instances_per_day</f>
        <v>Value Missing</v>
      </c>
      <c r="E305" s="32"/>
    </row>
    <row r="306" spans="2:5" ht="20" customHeight="1" x14ac:dyDescent="0.2">
      <c r="B306" s="295" t="s">
        <v>1984</v>
      </c>
      <c r="C306" s="362">
        <f>sample_mgmt_srm_days</f>
        <v>1</v>
      </c>
      <c r="D306" s="337" t="str">
        <f>mgmt_srm_days</f>
        <v>Value Missing</v>
      </c>
      <c r="E306" s="32"/>
    </row>
    <row r="307" spans="2:5" ht="20" customHeight="1" x14ac:dyDescent="0.2">
      <c r="B307" s="295" t="s">
        <v>3062</v>
      </c>
      <c r="C307" s="362" t="s">
        <v>3083</v>
      </c>
      <c r="D307" s="347"/>
      <c r="E307" s="32"/>
    </row>
    <row r="308" spans="2:5" ht="20" customHeight="1" x14ac:dyDescent="0.2">
      <c r="B308" s="295" t="s">
        <v>3064</v>
      </c>
      <c r="C308" s="362" t="s">
        <v>3084</v>
      </c>
      <c r="D308" s="347"/>
      <c r="E308" s="32"/>
    </row>
    <row r="309" spans="2:5" ht="16" customHeight="1" x14ac:dyDescent="0.2">
      <c r="B309" s="298"/>
    </row>
    <row r="310" spans="2:5" ht="34" customHeight="1" x14ac:dyDescent="0.2">
      <c r="B310" s="557" t="s">
        <v>3085</v>
      </c>
      <c r="C310" s="557"/>
      <c r="D310" s="557"/>
      <c r="E310" s="557"/>
    </row>
    <row r="311" spans="2:5" ht="20" customHeight="1" x14ac:dyDescent="0.2">
      <c r="B311" s="562"/>
      <c r="C311" s="562"/>
      <c r="D311" s="562"/>
      <c r="E311" s="562"/>
    </row>
    <row r="312" spans="2:5" ht="20" customHeight="1" x14ac:dyDescent="0.2">
      <c r="B312" s="307" t="s">
        <v>17</v>
      </c>
      <c r="C312" s="308" t="s">
        <v>18</v>
      </c>
      <c r="D312" s="308" t="s">
        <v>19</v>
      </c>
      <c r="E312" s="308" t="s">
        <v>20</v>
      </c>
    </row>
    <row r="313" spans="2:5" ht="20" customHeight="1" x14ac:dyDescent="0.2">
      <c r="B313" s="295" t="s">
        <v>3023</v>
      </c>
      <c r="C313" s="362" t="str">
        <f>CONCATENATE(sample_vvs_mgmt_dr_vlr_fqdn,"/dr")</f>
        <v>sfo-m01-vlr01.sfo.rainpole.io/dr</v>
      </c>
      <c r="D313" s="337" t="str">
        <f>CONCATENATE(vvs_mgmt_dr_vlr_fqdn,"/dr")</f>
        <v>Value Missing/dr</v>
      </c>
      <c r="E313" s="32"/>
    </row>
    <row r="314" spans="2:5" ht="20" customHeight="1" x14ac:dyDescent="0.2">
      <c r="B314" s="295" t="s">
        <v>3051</v>
      </c>
      <c r="C314" s="362" t="str">
        <f>CONCATENATE(sample_mgmt_vc_fqdn," &lt;--&gt; ",sample_mgmt_srm_recovery_vcenter_fqdn)</f>
        <v>sfo-m01-vc01.sfo.rainpole.io &lt;--&gt; lax-m01-vc01.lax.rainpole.io</v>
      </c>
      <c r="D314" s="337" t="str">
        <f>vs_dr_site_pair</f>
        <v>Value Missing &lt;--&gt; Value Missing</v>
      </c>
      <c r="E314" s="32"/>
    </row>
    <row r="315" spans="2:5" ht="20" customHeight="1" x14ac:dyDescent="0.2">
      <c r="B315" s="295" t="s">
        <v>3067</v>
      </c>
      <c r="C315" s="362" t="str">
        <f>sample_mgmt_srm_net_rp</f>
        <v>VCF-OPS-NET-RP</v>
      </c>
      <c r="D315" s="347"/>
      <c r="E315" s="32"/>
    </row>
    <row r="316" spans="2:5" ht="20" customHeight="1" x14ac:dyDescent="0.2">
      <c r="B316" s="295" t="s">
        <v>3080</v>
      </c>
      <c r="C316" s="362" t="str">
        <f>CONCATENATE(prefix_portable_component,"-net01a")</f>
        <v>flt-net01a</v>
      </c>
      <c r="D316" s="337" t="str">
        <f>vvs_dr_flt_net_nodea_hostname</f>
        <v>Value Missing</v>
      </c>
      <c r="E316" s="32"/>
    </row>
    <row r="317" spans="2:5" ht="20" customHeight="1" x14ac:dyDescent="0.2">
      <c r="B317" s="295" t="s">
        <v>3081</v>
      </c>
      <c r="C317" s="362" t="str">
        <f>CONCATENATE(prefix_portable_component,"-net01b")</f>
        <v>flt-net01b</v>
      </c>
      <c r="D317" s="337" t="str">
        <f>vvs_dr_flt_net_nodeb_hostname</f>
        <v>Value Missing</v>
      </c>
      <c r="E317" s="32"/>
    </row>
    <row r="318" spans="2:5" ht="20" customHeight="1" x14ac:dyDescent="0.2">
      <c r="B318" s="295" t="s">
        <v>3082</v>
      </c>
      <c r="C318" s="362" t="str">
        <f>CONCATENATE(prefix_portable_component,"-net01c")</f>
        <v>flt-net01c</v>
      </c>
      <c r="D318" s="337" t="str">
        <f>vvs_dr_flt_net_nodec_hostname</f>
        <v>Value Missing</v>
      </c>
      <c r="E318" s="32"/>
    </row>
    <row r="319" spans="2:5" ht="16" customHeight="1" x14ac:dyDescent="0.2">
      <c r="B319" s="298"/>
      <c r="C319" s="290"/>
    </row>
    <row r="320" spans="2:5" ht="34" customHeight="1" x14ac:dyDescent="0.2">
      <c r="B320" s="557" t="s">
        <v>3086</v>
      </c>
      <c r="C320" s="557"/>
      <c r="D320" s="557"/>
      <c r="E320" s="557"/>
    </row>
    <row r="321" spans="2:5" ht="20" customHeight="1" x14ac:dyDescent="0.2">
      <c r="B321" s="562"/>
      <c r="C321" s="562"/>
      <c r="D321" s="562"/>
      <c r="E321" s="562"/>
    </row>
    <row r="322" spans="2:5" ht="20" customHeight="1" x14ac:dyDescent="0.2">
      <c r="B322" s="307" t="s">
        <v>17</v>
      </c>
      <c r="C322" s="308" t="s">
        <v>18</v>
      </c>
      <c r="D322" s="308" t="s">
        <v>19</v>
      </c>
      <c r="E322" s="308" t="s">
        <v>20</v>
      </c>
    </row>
    <row r="323" spans="2:5" ht="20" customHeight="1" x14ac:dyDescent="0.2">
      <c r="B323" s="295" t="s">
        <v>2767</v>
      </c>
      <c r="C323" s="362" t="str">
        <f>sample_mgmt_srm_recovery_vcenter_fqdn</f>
        <v>lax-m01-vc01.lax.rainpole.io</v>
      </c>
      <c r="D323" s="337" t="str">
        <f>mgmt_srm_recovery_vcenter_fqdn</f>
        <v>Value Missing</v>
      </c>
      <c r="E323" s="32"/>
    </row>
    <row r="324" spans="2:5" ht="20" customHeight="1" x14ac:dyDescent="0.2">
      <c r="B324" s="295" t="s">
        <v>732</v>
      </c>
      <c r="C324" s="362" t="str">
        <f>CONCATENATE(other_instance,"-m01-cl01")</f>
        <v>lax-m01-cl01</v>
      </c>
      <c r="D324" s="347"/>
      <c r="E324" s="32"/>
    </row>
    <row r="325" spans="2:5" ht="20" customHeight="1" x14ac:dyDescent="0.2">
      <c r="B325" s="295" t="s">
        <v>3087</v>
      </c>
      <c r="C325" s="362" t="s">
        <v>3088</v>
      </c>
      <c r="D325" s="347"/>
      <c r="E325" s="32"/>
    </row>
    <row r="326" spans="2:5" ht="20" customHeight="1" x14ac:dyDescent="0.2">
      <c r="B326" s="295" t="s">
        <v>3089</v>
      </c>
      <c r="C326" s="362" t="str">
        <f>CONCATENATE(prefix_portable_component,"-ops01a")</f>
        <v>flt-ops01a</v>
      </c>
      <c r="D326" s="337" t="str">
        <f t="array" ref="D326">vvs_dr_flt_ops_nodea_hostname</f>
        <v>Value Missing</v>
      </c>
      <c r="E326" s="32"/>
    </row>
    <row r="327" spans="2:5" ht="20" customHeight="1" x14ac:dyDescent="0.2">
      <c r="B327" s="295" t="s">
        <v>3090</v>
      </c>
      <c r="C327" s="362" t="str">
        <f>CONCATENATE(prefix_portable_component,"-ops01b")</f>
        <v>flt-ops01b</v>
      </c>
      <c r="D327" s="337" t="str">
        <f t="array" ref="D327">vvs_dr_flt_ops_nodeb_hostname</f>
        <v>Value Missing</v>
      </c>
      <c r="E327" s="32"/>
    </row>
    <row r="328" spans="2:5" ht="20" customHeight="1" x14ac:dyDescent="0.2">
      <c r="B328" s="295" t="s">
        <v>3091</v>
      </c>
      <c r="C328" s="362" t="str">
        <f>CONCATENATE(prefix_portable_component,"-ops01c")</f>
        <v>flt-ops01c</v>
      </c>
      <c r="D328" s="337" t="str">
        <f t="array" ref="D328">vvs_dr_flt_ops_nodec_hostname</f>
        <v>Value Missing</v>
      </c>
      <c r="E328" s="32"/>
    </row>
    <row r="329" spans="2:5" ht="20" customHeight="1" x14ac:dyDescent="0.2">
      <c r="B329" s="295" t="s">
        <v>3092</v>
      </c>
      <c r="C329" s="362" t="s">
        <v>3093</v>
      </c>
      <c r="D329" s="347"/>
      <c r="E329" s="32"/>
    </row>
    <row r="330" spans="2:5" ht="20" customHeight="1" x14ac:dyDescent="0.2">
      <c r="B330" s="295" t="s">
        <v>3094</v>
      </c>
      <c r="C330" s="362" t="str">
        <f>CONCATENATE(prefix_portable_component,"-logs01a")</f>
        <v>flt-logs01a</v>
      </c>
      <c r="D330" s="337" t="str">
        <f>vvs_dr_flt_logs_nodea_hostname</f>
        <v>Value Missing</v>
      </c>
      <c r="E330" s="32"/>
    </row>
    <row r="331" spans="2:5" ht="20" customHeight="1" x14ac:dyDescent="0.2">
      <c r="B331" s="295" t="s">
        <v>3095</v>
      </c>
      <c r="C331" s="362" t="str">
        <f>CONCATENATE(prefix_portable_component,"-logs01b")</f>
        <v>flt-logs01b</v>
      </c>
      <c r="D331" s="337" t="str">
        <f>vvs_dr_flt_logs_nodeb_hostname</f>
        <v>Value Missing</v>
      </c>
      <c r="E331" s="32"/>
    </row>
    <row r="332" spans="2:5" ht="20" customHeight="1" x14ac:dyDescent="0.2">
      <c r="B332" s="295" t="s">
        <v>3096</v>
      </c>
      <c r="C332" s="362" t="str">
        <f>CONCATENATE(prefix_portable_component,"-logs01c")</f>
        <v>flt-logs01c</v>
      </c>
      <c r="D332" s="337" t="str">
        <f>vvs_dr_flt_logs_nodec_hostname</f>
        <v>Value Missing</v>
      </c>
      <c r="E332" s="32"/>
    </row>
    <row r="333" spans="2:5" ht="20" customHeight="1" x14ac:dyDescent="0.2">
      <c r="B333" s="295" t="s">
        <v>3097</v>
      </c>
      <c r="C333" s="362" t="s">
        <v>3098</v>
      </c>
      <c r="D333" s="347"/>
      <c r="E333" s="32"/>
    </row>
    <row r="334" spans="2:5" ht="20" customHeight="1" x14ac:dyDescent="0.2">
      <c r="B334" s="295" t="s">
        <v>3099</v>
      </c>
      <c r="C334" s="362" t="str">
        <f>CONCATENATE(prefix_portable_component,"-net01a")</f>
        <v>flt-net01a</v>
      </c>
      <c r="D334" s="337" t="str">
        <f>vvs_dr_flt_net_nodea_hostname</f>
        <v>Value Missing</v>
      </c>
      <c r="E334" s="32"/>
    </row>
    <row r="335" spans="2:5" ht="20" customHeight="1" x14ac:dyDescent="0.2">
      <c r="B335" s="295" t="s">
        <v>3100</v>
      </c>
      <c r="C335" s="362" t="str">
        <f>CONCATENATE(prefix_portable_component,"-net01b")</f>
        <v>flt-net01b</v>
      </c>
      <c r="D335" s="337" t="str">
        <f>vvs_dr_flt_net_nodeb_hostname</f>
        <v>Value Missing</v>
      </c>
      <c r="E335" s="32"/>
    </row>
    <row r="336" spans="2:5" ht="20" customHeight="1" x14ac:dyDescent="0.2">
      <c r="B336" s="295" t="s">
        <v>3101</v>
      </c>
      <c r="C336" s="362" t="str">
        <f>CONCATENATE(prefix_portable_component,"-net01c")</f>
        <v>flt-net01c</v>
      </c>
      <c r="D336" s="337" t="str">
        <f>vvs_dr_flt_net_nodec_hostname</f>
        <v>Value Missing</v>
      </c>
      <c r="E336" s="32"/>
    </row>
    <row r="337" spans="2:5" ht="16" customHeight="1" x14ac:dyDescent="0.2">
      <c r="B337" s="298"/>
      <c r="C337" s="142"/>
    </row>
    <row r="338" spans="2:5" ht="34" customHeight="1" x14ac:dyDescent="0.2">
      <c r="B338" s="557" t="s">
        <v>3102</v>
      </c>
      <c r="C338" s="557"/>
      <c r="D338" s="557"/>
      <c r="E338" s="557"/>
    </row>
    <row r="339" spans="2:5" ht="20" customHeight="1" x14ac:dyDescent="0.2">
      <c r="B339" s="562"/>
      <c r="C339" s="562"/>
      <c r="D339" s="562"/>
      <c r="E339" s="562"/>
    </row>
    <row r="340" spans="2:5" ht="20" customHeight="1" x14ac:dyDescent="0.2">
      <c r="B340" s="307" t="s">
        <v>17</v>
      </c>
      <c r="C340" s="308" t="s">
        <v>18</v>
      </c>
      <c r="D340" s="308" t="s">
        <v>19</v>
      </c>
      <c r="E340" s="308" t="s">
        <v>20</v>
      </c>
    </row>
    <row r="341" spans="2:5" ht="20" customHeight="1" x14ac:dyDescent="0.2">
      <c r="B341" s="4" t="s">
        <v>2767</v>
      </c>
      <c r="C341" s="362" t="str">
        <f>sample_mgmt_srm_recovery_vcenter_fqdn</f>
        <v>lax-m01-vc01.lax.rainpole.io</v>
      </c>
      <c r="D341" s="337" t="str">
        <f>mgmt_srm_recovery_vcenter_fqdn</f>
        <v>Value Missing</v>
      </c>
      <c r="E341" s="32"/>
    </row>
    <row r="342" spans="2:5" ht="20" customHeight="1" x14ac:dyDescent="0.2">
      <c r="B342" s="4" t="s">
        <v>732</v>
      </c>
      <c r="C342" s="84" t="str">
        <f>sample_mgmt_srm_recovery_cluster</f>
        <v>lax-m01-cl01</v>
      </c>
      <c r="D342" s="211" t="str">
        <f>mgmt_srm_recovery_cluster</f>
        <v>Value Missing</v>
      </c>
      <c r="E342" s="32"/>
    </row>
    <row r="343" spans="2:5" ht="20" customHeight="1" x14ac:dyDescent="0.2">
      <c r="B343" s="511" t="s">
        <v>3103</v>
      </c>
      <c r="C343" s="512"/>
      <c r="D343" s="512"/>
      <c r="E343" s="513"/>
    </row>
    <row r="344" spans="2:5" ht="20" customHeight="1" x14ac:dyDescent="0.2">
      <c r="B344" s="4" t="s">
        <v>3087</v>
      </c>
      <c r="C344" s="362" t="str">
        <f>CONCATENATE(prefix_portable_component,"-vm-group-","vcf-operations")</f>
        <v>flt-vm-group-vcf-operations</v>
      </c>
      <c r="D344" s="347"/>
      <c r="E344" s="32"/>
    </row>
    <row r="345" spans="2:5" ht="20" customHeight="1" x14ac:dyDescent="0.2">
      <c r="B345" s="4" t="s">
        <v>3089</v>
      </c>
      <c r="C345" s="362" t="str">
        <f>CONCATENATE(prefix_portable_component,"-ops01a")</f>
        <v>flt-ops01a</v>
      </c>
      <c r="D345" s="337" t="str">
        <f t="array" ref="D345">vvs_dr_flt_ops_nodea_hostname</f>
        <v>Value Missing</v>
      </c>
      <c r="E345" s="32"/>
    </row>
    <row r="346" spans="2:5" ht="20" customHeight="1" x14ac:dyDescent="0.2">
      <c r="B346" s="4" t="s">
        <v>3090</v>
      </c>
      <c r="C346" s="362" t="str">
        <f>CONCATENATE(prefix_portable_component,"-ops01b")</f>
        <v>flt-ops01b</v>
      </c>
      <c r="D346" s="337" t="str">
        <f t="array" ref="D346">vvs_dr_flt_ops_nodeb_hostname</f>
        <v>Value Missing</v>
      </c>
      <c r="E346" s="32"/>
    </row>
    <row r="347" spans="2:5" ht="20" customHeight="1" x14ac:dyDescent="0.2">
      <c r="B347" s="4" t="s">
        <v>3091</v>
      </c>
      <c r="C347" s="362" t="str">
        <f>CONCATENATE(prefix_portable_component,"-ops01c")</f>
        <v>flt-ops01c</v>
      </c>
      <c r="D347" s="337" t="str">
        <f t="array" ref="D347">vvs_dr_flt_ops_nodec_hostname</f>
        <v>Value Missing</v>
      </c>
      <c r="E347" s="32"/>
    </row>
    <row r="348" spans="2:5" ht="20" customHeight="1" x14ac:dyDescent="0.2">
      <c r="B348" s="4" t="s">
        <v>3068</v>
      </c>
      <c r="C348" s="362" t="str">
        <f>sample_vvs_dr_flt_fleet_manager_hostname</f>
        <v>flt-fm01</v>
      </c>
      <c r="D348" s="337" t="str">
        <f>vvs_dr_flt_fleet_manager_hostname</f>
        <v>Value Missing</v>
      </c>
      <c r="E348" s="32"/>
    </row>
    <row r="349" spans="2:5" ht="20" customHeight="1" x14ac:dyDescent="0.2">
      <c r="B349" s="511" t="s">
        <v>3104</v>
      </c>
      <c r="C349" s="512"/>
      <c r="D349" s="512"/>
      <c r="E349" s="513"/>
    </row>
    <row r="350" spans="2:5" ht="20" customHeight="1" x14ac:dyDescent="0.2">
      <c r="B350" s="295" t="s">
        <v>3105</v>
      </c>
      <c r="C350" s="362" t="str">
        <f>CONCATENATE(prefix_portable_component,"-vm-group-","vcf-logs")</f>
        <v>flt-vm-group-vcf-logs</v>
      </c>
      <c r="D350" s="347"/>
      <c r="E350" s="32"/>
    </row>
    <row r="351" spans="2:5" ht="20" customHeight="1" x14ac:dyDescent="0.2">
      <c r="B351" s="295" t="s">
        <v>3106</v>
      </c>
      <c r="C351" s="362" t="str">
        <f>CONCATENATE(prefix_portable_component,"-logs01a")</f>
        <v>flt-logs01a</v>
      </c>
      <c r="D351" s="337" t="str">
        <f>vvs_dr_flt_logs_nodea_hostname</f>
        <v>Value Missing</v>
      </c>
      <c r="E351" s="32"/>
    </row>
    <row r="352" spans="2:5" ht="20" customHeight="1" x14ac:dyDescent="0.2">
      <c r="B352" s="295" t="s">
        <v>3107</v>
      </c>
      <c r="C352" s="362" t="str">
        <f>CONCATENATE(prefix_portable_component,"-logs01b")</f>
        <v>flt-logs01b</v>
      </c>
      <c r="D352" s="337" t="str">
        <f>vvs_dr_flt_logs_nodeb_hostname</f>
        <v>Value Missing</v>
      </c>
      <c r="E352" s="32"/>
    </row>
    <row r="353" spans="2:5" ht="20" customHeight="1" x14ac:dyDescent="0.2">
      <c r="B353" s="295" t="s">
        <v>3108</v>
      </c>
      <c r="C353" s="362" t="str">
        <f>CONCATENATE(prefix_portable_component,"-logs01c")</f>
        <v>flt-logs01c</v>
      </c>
      <c r="D353" s="337" t="str">
        <f>vvs_dr_flt_logs_nodec_hostname</f>
        <v>Value Missing</v>
      </c>
      <c r="E353" s="32"/>
    </row>
    <row r="354" spans="2:5" ht="20" customHeight="1" x14ac:dyDescent="0.2">
      <c r="B354" s="511" t="s">
        <v>3104</v>
      </c>
      <c r="C354" s="512"/>
      <c r="D354" s="512"/>
      <c r="E354" s="513"/>
    </row>
    <row r="355" spans="2:5" ht="20" customHeight="1" x14ac:dyDescent="0.2">
      <c r="B355" s="295" t="s">
        <v>3109</v>
      </c>
      <c r="C355" s="362" t="str">
        <f>CONCATENATE(prefix_portable_component,"-vm-group-","vcf-neworks")</f>
        <v>flt-vm-group-vcf-neworks</v>
      </c>
      <c r="D355" s="347"/>
      <c r="E355" s="32"/>
    </row>
    <row r="356" spans="2:5" ht="20" customHeight="1" x14ac:dyDescent="0.2">
      <c r="B356" s="295" t="s">
        <v>3110</v>
      </c>
      <c r="C356" s="362" t="str">
        <f>CONCATENATE(prefix_portable_component,"-net01a")</f>
        <v>flt-net01a</v>
      </c>
      <c r="D356" s="337" t="str">
        <f>vvs_dr_flt_net_nodea_hostname</f>
        <v>Value Missing</v>
      </c>
      <c r="E356" s="32"/>
    </row>
    <row r="357" spans="2:5" ht="20" customHeight="1" x14ac:dyDescent="0.2">
      <c r="B357" s="295" t="s">
        <v>3111</v>
      </c>
      <c r="C357" s="362" t="str">
        <f>CONCATENATE(prefix_portable_component,"-net01b")</f>
        <v>flt-net01b</v>
      </c>
      <c r="D357" s="337" t="str">
        <f>vvs_dr_flt_net_nodeb_hostname</f>
        <v>Value Missing</v>
      </c>
      <c r="E357" s="32"/>
    </row>
    <row r="358" spans="2:5" ht="20" customHeight="1" x14ac:dyDescent="0.2">
      <c r="B358" s="295" t="s">
        <v>3112</v>
      </c>
      <c r="C358" s="362" t="str">
        <f>CONCATENATE(prefix_portable_component,"-net01c")</f>
        <v>flt-net01c</v>
      </c>
      <c r="D358" s="337" t="str">
        <f>vvs_dr_flt_net_nodec_hostname</f>
        <v>Value Missing</v>
      </c>
      <c r="E358" s="32"/>
    </row>
    <row r="359" spans="2:5" ht="20" customHeight="1" x14ac:dyDescent="0.2">
      <c r="B359" s="511" t="s">
        <v>3104</v>
      </c>
      <c r="C359" s="512"/>
      <c r="D359" s="512"/>
      <c r="E359" s="513"/>
    </row>
    <row r="360" spans="2:5" ht="20" customHeight="1" x14ac:dyDescent="0.2">
      <c r="B360" s="295" t="s">
        <v>3113</v>
      </c>
      <c r="C360" s="362" t="s">
        <v>3114</v>
      </c>
      <c r="D360" s="347"/>
      <c r="E360" s="337"/>
    </row>
    <row r="361" spans="2:5" ht="20" customHeight="1" x14ac:dyDescent="0.2">
      <c r="B361" s="295" t="s">
        <v>3115</v>
      </c>
      <c r="C361" s="362" t="str">
        <f>C344</f>
        <v>flt-vm-group-vcf-operations</v>
      </c>
      <c r="D361" s="347"/>
      <c r="E361" s="337"/>
    </row>
    <row r="362" spans="2:5" ht="20" customHeight="1" x14ac:dyDescent="0.2">
      <c r="B362" s="295" t="s">
        <v>3116</v>
      </c>
      <c r="C362" s="362" t="s">
        <v>3117</v>
      </c>
      <c r="D362" s="347"/>
      <c r="E362" s="337"/>
    </row>
    <row r="363" spans="2:5" ht="20" customHeight="1" x14ac:dyDescent="0.2">
      <c r="B363" s="295" t="s">
        <v>3118</v>
      </c>
      <c r="C363" s="362" t="s">
        <v>3119</v>
      </c>
      <c r="D363" s="347"/>
      <c r="E363" s="337"/>
    </row>
    <row r="364" spans="2:5" ht="20" customHeight="1" x14ac:dyDescent="0.2">
      <c r="B364" s="295" t="s">
        <v>3120</v>
      </c>
      <c r="C364" s="362" t="s">
        <v>3121</v>
      </c>
      <c r="D364" s="347"/>
      <c r="E364" s="337"/>
    </row>
    <row r="365" spans="2:5" ht="20" customHeight="1" x14ac:dyDescent="0.2">
      <c r="B365" s="295" t="s">
        <v>3116</v>
      </c>
      <c r="C365" s="362" t="s">
        <v>3117</v>
      </c>
      <c r="D365" s="347"/>
      <c r="E365" s="32"/>
    </row>
    <row r="366" spans="2:5" ht="16" customHeight="1" x14ac:dyDescent="0.2">
      <c r="B366" s="298"/>
      <c r="C366" s="142"/>
    </row>
    <row r="367" spans="2:5" ht="34" customHeight="1" x14ac:dyDescent="0.2">
      <c r="B367" s="556" t="s">
        <v>3122</v>
      </c>
      <c r="C367" s="557"/>
      <c r="D367" s="557"/>
      <c r="E367" s="557"/>
    </row>
    <row r="368" spans="2:5" ht="16" customHeight="1" x14ac:dyDescent="0.2">
      <c r="B368" s="298"/>
      <c r="C368" s="142"/>
    </row>
    <row r="369" spans="2:5" ht="34" customHeight="1" x14ac:dyDescent="0.2">
      <c r="B369" s="557" t="s">
        <v>3123</v>
      </c>
      <c r="C369" s="557"/>
      <c r="D369" s="557"/>
      <c r="E369" s="557"/>
    </row>
    <row r="370" spans="2:5" ht="20" customHeight="1" x14ac:dyDescent="0.2">
      <c r="B370" s="562"/>
      <c r="C370" s="562"/>
      <c r="D370" s="562"/>
      <c r="E370" s="562"/>
    </row>
    <row r="371" spans="2:5" ht="20" customHeight="1" x14ac:dyDescent="0.2">
      <c r="B371" s="307" t="s">
        <v>17</v>
      </c>
      <c r="C371" s="308" t="s">
        <v>18</v>
      </c>
      <c r="D371" s="308" t="s">
        <v>19</v>
      </c>
      <c r="E371" s="308" t="s">
        <v>20</v>
      </c>
    </row>
    <row r="372" spans="2:5" ht="20" customHeight="1" x14ac:dyDescent="0.2">
      <c r="B372" s="4" t="s">
        <v>2988</v>
      </c>
      <c r="C372" s="362" t="str">
        <f>sample_vvs_dr_flt_ops_nodea_fqdn</f>
        <v>flt-ops01a.rainpole.io</v>
      </c>
      <c r="D372" s="337" t="str">
        <f>vvs_dr_flt_ops_nodea_fqdn</f>
        <v>Value Missing</v>
      </c>
      <c r="E372" s="32"/>
    </row>
    <row r="373" spans="2:5" ht="20" customHeight="1" x14ac:dyDescent="0.2">
      <c r="B373" s="511" t="s">
        <v>3124</v>
      </c>
      <c r="C373" s="512"/>
      <c r="D373" s="512"/>
      <c r="E373" s="513"/>
    </row>
    <row r="374" spans="2:5" ht="20" customHeight="1" x14ac:dyDescent="0.2">
      <c r="B374" s="295" t="s">
        <v>814</v>
      </c>
      <c r="C374" s="362" t="str">
        <f>sample_mgmt_srm_recovery_vcenter_fqdn</f>
        <v>lax-m01-vc01.lax.rainpole.io</v>
      </c>
      <c r="D374" s="337" t="str">
        <f>mgmt_srm_recovery_vcenter_fqdn</f>
        <v>Value Missing</v>
      </c>
      <c r="E374" s="32"/>
    </row>
    <row r="375" spans="2:5" ht="20" customHeight="1" x14ac:dyDescent="0.2">
      <c r="B375" s="295" t="s">
        <v>732</v>
      </c>
      <c r="C375" s="362" t="str">
        <f>sample_mgmt_srm_recovery_cluster</f>
        <v>lax-m01-cl01</v>
      </c>
      <c r="D375" s="337" t="str">
        <f>mgmt_srm_recovery_cluster</f>
        <v>Value Missing</v>
      </c>
      <c r="E375" s="32"/>
    </row>
    <row r="376" spans="2:5" ht="20" customHeight="1" x14ac:dyDescent="0.2">
      <c r="B376" s="295" t="s">
        <v>252</v>
      </c>
      <c r="C376" s="362"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lax-m01-cl01-vds01-pg-vm-mgmt</v>
      </c>
      <c r="D376" s="161"/>
      <c r="E376" s="32"/>
    </row>
    <row r="377" spans="2:5" ht="20" customHeight="1" x14ac:dyDescent="0.2">
      <c r="B377" s="295" t="s">
        <v>103</v>
      </c>
      <c r="C377" s="362" t="str">
        <f>sample_mgmt_srm_recovery_datastore</f>
        <v>lax-m01-cl01-ds-vsan01</v>
      </c>
      <c r="D377" s="337" t="str">
        <f>mgmt_srm_recovery_datastore</f>
        <v>Value Missing</v>
      </c>
      <c r="E377" s="32"/>
    </row>
    <row r="378" spans="2:5" ht="20" customHeight="1" x14ac:dyDescent="0.2">
      <c r="B378" s="511" t="s">
        <v>252</v>
      </c>
      <c r="C378" s="512"/>
      <c r="D378" s="512"/>
      <c r="E378" s="513"/>
    </row>
    <row r="379" spans="2:5" ht="20" customHeight="1" x14ac:dyDescent="0.2">
      <c r="B379" s="295" t="s">
        <v>606</v>
      </c>
      <c r="C379" s="362" t="str">
        <f>sample_parent_dns_zone</f>
        <v>rainpole.io</v>
      </c>
      <c r="D379" s="337" t="str">
        <f>vvs_dr_parent_dns_zone</f>
        <v>Value Missing</v>
      </c>
      <c r="E379" s="32"/>
    </row>
    <row r="380" spans="2:5" ht="20" customHeight="1" x14ac:dyDescent="0.2">
      <c r="B380" s="295" t="s">
        <v>607</v>
      </c>
      <c r="C380" s="362" t="str">
        <f>sample_parent_dns_zone</f>
        <v>rainpole.io</v>
      </c>
      <c r="D380" s="337" t="str">
        <f>vvs_dr_parent_dns_zone</f>
        <v>Value Missing</v>
      </c>
      <c r="E380" s="32"/>
    </row>
    <row r="381" spans="2:5" ht="20" customHeight="1" x14ac:dyDescent="0.2">
      <c r="B381" s="295" t="s">
        <v>608</v>
      </c>
      <c r="C381" s="362" t="str">
        <f>CONCATENATE(sample_vvs_dr_dns1_ip,",",sample_vvs_dr_dns2_ip)</f>
        <v>10.21.10.4,10.21.10.5</v>
      </c>
      <c r="D381" s="337" t="str">
        <f>CONCATENATE(vvs_dr_dns1_ip,",",vvs_dr_dns2_ip)</f>
        <v>Value Missing,Value Missing</v>
      </c>
      <c r="E381" s="32"/>
    </row>
    <row r="382" spans="2:5" ht="20" customHeight="1" x14ac:dyDescent="0.2">
      <c r="B382" s="295" t="s">
        <v>611</v>
      </c>
      <c r="C382"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82" s="337"/>
      <c r="E382" s="32"/>
    </row>
    <row r="383" spans="2:5" ht="20" customHeight="1" x14ac:dyDescent="0.2">
      <c r="B383" s="295" t="s">
        <v>612</v>
      </c>
      <c r="C383" s="362" t="s">
        <v>128</v>
      </c>
      <c r="D383" s="337"/>
      <c r="E383" s="32"/>
    </row>
    <row r="384" spans="2:5" ht="20" customHeight="1" x14ac:dyDescent="0.2">
      <c r="B384" s="511" t="s">
        <v>2998</v>
      </c>
      <c r="C384" s="512"/>
      <c r="D384" s="512"/>
      <c r="E384" s="513"/>
    </row>
    <row r="385" spans="1:12" ht="20" customHeight="1" x14ac:dyDescent="0.2">
      <c r="B385" s="295" t="s">
        <v>38</v>
      </c>
      <c r="C385" s="87" t="str">
        <f>sample_flt_vidb_vip_fqdn</f>
        <v>flt-idb01.rainpole.io</v>
      </c>
      <c r="D385" s="337"/>
      <c r="E385" s="32"/>
    </row>
    <row r="386" spans="1:12" ht="20" customHeight="1" x14ac:dyDescent="0.2">
      <c r="B386" s="295" t="s">
        <v>3125</v>
      </c>
      <c r="C386" s="87" t="str">
        <f>sample_flt_vidb_cert_alias</f>
        <v>flt-idb01-cert</v>
      </c>
      <c r="D386" s="337"/>
      <c r="E386" s="32"/>
    </row>
    <row r="387" spans="1:12" ht="20" customHeight="1" x14ac:dyDescent="0.2">
      <c r="B387" s="295" t="s">
        <v>722</v>
      </c>
      <c r="C387" s="292" t="str">
        <f>sample_flt_vidb_password_alias</f>
        <v>flt-idb01-password</v>
      </c>
      <c r="D387" s="337"/>
      <c r="E387" s="32"/>
    </row>
    <row r="388" spans="1:12" ht="20" customHeight="1" x14ac:dyDescent="0.2">
      <c r="B388" s="295" t="s">
        <v>3126</v>
      </c>
      <c r="C388" s="87" t="str">
        <f>sample_flt_vidb_vip_fqdn</f>
        <v>flt-idb01.rainpole.io</v>
      </c>
      <c r="D388" s="337"/>
      <c r="E388" s="32"/>
    </row>
    <row r="389" spans="1:12" ht="20" customHeight="1" x14ac:dyDescent="0.2">
      <c r="B389" s="295" t="s">
        <v>566</v>
      </c>
      <c r="C389" s="87" t="str">
        <f>sample_flt_vidb_node_prefix</f>
        <v>flt-idb</v>
      </c>
      <c r="D389" s="337"/>
      <c r="E389" s="32"/>
    </row>
    <row r="390" spans="1:12" ht="20" customHeight="1" x14ac:dyDescent="0.2">
      <c r="B390" s="295" t="s">
        <v>629</v>
      </c>
      <c r="C390" s="87" t="s">
        <v>645</v>
      </c>
      <c r="D390" s="337"/>
      <c r="E390" s="32"/>
    </row>
    <row r="391" spans="1:12" ht="20" customHeight="1" x14ac:dyDescent="0.2">
      <c r="B391" s="295" t="s">
        <v>628</v>
      </c>
      <c r="C391" s="362" t="str">
        <f>IF(flt_custom_network_chosen="Shared Management Network",IF(mgmt_dpg_reuse_result="Included",CONCATENATE(prefix_mgmt_az1_cidr,"20.23"),CONCATENATE(prefix_mgmt_az1_cidr,"20.23")),IF(flt_custom_network_chosen="NSX Overlay Segment",CONCATENATE(prefix_xreg_cidr,".23"),CONCATENATE(prefix_flt_shared_cidr,".23")))</f>
        <v>10.11.20.23</v>
      </c>
      <c r="D391" s="337"/>
      <c r="E391" s="32"/>
    </row>
    <row r="392" spans="1:12" ht="20" customHeight="1" x14ac:dyDescent="0.2">
      <c r="B392" s="295" t="s">
        <v>3127</v>
      </c>
      <c r="C392" s="362"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10.11.20.55-10.11.20.58</v>
      </c>
      <c r="D392" s="337"/>
      <c r="E392" s="32"/>
    </row>
    <row r="393" spans="1:12" ht="16" customHeight="1" x14ac:dyDescent="0.2">
      <c r="B393" s="298"/>
    </row>
    <row r="394" spans="1:12" ht="34" customHeight="1" x14ac:dyDescent="0.2">
      <c r="A394" s="120"/>
      <c r="B394" s="569" t="s">
        <v>3128</v>
      </c>
      <c r="C394" s="570"/>
      <c r="D394" s="570"/>
      <c r="E394" s="631"/>
      <c r="F394" s="120"/>
      <c r="G394" s="120"/>
      <c r="H394" s="120"/>
      <c r="I394" s="120"/>
      <c r="J394" s="120"/>
      <c r="K394" s="120"/>
      <c r="L394" s="120"/>
    </row>
    <row r="395" spans="1:12" ht="20" customHeight="1" x14ac:dyDescent="0.2">
      <c r="B395" s="562"/>
      <c r="C395" s="562"/>
      <c r="D395" s="562"/>
      <c r="E395" s="562"/>
    </row>
    <row r="396" spans="1:12" ht="20" customHeight="1" x14ac:dyDescent="0.2">
      <c r="A396" s="120"/>
      <c r="B396" s="307" t="s">
        <v>17</v>
      </c>
      <c r="C396" s="308" t="s">
        <v>18</v>
      </c>
      <c r="D396" s="308" t="s">
        <v>19</v>
      </c>
      <c r="E396" s="308" t="s">
        <v>20</v>
      </c>
      <c r="F396" s="120"/>
      <c r="G396" s="120"/>
      <c r="H396" s="120"/>
      <c r="I396" s="120"/>
      <c r="J396" s="120"/>
      <c r="K396" s="120"/>
      <c r="L396" s="120"/>
    </row>
    <row r="397" spans="1:12" ht="20" customHeight="1" x14ac:dyDescent="0.2">
      <c r="A397" s="120"/>
      <c r="B397" s="4" t="s">
        <v>2988</v>
      </c>
      <c r="C397" s="362" t="str">
        <f>sample_vvs_dr_flt_ops_nodea_fqdn</f>
        <v>flt-ops01a.rainpole.io</v>
      </c>
      <c r="D397" s="161" t="str">
        <f>vvs_dr_flt_ops_nodea_fqdn</f>
        <v>Value Missing</v>
      </c>
      <c r="E397" s="160"/>
      <c r="F397" s="120"/>
      <c r="G397" s="120"/>
      <c r="H397" s="120"/>
      <c r="I397" s="120"/>
      <c r="J397" s="120"/>
      <c r="K397" s="120"/>
      <c r="L397" s="120"/>
    </row>
    <row r="398" spans="1:12" ht="20" customHeight="1" x14ac:dyDescent="0.2">
      <c r="A398" s="120"/>
      <c r="B398" s="563" t="s">
        <v>3124</v>
      </c>
      <c r="C398" s="564"/>
      <c r="D398" s="564"/>
      <c r="E398" s="565"/>
      <c r="F398" s="120"/>
      <c r="G398" s="120"/>
      <c r="H398" s="120"/>
      <c r="I398" s="120"/>
      <c r="J398" s="120"/>
      <c r="K398" s="120"/>
      <c r="L398" s="120"/>
    </row>
    <row r="399" spans="1:12" ht="20" customHeight="1" x14ac:dyDescent="0.2">
      <c r="A399" s="120"/>
      <c r="B399" s="291" t="s">
        <v>814</v>
      </c>
      <c r="C399" s="362" t="s">
        <v>3129</v>
      </c>
      <c r="D399" s="161" t="str">
        <f>mgmt_srm_recovery_vcenter_fqdn</f>
        <v>Value Missing</v>
      </c>
      <c r="E399" s="160"/>
      <c r="F399" s="120"/>
      <c r="G399" s="120"/>
      <c r="H399" s="120"/>
      <c r="I399" s="120"/>
      <c r="J399" s="120"/>
      <c r="K399" s="120"/>
      <c r="L399" s="120"/>
    </row>
    <row r="400" spans="1:12" ht="20" customHeight="1" x14ac:dyDescent="0.2">
      <c r="A400" s="120"/>
      <c r="B400" s="291" t="s">
        <v>732</v>
      </c>
      <c r="C400" s="362" t="s">
        <v>3130</v>
      </c>
      <c r="D400" s="161" t="str">
        <f>mgmt_srm_recovery_cluster</f>
        <v>Value Missing</v>
      </c>
      <c r="E400" s="160"/>
      <c r="F400" s="120"/>
      <c r="G400" s="120"/>
      <c r="H400" s="120"/>
      <c r="I400" s="120"/>
      <c r="J400" s="120"/>
      <c r="K400" s="120"/>
      <c r="L400" s="120"/>
    </row>
    <row r="401" spans="1:12" ht="20" customHeight="1" x14ac:dyDescent="0.2">
      <c r="A401" s="120"/>
      <c r="B401" s="291" t="s">
        <v>252</v>
      </c>
      <c r="C401" s="362" t="str">
        <f>sample_mgmt_srm_recovery_pg</f>
        <v>lax-m01-cl01-vds01-pg-vm-mgmt</v>
      </c>
      <c r="D401" s="161" t="str">
        <f t="array" ref="D401">mgmt_srm_recovery_pg</f>
        <v>Value Missing</v>
      </c>
      <c r="E401" s="160"/>
      <c r="F401" s="120"/>
      <c r="G401" s="120"/>
      <c r="H401" s="120"/>
      <c r="I401" s="120"/>
      <c r="J401" s="120"/>
      <c r="K401" s="120"/>
      <c r="L401" s="120"/>
    </row>
    <row r="402" spans="1:12" ht="20" customHeight="1" x14ac:dyDescent="0.2">
      <c r="A402" s="120"/>
      <c r="B402" s="291" t="s">
        <v>103</v>
      </c>
      <c r="C402" s="362" t="s">
        <v>3131</v>
      </c>
      <c r="D402" s="161" t="str">
        <f>mgmt_srm_recovery_datastore</f>
        <v>Value Missing</v>
      </c>
      <c r="E402" s="160"/>
      <c r="F402" s="120"/>
      <c r="G402" s="120"/>
      <c r="H402" s="120"/>
      <c r="I402" s="120"/>
      <c r="J402" s="120"/>
      <c r="K402" s="120"/>
      <c r="L402" s="120"/>
    </row>
    <row r="403" spans="1:12" ht="20" customHeight="1" x14ac:dyDescent="0.2">
      <c r="A403" s="120"/>
      <c r="B403" s="563" t="s">
        <v>252</v>
      </c>
      <c r="C403" s="564"/>
      <c r="D403" s="564"/>
      <c r="E403" s="565"/>
      <c r="F403" s="120"/>
      <c r="G403" s="120"/>
      <c r="H403" s="120"/>
      <c r="I403" s="120"/>
      <c r="J403" s="120"/>
      <c r="K403" s="120"/>
      <c r="L403" s="120"/>
    </row>
    <row r="404" spans="1:12" ht="20" customHeight="1" x14ac:dyDescent="0.2">
      <c r="A404" s="120"/>
      <c r="B404" s="291" t="s">
        <v>606</v>
      </c>
      <c r="C404" s="362" t="s">
        <v>1625</v>
      </c>
      <c r="D404" s="337" t="str">
        <f>vvs_dr_parent_dns_zone</f>
        <v>Value Missing</v>
      </c>
      <c r="E404" s="160"/>
      <c r="F404" s="120"/>
      <c r="G404" s="120"/>
      <c r="H404" s="120"/>
      <c r="I404" s="120"/>
      <c r="J404" s="120"/>
      <c r="K404" s="120"/>
      <c r="L404" s="120"/>
    </row>
    <row r="405" spans="1:12" ht="20" customHeight="1" x14ac:dyDescent="0.2">
      <c r="A405" s="120"/>
      <c r="B405" s="291" t="s">
        <v>607</v>
      </c>
      <c r="C405" s="362" t="s">
        <v>1625</v>
      </c>
      <c r="D405" s="337" t="str">
        <f>vvs_dr_parent_dns_zone</f>
        <v>Value Missing</v>
      </c>
      <c r="E405" s="160"/>
      <c r="F405" s="120"/>
      <c r="G405" s="120"/>
      <c r="H405" s="120"/>
      <c r="I405" s="120"/>
      <c r="J405" s="120"/>
      <c r="K405" s="120"/>
      <c r="L405" s="120"/>
    </row>
    <row r="406" spans="1:12" ht="20" customHeight="1" x14ac:dyDescent="0.2">
      <c r="A406" s="120"/>
      <c r="B406" s="291" t="s">
        <v>608</v>
      </c>
      <c r="C406" s="362" t="str">
        <f>CONCATENATE(sample_vvs_dr_dns1_ip,",",sample_vvs_dr_dns2_ip)</f>
        <v>10.21.10.4,10.21.10.5</v>
      </c>
      <c r="D406" s="337" t="str">
        <f>CONCATENATE(vvs_dr_dns1_ip,",",vvs_dr_dns2_ip)</f>
        <v>Value Missing,Value Missing</v>
      </c>
      <c r="E406" s="160"/>
      <c r="F406" s="120"/>
      <c r="G406" s="120"/>
      <c r="H406" s="120"/>
      <c r="I406" s="120"/>
      <c r="J406" s="120"/>
      <c r="K406" s="120"/>
      <c r="L406" s="120"/>
    </row>
    <row r="407" spans="1:12" ht="20" customHeight="1" x14ac:dyDescent="0.2">
      <c r="A407" s="120"/>
      <c r="B407" s="291" t="s">
        <v>611</v>
      </c>
      <c r="C407" s="362" t="str">
        <f>IF(flt_custom_network_chosen="Shared Management Network",IF(mgmt_dpg_reuse_result="Included",CONCATENATE(prefix_mgmt_az1_cidr,"20.1"),CONCATENATE(prefix_mgmt_az1_cidr,"20.1")),IF(flt_custom_network_chosen="NSX Overlay Segment",CONCATENATE(prefix_xreg_cidr,".1"),CONCATENATE(prefix_flt_shared_cidr,".1")))</f>
        <v>10.11.20.1</v>
      </c>
      <c r="D407" s="161"/>
      <c r="E407" s="160"/>
      <c r="F407" s="120"/>
      <c r="G407" s="120"/>
      <c r="H407" s="120"/>
      <c r="I407" s="120"/>
      <c r="J407" s="120"/>
      <c r="K407" s="120"/>
      <c r="L407" s="120"/>
    </row>
    <row r="408" spans="1:12" ht="20" customHeight="1" x14ac:dyDescent="0.2">
      <c r="A408" s="120"/>
      <c r="B408" s="291" t="s">
        <v>612</v>
      </c>
      <c r="C408" s="362" t="str">
        <f>sample_mgmt_srm_recovery_mask</f>
        <v>255.255.255.0</v>
      </c>
      <c r="D408" s="161" t="str">
        <f>mgmt_srm_recovery_mask</f>
        <v>Value Missing</v>
      </c>
      <c r="E408" s="160"/>
      <c r="F408" s="120"/>
      <c r="G408" s="120"/>
      <c r="H408" s="120"/>
      <c r="I408" s="120"/>
      <c r="J408" s="120"/>
      <c r="K408" s="120"/>
      <c r="L408" s="120"/>
    </row>
    <row r="409" spans="1:12" ht="20" customHeight="1" x14ac:dyDescent="0.2">
      <c r="A409" s="120"/>
      <c r="B409" s="563" t="s">
        <v>2998</v>
      </c>
      <c r="C409" s="564"/>
      <c r="D409" s="564"/>
      <c r="E409" s="565"/>
      <c r="F409" s="120"/>
      <c r="G409" s="120"/>
      <c r="H409" s="120"/>
      <c r="I409" s="120"/>
      <c r="J409" s="120"/>
      <c r="K409" s="120"/>
      <c r="L409" s="120"/>
    </row>
    <row r="410" spans="1:12" ht="20" customHeight="1" x14ac:dyDescent="0.2">
      <c r="A410" s="120"/>
      <c r="B410" s="291" t="s">
        <v>38</v>
      </c>
      <c r="C410" s="87" t="str">
        <f>sample_vcf_automation_vip_fqdn</f>
        <v>flt-auto01.rainpole.io</v>
      </c>
      <c r="D410" s="161"/>
      <c r="E410" s="160"/>
      <c r="F410" s="120"/>
      <c r="G410" s="120"/>
      <c r="H410" s="120"/>
      <c r="I410" s="120"/>
      <c r="J410" s="120"/>
      <c r="K410" s="120"/>
      <c r="L410" s="120"/>
    </row>
    <row r="411" spans="1:12" ht="20" customHeight="1" x14ac:dyDescent="0.2">
      <c r="A411" s="120"/>
      <c r="B411" s="291" t="s">
        <v>3125</v>
      </c>
      <c r="C411" s="87" t="str">
        <f>sample_vcf_automation_cert_alias</f>
        <v>flt-auto01-cert</v>
      </c>
      <c r="D411" s="161"/>
      <c r="E411" s="160"/>
      <c r="F411" s="120"/>
      <c r="G411" s="120"/>
      <c r="H411" s="120"/>
      <c r="I411" s="120"/>
      <c r="J411" s="120"/>
      <c r="K411" s="120"/>
      <c r="L411" s="120"/>
    </row>
    <row r="412" spans="1:12" ht="20" customHeight="1" x14ac:dyDescent="0.2">
      <c r="A412" s="120"/>
      <c r="B412" s="291" t="s">
        <v>722</v>
      </c>
      <c r="C412" s="292" t="str">
        <f>sample_vcf_automation_root_password_alias</f>
        <v>flt-auto01-password</v>
      </c>
      <c r="D412" s="161"/>
      <c r="E412" s="160"/>
      <c r="F412" s="120"/>
      <c r="G412" s="120"/>
      <c r="H412" s="120"/>
      <c r="I412" s="120"/>
      <c r="J412" s="120"/>
      <c r="K412" s="120"/>
      <c r="L412" s="120"/>
    </row>
    <row r="413" spans="1:12" ht="20" customHeight="1" x14ac:dyDescent="0.2">
      <c r="A413" s="120"/>
      <c r="B413" s="291" t="s">
        <v>3126</v>
      </c>
      <c r="C413" s="87" t="str">
        <f>sample_vcf_automation_vip_fqdn</f>
        <v>flt-auto01.rainpole.io</v>
      </c>
      <c r="D413" s="161"/>
      <c r="E413" s="160"/>
      <c r="F413" s="120"/>
      <c r="G413" s="120"/>
      <c r="H413" s="120"/>
      <c r="I413" s="120"/>
      <c r="J413" s="120"/>
      <c r="K413" s="120"/>
      <c r="L413" s="120"/>
    </row>
    <row r="414" spans="1:12" ht="20" customHeight="1" x14ac:dyDescent="0.2">
      <c r="A414" s="120"/>
      <c r="B414" s="291" t="s">
        <v>625</v>
      </c>
      <c r="C414" s="87" t="s">
        <v>626</v>
      </c>
      <c r="D414" s="161"/>
      <c r="E414" s="160"/>
      <c r="F414" s="120"/>
      <c r="G414" s="120"/>
      <c r="H414" s="120"/>
      <c r="I414" s="120"/>
      <c r="J414" s="120"/>
      <c r="K414" s="120"/>
      <c r="L414" s="120"/>
    </row>
    <row r="415" spans="1:12" ht="20" customHeight="1" x14ac:dyDescent="0.2">
      <c r="A415" s="120"/>
      <c r="B415" s="291" t="s">
        <v>566</v>
      </c>
      <c r="C415" s="87" t="str">
        <f>CONCATENATE(prefix_portable_component,"-auto")</f>
        <v>flt-auto</v>
      </c>
      <c r="D415" s="161"/>
      <c r="E415" s="160"/>
      <c r="F415" s="120"/>
      <c r="G415" s="120"/>
      <c r="H415" s="120"/>
      <c r="I415" s="120"/>
      <c r="J415" s="120"/>
      <c r="K415" s="120"/>
      <c r="L415" s="120"/>
    </row>
    <row r="416" spans="1:12" ht="20" customHeight="1" x14ac:dyDescent="0.2">
      <c r="A416" s="120"/>
      <c r="B416" s="291" t="s">
        <v>628</v>
      </c>
      <c r="C416" s="362" t="str">
        <f>IF(flt_custom_network_chosen="Shared Management Network",IF(mgmt_dpg_reuse_result="Included",CONCATENATE(prefix_mgmt_az1_cidr,"20.25"),CONCATENATE(prefix_mgmt_az1_cidr,"20.25")),IF(flt_custom_network_chosen="NSX Overlay Segment",CONCATENATE(prefix_xreg_cidr,".25"),CONCATENATE(prefix_flt_shared_cidr,".25")))</f>
        <v>10.11.20.25</v>
      </c>
      <c r="D416" s="161"/>
      <c r="E416" s="160"/>
      <c r="F416" s="120"/>
      <c r="G416" s="120"/>
      <c r="H416" s="120"/>
      <c r="I416" s="120"/>
      <c r="J416" s="120"/>
      <c r="K416" s="120"/>
      <c r="L416" s="120"/>
    </row>
    <row r="417" spans="1:12" ht="20" customHeight="1" x14ac:dyDescent="0.2">
      <c r="A417" s="120"/>
      <c r="B417" s="291" t="s">
        <v>629</v>
      </c>
      <c r="C417" s="87" t="s">
        <v>645</v>
      </c>
      <c r="D417" s="161"/>
      <c r="E417" s="160"/>
      <c r="F417" s="120"/>
      <c r="G417" s="120"/>
      <c r="H417" s="120"/>
      <c r="I417" s="120"/>
      <c r="J417" s="120"/>
      <c r="K417" s="120"/>
      <c r="L417" s="120"/>
    </row>
    <row r="418" spans="1:12" ht="20" customHeight="1" x14ac:dyDescent="0.2">
      <c r="A418" s="120"/>
      <c r="B418" s="291" t="s">
        <v>3127</v>
      </c>
      <c r="C418" s="362"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10.11.20.46-10.11.20.51</v>
      </c>
      <c r="D418" s="161"/>
      <c r="E418" s="160"/>
      <c r="F418" s="120"/>
      <c r="G418" s="120"/>
      <c r="H418" s="120"/>
      <c r="I418" s="120"/>
      <c r="J418" s="120"/>
      <c r="K418" s="120"/>
      <c r="L418" s="120"/>
    </row>
    <row r="419" spans="1:12" ht="16" customHeight="1" x14ac:dyDescent="0.2">
      <c r="B419" s="298"/>
    </row>
    <row r="420" spans="1:12" ht="34" customHeight="1" x14ac:dyDescent="0.2">
      <c r="B420" s="557" t="s">
        <v>3132</v>
      </c>
      <c r="C420" s="557"/>
      <c r="D420" s="557"/>
      <c r="E420" s="557"/>
    </row>
    <row r="421" spans="1:12" ht="20" customHeight="1" x14ac:dyDescent="0.2">
      <c r="B421" s="562"/>
      <c r="C421" s="562"/>
      <c r="D421" s="562"/>
      <c r="E421" s="562"/>
    </row>
    <row r="422" spans="1:12" ht="20" customHeight="1" x14ac:dyDescent="0.2">
      <c r="B422" s="307" t="s">
        <v>17</v>
      </c>
      <c r="C422" s="308" t="s">
        <v>18</v>
      </c>
      <c r="D422" s="308" t="s">
        <v>19</v>
      </c>
      <c r="E422" s="308" t="s">
        <v>20</v>
      </c>
    </row>
    <row r="423" spans="1:12" ht="20" customHeight="1" x14ac:dyDescent="0.2">
      <c r="B423" s="4" t="s">
        <v>2988</v>
      </c>
      <c r="C423" s="362" t="str">
        <f>sample_vvs_dr_flt_ops_nodea_fqdn</f>
        <v>flt-ops01a.rainpole.io</v>
      </c>
      <c r="D423" s="161" t="str">
        <f>vvs_dr_flt_ops_nodea_fqdn</f>
        <v>Value Missing</v>
      </c>
      <c r="E423" s="32"/>
    </row>
    <row r="424" spans="1:12" ht="20" customHeight="1" x14ac:dyDescent="0.2">
      <c r="B424" s="511" t="s">
        <v>3124</v>
      </c>
      <c r="C424" s="512"/>
      <c r="D424" s="512"/>
      <c r="E424" s="513"/>
    </row>
    <row r="425" spans="1:12" ht="20" customHeight="1" x14ac:dyDescent="0.2">
      <c r="B425" s="295" t="s">
        <v>814</v>
      </c>
      <c r="C425" s="362" t="str">
        <f>sample_mgmt_srm_recovery_vcenter_fqdn</f>
        <v>lax-m01-vc01.lax.rainpole.io</v>
      </c>
      <c r="D425" s="337" t="str">
        <f>mgmt_srm_recovery_vcenter_fqdn</f>
        <v>Value Missing</v>
      </c>
      <c r="E425" s="32"/>
    </row>
    <row r="426" spans="1:12" ht="20" customHeight="1" x14ac:dyDescent="0.2">
      <c r="B426" s="295" t="s">
        <v>732</v>
      </c>
      <c r="C426" s="362" t="str">
        <f>sample_mgmt_srm_recovery_cluster</f>
        <v>lax-m01-cl01</v>
      </c>
      <c r="D426" s="337" t="str">
        <f>mgmt_srm_recovery_cluster</f>
        <v>Value Missing</v>
      </c>
      <c r="E426" s="32"/>
    </row>
    <row r="427" spans="1:12" ht="20" customHeight="1" x14ac:dyDescent="0.2">
      <c r="B427" s="295" t="s">
        <v>252</v>
      </c>
      <c r="C427" s="362" t="str">
        <f>sample_mgmt_srm_recovery_pg</f>
        <v>lax-m01-cl01-vds01-pg-vm-mgmt</v>
      </c>
      <c r="D427" s="337" t="str">
        <f t="array" ref="D427">mgmt_srm_recovery_pg</f>
        <v>Value Missing</v>
      </c>
      <c r="E427" s="32"/>
    </row>
    <row r="428" spans="1:12" ht="20" customHeight="1" x14ac:dyDescent="0.2">
      <c r="B428" s="295" t="s">
        <v>103</v>
      </c>
      <c r="C428" s="362" t="str">
        <f>sample_mgmt_srm_recovery_datastore</f>
        <v>lax-m01-cl01-ds-vsan01</v>
      </c>
      <c r="D428" s="337" t="str">
        <f>mgmt_srm_recovery_datastore</f>
        <v>Value Missing</v>
      </c>
      <c r="E428" s="32"/>
    </row>
    <row r="429" spans="1:12" ht="20" customHeight="1" x14ac:dyDescent="0.2">
      <c r="B429" s="511" t="s">
        <v>252</v>
      </c>
      <c r="C429" s="512"/>
      <c r="D429" s="512"/>
      <c r="E429" s="513"/>
    </row>
    <row r="430" spans="1:12" ht="20" customHeight="1" x14ac:dyDescent="0.2">
      <c r="B430" s="295" t="s">
        <v>606</v>
      </c>
      <c r="C430" s="362" t="str">
        <f>sample_parent_dns_zone</f>
        <v>rainpole.io</v>
      </c>
      <c r="D430" s="337" t="str">
        <f>vvs_dr_parent_dns_zone</f>
        <v>Value Missing</v>
      </c>
      <c r="E430" s="32"/>
    </row>
    <row r="431" spans="1:12" ht="20" customHeight="1" x14ac:dyDescent="0.2">
      <c r="B431" s="295" t="s">
        <v>607</v>
      </c>
      <c r="C431" s="362" t="str">
        <f>sample_parent_dns_zone</f>
        <v>rainpole.io</v>
      </c>
      <c r="D431" s="337" t="str">
        <f>vvs_dr_parent_dns_zone</f>
        <v>Value Missing</v>
      </c>
      <c r="E431" s="32"/>
    </row>
    <row r="432" spans="1:12" ht="20" customHeight="1" x14ac:dyDescent="0.2">
      <c r="B432" s="295" t="s">
        <v>608</v>
      </c>
      <c r="C432" s="362" t="str">
        <f>CONCATENATE(sample_vvs_dr_dns1_ip,",",sample_vvs_dr_dns2_ip)</f>
        <v>10.21.10.4,10.21.10.5</v>
      </c>
      <c r="D432" s="337" t="str">
        <f>CONCATENATE(vvs_dr_dns1_ip,",",vvs_dr_dns2_ip)</f>
        <v>Value Missing,Value Missing</v>
      </c>
      <c r="E432" s="32"/>
    </row>
    <row r="433" spans="2:5" ht="20" customHeight="1" x14ac:dyDescent="0.2">
      <c r="B433" s="295" t="s">
        <v>611</v>
      </c>
      <c r="C433" s="362"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33" s="337"/>
      <c r="E433" s="32"/>
    </row>
    <row r="434" spans="2:5" ht="20" customHeight="1" x14ac:dyDescent="0.2">
      <c r="B434" s="295" t="s">
        <v>612</v>
      </c>
      <c r="C434" s="362" t="s">
        <v>128</v>
      </c>
      <c r="D434" s="337" t="str">
        <f>mgmt_srm_recovery_mask</f>
        <v>Value Missing</v>
      </c>
      <c r="E434" s="32"/>
    </row>
    <row r="435" spans="2:5" ht="20" customHeight="1" x14ac:dyDescent="0.2">
      <c r="B435" s="511" t="s">
        <v>2998</v>
      </c>
      <c r="C435" s="512"/>
      <c r="D435" s="512"/>
      <c r="E435" s="513"/>
    </row>
    <row r="436" spans="2:5" ht="20" customHeight="1" x14ac:dyDescent="0.2">
      <c r="B436" s="295" t="s">
        <v>38</v>
      </c>
      <c r="C436" s="87" t="str">
        <f>sample_flt_vidb_vip_fqdn</f>
        <v>flt-idb01.rainpole.io</v>
      </c>
      <c r="D436" s="337"/>
      <c r="E436" s="32"/>
    </row>
    <row r="437" spans="2:5" ht="20" customHeight="1" x14ac:dyDescent="0.2">
      <c r="B437" s="295" t="s">
        <v>3125</v>
      </c>
      <c r="C437" s="87" t="str">
        <f>sample_flt_vidb_cert_alias</f>
        <v>flt-idb01-cert</v>
      </c>
      <c r="D437" s="337"/>
      <c r="E437" s="32"/>
    </row>
    <row r="438" spans="2:5" ht="20" customHeight="1" x14ac:dyDescent="0.2">
      <c r="B438" s="295" t="s">
        <v>722</v>
      </c>
      <c r="C438" s="292" t="str">
        <f>sample_flt_vidb_password_alias</f>
        <v>flt-idb01-password</v>
      </c>
      <c r="D438" s="337"/>
      <c r="E438" s="32"/>
    </row>
    <row r="439" spans="2:5" ht="20" customHeight="1" x14ac:dyDescent="0.2">
      <c r="B439" s="295" t="s">
        <v>3126</v>
      </c>
      <c r="C439" s="87" t="str">
        <f>sample_flt_vidb_vip_fqdn</f>
        <v>flt-idb01.rainpole.io</v>
      </c>
      <c r="D439" s="337"/>
      <c r="E439" s="32"/>
    </row>
    <row r="440" spans="2:5" ht="20" customHeight="1" x14ac:dyDescent="0.2">
      <c r="B440" s="295" t="s">
        <v>566</v>
      </c>
      <c r="C440" s="87" t="str">
        <f>sample_flt_vidb_node_prefix</f>
        <v>flt-idb</v>
      </c>
      <c r="D440" s="337"/>
      <c r="E440" s="32"/>
    </row>
    <row r="441" spans="2:5" ht="20" customHeight="1" x14ac:dyDescent="0.2">
      <c r="B441" s="295" t="s">
        <v>629</v>
      </c>
      <c r="C441" s="87" t="s">
        <v>630</v>
      </c>
      <c r="D441" s="337"/>
      <c r="E441" s="32"/>
    </row>
    <row r="442" spans="2:5" ht="20" customHeight="1" x14ac:dyDescent="0.2">
      <c r="B442" s="295" t="s">
        <v>628</v>
      </c>
      <c r="C442" s="362" t="str">
        <f>IF(flt_custom_network_chosen="Shared Management Network",IF(mgmt_dpg_reuse_result="Included",CONCATENATE(prefix_mgmt_az1_cidr,"20.23"),CONCATENATE(prefix_mgmt_az1_cidr,"20.23")),IF(flt_custom_network_chosen="NSX Overlay Segment",CONCATENATE(prefix_xreg_cidr,".23"),CONCATENATE(prefix_flt_shared_cidr,".23")))</f>
        <v>10.11.20.23</v>
      </c>
      <c r="D442" s="337"/>
      <c r="E442" s="32"/>
    </row>
    <row r="443" spans="2:5" ht="20" customHeight="1" x14ac:dyDescent="0.2">
      <c r="B443" s="295" t="s">
        <v>3127</v>
      </c>
      <c r="C443" s="362"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10.11.20.55-10.11.20.58</v>
      </c>
      <c r="D443" s="337"/>
      <c r="E443" s="32"/>
    </row>
    <row r="444" spans="2:5" ht="16" customHeight="1" x14ac:dyDescent="0.2">
      <c r="B444" s="298"/>
    </row>
    <row r="445" spans="2:5" ht="34" customHeight="1" x14ac:dyDescent="0.2">
      <c r="B445" s="569" t="s">
        <v>3133</v>
      </c>
      <c r="C445" s="570"/>
      <c r="D445" s="570"/>
      <c r="E445" s="631"/>
    </row>
    <row r="446" spans="2:5" ht="20" customHeight="1" x14ac:dyDescent="0.2">
      <c r="B446" s="562"/>
      <c r="C446" s="562"/>
      <c r="D446" s="562"/>
      <c r="E446" s="562"/>
    </row>
    <row r="447" spans="2:5" ht="20" customHeight="1" x14ac:dyDescent="0.2">
      <c r="B447" s="307" t="s">
        <v>17</v>
      </c>
      <c r="C447" s="308" t="s">
        <v>18</v>
      </c>
      <c r="D447" s="308" t="s">
        <v>19</v>
      </c>
      <c r="E447" s="308" t="s">
        <v>20</v>
      </c>
    </row>
    <row r="448" spans="2:5" ht="20" customHeight="1" x14ac:dyDescent="0.2">
      <c r="B448" s="291" t="s">
        <v>2997</v>
      </c>
      <c r="C448" s="362" t="str">
        <f>sample_vvs_dr_flt_ops_nodea_fqdn</f>
        <v>flt-ops01a.rainpole.io</v>
      </c>
      <c r="D448" s="161" t="str">
        <f>vvs_dr_flt_ops_nodea_fqdn</f>
        <v>Value Missing</v>
      </c>
      <c r="E448" s="160"/>
    </row>
    <row r="449" spans="2:5" ht="20" customHeight="1" x14ac:dyDescent="0.2">
      <c r="B449" s="632" t="s">
        <v>3124</v>
      </c>
      <c r="C449" s="633"/>
      <c r="D449" s="633"/>
      <c r="E449" s="634"/>
    </row>
    <row r="450" spans="2:5" ht="20" customHeight="1" x14ac:dyDescent="0.2">
      <c r="B450" s="291" t="s">
        <v>814</v>
      </c>
      <c r="C450" s="362" t="s">
        <v>3129</v>
      </c>
      <c r="D450" s="337" t="str">
        <f>mgmt_srm_recovery_vcenter_fqdn</f>
        <v>Value Missing</v>
      </c>
      <c r="E450" s="160"/>
    </row>
    <row r="451" spans="2:5" ht="20" customHeight="1" x14ac:dyDescent="0.2">
      <c r="B451" s="291" t="s">
        <v>732</v>
      </c>
      <c r="C451" s="362" t="s">
        <v>3130</v>
      </c>
      <c r="D451" s="337" t="str">
        <f>mgmt_srm_recovery_cluster</f>
        <v>Value Missing</v>
      </c>
      <c r="E451" s="160"/>
    </row>
    <row r="452" spans="2:5" ht="20" customHeight="1" x14ac:dyDescent="0.2">
      <c r="B452" s="291" t="s">
        <v>252</v>
      </c>
      <c r="C452" s="362" t="str">
        <f>sample_mgmt_srm_recovery_pg</f>
        <v>lax-m01-cl01-vds01-pg-vm-mgmt</v>
      </c>
      <c r="D452" s="337" t="str">
        <f t="array" ref="D452">mgmt_srm_recovery_pg</f>
        <v>Value Missing</v>
      </c>
      <c r="E452" s="160"/>
    </row>
    <row r="453" spans="2:5" ht="20" customHeight="1" x14ac:dyDescent="0.2">
      <c r="B453" s="291" t="s">
        <v>103</v>
      </c>
      <c r="C453" s="362" t="s">
        <v>3131</v>
      </c>
      <c r="D453" s="337" t="str">
        <f>mgmt_srm_recovery_datastore</f>
        <v>Value Missing</v>
      </c>
      <c r="E453" s="160"/>
    </row>
    <row r="454" spans="2:5" ht="20" customHeight="1" x14ac:dyDescent="0.2">
      <c r="B454" s="632" t="s">
        <v>252</v>
      </c>
      <c r="C454" s="633"/>
      <c r="D454" s="633"/>
      <c r="E454" s="634"/>
    </row>
    <row r="455" spans="2:5" ht="20" customHeight="1" x14ac:dyDescent="0.2">
      <c r="B455" s="291" t="s">
        <v>606</v>
      </c>
      <c r="C455" s="362" t="s">
        <v>1625</v>
      </c>
      <c r="D455" s="161" t="str">
        <f>vvs_dr_parent_dns_zone</f>
        <v>Value Missing</v>
      </c>
      <c r="E455" s="160"/>
    </row>
    <row r="456" spans="2:5" ht="20" customHeight="1" x14ac:dyDescent="0.2">
      <c r="B456" s="291" t="s">
        <v>607</v>
      </c>
      <c r="C456" s="362" t="s">
        <v>1625</v>
      </c>
      <c r="D456" s="161" t="str">
        <f>vvs_dr_parent_dns_zone</f>
        <v>Value Missing</v>
      </c>
      <c r="E456" s="160"/>
    </row>
    <row r="457" spans="2:5" ht="20" customHeight="1" x14ac:dyDescent="0.2">
      <c r="B457" s="291" t="s">
        <v>608</v>
      </c>
      <c r="C457" s="362" t="str">
        <f>CONCATENATE(sample_vvs_dr_dns1_ip,",",sample_vvs_dr_dns2_ip)</f>
        <v>10.21.10.4,10.21.10.5</v>
      </c>
      <c r="D457" s="337" t="str">
        <f>CONCATENATE(vvs_dr_dns1_ip,",",vvs_dr_dns2_ip)</f>
        <v>Value Missing,Value Missing</v>
      </c>
      <c r="E457" s="160"/>
    </row>
    <row r="458" spans="2:5" ht="20" customHeight="1" x14ac:dyDescent="0.2">
      <c r="B458" s="291" t="s">
        <v>611</v>
      </c>
      <c r="C458" s="362"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58" s="337"/>
      <c r="E458" s="160"/>
    </row>
    <row r="459" spans="2:5" ht="20" customHeight="1" x14ac:dyDescent="0.2">
      <c r="B459" s="291" t="s">
        <v>612</v>
      </c>
      <c r="C459" s="362" t="s">
        <v>128</v>
      </c>
      <c r="D459" s="337" t="str">
        <f>mgmt_srm_recovery_mask</f>
        <v>Value Missing</v>
      </c>
      <c r="E459" s="160"/>
    </row>
    <row r="460" spans="2:5" ht="20" customHeight="1" x14ac:dyDescent="0.2">
      <c r="B460" s="632" t="s">
        <v>2998</v>
      </c>
      <c r="C460" s="633"/>
      <c r="D460" s="633"/>
      <c r="E460" s="634"/>
    </row>
    <row r="461" spans="2:5" ht="20" customHeight="1" x14ac:dyDescent="0.2">
      <c r="B461" s="291" t="s">
        <v>38</v>
      </c>
      <c r="C461" s="87" t="str">
        <f>sample_vcf_automation_vip_fqdn</f>
        <v>flt-auto01.rainpole.io</v>
      </c>
      <c r="D461" s="161"/>
      <c r="E461" s="160"/>
    </row>
    <row r="462" spans="2:5" ht="20" customHeight="1" x14ac:dyDescent="0.2">
      <c r="B462" s="291" t="s">
        <v>3125</v>
      </c>
      <c r="C462" s="87" t="str">
        <f>sample_vcf_automation_cert_alias</f>
        <v>flt-auto01-cert</v>
      </c>
      <c r="D462" s="161"/>
      <c r="E462" s="160"/>
    </row>
    <row r="463" spans="2:5" ht="20" customHeight="1" x14ac:dyDescent="0.2">
      <c r="B463" s="291" t="s">
        <v>722</v>
      </c>
      <c r="C463" s="292" t="str">
        <f>sample_vcf_automation_root_password_alias</f>
        <v>flt-auto01-password</v>
      </c>
      <c r="D463" s="161"/>
      <c r="E463" s="160"/>
    </row>
    <row r="464" spans="2:5" ht="20" customHeight="1" x14ac:dyDescent="0.2">
      <c r="B464" s="291" t="s">
        <v>3126</v>
      </c>
      <c r="C464" s="87" t="str">
        <f>sample_vcf_automation_vip_fqdn</f>
        <v>flt-auto01.rainpole.io</v>
      </c>
      <c r="D464" s="161"/>
      <c r="E464" s="160"/>
    </row>
    <row r="465" spans="2:5" ht="20" customHeight="1" x14ac:dyDescent="0.2">
      <c r="B465" s="291" t="s">
        <v>625</v>
      </c>
      <c r="C465" s="87" t="s">
        <v>626</v>
      </c>
      <c r="D465" s="161"/>
      <c r="E465" s="160"/>
    </row>
    <row r="466" spans="2:5" ht="20" customHeight="1" x14ac:dyDescent="0.2">
      <c r="B466" s="291" t="s">
        <v>566</v>
      </c>
      <c r="C466" s="87" t="str">
        <f>CONCATENATE(prefix_portable_component,"-auto")</f>
        <v>flt-auto</v>
      </c>
      <c r="D466" s="161"/>
      <c r="E466" s="160"/>
    </row>
    <row r="467" spans="2:5" ht="20" customHeight="1" x14ac:dyDescent="0.2">
      <c r="B467" s="291" t="s">
        <v>628</v>
      </c>
      <c r="C467" s="362" t="str">
        <f>IF(flt_custom_network_chosen="Shared Management Network",IF(mgmt_dpg_reuse_result="Included",CONCATENATE(prefix_mgmt_az1_cidr,"20.25"),CONCATENATE(prefix_mgmt_az1_cidr,"20.25")),IF(flt_custom_network_chosen="NSX Overlay Segment",CONCATENATE(prefix_xreg_cidr,".25"),CONCATENATE(prefix_flt_shared_cidr,".25")))</f>
        <v>10.11.20.25</v>
      </c>
      <c r="D467" s="161"/>
      <c r="E467" s="160"/>
    </row>
    <row r="468" spans="2:5" ht="20" customHeight="1" x14ac:dyDescent="0.2">
      <c r="B468" s="291" t="s">
        <v>629</v>
      </c>
      <c r="C468" s="87" t="s">
        <v>630</v>
      </c>
      <c r="D468" s="161"/>
      <c r="E468" s="160"/>
    </row>
    <row r="469" spans="2:5" ht="20" customHeight="1" x14ac:dyDescent="0.2">
      <c r="B469" s="291" t="s">
        <v>3127</v>
      </c>
      <c r="C469" s="362"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10.11.20.46-10.11.20.51</v>
      </c>
      <c r="D469" s="161"/>
      <c r="E469" s="160"/>
    </row>
    <row r="470" spans="2:5" ht="16" customHeight="1" x14ac:dyDescent="0.2">
      <c r="B470" s="293"/>
      <c r="C470" s="120"/>
      <c r="D470" s="35"/>
      <c r="E470" s="120"/>
    </row>
    <row r="471" spans="2:5" ht="34" customHeight="1" x14ac:dyDescent="0.2">
      <c r="B471" s="557" t="s">
        <v>2981</v>
      </c>
      <c r="C471" s="557"/>
      <c r="D471" s="557"/>
      <c r="E471" s="557"/>
    </row>
    <row r="472" spans="2:5" ht="16" customHeight="1" x14ac:dyDescent="0.2">
      <c r="B472" s="293"/>
      <c r="C472" s="120"/>
      <c r="D472" s="35"/>
      <c r="E472" s="120"/>
    </row>
    <row r="473" spans="2:5" ht="34" customHeight="1" x14ac:dyDescent="0.2">
      <c r="B473" s="557" t="s">
        <v>3134</v>
      </c>
      <c r="C473" s="557"/>
      <c r="D473" s="557"/>
      <c r="E473" s="557"/>
    </row>
    <row r="474" spans="2:5" ht="20" customHeight="1" x14ac:dyDescent="0.2">
      <c r="B474" s="562"/>
      <c r="C474" s="562"/>
      <c r="D474" s="562"/>
      <c r="E474" s="562"/>
    </row>
    <row r="475" spans="2:5" ht="20" customHeight="1" x14ac:dyDescent="0.2">
      <c r="B475" s="307" t="s">
        <v>17</v>
      </c>
      <c r="C475" s="308" t="s">
        <v>18</v>
      </c>
      <c r="D475" s="308" t="s">
        <v>19</v>
      </c>
      <c r="E475" s="308" t="s">
        <v>20</v>
      </c>
    </row>
    <row r="476" spans="2:5" ht="20" customHeight="1" x14ac:dyDescent="0.2">
      <c r="B476" s="361" t="s">
        <v>3016</v>
      </c>
      <c r="C476" s="362" t="str">
        <f>sample_vvs_dr_mgmt_vc_fqdn</f>
        <v>sfo-m01-vc01.sfo.rainpole.io</v>
      </c>
      <c r="D476" s="337" t="str">
        <f>vvs_dr_mgmt_vc_fqdn</f>
        <v>Value Missing</v>
      </c>
      <c r="E476" s="32"/>
    </row>
    <row r="477" spans="2:5" ht="20" customHeight="1" x14ac:dyDescent="0.2">
      <c r="B477" s="361" t="s">
        <v>2726</v>
      </c>
      <c r="C477" s="362" t="str">
        <f>sample_vvs_dr_sso_domain</f>
        <v>vsphere.local</v>
      </c>
      <c r="D477" s="337" t="str">
        <f>vvs_dr_sso_domain</f>
        <v>Value Missing</v>
      </c>
      <c r="E477" s="32"/>
    </row>
    <row r="478" spans="2:5" ht="20" customHeight="1" x14ac:dyDescent="0.2">
      <c r="B478" s="4" t="s">
        <v>3135</v>
      </c>
      <c r="C478" s="362" t="s">
        <v>3136</v>
      </c>
      <c r="D478" s="347"/>
      <c r="E478" s="4"/>
    </row>
    <row r="479" spans="2:5" ht="20" customHeight="1" x14ac:dyDescent="0.2">
      <c r="B479" s="4" t="s">
        <v>3137</v>
      </c>
      <c r="C479" s="362" t="s">
        <v>30</v>
      </c>
      <c r="D479" s="347"/>
      <c r="E479" s="4"/>
    </row>
    <row r="480" spans="2:5" ht="20" customHeight="1" x14ac:dyDescent="0.2">
      <c r="B480" s="4" t="s">
        <v>3138</v>
      </c>
      <c r="C480" s="362" t="s">
        <v>3139</v>
      </c>
      <c r="D480" s="347"/>
      <c r="E480" s="4"/>
    </row>
    <row r="481" spans="2:5" ht="20" customHeight="1" x14ac:dyDescent="0.2">
      <c r="B481" s="4" t="s">
        <v>3140</v>
      </c>
      <c r="C481" s="362" t="s">
        <v>30</v>
      </c>
      <c r="D481" s="347"/>
      <c r="E481" s="4"/>
    </row>
    <row r="482" spans="2:5" ht="16" customHeight="1" x14ac:dyDescent="0.2"/>
    <row r="483" spans="2:5" ht="34" customHeight="1" x14ac:dyDescent="0.2">
      <c r="B483" s="557" t="s">
        <v>3141</v>
      </c>
      <c r="C483" s="557"/>
      <c r="D483" s="557"/>
      <c r="E483" s="557"/>
    </row>
    <row r="484" spans="2:5" ht="20" customHeight="1" x14ac:dyDescent="0.2">
      <c r="B484" s="562"/>
      <c r="C484" s="562"/>
      <c r="D484" s="562"/>
      <c r="E484" s="562"/>
    </row>
    <row r="485" spans="2:5" ht="20" customHeight="1" x14ac:dyDescent="0.2">
      <c r="B485" s="307" t="s">
        <v>17</v>
      </c>
      <c r="C485" s="308" t="s">
        <v>18</v>
      </c>
      <c r="D485" s="308" t="s">
        <v>19</v>
      </c>
      <c r="E485" s="308" t="s">
        <v>20</v>
      </c>
    </row>
    <row r="486" spans="2:5" ht="20" customHeight="1" x14ac:dyDescent="0.2">
      <c r="B486" s="4" t="s">
        <v>3016</v>
      </c>
      <c r="C486" s="362" t="str">
        <f>sample_vvs_dr_mgmt_vc_fqdn</f>
        <v>sfo-m01-vc01.sfo.rainpole.io</v>
      </c>
      <c r="D486" s="337" t="str">
        <f>vvs_dr_mgmt_vc_fqdn</f>
        <v>Value Missing</v>
      </c>
      <c r="E486" s="4"/>
    </row>
    <row r="487" spans="2:5" ht="20" customHeight="1" x14ac:dyDescent="0.2">
      <c r="B487" s="4" t="s">
        <v>2726</v>
      </c>
      <c r="C487" s="362" t="str">
        <f>sample_vvs_dr_sso_domain</f>
        <v>vsphere.local</v>
      </c>
      <c r="D487" s="337" t="str">
        <f>vvs_dr_sso_domain</f>
        <v>Value Missing</v>
      </c>
      <c r="E487" s="4"/>
    </row>
    <row r="488" spans="2:5" ht="20" customHeight="1" x14ac:dyDescent="0.2">
      <c r="B488" s="4" t="s">
        <v>3142</v>
      </c>
      <c r="C488" s="362" t="str">
        <f>sample_xreg_vrops_vrms_sso_username</f>
        <v>svc-vcfops-vlsr</v>
      </c>
      <c r="D488" s="337" t="str">
        <f>xreg_vrops_vrms_sso_username</f>
        <v>Value Missing</v>
      </c>
      <c r="E488" s="4"/>
    </row>
    <row r="489" spans="2:5" ht="20" customHeight="1" x14ac:dyDescent="0.2">
      <c r="B489" s="4" t="s">
        <v>3143</v>
      </c>
      <c r="C489" s="362" t="s">
        <v>3144</v>
      </c>
      <c r="D489" s="337" t="str">
        <f>C489</f>
        <v>Read-Only</v>
      </c>
      <c r="E489" s="4"/>
    </row>
    <row r="490" spans="2:5" ht="20" customHeight="1" x14ac:dyDescent="0.2">
      <c r="B490" s="4" t="s">
        <v>3145</v>
      </c>
      <c r="C490" s="362" t="str">
        <f>sample_xreg_vrops_srm_sso_username</f>
        <v>svc-vcfops-vr</v>
      </c>
      <c r="D490" s="337" t="str">
        <f>xreg_vrops_srm_sso_username</f>
        <v>Value Missing</v>
      </c>
      <c r="E490" s="4"/>
    </row>
    <row r="491" spans="2:5" ht="20" customHeight="1" x14ac:dyDescent="0.2">
      <c r="B491" s="4" t="s">
        <v>3146</v>
      </c>
      <c r="C491" s="362" t="s">
        <v>3147</v>
      </c>
      <c r="D491" s="337" t="str">
        <f>C491</f>
        <v>VRM replication viewer</v>
      </c>
      <c r="E491" s="4"/>
    </row>
    <row r="492" spans="2:5" ht="16" customHeight="1" x14ac:dyDescent="0.2"/>
    <row r="493" spans="2:5" ht="34" customHeight="1" x14ac:dyDescent="0.2">
      <c r="B493" s="557" t="s">
        <v>3148</v>
      </c>
      <c r="C493" s="557"/>
      <c r="D493" s="557"/>
      <c r="E493" s="557"/>
    </row>
    <row r="494" spans="2:5" ht="20" customHeight="1" x14ac:dyDescent="0.2">
      <c r="B494" s="562"/>
      <c r="C494" s="562"/>
      <c r="D494" s="562"/>
      <c r="E494" s="562"/>
    </row>
    <row r="495" spans="2:5" ht="20" customHeight="1" x14ac:dyDescent="0.2">
      <c r="B495" s="307" t="s">
        <v>17</v>
      </c>
      <c r="C495" s="308" t="s">
        <v>18</v>
      </c>
      <c r="D495" s="308" t="s">
        <v>19</v>
      </c>
      <c r="E495" s="308" t="s">
        <v>20</v>
      </c>
    </row>
    <row r="496" spans="2:5" ht="20" customHeight="1" x14ac:dyDescent="0.2">
      <c r="B496" s="4" t="s">
        <v>3149</v>
      </c>
      <c r="C496" s="362" t="str">
        <f>sample_vvs_dr_flt_ops_nodea_fqdn</f>
        <v>flt-ops01a.rainpole.io</v>
      </c>
      <c r="D496" s="161" t="str">
        <f>vvs_dr_flt_ops_nodea_fqdn</f>
        <v>Value Missing</v>
      </c>
      <c r="E496" s="32"/>
    </row>
    <row r="497" spans="2:5" ht="20" customHeight="1" x14ac:dyDescent="0.2">
      <c r="B497" s="4" t="s">
        <v>3150</v>
      </c>
      <c r="C497" s="362" t="s">
        <v>3151</v>
      </c>
      <c r="D497" s="347"/>
      <c r="E497" s="32"/>
    </row>
    <row r="498" spans="2:5" ht="16" customHeight="1" x14ac:dyDescent="0.2"/>
    <row r="499" spans="2:5" ht="34" customHeight="1" x14ac:dyDescent="0.2">
      <c r="B499" s="557" t="s">
        <v>3152</v>
      </c>
      <c r="C499" s="557"/>
      <c r="D499" s="557"/>
      <c r="E499" s="557"/>
    </row>
    <row r="500" spans="2:5" ht="20" customHeight="1" x14ac:dyDescent="0.2">
      <c r="B500" s="562"/>
      <c r="C500" s="562"/>
      <c r="D500" s="562"/>
      <c r="E500" s="562"/>
    </row>
    <row r="501" spans="2:5" ht="20" customHeight="1" x14ac:dyDescent="0.2">
      <c r="B501" s="307" t="s">
        <v>17</v>
      </c>
      <c r="C501" s="308" t="s">
        <v>18</v>
      </c>
      <c r="D501" s="308" t="s">
        <v>19</v>
      </c>
      <c r="E501" s="308" t="s">
        <v>20</v>
      </c>
    </row>
    <row r="502" spans="2:5" ht="20" customHeight="1" x14ac:dyDescent="0.2">
      <c r="B502" s="361" t="s">
        <v>2997</v>
      </c>
      <c r="C502" s="362" t="str">
        <f>sample_vvs_dr_flt_ops_nodea_fqdn</f>
        <v>flt-ops01a.rainpole.io</v>
      </c>
      <c r="D502" s="161" t="str">
        <f>vvs_dr_flt_ops_nodea_fqdn</f>
        <v>Value Missing</v>
      </c>
      <c r="E502" s="32"/>
    </row>
    <row r="503" spans="2:5" ht="20" customHeight="1" x14ac:dyDescent="0.2">
      <c r="B503" s="361" t="s">
        <v>3153</v>
      </c>
      <c r="C503" s="362" t="str">
        <f>CONCATENATE(this_instance,"-m01-vslr")</f>
        <v>sfo-m01-vslr</v>
      </c>
      <c r="D503" s="347"/>
      <c r="E503" s="32"/>
    </row>
    <row r="504" spans="2:5" ht="20" customHeight="1" x14ac:dyDescent="0.2">
      <c r="B504" s="361" t="s">
        <v>3154</v>
      </c>
      <c r="C504" s="362" t="str">
        <f>sample_vvs_mgmt_dr_vlr_fqdn</f>
        <v>sfo-m01-vlr01.sfo.rainpole.io</v>
      </c>
      <c r="D504" s="337" t="str">
        <f>vvs_mgmt_dr_vlr_fqdn</f>
        <v>Value Missing</v>
      </c>
      <c r="E504" s="32"/>
    </row>
    <row r="505" spans="2:5" ht="20" customHeight="1" x14ac:dyDescent="0.2">
      <c r="B505" s="361" t="s">
        <v>3155</v>
      </c>
      <c r="C505" s="362">
        <v>443</v>
      </c>
      <c r="D505" s="347"/>
      <c r="E505" s="32"/>
    </row>
    <row r="506" spans="2:5" ht="20" customHeight="1" x14ac:dyDescent="0.2">
      <c r="B506" s="361" t="s">
        <v>3156</v>
      </c>
      <c r="C506" s="362" t="str">
        <f>sample_xreg_vrops_srm_sso_username</f>
        <v>svc-vcfops-vr</v>
      </c>
      <c r="D506" s="337" t="str">
        <f>xreg_vrops_srm_sso_username</f>
        <v>Value Missing</v>
      </c>
      <c r="E506" s="32"/>
    </row>
    <row r="507" spans="2:5" ht="20" customHeight="1" x14ac:dyDescent="0.2">
      <c r="B507" s="361" t="s">
        <v>3157</v>
      </c>
      <c r="C507" s="362" t="str">
        <f>CONCATENATE(sample_xreg_vrops_srm_sso_username,"@vsphere.local")</f>
        <v>svc-vcfops-vr@vsphere.local</v>
      </c>
      <c r="D507" s="337" t="str">
        <f>CONCATENATE(xreg_vrops_srm_sso_username,"@",vvs_dr_sso_domain)</f>
        <v>Value Missing@Value Missing</v>
      </c>
      <c r="E507" s="32"/>
    </row>
    <row r="508" spans="2:5" ht="20" customHeight="1" x14ac:dyDescent="0.2">
      <c r="B508" s="361" t="s">
        <v>3158</v>
      </c>
      <c r="C508" s="362" t="str">
        <f>sample_xreg_vrops_srm_sso_password</f>
        <v>VMw@re1!</v>
      </c>
      <c r="D508" s="337" t="str">
        <f>xreg_vrops_srm_sso_password</f>
        <v>Value Missing</v>
      </c>
      <c r="E508" s="32"/>
    </row>
    <row r="509" spans="2:5" ht="20" customHeight="1" x14ac:dyDescent="0.2">
      <c r="B509" s="361" t="s">
        <v>3159</v>
      </c>
      <c r="C509" s="362" t="str">
        <f>CONCATENATE(sample_mgmt_sddc_domain,"-collector-group")</f>
        <v>sfo-m01-collector-group</v>
      </c>
      <c r="D509" s="337" t="str">
        <f>CONCATENATE(mgmt_sddc_domain,"-collector-group")</f>
        <v>Value Missing-collector-group</v>
      </c>
      <c r="E509" s="32"/>
    </row>
    <row r="510" spans="2:5" ht="16" customHeight="1" x14ac:dyDescent="0.2"/>
    <row r="511" spans="2:5" ht="34" customHeight="1" x14ac:dyDescent="0.2">
      <c r="B511" s="557" t="s">
        <v>3160</v>
      </c>
      <c r="C511" s="557"/>
      <c r="D511" s="557"/>
      <c r="E511" s="557"/>
    </row>
    <row r="512" spans="2:5" ht="20" customHeight="1" x14ac:dyDescent="0.2">
      <c r="B512" s="562"/>
      <c r="C512" s="562"/>
      <c r="D512" s="562"/>
      <c r="E512" s="562"/>
    </row>
    <row r="513" spans="2:5" ht="20" customHeight="1" x14ac:dyDescent="0.2">
      <c r="B513" s="307" t="s">
        <v>17</v>
      </c>
      <c r="C513" s="308" t="s">
        <v>18</v>
      </c>
      <c r="D513" s="308" t="s">
        <v>19</v>
      </c>
      <c r="E513" s="308" t="s">
        <v>20</v>
      </c>
    </row>
    <row r="514" spans="2:5" ht="20" customHeight="1" x14ac:dyDescent="0.2">
      <c r="B514" s="361" t="s">
        <v>2997</v>
      </c>
      <c r="C514" s="362" t="str">
        <f>sample_vvs_dr_flt_ops_nodea_fqdn</f>
        <v>flt-ops01a.rainpole.io</v>
      </c>
      <c r="D514" s="161" t="str">
        <f>vvs_dr_flt_ops_nodea_fqdn</f>
        <v>Value Missing</v>
      </c>
      <c r="E514" s="32"/>
    </row>
    <row r="515" spans="2:5" ht="20" customHeight="1" x14ac:dyDescent="0.2">
      <c r="B515" s="361" t="s">
        <v>3153</v>
      </c>
      <c r="C515" s="362" t="str">
        <f>CONCATENATE(this_instance,"-m01-vr")</f>
        <v>sfo-m01-vr</v>
      </c>
      <c r="D515" s="347"/>
      <c r="E515" s="32"/>
    </row>
    <row r="516" spans="2:5" ht="20" customHeight="1" x14ac:dyDescent="0.2">
      <c r="B516" s="213" t="s">
        <v>3161</v>
      </c>
      <c r="C516" s="362" t="str">
        <f>sample_vvs_dr_mgmt_vc_fqdn</f>
        <v>sfo-m01-vc01.sfo.rainpole.io</v>
      </c>
      <c r="D516" s="337" t="str">
        <f>vvs_dr_mgmt_vc_fqdn</f>
        <v>Value Missing</v>
      </c>
      <c r="E516" s="32"/>
    </row>
    <row r="517" spans="2:5" ht="20" customHeight="1" x14ac:dyDescent="0.2">
      <c r="B517" s="361" t="s">
        <v>3156</v>
      </c>
      <c r="C517" s="362" t="str">
        <f>CONCATENATE(sample_xreg_vrops_vrms_sso_username,"@vsphere.local")</f>
        <v>svc-vcfops-vlsr@vsphere.local</v>
      </c>
      <c r="D517" s="337" t="str">
        <f>CONCATENATE(xreg_vrops_vrms_sso_username,"@",vvs_dr_sso_domain)</f>
        <v>Value Missing@Value Missing</v>
      </c>
      <c r="E517" s="32"/>
    </row>
    <row r="518" spans="2:5" ht="20" customHeight="1" x14ac:dyDescent="0.2">
      <c r="B518" s="361" t="s">
        <v>3162</v>
      </c>
      <c r="C518" s="362" t="str">
        <f>CONCATENATE(sample_xreg_vrops_vrms_sso_username,"@vsphere.local")</f>
        <v>svc-vcfops-vlsr@vsphere.local</v>
      </c>
      <c r="D518" s="337" t="str">
        <f>CONCATENATE(xreg_vrops_vrms_sso_username,"@",vvs_dr_sso_domain)</f>
        <v>Value Missing@Value Missing</v>
      </c>
      <c r="E518" s="32"/>
    </row>
    <row r="519" spans="2:5" ht="20" customHeight="1" x14ac:dyDescent="0.2">
      <c r="B519" s="361" t="s">
        <v>3158</v>
      </c>
      <c r="C519" s="362" t="str">
        <f>sample_xreg_vrops_vrms_sso_password</f>
        <v>VMw@re1!</v>
      </c>
      <c r="D519" s="337" t="str">
        <f>xreg_vrops_vrms_sso_password</f>
        <v>Value Missing</v>
      </c>
      <c r="E519" s="32"/>
    </row>
    <row r="520" spans="2:5" ht="20" customHeight="1" x14ac:dyDescent="0.2">
      <c r="B520" s="361" t="s">
        <v>3159</v>
      </c>
      <c r="C520" s="362" t="str">
        <f>CONCATENATE(sample_mgmt_sddc_domain,"-collector-group")</f>
        <v>sfo-m01-collector-group</v>
      </c>
      <c r="D520" s="337" t="str">
        <f>CONCATENATE(mgmt_sddc_domain,"-collector-group")</f>
        <v>Value Missing-collector-group</v>
      </c>
      <c r="E520" s="32"/>
    </row>
    <row r="521" spans="2:5" ht="16" customHeight="1" x14ac:dyDescent="0.2"/>
    <row r="522" spans="2:5" ht="34" customHeight="1" x14ac:dyDescent="0.2">
      <c r="B522" s="557" t="s">
        <v>3163</v>
      </c>
      <c r="C522" s="557"/>
      <c r="D522" s="557"/>
      <c r="E522" s="557"/>
    </row>
    <row r="523" spans="2:5" ht="20" customHeight="1" x14ac:dyDescent="0.2">
      <c r="B523" s="562"/>
      <c r="C523" s="562"/>
      <c r="D523" s="562"/>
      <c r="E523" s="562"/>
    </row>
    <row r="524" spans="2:5" ht="20" customHeight="1" x14ac:dyDescent="0.2">
      <c r="B524" s="307" t="s">
        <v>17</v>
      </c>
      <c r="C524" s="308" t="s">
        <v>18</v>
      </c>
      <c r="D524" s="308" t="s">
        <v>19</v>
      </c>
      <c r="E524" s="308" t="s">
        <v>20</v>
      </c>
    </row>
    <row r="525" spans="2:5" ht="20" customHeight="1" x14ac:dyDescent="0.2">
      <c r="B525" s="4" t="s">
        <v>3149</v>
      </c>
      <c r="C525" s="362" t="str">
        <f>sample_vvs_dr_flt_ops_nodea_fqdn</f>
        <v>flt-ops01a.rainpole.io</v>
      </c>
      <c r="D525" s="337" t="str">
        <f>vvs_dr_flt_ops_nodea_fqdn</f>
        <v>Value Missing</v>
      </c>
      <c r="E525" s="32"/>
    </row>
    <row r="526" spans="2:5" ht="16" customHeight="1" x14ac:dyDescent="0.2">
      <c r="B526" s="2" t="s">
        <v>1027</v>
      </c>
    </row>
    <row r="527" spans="2:5" ht="34" customHeight="1" x14ac:dyDescent="0.2">
      <c r="B527" s="522" t="s">
        <v>3164</v>
      </c>
      <c r="C527" s="523"/>
      <c r="D527" s="523"/>
      <c r="E527" s="524"/>
    </row>
    <row r="528" spans="2:5" ht="20" customHeight="1" x14ac:dyDescent="0.2">
      <c r="B528" s="562"/>
      <c r="C528" s="562"/>
      <c r="D528" s="562"/>
      <c r="E528" s="562"/>
    </row>
    <row r="529" spans="2:5" ht="20" customHeight="1" x14ac:dyDescent="0.2">
      <c r="B529" s="307" t="s">
        <v>17</v>
      </c>
      <c r="C529" s="308" t="s">
        <v>18</v>
      </c>
      <c r="D529" s="308" t="s">
        <v>19</v>
      </c>
      <c r="E529" s="308" t="s">
        <v>20</v>
      </c>
    </row>
    <row r="530" spans="2:5" ht="20" customHeight="1" x14ac:dyDescent="0.2">
      <c r="B530" s="4" t="s">
        <v>3023</v>
      </c>
      <c r="C530" s="362" t="str">
        <f>sample_vvs_mgmt_dr_vlr_fqdn</f>
        <v>sfo-m01-vlr01.sfo.rainpole.io</v>
      </c>
      <c r="D530" s="337" t="str">
        <f>vvs_mgmt_dr_vlr_fqdn</f>
        <v>Value Missing</v>
      </c>
      <c r="E530" s="32"/>
    </row>
    <row r="531" spans="2:5" ht="20" customHeight="1" x14ac:dyDescent="0.2">
      <c r="B531" s="4" t="s">
        <v>3165</v>
      </c>
      <c r="C531" s="362" t="str">
        <f>sample_xreg_vrops_virtual_fqdn</f>
        <v>flt-ops01.rainpole.io</v>
      </c>
      <c r="D531" s="347"/>
      <c r="E531" s="32"/>
    </row>
    <row r="532" spans="2:5" ht="20" customHeight="1" x14ac:dyDescent="0.2">
      <c r="B532" s="4" t="s">
        <v>3166</v>
      </c>
      <c r="C532" s="362" t="s">
        <v>3167</v>
      </c>
      <c r="D532" s="347"/>
      <c r="E532" s="32"/>
    </row>
    <row r="533" spans="2:5" ht="20" customHeight="1" x14ac:dyDescent="0.2">
      <c r="B533" s="4" t="s">
        <v>3168</v>
      </c>
      <c r="C533" s="362" t="s">
        <v>3169</v>
      </c>
      <c r="D533" s="347"/>
      <c r="E533" s="32"/>
    </row>
    <row r="534" spans="2:5" ht="16" customHeight="1" x14ac:dyDescent="0.2"/>
    <row r="535" spans="2:5" ht="20" customHeight="1" x14ac:dyDescent="0.2"/>
    <row r="536" spans="2:5" ht="20" customHeight="1" x14ac:dyDescent="0.2"/>
    <row r="537" spans="2:5" ht="20" customHeight="1" x14ac:dyDescent="0.2"/>
    <row r="538" spans="2:5" ht="20" customHeight="1" x14ac:dyDescent="0.2"/>
    <row r="539" spans="2:5" ht="20" customHeight="1" x14ac:dyDescent="0.2"/>
    <row r="540" spans="2:5" ht="20" customHeight="1" x14ac:dyDescent="0.2"/>
    <row r="541" spans="2:5" ht="20" customHeight="1" x14ac:dyDescent="0.2"/>
    <row r="542" spans="2:5" ht="20" customHeight="1" x14ac:dyDescent="0.2"/>
    <row r="544" spans="2:5" ht="34"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sheetData>
  <sheetProtection algorithmName="SHA-512" hashValue="t4+C/CYPUD7CyyXCFQoFlKBR5mxRF3K75WaYwMJB9yrFk/49JrghzJwJyj0vLJQ7bw9mSC6jzi9r7PC7T37Dcg==" saltValue="LVOMa7k9Qdo4vmENvGWvTA==" spinCount="100000" sheet="1" selectLockedCells="1"/>
  <mergeCells count="107">
    <mergeCell ref="B156:E156"/>
    <mergeCell ref="B359:E359"/>
    <mergeCell ref="B349:E349"/>
    <mergeCell ref="B339:E339"/>
    <mergeCell ref="B285:E285"/>
    <mergeCell ref="B295:E295"/>
    <mergeCell ref="B310:E310"/>
    <mergeCell ref="B420:E420"/>
    <mergeCell ref="B367:E367"/>
    <mergeCell ref="B369:E369"/>
    <mergeCell ref="B373:E373"/>
    <mergeCell ref="B378:E378"/>
    <mergeCell ref="B384:E384"/>
    <mergeCell ref="B394:E394"/>
    <mergeCell ref="B395:E395"/>
    <mergeCell ref="B398:E398"/>
    <mergeCell ref="B210:E210"/>
    <mergeCell ref="B499:E499"/>
    <mergeCell ref="B500:E500"/>
    <mergeCell ref="B512:E512"/>
    <mergeCell ref="B471:E471"/>
    <mergeCell ref="B449:E449"/>
    <mergeCell ref="B454:E454"/>
    <mergeCell ref="B460:E460"/>
    <mergeCell ref="B165:E165"/>
    <mergeCell ref="B311:E311"/>
    <mergeCell ref="B321:E321"/>
    <mergeCell ref="B137:E137"/>
    <mergeCell ref="B145:E145"/>
    <mergeCell ref="B157:E157"/>
    <mergeCell ref="B166:E166"/>
    <mergeCell ref="B138:E138"/>
    <mergeCell ref="B528:E528"/>
    <mergeCell ref="B527:E527"/>
    <mergeCell ref="B421:E421"/>
    <mergeCell ref="B446:E446"/>
    <mergeCell ref="B474:E474"/>
    <mergeCell ref="B484:E484"/>
    <mergeCell ref="B494:E494"/>
    <mergeCell ref="B424:E424"/>
    <mergeCell ref="B429:E429"/>
    <mergeCell ref="B435:E435"/>
    <mergeCell ref="B523:E523"/>
    <mergeCell ref="B483:E483"/>
    <mergeCell ref="B473:E473"/>
    <mergeCell ref="B511:E511"/>
    <mergeCell ref="B522:E522"/>
    <mergeCell ref="B493:E493"/>
    <mergeCell ref="B445:E445"/>
    <mergeCell ref="B88:E88"/>
    <mergeCell ref="B97:E97"/>
    <mergeCell ref="B129:E129"/>
    <mergeCell ref="B192:E192"/>
    <mergeCell ref="B144:E144"/>
    <mergeCell ref="B117:E117"/>
    <mergeCell ref="B130:E130"/>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3:E3"/>
    <mergeCell ref="B8:E8"/>
    <mergeCell ref="B259:E259"/>
    <mergeCell ref="B222:E222"/>
    <mergeCell ref="B231:E231"/>
    <mergeCell ref="B243:E243"/>
    <mergeCell ref="B232:E232"/>
    <mergeCell ref="B270:E270"/>
    <mergeCell ref="B260:E260"/>
    <mergeCell ref="B271:E271"/>
    <mergeCell ref="B244:E244"/>
    <mergeCell ref="B296:E296"/>
    <mergeCell ref="B212:E212"/>
    <mergeCell ref="B213:E213"/>
    <mergeCell ref="B403:E403"/>
    <mergeCell ref="B409:E409"/>
    <mergeCell ref="B370:E370"/>
    <mergeCell ref="B11:E11"/>
    <mergeCell ref="B26:E26"/>
    <mergeCell ref="B43:E43"/>
    <mergeCell ref="B19:E19"/>
    <mergeCell ref="B116:E116"/>
    <mergeCell ref="B16:E16"/>
    <mergeCell ref="B25:E25"/>
    <mergeCell ref="B14:E14"/>
    <mergeCell ref="B29:E29"/>
    <mergeCell ref="B31:E31"/>
    <mergeCell ref="B79:E79"/>
    <mergeCell ref="B87:E87"/>
    <mergeCell ref="B56:E56"/>
    <mergeCell ref="B49:E49"/>
    <mergeCell ref="B57:E57"/>
    <mergeCell ref="B65:E65"/>
    <mergeCell ref="B73:E73"/>
    <mergeCell ref="B80:E80"/>
    <mergeCell ref="B354:E354"/>
    <mergeCell ref="B286:E286"/>
    <mergeCell ref="B223:E223"/>
  </mergeCells>
  <conditionalFormatting sqref="C385:C386">
    <cfRule type="expression" dxfId="369" priority="22">
      <formula>OR((private_cloud_result="Excluded"),(private_cloud_chosen="Connect Instance"))</formula>
    </cfRule>
  </conditionalFormatting>
  <conditionalFormatting sqref="C388:C390">
    <cfRule type="expression" dxfId="368" priority="20">
      <formula>OR((private_cloud_result="Excluded"),(private_cloud_chosen="Connect Instance"))</formula>
    </cfRule>
  </conditionalFormatting>
  <conditionalFormatting sqref="C410:C411">
    <cfRule type="expression" dxfId="367" priority="25">
      <formula>OR((private_cloud_result="Excluded"),(private_cloud_chosen="Connect Instance"))</formula>
    </cfRule>
  </conditionalFormatting>
  <conditionalFormatting sqref="C413:C415">
    <cfRule type="expression" dxfId="366" priority="23">
      <formula>OR((private_cloud_result="Excluded"),(private_cloud_chosen="Connect Instance"))</formula>
    </cfRule>
  </conditionalFormatting>
  <conditionalFormatting sqref="C417">
    <cfRule type="expression" dxfId="365" priority="24">
      <formula>OR((private_cloud_result="Excluded"),(private_cloud_chosen="Connect Instance"))</formula>
    </cfRule>
  </conditionalFormatting>
  <conditionalFormatting sqref="C436:C437">
    <cfRule type="expression" dxfId="364" priority="19">
      <formula>OR((private_cloud_result="Excluded"),(private_cloud_chosen="Connect Instance"))</formula>
    </cfRule>
  </conditionalFormatting>
  <conditionalFormatting sqref="C439:C441">
    <cfRule type="expression" dxfId="363" priority="17">
      <formula>OR((private_cloud_result="Excluded"),(private_cloud_chosen="Connect Instance"))</formula>
    </cfRule>
  </conditionalFormatting>
  <conditionalFormatting sqref="C461:C462">
    <cfRule type="expression" dxfId="362" priority="16">
      <formula>OR((private_cloud_result="Excluded"),(private_cloud_chosen="Connect Instance"))</formula>
    </cfRule>
  </conditionalFormatting>
  <conditionalFormatting sqref="C464:C466">
    <cfRule type="expression" dxfId="361" priority="14">
      <formula>OR((private_cloud_result="Excluded"),(private_cloud_chosen="Connect Instance"))</formula>
    </cfRule>
  </conditionalFormatting>
  <conditionalFormatting sqref="C468">
    <cfRule type="expression" dxfId="360" priority="15">
      <formula>OR((private_cloud_result="Excluded"),(private_cloud_chosen="Connect Instance"))</formula>
    </cfRule>
  </conditionalFormatting>
  <conditionalFormatting sqref="D13 D15 D17 D21:D23 D28 D30 D32:D40 D45:D46 D51:D54 D59:D62 D67:D70 D75:D77 D82:D85 D90:D92 D215:D220 D225:D229 D234:D241 D246:D257 D262:D268 D273:D283 D288:D293 D298:D308 D313:D318">
    <cfRule type="expression" dxfId="359"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358" priority="13">
      <formula>LEN(TRIM(D13))=0</formula>
    </cfRule>
    <cfRule type="notContainsBlanks" dxfId="357" priority="26">
      <formula>LEN(TRIM(D13))&gt;0</formula>
    </cfRule>
  </conditionalFormatting>
  <conditionalFormatting sqref="D15">
    <cfRule type="containsBlanks" dxfId="354" priority="6">
      <formula>LEN(TRIM(D15))=0</formula>
    </cfRule>
    <cfRule type="notContainsBlanks" dxfId="353" priority="7">
      <formula>LEN(TRIM(D15))&gt;0</formula>
    </cfRule>
  </conditionalFormatting>
  <conditionalFormatting sqref="D28">
    <cfRule type="containsBlanks" dxfId="351" priority="9">
      <formula>LEN(TRIM(D28))=0</formula>
    </cfRule>
    <cfRule type="notContainsBlanks" dxfId="350" priority="10">
      <formula>LEN(TRIM(D28))&gt;0</formula>
    </cfRule>
  </conditionalFormatting>
  <conditionalFormatting sqref="D360:D365 D372 D374:D377 D379:D383 D385:D392 D397 D399:D402 D404:D408 D410:D418 D423 D425:D428 D430:D434 D436:D443 D448 D450:D453 D455:D459 D461:D469">
    <cfRule type="expression" dxfId="349" priority="3">
      <formula>mgmt_domain_chosen="First Instance"</formula>
    </cfRule>
  </conditionalFormatting>
  <conditionalFormatting sqref="D496:D497">
    <cfRule type="expression" dxfId="348" priority="2">
      <formula>mgmt_domain_chosen="Additional Instance"</formula>
    </cfRule>
  </conditionalFormatting>
  <conditionalFormatting sqref="D525">
    <cfRule type="expression" dxfId="347" priority="1">
      <formula>mgmt_domain_chosen="Additional Instance"</formula>
    </cfRule>
  </conditionalFormatting>
  <hyperlinks>
    <hyperlink ref="B5" location="'Site Protection &amp; DR'!navigation_site_protection_mgmt" display="Management Domain" xr:uid="{00000000-0004-0000-1000-000000000000}"/>
    <hyperlink ref="C5" location="'Site Protection &amp; DR'!navigation_site_protection_solution_interop" display="Solution Interoperability" xr:uid="{00000000-0004-0000-10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00.83203125" style="2" customWidth="1"/>
    <col min="6" max="12" width="10.83203125" style="8" customWidth="1"/>
    <col min="13" max="16384" width="10.83203125" style="8"/>
  </cols>
  <sheetData>
    <row r="1" spans="1:5" x14ac:dyDescent="0.2">
      <c r="A1" s="118"/>
    </row>
    <row r="2" spans="1:5" ht="54" customHeight="1" x14ac:dyDescent="0.2">
      <c r="A2" s="121"/>
      <c r="B2" s="517" t="s">
        <v>3170</v>
      </c>
      <c r="C2" s="517"/>
      <c r="D2" s="517"/>
      <c r="E2" s="517"/>
    </row>
    <row r="3" spans="1:5" s="19" customFormat="1" ht="20" customHeight="1" x14ac:dyDescent="0.2">
      <c r="A3" s="42"/>
      <c r="B3" s="519" t="s">
        <v>1</v>
      </c>
      <c r="C3" s="519"/>
      <c r="D3" s="519"/>
      <c r="E3" s="519"/>
    </row>
    <row r="6" spans="1:5" ht="32" customHeight="1" x14ac:dyDescent="0.2">
      <c r="B6" s="529" t="s">
        <v>3171</v>
      </c>
      <c r="C6" s="530"/>
      <c r="D6" s="530"/>
      <c r="E6" s="531"/>
    </row>
    <row r="7" spans="1:5" ht="20" customHeight="1" x14ac:dyDescent="0.2">
      <c r="B7" s="505"/>
      <c r="C7" s="506"/>
      <c r="D7" s="506"/>
      <c r="E7" s="507"/>
    </row>
    <row r="8" spans="1:5" ht="20" customHeight="1" x14ac:dyDescent="0.2">
      <c r="B8" s="346" t="s">
        <v>17</v>
      </c>
      <c r="C8" s="346" t="s">
        <v>18</v>
      </c>
      <c r="D8" s="346" t="s">
        <v>19</v>
      </c>
      <c r="E8" s="346" t="s">
        <v>20</v>
      </c>
    </row>
    <row r="9" spans="1:5" ht="20" customHeight="1" x14ac:dyDescent="0.2">
      <c r="B9" s="4" t="s">
        <v>2910</v>
      </c>
      <c r="C9" s="362" t="str">
        <f>CONCATENATE(this_instance,"-m01-vc01.",sample_child_dns_zone)</f>
        <v>sfo-m01-vc01.sfo.rainpole.io</v>
      </c>
      <c r="D9" s="347"/>
      <c r="E9" s="337"/>
    </row>
    <row r="10" spans="1:5" ht="20" customHeight="1" x14ac:dyDescent="0.2">
      <c r="B10" s="4" t="s">
        <v>732</v>
      </c>
      <c r="C10" s="362" t="str">
        <f>sample_mgmt_cl01_cluster</f>
        <v>sfo-m01-cl01</v>
      </c>
      <c r="D10" s="347"/>
      <c r="E10" s="337"/>
    </row>
    <row r="11" spans="1:5" ht="20" customHeight="1" x14ac:dyDescent="0.2">
      <c r="B11" s="4" t="s">
        <v>2845</v>
      </c>
      <c r="C11" s="142" t="str">
        <f>CONCATENATE(this_instance,"-w01-vlr01")</f>
        <v>sfo-w01-vlr01</v>
      </c>
      <c r="D11" s="347"/>
      <c r="E11" s="337"/>
    </row>
    <row r="12" spans="1:5" ht="20" customHeight="1" x14ac:dyDescent="0.2">
      <c r="B12" s="4" t="s">
        <v>2847</v>
      </c>
      <c r="C12" s="362" t="str">
        <f>sample_mgmt_cl01_cluster</f>
        <v>sfo-m01-cl01</v>
      </c>
      <c r="D12" s="347"/>
      <c r="E12" s="337"/>
    </row>
    <row r="13" spans="1:5" ht="20" customHeight="1" x14ac:dyDescent="0.2">
      <c r="B13" s="4" t="s">
        <v>103</v>
      </c>
      <c r="C13" s="362" t="str">
        <f>sample_mgmt_cl01_vsan_datastore</f>
        <v>sfo-m01-cl01-ds-vsan01</v>
      </c>
      <c r="D13" s="347"/>
      <c r="E13" s="337"/>
    </row>
    <row r="14" spans="1:5" ht="20" customHeight="1" x14ac:dyDescent="0.2">
      <c r="B14" s="4" t="s">
        <v>2848</v>
      </c>
      <c r="C14" s="362" t="str">
        <f>sample_mgmt_cl01_az1_mgmt_vm_pg</f>
        <v>sfo-m01-cl01-vds01-pg-vm-mgmt</v>
      </c>
      <c r="D14" s="347"/>
      <c r="E14" s="337"/>
    </row>
    <row r="15" spans="1:5" ht="20" customHeight="1" x14ac:dyDescent="0.2">
      <c r="B15" s="4" t="s">
        <v>302</v>
      </c>
      <c r="C15" s="362" t="str">
        <f>CONCATENATE(this_instance,"-w01-vlr01",".",sample_child_dns_zone)</f>
        <v>sfo-w01-vlr01.sfo.rainpole.io</v>
      </c>
      <c r="D15" s="337" t="str">
        <f>wld_vlr_fqdn</f>
        <v>Value Missing.Value Missing</v>
      </c>
      <c r="E15" s="337"/>
    </row>
    <row r="16" spans="1:5" ht="20" customHeight="1" x14ac:dyDescent="0.2">
      <c r="B16" s="4" t="s">
        <v>3172</v>
      </c>
      <c r="C16" s="362" t="s">
        <v>141</v>
      </c>
      <c r="D16" s="347"/>
      <c r="E16" s="337"/>
    </row>
    <row r="17" spans="2:5" ht="20" customHeight="1" x14ac:dyDescent="0.2">
      <c r="B17" s="4" t="s">
        <v>3173</v>
      </c>
      <c r="C17" s="362" t="s">
        <v>141</v>
      </c>
      <c r="D17" s="347"/>
      <c r="E17" s="337"/>
    </row>
    <row r="18" spans="2:5" ht="20" customHeight="1" x14ac:dyDescent="0.2">
      <c r="B18" s="4" t="s">
        <v>299</v>
      </c>
      <c r="C18" s="362" t="str">
        <f>sample_region_ntp1_server</f>
        <v>ntp0.sfo.rainpole.io</v>
      </c>
      <c r="D18" s="347"/>
      <c r="E18" s="337"/>
    </row>
    <row r="19" spans="2:5" ht="20" customHeight="1" x14ac:dyDescent="0.2">
      <c r="B19" s="4" t="s">
        <v>254</v>
      </c>
      <c r="C19" s="362" t="str">
        <f>sample_mgmt_az1_mgmt_vm_gateway_ip</f>
        <v>10.11.10.1</v>
      </c>
      <c r="D19" s="347"/>
      <c r="E19" s="337"/>
    </row>
    <row r="20" spans="2:5" ht="20" customHeight="1" x14ac:dyDescent="0.2">
      <c r="B20" s="4" t="s">
        <v>606</v>
      </c>
      <c r="C20" s="362" t="str">
        <f>CONCATENATE(this_instance,".rainpole.io")</f>
        <v>sfo.rainpole.io</v>
      </c>
      <c r="D20" s="347"/>
      <c r="E20" s="337"/>
    </row>
    <row r="21" spans="2:5" ht="20" customHeight="1" x14ac:dyDescent="0.2">
      <c r="B21" s="4" t="s">
        <v>607</v>
      </c>
      <c r="C21" s="362" t="str">
        <f>sample_rwr_child_dns_zone</f>
        <v>sfo.rainpole.io</v>
      </c>
      <c r="D21" s="337" t="str">
        <f>rwr_child_dns_zone</f>
        <v>Value Missing</v>
      </c>
      <c r="E21" s="337"/>
    </row>
    <row r="22" spans="2:5" ht="20" customHeight="1" x14ac:dyDescent="0.2">
      <c r="B22" s="4" t="s">
        <v>2852</v>
      </c>
      <c r="C22" s="362" t="str">
        <f>CONCATENATE(sample_region_dns1_ip,",",sample_region_dns2_ip)</f>
        <v>10.11.10.4,10.11.10.5</v>
      </c>
      <c r="D22" s="347"/>
      <c r="E22" s="337"/>
    </row>
    <row r="23" spans="2:5" ht="20" customHeight="1" x14ac:dyDescent="0.2">
      <c r="B23" s="4" t="s">
        <v>2853</v>
      </c>
      <c r="C23" s="142" t="str">
        <f>IF(mgmt_dpg_reuse_result="Included",CONCATENATE(prefix_mgmt_az1_cidr,"10.127"),CONCATENATE(prefix_mgmt_az1_cidr,"11.127"))</f>
        <v>10.11.10.127</v>
      </c>
      <c r="D23" s="347"/>
      <c r="E23" s="337"/>
    </row>
    <row r="24" spans="2:5" ht="20" customHeight="1" x14ac:dyDescent="0.2">
      <c r="B24" s="4" t="s">
        <v>3174</v>
      </c>
      <c r="C24" s="362">
        <v>24</v>
      </c>
      <c r="D24" s="347"/>
      <c r="E24" s="337"/>
    </row>
    <row r="26" spans="2:5" ht="32" customHeight="1" x14ac:dyDescent="0.2">
      <c r="B26" s="529" t="s">
        <v>3175</v>
      </c>
      <c r="C26" s="530"/>
      <c r="D26" s="530"/>
      <c r="E26" s="531"/>
    </row>
    <row r="27" spans="2:5" ht="20" customHeight="1" x14ac:dyDescent="0.2">
      <c r="B27" s="505"/>
      <c r="C27" s="506"/>
      <c r="D27" s="506"/>
      <c r="E27" s="507"/>
    </row>
    <row r="28" spans="2:5" ht="20" customHeight="1" x14ac:dyDescent="0.2">
      <c r="B28" s="346" t="s">
        <v>17</v>
      </c>
      <c r="C28" s="346" t="s">
        <v>18</v>
      </c>
      <c r="D28" s="346" t="s">
        <v>19</v>
      </c>
      <c r="E28" s="346" t="s">
        <v>20</v>
      </c>
    </row>
    <row r="29" spans="2:5" ht="20" customHeight="1" x14ac:dyDescent="0.2">
      <c r="B29" s="4" t="s">
        <v>3023</v>
      </c>
      <c r="C29" s="362" t="str">
        <f>CONCATENATE(sample_wld_vlr_fqdn,":5480")</f>
        <v>sfo-w01-vlr01.sfo.rainpole.io:5480</v>
      </c>
      <c r="D29" s="337" t="str">
        <f>CONCATENATE(wld_vlr_fqdn,":5480")</f>
        <v>Value Missing.Value Missing:5480</v>
      </c>
      <c r="E29" s="337"/>
    </row>
    <row r="30" spans="2:5" ht="20" customHeight="1" x14ac:dyDescent="0.2">
      <c r="B30" s="4" t="s">
        <v>58</v>
      </c>
      <c r="C30" s="362" t="s">
        <v>59</v>
      </c>
      <c r="D30" s="347"/>
      <c r="E30" s="337"/>
    </row>
    <row r="31" spans="2:5" ht="20" customHeight="1" x14ac:dyDescent="0.2">
      <c r="B31" s="4" t="s">
        <v>3011</v>
      </c>
      <c r="C31" s="362" t="s">
        <v>61</v>
      </c>
      <c r="D31" s="347"/>
      <c r="E31" s="337"/>
    </row>
    <row r="32" spans="2:5" ht="20" customHeight="1" x14ac:dyDescent="0.2">
      <c r="B32" s="4" t="s">
        <v>66</v>
      </c>
      <c r="C32" s="362" t="str">
        <f>IF(mgmt_domain_chosen="First Instance","San Francisco","Los Angeles ")</f>
        <v>San Francisco</v>
      </c>
      <c r="D32" s="347"/>
      <c r="E32" s="337"/>
    </row>
    <row r="33" spans="2:5" ht="20" customHeight="1" x14ac:dyDescent="0.2">
      <c r="B33" s="4" t="s">
        <v>64</v>
      </c>
      <c r="C33" s="142" t="s">
        <v>65</v>
      </c>
      <c r="D33" s="347"/>
      <c r="E33" s="337"/>
    </row>
    <row r="34" spans="2:5" ht="20" customHeight="1" x14ac:dyDescent="0.2">
      <c r="B34" s="4" t="s">
        <v>62</v>
      </c>
      <c r="C34" s="362" t="s">
        <v>63</v>
      </c>
      <c r="D34" s="347"/>
      <c r="E34" s="337"/>
    </row>
    <row r="35" spans="2:5" ht="20" customHeight="1" x14ac:dyDescent="0.2">
      <c r="B35" s="4" t="s">
        <v>38</v>
      </c>
      <c r="C35" s="362" t="str">
        <f>sample_wld_vlr_fqdn</f>
        <v>sfo-w01-vlr01.sfo.rainpole.io</v>
      </c>
      <c r="D35" s="347"/>
      <c r="E35" s="337"/>
    </row>
    <row r="36" spans="2:5" ht="20" customHeight="1" x14ac:dyDescent="0.2">
      <c r="B36" s="4" t="s">
        <v>3012</v>
      </c>
      <c r="C36" s="362" t="str">
        <f>sample_wld_vlr_mgmt_ip</f>
        <v>10.11.10.127</v>
      </c>
      <c r="D36" s="347"/>
      <c r="E36" s="337"/>
    </row>
    <row r="37" spans="2:5" ht="20" customHeight="1" x14ac:dyDescent="0.2">
      <c r="B37" s="4" t="s">
        <v>3013</v>
      </c>
      <c r="C37" s="362" t="s">
        <v>3014</v>
      </c>
      <c r="D37" s="347"/>
      <c r="E37" s="337"/>
    </row>
    <row r="39" spans="2:5" ht="32" customHeight="1" x14ac:dyDescent="0.2">
      <c r="B39" s="529" t="s">
        <v>3176</v>
      </c>
      <c r="C39" s="530"/>
      <c r="D39" s="530"/>
      <c r="E39" s="531"/>
    </row>
    <row r="40" spans="2:5" ht="20" customHeight="1" x14ac:dyDescent="0.2">
      <c r="B40" s="505"/>
      <c r="C40" s="506"/>
      <c r="D40" s="506"/>
      <c r="E40" s="507"/>
    </row>
    <row r="41" spans="2:5" ht="20" customHeight="1" x14ac:dyDescent="0.2">
      <c r="B41" s="346" t="s">
        <v>17</v>
      </c>
      <c r="C41" s="346" t="s">
        <v>18</v>
      </c>
      <c r="D41" s="346" t="s">
        <v>19</v>
      </c>
      <c r="E41" s="346" t="s">
        <v>20</v>
      </c>
    </row>
    <row r="42" spans="2:5" ht="20" customHeight="1" x14ac:dyDescent="0.2">
      <c r="B42" s="4" t="s">
        <v>3016</v>
      </c>
      <c r="C42" s="362" t="str">
        <f>CONCATENATE(this_instance,"-w01-vc01.",sample_child_dns_zone)</f>
        <v>sfo-w01-vc01.sfo.rainpole.io</v>
      </c>
      <c r="D42" s="347"/>
      <c r="E42" s="337"/>
    </row>
    <row r="43" spans="2:5" ht="20" customHeight="1" x14ac:dyDescent="0.2">
      <c r="B43" s="4" t="s">
        <v>2726</v>
      </c>
      <c r="C43" s="362" t="str">
        <f>CONCATENATE(this_instance,"-w0",wld_domain_number_chosen,".local")</f>
        <v>sfo-w01.local</v>
      </c>
      <c r="D43" s="347"/>
      <c r="E43" s="337"/>
    </row>
    <row r="44" spans="2:5" ht="20" customHeight="1" x14ac:dyDescent="0.2">
      <c r="B44" s="4" t="s">
        <v>3018</v>
      </c>
      <c r="C44" s="362" t="str">
        <f>CONCATENATE("svc_",sample_wld_vlr_hostname,"_",CONCATENATE(this_instance,"-w01","-vc01"))</f>
        <v>svc_sfo-w01-vlr01_sfo-w01-vc01</v>
      </c>
      <c r="D44" s="347"/>
      <c r="E44" s="337"/>
    </row>
    <row r="45" spans="2:5" ht="20" customHeight="1" x14ac:dyDescent="0.2">
      <c r="B45" s="4" t="s">
        <v>3019</v>
      </c>
      <c r="C45" s="362" t="s">
        <v>141</v>
      </c>
      <c r="D45" s="347"/>
      <c r="E45" s="337"/>
    </row>
    <row r="47" spans="2:5" ht="32" customHeight="1" x14ac:dyDescent="0.2">
      <c r="B47" s="529" t="s">
        <v>3177</v>
      </c>
      <c r="C47" s="530"/>
      <c r="D47" s="530"/>
      <c r="E47" s="531"/>
    </row>
    <row r="48" spans="2:5" ht="20" customHeight="1" x14ac:dyDescent="0.2">
      <c r="B48" s="505"/>
      <c r="C48" s="506"/>
      <c r="D48" s="506"/>
      <c r="E48" s="507"/>
    </row>
    <row r="49" spans="2:5" ht="20" customHeight="1" x14ac:dyDescent="0.2">
      <c r="B49" s="346" t="s">
        <v>17</v>
      </c>
      <c r="C49" s="346" t="s">
        <v>18</v>
      </c>
      <c r="D49" s="346" t="s">
        <v>19</v>
      </c>
      <c r="E49" s="346" t="s">
        <v>20</v>
      </c>
    </row>
    <row r="50" spans="2:5" ht="20" customHeight="1" x14ac:dyDescent="0.2">
      <c r="B50" s="128" t="s">
        <v>3016</v>
      </c>
      <c r="C50" s="362" t="str">
        <f>sample_wld_rwr_vc_fqdn</f>
        <v>sfo-w01-vc01.sfo.rainpole.io</v>
      </c>
      <c r="D50" s="337" t="str">
        <f>wld_rwr_vc_fqdn</f>
        <v>Value Missing</v>
      </c>
      <c r="E50" s="337"/>
    </row>
    <row r="51" spans="2:5" ht="20" customHeight="1" x14ac:dyDescent="0.2">
      <c r="B51" s="128" t="s">
        <v>2726</v>
      </c>
      <c r="C51" s="362" t="str">
        <f>sample_wld_sso_domain_name</f>
        <v>sfo-w01.local</v>
      </c>
      <c r="D51" s="337" t="str">
        <f>wld_sso_domain_name</f>
        <v>Value Missing</v>
      </c>
      <c r="E51" s="337"/>
    </row>
    <row r="52" spans="2:5" ht="20" customHeight="1" x14ac:dyDescent="0.2">
      <c r="B52" s="128" t="s">
        <v>40</v>
      </c>
      <c r="C52" s="362" t="str">
        <f>sample_wld_vlr_replication_user</f>
        <v>svc_sfo-w01-vlr01_sfo-w01-vc01</v>
      </c>
      <c r="D52" s="337" t="str">
        <f>wld_vlr_replication_user</f>
        <v>Value Missing</v>
      </c>
      <c r="E52" s="337"/>
    </row>
    <row r="53" spans="2:5" x14ac:dyDescent="0.2">
      <c r="B53" s="301"/>
    </row>
    <row r="54" spans="2:5" ht="32" customHeight="1" x14ac:dyDescent="0.2">
      <c r="B54" s="529" t="s">
        <v>3178</v>
      </c>
      <c r="C54" s="530"/>
      <c r="D54" s="530"/>
      <c r="E54" s="531"/>
    </row>
    <row r="55" spans="2:5" ht="20" customHeight="1" x14ac:dyDescent="0.2">
      <c r="B55" s="505"/>
      <c r="C55" s="506"/>
      <c r="D55" s="506"/>
      <c r="E55" s="507"/>
    </row>
    <row r="56" spans="2:5" ht="20" customHeight="1" x14ac:dyDescent="0.2">
      <c r="B56" s="346" t="s">
        <v>17</v>
      </c>
      <c r="C56" s="346" t="s">
        <v>18</v>
      </c>
      <c r="D56" s="346" t="s">
        <v>19</v>
      </c>
      <c r="E56" s="346" t="s">
        <v>20</v>
      </c>
    </row>
    <row r="57" spans="2:5" ht="20" customHeight="1" x14ac:dyDescent="0.2">
      <c r="B57" s="4" t="s">
        <v>3023</v>
      </c>
      <c r="C57" s="362" t="str">
        <f>CONCATENATE(sample_wld_vlr_fqdn,":5480")</f>
        <v>sfo-w01-vlr01.sfo.rainpole.io:5480</v>
      </c>
      <c r="D57" s="337" t="str">
        <f>CONCATENATE(wld_vlr_fqdn,":5480")</f>
        <v>Value Missing.Value Missing:5480</v>
      </c>
      <c r="E57" s="337"/>
    </row>
    <row r="58" spans="2:5" ht="20" customHeight="1" x14ac:dyDescent="0.2">
      <c r="B58" s="4" t="s">
        <v>2859</v>
      </c>
      <c r="C58" s="362" t="str">
        <f>sample_wld_rwr_vc_fqdn</f>
        <v>sfo-w01-vc01.sfo.rainpole.io</v>
      </c>
      <c r="D58" s="337" t="str">
        <f>wld_rwr_vc_fqdn</f>
        <v>Value Missing</v>
      </c>
      <c r="E58" s="337"/>
    </row>
    <row r="59" spans="2:5" ht="20" customHeight="1" x14ac:dyDescent="0.2">
      <c r="B59" s="4" t="s">
        <v>78</v>
      </c>
      <c r="C59" s="362" t="str">
        <f>CONCATENATE(sample_wld_vlr_replication_user,"@",sample_rwr_sso_domain_name)</f>
        <v>svc_sfo-w01-vlr01_sfo-w01-vc01@sfo-w01.local</v>
      </c>
      <c r="D59" s="337" t="str">
        <f t="array" ref="D59">CONCATENATE(wld_vlr_replication_user,"@",rwr_sso_domain_name)</f>
        <v>Value Missing@Value Missing</v>
      </c>
      <c r="E59" s="337"/>
    </row>
    <row r="60" spans="2:5" ht="20" customHeight="1" x14ac:dyDescent="0.2">
      <c r="B60" s="4" t="s">
        <v>29</v>
      </c>
      <c r="C60" s="362" t="s">
        <v>141</v>
      </c>
      <c r="D60" s="337" t="str">
        <f>rwr_vlr_replication_password</f>
        <v>Value Missing</v>
      </c>
      <c r="E60" s="337"/>
    </row>
    <row r="61" spans="2:5" ht="20" customHeight="1" x14ac:dyDescent="0.2">
      <c r="B61" s="4" t="s">
        <v>1657</v>
      </c>
      <c r="C61" s="362" t="str">
        <f>sample_wld_vc_fqdn</f>
        <v>sfo-w01-vc01.sfo.rainpole.io</v>
      </c>
      <c r="D61" s="337" t="str">
        <f>wld_rwr_vc_fqdn</f>
        <v>Value Missing</v>
      </c>
      <c r="E61" s="337"/>
    </row>
    <row r="62" spans="2:5" ht="20" customHeight="1" x14ac:dyDescent="0.2">
      <c r="B62" s="4" t="s">
        <v>2743</v>
      </c>
      <c r="C62" s="362" t="str">
        <f>IF(mgmt_domain_chosen="First Instance","SFO-W01","LAX-W01 ")</f>
        <v>SFO-W01</v>
      </c>
      <c r="D62" s="347"/>
      <c r="E62" s="337"/>
    </row>
    <row r="63" spans="2:5" ht="20" customHeight="1" x14ac:dyDescent="0.2">
      <c r="B63" s="4" t="s">
        <v>2860</v>
      </c>
      <c r="C63" s="362" t="s">
        <v>3179</v>
      </c>
      <c r="D63" s="347"/>
      <c r="E63" s="337"/>
    </row>
    <row r="64" spans="2:5" ht="20" customHeight="1" x14ac:dyDescent="0.2">
      <c r="B64" s="4" t="s">
        <v>2861</v>
      </c>
      <c r="C64" s="362" t="str">
        <f>sample_wld_vlr_fqdn</f>
        <v>sfo-w01-vlr01.sfo.rainpole.io</v>
      </c>
      <c r="D64" s="337" t="str">
        <f>wld_vlr_fqdn</f>
        <v>Value Missing.Value Missing</v>
      </c>
      <c r="E64" s="337"/>
    </row>
    <row r="66" spans="2:5" ht="32" customHeight="1" x14ac:dyDescent="0.2">
      <c r="B66" s="529" t="s">
        <v>3180</v>
      </c>
      <c r="C66" s="530"/>
      <c r="D66" s="530"/>
      <c r="E66" s="531"/>
    </row>
    <row r="67" spans="2:5" ht="20" customHeight="1" x14ac:dyDescent="0.2">
      <c r="B67" s="505"/>
      <c r="C67" s="506"/>
      <c r="D67" s="506"/>
      <c r="E67" s="507"/>
    </row>
    <row r="68" spans="2:5" ht="20" customHeight="1" x14ac:dyDescent="0.2">
      <c r="B68" s="346" t="s">
        <v>17</v>
      </c>
      <c r="C68" s="346" t="s">
        <v>18</v>
      </c>
      <c r="D68" s="346" t="s">
        <v>19</v>
      </c>
      <c r="E68" s="346" t="s">
        <v>20</v>
      </c>
    </row>
    <row r="69" spans="2:5" ht="20" customHeight="1" x14ac:dyDescent="0.2">
      <c r="B69" s="4" t="s">
        <v>3016</v>
      </c>
      <c r="C69" s="362" t="str">
        <f>sample_wld_rwr_vc_fqdn</f>
        <v>sfo-w01-vc01.sfo.rainpole.io</v>
      </c>
      <c r="D69" s="337" t="str">
        <f>wld_rwr_vc_fqdn</f>
        <v>Value Missing</v>
      </c>
      <c r="E69" s="337"/>
    </row>
    <row r="70" spans="2:5" ht="20" customHeight="1" x14ac:dyDescent="0.2">
      <c r="B70" s="4" t="s">
        <v>2863</v>
      </c>
      <c r="C70" s="362" t="str">
        <f>IF(mgmt_domain_chosen="First Instance",_xlfn.CONCAT(this_instance,"-w01","-cl01","-vds01"),_xlfn.CONCAT(this_instance,"-w01","-cl01","-vds01"))</f>
        <v>sfo-w01-cl01-vds01</v>
      </c>
      <c r="D70" s="347"/>
      <c r="E70" s="337" t="str">
        <f>IF(mgmt_domain_chosen="First Instance","","vSAN Storage Cluster")</f>
        <v/>
      </c>
    </row>
    <row r="71" spans="2:5" ht="20" customHeight="1" x14ac:dyDescent="0.2">
      <c r="B71" s="4" t="s">
        <v>261</v>
      </c>
      <c r="C71" s="362" t="str">
        <f>CONCATENATE(sample_wld_rwr_cl02_vds01,"-pg-vrms")</f>
        <v>sfo-w01-cl01-vds01-pg-vrms</v>
      </c>
      <c r="D71" s="347"/>
      <c r="E71" s="337" t="str">
        <f>IF(mgmt_domain_chosen="First Instance","","vSAN Storage Cluster")</f>
        <v/>
      </c>
    </row>
    <row r="72" spans="2:5" ht="20" customHeight="1" x14ac:dyDescent="0.2">
      <c r="B72" s="4" t="s">
        <v>85</v>
      </c>
      <c r="C72" s="80" t="str">
        <f>CONCATENATE(prefix_wld_az1_vlan,"09")</f>
        <v>1309</v>
      </c>
      <c r="D72" s="347"/>
      <c r="E72" s="337"/>
    </row>
    <row r="74" spans="2:5" ht="32" customHeight="1" x14ac:dyDescent="0.2">
      <c r="B74" s="529" t="s">
        <v>3181</v>
      </c>
      <c r="C74" s="530"/>
      <c r="D74" s="530"/>
      <c r="E74" s="531"/>
    </row>
    <row r="75" spans="2:5" ht="20" customHeight="1" x14ac:dyDescent="0.2">
      <c r="B75" s="505"/>
      <c r="C75" s="506"/>
      <c r="D75" s="506"/>
      <c r="E75" s="507"/>
    </row>
    <row r="76" spans="2:5" ht="20" customHeight="1" x14ac:dyDescent="0.2">
      <c r="B76" s="346" t="s">
        <v>17</v>
      </c>
      <c r="C76" s="346" t="s">
        <v>18</v>
      </c>
      <c r="D76" s="346" t="s">
        <v>19</v>
      </c>
      <c r="E76" s="346" t="s">
        <v>20</v>
      </c>
    </row>
    <row r="77" spans="2:5" ht="20" customHeight="1" x14ac:dyDescent="0.2">
      <c r="B77" s="4" t="s">
        <v>3016</v>
      </c>
      <c r="C77" s="362" t="str">
        <f>sample_wld_rwr_vc_fqdn</f>
        <v>sfo-w01-vc01.sfo.rainpole.io</v>
      </c>
      <c r="D77" s="337" t="str">
        <f>wld_rwr_vc_fqdn</f>
        <v>Value Missing</v>
      </c>
      <c r="E77" s="337"/>
    </row>
    <row r="78" spans="2:5" ht="20" customHeight="1" x14ac:dyDescent="0.2">
      <c r="B78" s="4" t="s">
        <v>732</v>
      </c>
      <c r="C78" s="362" t="str">
        <f>IF(mgmt_domain_chosen="First Instance",sample_wld_cl01_cluster,_xlfn.CONCAT(this_instance,"-w01","-cl01"))</f>
        <v>sfo-w01-cl01</v>
      </c>
      <c r="D78" s="347"/>
      <c r="E78" s="337" t="str">
        <f>IF(mgmt_domain_chosen="First Instance","","vSAN Storage Cluster")</f>
        <v/>
      </c>
    </row>
    <row r="79" spans="2:5" ht="20" customHeight="1" x14ac:dyDescent="0.2">
      <c r="B79" s="4" t="s">
        <v>604</v>
      </c>
      <c r="C79" s="362" t="str">
        <f>IF(mgmt_domain_chosen="First Domain",sample_wld_vrms_pg,_xlfn.CONCAT(this_instance,"-w01","-cl01","-vds01-pg-vrms"))</f>
        <v>sfo-w01-cl01-vds01-pg-vrms</v>
      </c>
      <c r="D79" s="337" t="str">
        <f>rwr_vrms_pg</f>
        <v>Value Missing</v>
      </c>
      <c r="E79" s="337"/>
    </row>
    <row r="80" spans="2:5" ht="20" customHeight="1" x14ac:dyDescent="0.2">
      <c r="B80" s="4" t="s">
        <v>3182</v>
      </c>
      <c r="C80" s="362" t="str">
        <f>sample_wld_az1_host1_fqdn</f>
        <v>sfo01-w01-r01-esx01.sfo.rainpole.io</v>
      </c>
      <c r="D80" s="347"/>
      <c r="E80" s="337"/>
    </row>
    <row r="81" spans="2:5" ht="20" customHeight="1" x14ac:dyDescent="0.2">
      <c r="B81" s="4" t="s">
        <v>3183</v>
      </c>
      <c r="C81" s="362" t="str">
        <f>sample_wld_az1_host1_vrms_ip</f>
        <v>10.13.9.101</v>
      </c>
      <c r="D81" s="347"/>
      <c r="E81" s="337"/>
    </row>
    <row r="82" spans="2:5" ht="20" customHeight="1" x14ac:dyDescent="0.2">
      <c r="B82" s="4" t="s">
        <v>3184</v>
      </c>
      <c r="C82" s="362" t="s">
        <v>128</v>
      </c>
      <c r="D82" s="347"/>
      <c r="E82" s="337"/>
    </row>
    <row r="83" spans="2:5" ht="20" customHeight="1" x14ac:dyDescent="0.2">
      <c r="B83" s="4" t="s">
        <v>3185</v>
      </c>
      <c r="C83" s="362" t="str">
        <f>sample_wld_az1_host2_fqdn</f>
        <v>sfo01-w01-r01-esx02.sfo.rainpole.io</v>
      </c>
      <c r="D83" s="347"/>
      <c r="E83" s="337"/>
    </row>
    <row r="84" spans="2:5" ht="20" customHeight="1" x14ac:dyDescent="0.2">
      <c r="B84" s="4" t="s">
        <v>3186</v>
      </c>
      <c r="C84" s="362" t="str">
        <f>sample_wld_az1_host2_vrms_ip</f>
        <v>10.13.9.102</v>
      </c>
      <c r="D84" s="347"/>
      <c r="E84" s="337"/>
    </row>
    <row r="85" spans="2:5" ht="20" customHeight="1" x14ac:dyDescent="0.2">
      <c r="B85" s="4" t="s">
        <v>3187</v>
      </c>
      <c r="C85" s="362" t="str">
        <f>sample_wld_az1_vrms_mask</f>
        <v>255.255.255.0</v>
      </c>
      <c r="D85" s="337" t="str">
        <f t="array" ref="D85">wld_rwr_az1_vrms_gateway_mask</f>
        <v>Value Missing</v>
      </c>
      <c r="E85" s="337"/>
    </row>
    <row r="86" spans="2:5" ht="20" customHeight="1" x14ac:dyDescent="0.2">
      <c r="B86" s="4" t="s">
        <v>3188</v>
      </c>
      <c r="C86" s="362" t="str">
        <f>sample_wld_az1_host3_fqdn</f>
        <v>sfo01-w01-r01-esx03.sfo.rainpole.io</v>
      </c>
      <c r="D86" s="347"/>
      <c r="E86" s="337"/>
    </row>
    <row r="87" spans="2:5" ht="20" customHeight="1" x14ac:dyDescent="0.2">
      <c r="B87" s="4" t="s">
        <v>3189</v>
      </c>
      <c r="C87" s="362" t="str">
        <f>sample_wld_az1_host3_vrms_ip</f>
        <v>10.13.9.103</v>
      </c>
      <c r="D87" s="347"/>
      <c r="E87" s="337"/>
    </row>
    <row r="88" spans="2:5" ht="20" customHeight="1" x14ac:dyDescent="0.2">
      <c r="B88" s="4" t="s">
        <v>3190</v>
      </c>
      <c r="C88" s="362" t="str">
        <f>sample_wld_az1_vrms_mask</f>
        <v>255.255.255.0</v>
      </c>
      <c r="D88" s="337" t="str">
        <f t="array" ref="D88">wld_rwr_az1_vrms_gateway_mask</f>
        <v>Value Missing</v>
      </c>
      <c r="E88" s="337"/>
    </row>
    <row r="89" spans="2:5" ht="20" customHeight="1" x14ac:dyDescent="0.2">
      <c r="B89" s="4" t="s">
        <v>3191</v>
      </c>
      <c r="C89" s="362" t="str">
        <f>sample_wld_az1_host4_fqdn</f>
        <v>sfo01-w01-r01-esx04.sfo.rainpole.io</v>
      </c>
      <c r="D89" s="347"/>
      <c r="E89" s="337"/>
    </row>
    <row r="90" spans="2:5" ht="20" customHeight="1" x14ac:dyDescent="0.2">
      <c r="B90" s="4" t="s">
        <v>3192</v>
      </c>
      <c r="C90" s="362" t="str">
        <f>sample_wld_az1_host4_vrms_ip</f>
        <v>10.13.9.104</v>
      </c>
      <c r="D90" s="347"/>
      <c r="E90" s="337"/>
    </row>
    <row r="91" spans="2:5" ht="20" customHeight="1" x14ac:dyDescent="0.2">
      <c r="B91" s="4" t="s">
        <v>3193</v>
      </c>
      <c r="C91" s="362" t="str">
        <f>sample_wld_az1_vrms_mask</f>
        <v>255.255.255.0</v>
      </c>
      <c r="D91" s="337" t="str">
        <f t="array" ref="D91">wld_rwr_az1_vrms_gateway_mask</f>
        <v>Value Missing</v>
      </c>
      <c r="E91" s="337"/>
    </row>
    <row r="93" spans="2:5" ht="32" customHeight="1" x14ac:dyDescent="0.2">
      <c r="B93" s="529" t="s">
        <v>3194</v>
      </c>
      <c r="C93" s="530"/>
      <c r="D93" s="530"/>
      <c r="E93" s="531"/>
    </row>
    <row r="94" spans="2:5" ht="20" customHeight="1" x14ac:dyDescent="0.2">
      <c r="B94" s="505"/>
      <c r="C94" s="506"/>
      <c r="D94" s="506"/>
      <c r="E94" s="507"/>
    </row>
    <row r="95" spans="2:5" ht="20" customHeight="1" x14ac:dyDescent="0.2">
      <c r="B95" s="346" t="s">
        <v>17</v>
      </c>
      <c r="C95" s="346" t="s">
        <v>18</v>
      </c>
      <c r="D95" s="346" t="s">
        <v>19</v>
      </c>
      <c r="E95" s="346" t="s">
        <v>20</v>
      </c>
    </row>
    <row r="96" spans="2:5" ht="20" customHeight="1" x14ac:dyDescent="0.2">
      <c r="B96" s="4" t="s">
        <v>3016</v>
      </c>
      <c r="C96" s="362" t="str">
        <f>sample_wld_rwr_vc_fqdn</f>
        <v>sfo-w01-vc01.sfo.rainpole.io</v>
      </c>
      <c r="D96" s="337" t="str">
        <f>wld_rwr_vc_fqdn</f>
        <v>Value Missing</v>
      </c>
      <c r="E96" s="337"/>
    </row>
    <row r="97" spans="2:5" ht="20" customHeight="1" x14ac:dyDescent="0.2">
      <c r="B97" s="4" t="s">
        <v>732</v>
      </c>
      <c r="C97" s="362" t="str">
        <f>sample_wld_rwr_cl02_cluster</f>
        <v>sfo-w01-cl01</v>
      </c>
      <c r="D97" s="337" t="str">
        <f t="array" ref="D97">wld_rwr_cl02_cluster</f>
        <v>Value Missing</v>
      </c>
      <c r="E97" s="337" t="str">
        <f>IF(mgmt_domain_chosen="First Instance","","vSAN Storage Cluster")</f>
        <v/>
      </c>
    </row>
    <row r="98" spans="2:5" ht="20" customHeight="1" x14ac:dyDescent="0.2">
      <c r="B98" s="4" t="s">
        <v>3182</v>
      </c>
      <c r="C98" s="362" t="str">
        <f>sample_wld_az1_host1_fqdn</f>
        <v>sfo01-w01-r01-esx01.sfo.rainpole.io</v>
      </c>
      <c r="D98" s="347"/>
      <c r="E98" s="337"/>
    </row>
    <row r="99" spans="2:5" ht="20" customHeight="1" x14ac:dyDescent="0.2">
      <c r="B99" s="4" t="s">
        <v>3195</v>
      </c>
      <c r="C99" s="362" t="str">
        <f>CONCATENATE(prefix_wld_az1_cidr,"9.1")</f>
        <v>10.13.9.1</v>
      </c>
      <c r="D99" s="347"/>
      <c r="E99" s="337"/>
    </row>
    <row r="100" spans="2:5" ht="20" customHeight="1" x14ac:dyDescent="0.2">
      <c r="B100" s="4" t="s">
        <v>3196</v>
      </c>
      <c r="C100" s="362" t="str">
        <f>CONCATENATE(wld_rwr_recoverysite_prefix,"9.0/24")</f>
        <v>10.23.9.0/24</v>
      </c>
      <c r="D100" s="347"/>
      <c r="E100" s="337"/>
    </row>
    <row r="101" spans="2:5" ht="20" customHeight="1" x14ac:dyDescent="0.2">
      <c r="B101" s="4" t="s">
        <v>3197</v>
      </c>
      <c r="C101" s="362" t="str">
        <f>CONCATENATE(prefix_other_region_az1_cidr,"10.0/24")</f>
        <v>10.21.10.0/24</v>
      </c>
      <c r="D101" s="347"/>
      <c r="E101" s="337"/>
    </row>
    <row r="102" spans="2:5" ht="20" customHeight="1" x14ac:dyDescent="0.2">
      <c r="B102" s="4" t="s">
        <v>3185</v>
      </c>
      <c r="C102" s="362" t="str">
        <f>sample_wld_az1_host2_fqdn</f>
        <v>sfo01-w01-r01-esx02.sfo.rainpole.io</v>
      </c>
      <c r="D102" s="347"/>
      <c r="E102" s="337"/>
    </row>
    <row r="103" spans="2:5" ht="20" customHeight="1" x14ac:dyDescent="0.2">
      <c r="B103" s="4" t="s">
        <v>3198</v>
      </c>
      <c r="C103" s="362" t="str">
        <f>sample_wld_az1_vrms_gateway_ip</f>
        <v>10.13.9.1</v>
      </c>
      <c r="D103" s="337" t="str">
        <f>wld_rwr_az1_vrms_gateway_ip</f>
        <v>Value Missing</v>
      </c>
      <c r="E103" s="337"/>
    </row>
    <row r="104" spans="2:5" ht="20" customHeight="1" x14ac:dyDescent="0.2">
      <c r="B104" s="4" t="s">
        <v>3199</v>
      </c>
      <c r="C104" s="362" t="str">
        <f>CONCATENATE(wld_rwr_recoverysite_prefix,"9.0/24")</f>
        <v>10.23.9.0/24</v>
      </c>
      <c r="D104" s="337" t="str">
        <f>wld_rwr_recovery_site_az1_vrms_cidr</f>
        <v>Value Missing</v>
      </c>
      <c r="E104" s="337"/>
    </row>
    <row r="105" spans="2:5" ht="20" customHeight="1" x14ac:dyDescent="0.2">
      <c r="B105" s="4" t="s">
        <v>3200</v>
      </c>
      <c r="C105" s="362" t="str">
        <f>sample_mgmt_rwr_recovery_site_az1_mgmt_cidr</f>
        <v>10.21.10.0/24</v>
      </c>
      <c r="D105" s="337" t="str">
        <f>mgmt_rwr_recovery_site_az1_mgmt_cidr</f>
        <v>Value Missing</v>
      </c>
      <c r="E105" s="337"/>
    </row>
    <row r="106" spans="2:5" ht="20" customHeight="1" x14ac:dyDescent="0.2">
      <c r="B106" s="4" t="s">
        <v>3188</v>
      </c>
      <c r="C106" s="362" t="str">
        <f>sample_wld_az1_host3_fqdn</f>
        <v>sfo01-w01-r01-esx03.sfo.rainpole.io</v>
      </c>
      <c r="D106" s="347"/>
      <c r="E106" s="337"/>
    </row>
    <row r="107" spans="2:5" ht="20" customHeight="1" x14ac:dyDescent="0.2">
      <c r="B107" s="4" t="s">
        <v>3201</v>
      </c>
      <c r="C107" s="362" t="str">
        <f>sample_wld_az1_vrms_gateway_ip</f>
        <v>10.13.9.1</v>
      </c>
      <c r="D107" s="337" t="str">
        <f>wld_rwr_az1_vrms_gateway_ip</f>
        <v>Value Missing</v>
      </c>
      <c r="E107" s="337"/>
    </row>
    <row r="108" spans="2:5" ht="20" customHeight="1" x14ac:dyDescent="0.2">
      <c r="B108" s="4" t="s">
        <v>3202</v>
      </c>
      <c r="C108" s="362" t="str">
        <f>CONCATENATE(wld_rwr_recoverysite_prefix,"9.0/24")</f>
        <v>10.23.9.0/24</v>
      </c>
      <c r="D108" s="337" t="str">
        <f>wld_rwr_recovery_site_az1_vrms_cidr</f>
        <v>Value Missing</v>
      </c>
      <c r="E108" s="337"/>
    </row>
    <row r="109" spans="2:5" ht="20" customHeight="1" x14ac:dyDescent="0.2">
      <c r="B109" s="4" t="s">
        <v>3203</v>
      </c>
      <c r="C109" s="362" t="str">
        <f>sample_mgmt_rwr_recovery_site_az1_mgmt_cidr</f>
        <v>10.21.10.0/24</v>
      </c>
      <c r="D109" s="337" t="str">
        <f>mgmt_rwr_recovery_site_az1_mgmt_cidr</f>
        <v>Value Missing</v>
      </c>
      <c r="E109" s="337"/>
    </row>
    <row r="110" spans="2:5" ht="20" customHeight="1" x14ac:dyDescent="0.2">
      <c r="B110" s="4" t="s">
        <v>3191</v>
      </c>
      <c r="C110" s="362" t="str">
        <f>sample_wld_az1_host4_fqdn</f>
        <v>sfo01-w01-r01-esx04.sfo.rainpole.io</v>
      </c>
      <c r="D110" s="347"/>
      <c r="E110" s="337"/>
    </row>
    <row r="111" spans="2:5" ht="20" customHeight="1" x14ac:dyDescent="0.2">
      <c r="B111" s="4" t="s">
        <v>3204</v>
      </c>
      <c r="C111" s="362" t="str">
        <f>sample_wld_az1_vrms_gateway_ip</f>
        <v>10.13.9.1</v>
      </c>
      <c r="D111" s="337" t="str">
        <f>wld_rwr_az1_vrms_gateway_ip</f>
        <v>Value Missing</v>
      </c>
      <c r="E111" s="337"/>
    </row>
    <row r="112" spans="2:5" ht="20" customHeight="1" x14ac:dyDescent="0.2">
      <c r="B112" s="4" t="s">
        <v>3205</v>
      </c>
      <c r="C112" s="362" t="str">
        <f>CONCATENATE(wld_rwr_recoverysite_prefix,"9.0/24")</f>
        <v>10.23.9.0/24</v>
      </c>
      <c r="D112" s="337" t="str">
        <f>wld_rwr_recovery_site_az1_vrms_cidr</f>
        <v>Value Missing</v>
      </c>
      <c r="E112" s="337"/>
    </row>
    <row r="113" spans="2:5" ht="20" customHeight="1" x14ac:dyDescent="0.2">
      <c r="B113" s="4" t="s">
        <v>3206</v>
      </c>
      <c r="C113" s="362" t="str">
        <f>sample_mgmt_rwr_recovery_site_az1_mgmt_cidr</f>
        <v>10.21.10.0/24</v>
      </c>
      <c r="D113" s="337" t="str">
        <f>mgmt_rwr_recovery_site_az1_mgmt_cidr</f>
        <v>Value Missing</v>
      </c>
      <c r="E113" s="337"/>
    </row>
    <row r="115" spans="2:5" ht="32" customHeight="1" x14ac:dyDescent="0.2">
      <c r="B115" s="529" t="s">
        <v>3207</v>
      </c>
      <c r="C115" s="530"/>
      <c r="D115" s="530"/>
      <c r="E115" s="531"/>
    </row>
    <row r="116" spans="2:5" ht="20" customHeight="1" x14ac:dyDescent="0.2">
      <c r="B116" s="505"/>
      <c r="C116" s="506"/>
      <c r="D116" s="506"/>
      <c r="E116" s="507"/>
    </row>
    <row r="117" spans="2:5" ht="20" customHeight="1" x14ac:dyDescent="0.2">
      <c r="B117" s="346" t="s">
        <v>17</v>
      </c>
      <c r="C117" s="346" t="s">
        <v>18</v>
      </c>
      <c r="D117" s="346" t="s">
        <v>19</v>
      </c>
      <c r="E117" s="346" t="s">
        <v>20</v>
      </c>
    </row>
    <row r="118" spans="2:5" ht="20" customHeight="1" x14ac:dyDescent="0.2">
      <c r="B118" s="297" t="s">
        <v>3208</v>
      </c>
      <c r="C118" s="362" t="str">
        <f>CONCATENATE(this_instance,"-w01-nsx01.",this_instance,".",sample_parent_dns_zone)</f>
        <v>sfo-w01-nsx01.sfo.rainpole.io</v>
      </c>
      <c r="D118" s="347"/>
      <c r="E118" s="337"/>
    </row>
    <row r="119" spans="2:5" ht="20" customHeight="1" x14ac:dyDescent="0.2">
      <c r="B119" s="505" t="s">
        <v>3209</v>
      </c>
      <c r="C119" s="506"/>
      <c r="D119" s="506"/>
      <c r="E119" s="507"/>
    </row>
    <row r="120" spans="2:5" ht="20" customHeight="1" x14ac:dyDescent="0.2">
      <c r="B120" s="4" t="s">
        <v>3210</v>
      </c>
      <c r="C120" s="362" t="s">
        <v>3211</v>
      </c>
      <c r="D120" s="347"/>
      <c r="E120" s="337"/>
    </row>
    <row r="121" spans="2:5" ht="20" customHeight="1" x14ac:dyDescent="0.2">
      <c r="B121" s="4" t="s">
        <v>3212</v>
      </c>
      <c r="C121" s="362" t="s">
        <v>3213</v>
      </c>
      <c r="D121" s="347"/>
      <c r="E121" s="337"/>
    </row>
    <row r="122" spans="2:5" ht="20" customHeight="1" x14ac:dyDescent="0.2">
      <c r="B122" s="4" t="s">
        <v>3214</v>
      </c>
      <c r="C122" s="362" t="s">
        <v>3215</v>
      </c>
      <c r="D122" s="347"/>
      <c r="E122" s="337"/>
    </row>
    <row r="123" spans="2:5" ht="20" customHeight="1" x14ac:dyDescent="0.2">
      <c r="B123" s="4" t="s">
        <v>3216</v>
      </c>
      <c r="C123" s="362" t="str">
        <f>CONCATENATE(this_instance,"-w01","-ec01")</f>
        <v>sfo-w01-ec01</v>
      </c>
      <c r="D123" s="347"/>
      <c r="E123" s="337"/>
    </row>
    <row r="124" spans="2:5" ht="20" customHeight="1" x14ac:dyDescent="0.2">
      <c r="B124" s="505" t="s">
        <v>3217</v>
      </c>
      <c r="C124" s="506"/>
      <c r="D124" s="506"/>
      <c r="E124" s="507"/>
    </row>
    <row r="125" spans="2:5" ht="20" customHeight="1" x14ac:dyDescent="0.2">
      <c r="B125" s="4" t="s">
        <v>480</v>
      </c>
      <c r="C125" s="362" t="str">
        <f>CONCATENATE(this_instance,"-w01","-ec01","-t1","-gw01")</f>
        <v>sfo-w01-ec01-t1-gw01</v>
      </c>
      <c r="D125" s="347"/>
      <c r="E125" s="337"/>
    </row>
    <row r="126" spans="2:5" ht="20" customHeight="1" x14ac:dyDescent="0.2">
      <c r="B126" s="4" t="s">
        <v>481</v>
      </c>
      <c r="C126" s="362" t="str">
        <f>CONCATENATE(this_instance,"-w01","-ec01","-t0","-gw01")</f>
        <v>sfo-w01-ec01-t0-gw01</v>
      </c>
      <c r="D126" s="347"/>
      <c r="E126" s="337"/>
    </row>
    <row r="127" spans="2:5" ht="20" customHeight="1" x14ac:dyDescent="0.2">
      <c r="B127" s="4" t="s">
        <v>88</v>
      </c>
      <c r="C127" s="362" t="str">
        <f>sample_wld_rwr_recovery_site_nsx_ec_name</f>
        <v>sfo-w01-ec01</v>
      </c>
      <c r="D127" s="347"/>
      <c r="E127" s="337"/>
    </row>
    <row r="128" spans="2:5" ht="20" customHeight="1" x14ac:dyDescent="0.2">
      <c r="B128" s="505" t="s">
        <v>3218</v>
      </c>
      <c r="C128" s="506"/>
      <c r="D128" s="506"/>
      <c r="E128" s="507"/>
    </row>
    <row r="129" spans="2:5" ht="20" customHeight="1" x14ac:dyDescent="0.2">
      <c r="B129" s="4" t="s">
        <v>3219</v>
      </c>
      <c r="C129" s="362" t="str">
        <f>CONCATENATE(this_instance,"-w01-seg01-","rwr-ire")</f>
        <v>sfo-w01-seg01-rwr-ire</v>
      </c>
      <c r="D129" s="347"/>
      <c r="E129" s="337"/>
    </row>
    <row r="130" spans="2:5" ht="20" customHeight="1" x14ac:dyDescent="0.2">
      <c r="B130" s="4" t="s">
        <v>3220</v>
      </c>
      <c r="C130" s="362" t="str">
        <f>sample_wld_rwr_recovery_site_nsx_ec_t1_name</f>
        <v>sfo-w01-ec01-t1-gw01</v>
      </c>
      <c r="D130" s="347"/>
      <c r="E130" s="337"/>
    </row>
    <row r="131" spans="2:5" ht="20" customHeight="1" x14ac:dyDescent="0.2">
      <c r="B131" s="4" t="s">
        <v>3221</v>
      </c>
      <c r="C131" s="362" t="str">
        <f>CONCATENATE("overlay-tz-",this_instance,"-w01-nsx01")</f>
        <v>overlay-tz-sfo-w01-nsx01</v>
      </c>
      <c r="D131" s="347"/>
      <c r="E131" s="337"/>
    </row>
    <row r="132" spans="2:5" ht="20" customHeight="1" x14ac:dyDescent="0.2">
      <c r="B132" s="4" t="s">
        <v>3222</v>
      </c>
      <c r="C132" s="362" t="s">
        <v>3223</v>
      </c>
      <c r="D132" s="347"/>
      <c r="E132" s="337"/>
    </row>
    <row r="133" spans="2:5" ht="20" customHeight="1" x14ac:dyDescent="0.2">
      <c r="B133" s="505" t="s">
        <v>3224</v>
      </c>
      <c r="C133" s="506"/>
      <c r="D133" s="506"/>
      <c r="E133" s="507"/>
    </row>
    <row r="134" spans="2:5" ht="20" customHeight="1" x14ac:dyDescent="0.2">
      <c r="B134" s="4" t="s">
        <v>3225</v>
      </c>
      <c r="C134" s="362" t="str">
        <f>C120</f>
        <v>tier1_dhcp_profile</v>
      </c>
      <c r="D134" s="347"/>
      <c r="E134" s="337"/>
    </row>
    <row r="135" spans="2:5" ht="20" customHeight="1" x14ac:dyDescent="0.2">
      <c r="B135" s="4" t="s">
        <v>3226</v>
      </c>
      <c r="C135" s="362" t="s">
        <v>3227</v>
      </c>
      <c r="D135" s="347"/>
      <c r="E135" s="337"/>
    </row>
    <row r="136" spans="2:5" ht="20" customHeight="1" x14ac:dyDescent="0.2">
      <c r="B136" s="4" t="s">
        <v>3228</v>
      </c>
      <c r="C136" s="362" t="s">
        <v>3229</v>
      </c>
      <c r="D136" s="347"/>
      <c r="E136" s="337"/>
    </row>
    <row r="137" spans="2:5" ht="20" customHeight="1" x14ac:dyDescent="0.2">
      <c r="B137" s="4" t="s">
        <v>608</v>
      </c>
      <c r="C137" s="362" t="str">
        <f>CONCATENATE(sample_region_dns1_ip,",",sample_region_dns2_ip)</f>
        <v>10.11.10.4,10.11.10.5</v>
      </c>
      <c r="D137" s="347"/>
      <c r="E137" s="337"/>
    </row>
    <row r="138" spans="2:5" x14ac:dyDescent="0.2">
      <c r="C138" s="142"/>
    </row>
    <row r="139" spans="2:5" ht="32" customHeight="1" x14ac:dyDescent="0.2">
      <c r="B139" s="529" t="s">
        <v>3230</v>
      </c>
      <c r="C139" s="530"/>
      <c r="D139" s="530"/>
      <c r="E139" s="531"/>
    </row>
    <row r="140" spans="2:5" ht="20" customHeight="1" x14ac:dyDescent="0.2">
      <c r="B140" s="505"/>
      <c r="C140" s="506"/>
      <c r="D140" s="506"/>
      <c r="E140" s="507"/>
    </row>
    <row r="141" spans="2:5" ht="20" customHeight="1" x14ac:dyDescent="0.2">
      <c r="B141" s="346" t="s">
        <v>17</v>
      </c>
      <c r="C141" s="346" t="s">
        <v>18</v>
      </c>
      <c r="D141" s="346" t="s">
        <v>19</v>
      </c>
      <c r="E141" s="346" t="s">
        <v>20</v>
      </c>
    </row>
    <row r="142" spans="2:5" ht="20" customHeight="1" x14ac:dyDescent="0.2">
      <c r="B142" s="4" t="s">
        <v>3016</v>
      </c>
      <c r="C142" s="362" t="str">
        <f>sample_wld_rwr_vc_fqdn</f>
        <v>sfo-w01-vc01.sfo.rainpole.io</v>
      </c>
      <c r="D142" s="337" t="str">
        <f>wld_rwr_vc_fqdn</f>
        <v>Value Missing</v>
      </c>
      <c r="E142" s="337"/>
    </row>
    <row r="143" spans="2:5" ht="20" customHeight="1" x14ac:dyDescent="0.2">
      <c r="B143" s="4" t="s">
        <v>3231</v>
      </c>
      <c r="C143" s="362" t="str">
        <f>sample_wld_datacenter</f>
        <v>sfo-w01-dc</v>
      </c>
      <c r="D143" s="347"/>
      <c r="E143" s="337"/>
    </row>
    <row r="144" spans="2:5" ht="20" customHeight="1" x14ac:dyDescent="0.2">
      <c r="B144" s="4" t="s">
        <v>2764</v>
      </c>
      <c r="C144" s="362" t="str">
        <f>(CONCATENATE(sample_wld_sddc_domain,"-fd-workload"))</f>
        <v>sfo-w01-fd-workload</v>
      </c>
      <c r="D144" s="347"/>
      <c r="E144" s="337"/>
    </row>
    <row r="146" spans="2:5" ht="34" customHeight="1" x14ac:dyDescent="0.2">
      <c r="B146" s="529" t="s">
        <v>3232</v>
      </c>
      <c r="C146" s="530"/>
      <c r="D146" s="530"/>
      <c r="E146" s="531"/>
    </row>
    <row r="148" spans="2:5" ht="32" customHeight="1" x14ac:dyDescent="0.2">
      <c r="B148" s="529" t="s">
        <v>3233</v>
      </c>
      <c r="C148" s="530"/>
      <c r="D148" s="530"/>
      <c r="E148" s="531"/>
    </row>
    <row r="149" spans="2:5" ht="20" customHeight="1" x14ac:dyDescent="0.2">
      <c r="B149" s="505"/>
      <c r="C149" s="506"/>
      <c r="D149" s="506"/>
      <c r="E149" s="507"/>
    </row>
    <row r="150" spans="2:5" ht="20" customHeight="1" x14ac:dyDescent="0.2">
      <c r="B150" s="346" t="s">
        <v>17</v>
      </c>
      <c r="C150" s="346" t="s">
        <v>18</v>
      </c>
      <c r="D150" s="346" t="s">
        <v>19</v>
      </c>
      <c r="E150" s="346" t="s">
        <v>20</v>
      </c>
    </row>
    <row r="151" spans="2:5" ht="20" customHeight="1" x14ac:dyDescent="0.2">
      <c r="B151" s="4" t="s">
        <v>3016</v>
      </c>
      <c r="C151" s="362" t="str">
        <f>sample_wld_rwr_vc_fqdn</f>
        <v>sfo-w01-vc01.sfo.rainpole.io</v>
      </c>
      <c r="D151" s="337" t="str">
        <f>wld_rwr_vc_fqdn</f>
        <v>Value Missing</v>
      </c>
      <c r="E151" s="337"/>
    </row>
    <row r="152" spans="2:5" ht="20" customHeight="1" x14ac:dyDescent="0.2">
      <c r="B152" s="4" t="s">
        <v>2922</v>
      </c>
      <c r="C152" s="362" t="str">
        <f>sample_wld_rwr_vc_fqdn</f>
        <v>sfo-w01-vc01.sfo.rainpole.io</v>
      </c>
      <c r="D152" s="337" t="str">
        <f>wld_rwr_vc_fqdn</f>
        <v>Value Missing</v>
      </c>
      <c r="E152" s="337"/>
    </row>
    <row r="153" spans="2:5" ht="20" customHeight="1" x14ac:dyDescent="0.2">
      <c r="B153" s="4" t="s">
        <v>2859</v>
      </c>
      <c r="C153" s="362" t="str">
        <f>CONCATENATE(other_instance,"-w01-vc01.",other_instance,".",sample_parent_dns_zone)</f>
        <v>lax-w01-vc01.lax.rainpole.io</v>
      </c>
      <c r="D153" s="347"/>
      <c r="E153" s="337"/>
    </row>
    <row r="154" spans="2:5" ht="20" customHeight="1" x14ac:dyDescent="0.2">
      <c r="B154" s="4" t="s">
        <v>78</v>
      </c>
      <c r="C154" s="362" t="s">
        <v>3234</v>
      </c>
      <c r="D154" s="337" t="str">
        <f>CONCATENATE(wld_vlr_replication_user,"@",rwr_sso_domain_name)</f>
        <v>Value Missing@Value Missing</v>
      </c>
      <c r="E154" s="337"/>
    </row>
    <row r="155" spans="2:5" ht="20" customHeight="1" x14ac:dyDescent="0.2">
      <c r="B155" s="4" t="s">
        <v>29</v>
      </c>
      <c r="C155" s="362" t="s">
        <v>141</v>
      </c>
      <c r="D155" s="337" t="str">
        <f>rwr_vlr_replication_password</f>
        <v>Value Missing</v>
      </c>
      <c r="E155" s="337"/>
    </row>
    <row r="156" spans="2:5" ht="20" customHeight="1" x14ac:dyDescent="0.2">
      <c r="B156" s="4" t="s">
        <v>2925</v>
      </c>
      <c r="C156" s="362" t="str">
        <f>sample_wld_rwr_recovery_site_vc_fqdn</f>
        <v>lax-w01-vc01.lax.rainpole.io</v>
      </c>
      <c r="D156" s="337" t="str">
        <f t="array" ref="D156">wld_rwr_recovery_site_vc_fqdn</f>
        <v>Value Missing</v>
      </c>
      <c r="E156" s="337"/>
    </row>
    <row r="157" spans="2:5" ht="20" customHeight="1" x14ac:dyDescent="0.2">
      <c r="B157" s="296"/>
      <c r="C157" s="142"/>
      <c r="D157" s="1"/>
    </row>
    <row r="158" spans="2:5" ht="34" customHeight="1" x14ac:dyDescent="0.2">
      <c r="B158" s="529" t="s">
        <v>3233</v>
      </c>
      <c r="C158" s="530"/>
      <c r="D158" s="530"/>
      <c r="E158" s="531"/>
    </row>
    <row r="159" spans="2:5" ht="20" customHeight="1" x14ac:dyDescent="0.2">
      <c r="B159" s="505"/>
      <c r="C159" s="506"/>
      <c r="D159" s="506"/>
      <c r="E159" s="507"/>
    </row>
    <row r="160" spans="2:5" ht="20" customHeight="1" x14ac:dyDescent="0.2">
      <c r="B160" s="346" t="s">
        <v>17</v>
      </c>
      <c r="C160" s="346" t="s">
        <v>18</v>
      </c>
      <c r="D160" s="346" t="s">
        <v>19</v>
      </c>
      <c r="E160" s="346" t="s">
        <v>20</v>
      </c>
    </row>
    <row r="161" spans="2:5" ht="20" customHeight="1" x14ac:dyDescent="0.2">
      <c r="B161" s="288" t="s">
        <v>3016</v>
      </c>
      <c r="C161" s="362" t="str">
        <f>sample_wld_rwr_vc_fqdn</f>
        <v>sfo-w01-vc01.sfo.rainpole.io</v>
      </c>
      <c r="D161" s="337" t="str">
        <f>wld_rwr_vc_fqdn</f>
        <v>Value Missing</v>
      </c>
      <c r="E161" s="337"/>
    </row>
    <row r="162" spans="2:5" ht="20" customHeight="1" x14ac:dyDescent="0.2">
      <c r="B162" s="288" t="s">
        <v>1657</v>
      </c>
      <c r="C162" s="362" t="str">
        <f>sample_wld_rwr_vc_fqdn</f>
        <v>sfo-w01-vc01.sfo.rainpole.io</v>
      </c>
      <c r="D162" s="337" t="str">
        <f>wld_rwr_vc_fqdn</f>
        <v>Value Missing</v>
      </c>
      <c r="E162" s="337"/>
    </row>
    <row r="163" spans="2:5" ht="20" customHeight="1" x14ac:dyDescent="0.2">
      <c r="B163" s="288" t="s">
        <v>3047</v>
      </c>
      <c r="C163" s="362" t="s">
        <v>3048</v>
      </c>
      <c r="D163" s="347"/>
      <c r="E163" s="337"/>
    </row>
    <row r="164" spans="2:5" ht="20" customHeight="1" x14ac:dyDescent="0.2">
      <c r="B164" s="288" t="s">
        <v>3235</v>
      </c>
      <c r="C164" s="362" t="s">
        <v>3048</v>
      </c>
      <c r="D164" s="347"/>
      <c r="E164" s="337"/>
    </row>
    <row r="166" spans="2:5" ht="32" customHeight="1" x14ac:dyDescent="0.2">
      <c r="B166" s="529" t="s">
        <v>3236</v>
      </c>
      <c r="C166" s="530"/>
      <c r="D166" s="530"/>
      <c r="E166" s="531"/>
    </row>
    <row r="167" spans="2:5" ht="20" customHeight="1" x14ac:dyDescent="0.2">
      <c r="B167" s="505"/>
      <c r="C167" s="506"/>
      <c r="D167" s="506"/>
      <c r="E167" s="507"/>
    </row>
    <row r="168" spans="2:5" ht="20" customHeight="1" x14ac:dyDescent="0.2">
      <c r="B168" s="346" t="s">
        <v>17</v>
      </c>
      <c r="C168" s="346" t="s">
        <v>18</v>
      </c>
      <c r="D168" s="346" t="s">
        <v>19</v>
      </c>
      <c r="E168" s="346" t="s">
        <v>20</v>
      </c>
    </row>
    <row r="169" spans="2:5" ht="20" customHeight="1" x14ac:dyDescent="0.2">
      <c r="B169" s="4" t="s">
        <v>3016</v>
      </c>
      <c r="C169" s="362" t="str">
        <f>sample_wld_rwr_vc_fqdn</f>
        <v>sfo-w01-vc01.sfo.rainpole.io</v>
      </c>
      <c r="D169" s="337" t="str">
        <f>wld_rwr_vc_fqdn</f>
        <v>Value Missing</v>
      </c>
      <c r="E169" s="337"/>
    </row>
    <row r="170" spans="2:5" ht="20" customHeight="1" x14ac:dyDescent="0.2">
      <c r="B170" s="4" t="s">
        <v>3051</v>
      </c>
      <c r="C170" s="362" t="str">
        <f>(CONCATENATE(sample_wld_vc_fqdn,"&lt;-&gt;",sample_wld_rwr_recovery_site_vc_fqdn))</f>
        <v>sfo-w01-vc01.sfo.rainpole.io&lt;-&gt;lax-w01-vc01.lax.rainpole.io</v>
      </c>
      <c r="D170" s="347"/>
      <c r="E170" s="337"/>
    </row>
    <row r="171" spans="2:5" ht="20" customHeight="1" x14ac:dyDescent="0.2">
      <c r="B171" s="4" t="s">
        <v>3237</v>
      </c>
      <c r="C171" s="362" t="str">
        <f>(CONCATENATE(sample_wld_rwr_cl02_vds01,"&lt;-&gt;",sample_wld_cl01_az1_mgmt_vm_pg))</f>
        <v>sfo-w01-cl01-vds01&lt;-&gt;sfo-w01-cl01-vds01-pg-vm-mgmt</v>
      </c>
      <c r="D171" s="347"/>
      <c r="E171" s="337"/>
    </row>
    <row r="172" spans="2:5" ht="20" customHeight="1" x14ac:dyDescent="0.2">
      <c r="B172" s="4" t="s">
        <v>3238</v>
      </c>
      <c r="C172" s="362" t="str">
        <f>_xlfn.CONCAT(other_instance,"-w01","-cl02-vds01","&lt;-&gt;",CONCATENATE(other_instance,"-w01-seg01-","rwr-ire"))</f>
        <v>lax-w01-cl02-vds01&lt;-&gt;lax-w01-seg01-rwr-ire</v>
      </c>
      <c r="D172" s="347"/>
      <c r="E172" s="337" t="s">
        <v>3239</v>
      </c>
    </row>
    <row r="173" spans="2:5" ht="20" customHeight="1" x14ac:dyDescent="0.2">
      <c r="B173" s="4" t="s">
        <v>3240</v>
      </c>
      <c r="C173" s="362" t="str">
        <f>(CONCATENATE(sample_wld_datacenter,"&lt;-&gt;",sample_wld_rwr_recoverysite_fd))</f>
        <v>sfo-w01-dc&lt;-&gt;sfo-w01-fd-workload</v>
      </c>
      <c r="D173" s="337" t="str">
        <f>CONCATENATE(rwr_datacenter, "&lt;-&gt;",wld_rwr_recoverysite_fd)</f>
        <v>Value Missing&lt;-&gt;Value Missing</v>
      </c>
      <c r="E173" s="337"/>
    </row>
    <row r="174" spans="2:5" ht="20" customHeight="1" x14ac:dyDescent="0.2">
      <c r="B174" s="4" t="s">
        <v>3241</v>
      </c>
      <c r="C174" s="362" t="str">
        <f>_xlfn.CONCAT(other_instance,"-w01","dc","&lt;-&gt;",other_instance,"-w01","-fd","-workload")</f>
        <v>lax-w01dc&lt;-&gt;lax-w01-fd-workload</v>
      </c>
      <c r="D174" s="347"/>
      <c r="E174" s="337"/>
    </row>
    <row r="175" spans="2:5" ht="20" customHeight="1" x14ac:dyDescent="0.2">
      <c r="B175" s="4" t="s">
        <v>3242</v>
      </c>
      <c r="C175" s="362" t="str">
        <f>(CONCATENATE(sample_rwr_datacenter,"&lt;-&gt;",sample_wld_rwr_cl02_cluster))</f>
        <v>sfo-w01-dc&lt;-&gt;sfo-w01-cl01</v>
      </c>
      <c r="D175" s="337" t="str">
        <f>CONCATENATE(rwr_datacenter, "&lt;-&gt;",wld_rwr_cl02_cluster)</f>
        <v>Value Missing&lt;-&gt;Value Missing</v>
      </c>
      <c r="E175" s="337"/>
    </row>
    <row r="176" spans="2:5" ht="20" customHeight="1" x14ac:dyDescent="0.2">
      <c r="B176" s="4" t="s">
        <v>3243</v>
      </c>
      <c r="C176" s="362" t="str">
        <f>_xlfn.CONCAT(other_instance,"-w01","-dc","&lt;-&gt;",other_instance,"-w01","-cl02")</f>
        <v>lax-w01-dc&lt;-&gt;lax-w01-cl02</v>
      </c>
      <c r="D176" s="347"/>
      <c r="E176" s="337"/>
    </row>
    <row r="178" spans="2:5" ht="32" customHeight="1" x14ac:dyDescent="0.2">
      <c r="B178" s="529" t="s">
        <v>3244</v>
      </c>
      <c r="C178" s="530"/>
      <c r="D178" s="530"/>
      <c r="E178" s="531"/>
    </row>
    <row r="179" spans="2:5" ht="20" customHeight="1" x14ac:dyDescent="0.2">
      <c r="B179" s="505"/>
      <c r="C179" s="506"/>
      <c r="D179" s="506"/>
      <c r="E179" s="507"/>
    </row>
    <row r="180" spans="2:5" ht="20" customHeight="1" x14ac:dyDescent="0.2">
      <c r="B180" s="346" t="s">
        <v>17</v>
      </c>
      <c r="C180" s="346" t="s">
        <v>18</v>
      </c>
      <c r="D180" s="346" t="s">
        <v>19</v>
      </c>
      <c r="E180" s="346" t="s">
        <v>20</v>
      </c>
    </row>
    <row r="181" spans="2:5" ht="20" customHeight="1" x14ac:dyDescent="0.2">
      <c r="B181" s="4" t="s">
        <v>3023</v>
      </c>
      <c r="C181" s="362" t="str">
        <f>sample_wld_vlr_fqdn</f>
        <v>sfo-w01-vlr01.sfo.rainpole.io</v>
      </c>
      <c r="D181" s="337" t="str">
        <f>CONCATENATE(wld_vlr_fqdn,"/dr")</f>
        <v>Value Missing.Value Missing/dr</v>
      </c>
      <c r="E181" s="337"/>
    </row>
    <row r="182" spans="2:5" ht="20" customHeight="1" x14ac:dyDescent="0.2">
      <c r="B182" s="4" t="s">
        <v>3051</v>
      </c>
      <c r="C182" s="362" t="str">
        <f>(CONCATENATE(sample_wld_vc_fqdn,"&lt;-&gt;",sample_wld_rwr_recovery_site_vc_fqdn))</f>
        <v>sfo-w01-vc01.sfo.rainpole.io&lt;-&gt;lax-w01-vc01.lax.rainpole.io</v>
      </c>
      <c r="D182" s="347"/>
      <c r="E182" s="337"/>
    </row>
    <row r="183" spans="2:5" ht="20" customHeight="1" x14ac:dyDescent="0.2">
      <c r="B183" s="4" t="s">
        <v>3059</v>
      </c>
      <c r="C183" s="362" t="s">
        <v>3245</v>
      </c>
      <c r="D183" s="347"/>
      <c r="E183" s="337"/>
    </row>
    <row r="184" spans="2:5" ht="20" customHeight="1" x14ac:dyDescent="0.2">
      <c r="B184" s="4" t="s">
        <v>3060</v>
      </c>
      <c r="C184" s="362" t="str">
        <f>CONCATENATE(other_instance,"-w01","-cl01-vsan01")</f>
        <v>lax-w01-cl01-vsan01</v>
      </c>
      <c r="D184" s="347"/>
      <c r="E184" s="337"/>
    </row>
    <row r="185" spans="2:5" ht="20" customHeight="1" x14ac:dyDescent="0.2">
      <c r="B185" s="4" t="s">
        <v>3061</v>
      </c>
      <c r="C185" s="362" t="s">
        <v>3246</v>
      </c>
      <c r="D185" s="347"/>
      <c r="E185" s="337" t="s">
        <v>3247</v>
      </c>
    </row>
    <row r="186" spans="2:5" ht="20" customHeight="1" x14ac:dyDescent="0.2">
      <c r="B186" s="4" t="s">
        <v>3248</v>
      </c>
      <c r="C186" s="362">
        <v>200</v>
      </c>
      <c r="D186" s="347"/>
      <c r="E186" s="337" t="s">
        <v>3247</v>
      </c>
    </row>
    <row r="187" spans="2:5" ht="20" customHeight="1" x14ac:dyDescent="0.2">
      <c r="B187" s="4" t="s">
        <v>3062</v>
      </c>
      <c r="C187" s="362" t="s">
        <v>3249</v>
      </c>
      <c r="D187" s="347"/>
      <c r="E187" s="337"/>
    </row>
    <row r="188" spans="2:5" ht="20" customHeight="1" x14ac:dyDescent="0.2">
      <c r="B188" s="4" t="s">
        <v>3064</v>
      </c>
      <c r="C188" s="362" t="s">
        <v>3250</v>
      </c>
      <c r="D188" s="347"/>
      <c r="E188" s="337"/>
    </row>
    <row r="190" spans="2:5" ht="32" customHeight="1" x14ac:dyDescent="0.2">
      <c r="B190" s="529" t="s">
        <v>3251</v>
      </c>
      <c r="C190" s="530"/>
      <c r="D190" s="530"/>
      <c r="E190" s="531"/>
    </row>
    <row r="191" spans="2:5" ht="20" customHeight="1" x14ac:dyDescent="0.2">
      <c r="B191" s="505"/>
      <c r="C191" s="506"/>
      <c r="D191" s="506"/>
      <c r="E191" s="507"/>
    </row>
    <row r="192" spans="2:5" ht="20" customHeight="1" x14ac:dyDescent="0.2">
      <c r="B192" s="346" t="s">
        <v>17</v>
      </c>
      <c r="C192" s="346" t="s">
        <v>18</v>
      </c>
      <c r="D192" s="346" t="s">
        <v>19</v>
      </c>
      <c r="E192" s="346" t="s">
        <v>20</v>
      </c>
    </row>
    <row r="193" spans="2:5" ht="20" customHeight="1" x14ac:dyDescent="0.2">
      <c r="B193" s="4" t="s">
        <v>3252</v>
      </c>
      <c r="C193" s="362" t="str">
        <f>sample_wld_rwr_recovery_site_vc_fqdn</f>
        <v>lax-w01-vc01.lax.rainpole.io</v>
      </c>
      <c r="D193" s="347"/>
      <c r="E193" s="337"/>
    </row>
    <row r="194" spans="2:5" ht="20" customHeight="1" x14ac:dyDescent="0.2">
      <c r="B194" s="4" t="s">
        <v>3253</v>
      </c>
      <c r="C194" s="362" t="str">
        <f>CONCATENATE(other_instance,"-w01-seg01-","rwr-ire")</f>
        <v>lax-w01-seg01-rwr-ire</v>
      </c>
      <c r="D194" s="347"/>
      <c r="E194" s="337"/>
    </row>
    <row r="196" spans="2:5" ht="32" customHeight="1" x14ac:dyDescent="0.2">
      <c r="B196" s="529" t="s">
        <v>2981</v>
      </c>
      <c r="C196" s="530"/>
      <c r="D196" s="530"/>
      <c r="E196" s="531"/>
    </row>
    <row r="198" spans="2:5" ht="32" customHeight="1" x14ac:dyDescent="0.2">
      <c r="B198" s="529" t="s">
        <v>3254</v>
      </c>
      <c r="C198" s="530"/>
      <c r="D198" s="530"/>
      <c r="E198" s="531"/>
    </row>
    <row r="199" spans="2:5" ht="20" customHeight="1" x14ac:dyDescent="0.2">
      <c r="B199" s="505"/>
      <c r="C199" s="506"/>
      <c r="D199" s="506"/>
      <c r="E199" s="507"/>
    </row>
    <row r="200" spans="2:5" ht="20" customHeight="1" x14ac:dyDescent="0.2">
      <c r="B200" s="346" t="s">
        <v>17</v>
      </c>
      <c r="C200" s="346" t="s">
        <v>18</v>
      </c>
      <c r="D200" s="346" t="s">
        <v>19</v>
      </c>
      <c r="E200" s="346" t="s">
        <v>20</v>
      </c>
    </row>
    <row r="201" spans="2:5" ht="20" customHeight="1" x14ac:dyDescent="0.2">
      <c r="B201" s="4" t="s">
        <v>3016</v>
      </c>
      <c r="C201" s="362" t="str">
        <f>sample_wld_rwr_vc_fqdn</f>
        <v>sfo-w01-vc01.sfo.rainpole.io</v>
      </c>
      <c r="D201" s="337" t="str">
        <f>wld_rwr_vc_fqdn</f>
        <v>Value Missing</v>
      </c>
      <c r="E201" s="337"/>
    </row>
    <row r="202" spans="2:5" ht="20" customHeight="1" x14ac:dyDescent="0.2">
      <c r="B202" s="4" t="s">
        <v>2726</v>
      </c>
      <c r="C202" s="362" t="str">
        <f>sample_rwr_sso_domain_name</f>
        <v>sfo-w01.local</v>
      </c>
      <c r="D202" s="337" t="str">
        <f>rwr_sso_domain_name</f>
        <v>Value Missing</v>
      </c>
      <c r="E202" s="337"/>
    </row>
    <row r="203" spans="2:5" ht="20" customHeight="1" x14ac:dyDescent="0.2">
      <c r="B203" s="4" t="s">
        <v>3255</v>
      </c>
      <c r="C203" s="362" t="str">
        <f>CONCATENATE(this_instance,"-svc-vcfops-vlsr")</f>
        <v>sfo-svc-vcfops-vlsr</v>
      </c>
      <c r="D203" s="347"/>
      <c r="E203" s="337" t="s">
        <v>3136</v>
      </c>
    </row>
    <row r="204" spans="2:5" ht="20" customHeight="1" x14ac:dyDescent="0.2">
      <c r="B204" s="4" t="s">
        <v>3256</v>
      </c>
      <c r="C204" s="362" t="s">
        <v>141</v>
      </c>
      <c r="D204" s="347"/>
      <c r="E204" s="337"/>
    </row>
    <row r="205" spans="2:5" ht="20" customHeight="1" x14ac:dyDescent="0.2">
      <c r="B205" s="4" t="s">
        <v>3018</v>
      </c>
      <c r="C205" s="362" t="str">
        <f>CONCATENATE(this_instance,"-svc-vcfops-vr")</f>
        <v>sfo-svc-vcfops-vr</v>
      </c>
      <c r="D205" s="347"/>
      <c r="E205" s="337"/>
    </row>
    <row r="206" spans="2:5" ht="20" customHeight="1" x14ac:dyDescent="0.2">
      <c r="B206" s="4" t="s">
        <v>3019</v>
      </c>
      <c r="C206" s="362" t="s">
        <v>141</v>
      </c>
      <c r="D206" s="347"/>
      <c r="E206" s="337"/>
    </row>
    <row r="208" spans="2:5" ht="32" customHeight="1" x14ac:dyDescent="0.2">
      <c r="B208" s="529" t="s">
        <v>3257</v>
      </c>
      <c r="C208" s="530"/>
      <c r="D208" s="530"/>
      <c r="E208" s="531"/>
    </row>
    <row r="209" spans="2:5" ht="20" customHeight="1" x14ac:dyDescent="0.2">
      <c r="B209" s="505"/>
      <c r="C209" s="506"/>
      <c r="D209" s="506"/>
      <c r="E209" s="507"/>
    </row>
    <row r="210" spans="2:5" ht="20" customHeight="1" x14ac:dyDescent="0.2">
      <c r="B210" s="346" t="s">
        <v>17</v>
      </c>
      <c r="C210" s="346" t="s">
        <v>18</v>
      </c>
      <c r="D210" s="346" t="s">
        <v>19</v>
      </c>
      <c r="E210" s="346" t="s">
        <v>20</v>
      </c>
    </row>
    <row r="211" spans="2:5" ht="20" customHeight="1" x14ac:dyDescent="0.2">
      <c r="B211" s="4" t="s">
        <v>3016</v>
      </c>
      <c r="C211" s="362" t="str">
        <f>sample_wld_rwr_vc_fqdn</f>
        <v>sfo-w01-vc01.sfo.rainpole.io</v>
      </c>
      <c r="D211" s="337" t="str">
        <f>wld_rwr_vc_fqdn</f>
        <v>Value Missing</v>
      </c>
      <c r="E211" s="337"/>
    </row>
    <row r="212" spans="2:5" ht="20" customHeight="1" x14ac:dyDescent="0.2">
      <c r="B212" s="4" t="s">
        <v>2726</v>
      </c>
      <c r="C212" s="362" t="str">
        <f>sample_rwr_sso_domain_name</f>
        <v>sfo-w01.local</v>
      </c>
      <c r="D212" s="337" t="str">
        <f>rwr_sso_domain_name</f>
        <v>Value Missing</v>
      </c>
      <c r="E212" s="337"/>
    </row>
    <row r="213" spans="2:5" ht="20" customHeight="1" x14ac:dyDescent="0.2">
      <c r="B213" s="4" t="s">
        <v>3258</v>
      </c>
      <c r="C213" s="362" t="s">
        <v>3136</v>
      </c>
      <c r="D213" s="347"/>
      <c r="E213" s="337"/>
    </row>
    <row r="214" spans="2:5" ht="20" customHeight="1" x14ac:dyDescent="0.2">
      <c r="B214" s="4" t="s">
        <v>3259</v>
      </c>
      <c r="C214" s="362" t="s">
        <v>3144</v>
      </c>
      <c r="D214" s="347"/>
      <c r="E214" s="337"/>
    </row>
    <row r="215" spans="2:5" ht="20" customHeight="1" x14ac:dyDescent="0.2">
      <c r="B215" s="4" t="s">
        <v>3260</v>
      </c>
      <c r="C215" s="362" t="s">
        <v>3139</v>
      </c>
      <c r="D215" s="347"/>
      <c r="E215" s="337"/>
    </row>
    <row r="216" spans="2:5" ht="20" customHeight="1" x14ac:dyDescent="0.2">
      <c r="B216" s="4" t="s">
        <v>3261</v>
      </c>
      <c r="C216" s="362" t="s">
        <v>3147</v>
      </c>
      <c r="D216" s="347"/>
      <c r="E216" s="337"/>
    </row>
    <row r="218" spans="2:5" ht="32" customHeight="1" x14ac:dyDescent="0.2">
      <c r="B218" s="529" t="s">
        <v>3262</v>
      </c>
      <c r="C218" s="530"/>
      <c r="D218" s="530"/>
      <c r="E218" s="531"/>
    </row>
    <row r="219" spans="2:5" ht="20" customHeight="1" x14ac:dyDescent="0.2">
      <c r="B219" s="505"/>
      <c r="C219" s="506"/>
      <c r="D219" s="506"/>
      <c r="E219" s="507"/>
    </row>
    <row r="220" spans="2:5" ht="20" customHeight="1" x14ac:dyDescent="0.2">
      <c r="B220" s="346" t="s">
        <v>17</v>
      </c>
      <c r="C220" s="346" t="s">
        <v>18</v>
      </c>
      <c r="D220" s="346" t="s">
        <v>19</v>
      </c>
      <c r="E220" s="346" t="s">
        <v>20</v>
      </c>
    </row>
    <row r="221" spans="2:5" ht="20" customHeight="1" x14ac:dyDescent="0.2">
      <c r="B221" s="4" t="s">
        <v>2997</v>
      </c>
      <c r="C221" s="362" t="str">
        <f>sample_xreg_vrops_virtual_fqdn</f>
        <v>flt-ops01.rainpole.io</v>
      </c>
      <c r="D221" s="347"/>
      <c r="E221" s="337"/>
    </row>
    <row r="222" spans="2:5" ht="20" customHeight="1" x14ac:dyDescent="0.2">
      <c r="B222" s="4" t="s">
        <v>3263</v>
      </c>
      <c r="C222" s="362" t="s">
        <v>3151</v>
      </c>
      <c r="D222" s="347"/>
      <c r="E222" s="337"/>
    </row>
    <row r="223" spans="2:5" x14ac:dyDescent="0.2">
      <c r="D223" s="1"/>
    </row>
    <row r="224" spans="2:5" ht="32" customHeight="1" x14ac:dyDescent="0.2">
      <c r="B224" s="529" t="s">
        <v>3264</v>
      </c>
      <c r="C224" s="530"/>
      <c r="D224" s="530"/>
      <c r="E224" s="531"/>
    </row>
    <row r="225" spans="2:5" ht="20" customHeight="1" x14ac:dyDescent="0.2">
      <c r="B225" s="505"/>
      <c r="C225" s="506"/>
      <c r="D225" s="506"/>
      <c r="E225" s="507"/>
    </row>
    <row r="226" spans="2:5" ht="20" customHeight="1" x14ac:dyDescent="0.2">
      <c r="B226" s="346" t="s">
        <v>17</v>
      </c>
      <c r="C226" s="346" t="s">
        <v>18</v>
      </c>
      <c r="D226" s="346" t="s">
        <v>19</v>
      </c>
      <c r="E226" s="346" t="s">
        <v>20</v>
      </c>
    </row>
    <row r="227" spans="2:5" ht="20" customHeight="1" x14ac:dyDescent="0.2">
      <c r="B227" s="4" t="s">
        <v>2997</v>
      </c>
      <c r="C227" s="362" t="str">
        <f>sample_xreg_vrops_virtual_fqdn</f>
        <v>flt-ops01.rainpole.io</v>
      </c>
      <c r="D227" s="347"/>
      <c r="E227" s="337"/>
    </row>
    <row r="228" spans="2:5" ht="20" customHeight="1" x14ac:dyDescent="0.2">
      <c r="B228" s="4" t="s">
        <v>261</v>
      </c>
      <c r="C228" s="362" t="str">
        <f>CONCATENATE(sample_wld_sddc_domain,"-vlsr")</f>
        <v>sfo-w01-vlsr</v>
      </c>
      <c r="D228" s="347"/>
      <c r="E228" s="337"/>
    </row>
    <row r="229" spans="2:5" ht="20" customHeight="1" x14ac:dyDescent="0.2">
      <c r="B229" s="4" t="s">
        <v>3265</v>
      </c>
      <c r="C229" s="362" t="str">
        <f>sample_wld_vlr_fqdn</f>
        <v>sfo-w01-vlr01.sfo.rainpole.io</v>
      </c>
      <c r="D229" s="347"/>
      <c r="E229" s="337"/>
    </row>
    <row r="230" spans="2:5" ht="20" customHeight="1" x14ac:dyDescent="0.2">
      <c r="B230" s="4" t="s">
        <v>3266</v>
      </c>
      <c r="C230" s="362">
        <v>443</v>
      </c>
      <c r="D230" s="347"/>
      <c r="E230" s="337"/>
    </row>
    <row r="231" spans="2:5" ht="20" customHeight="1" x14ac:dyDescent="0.2">
      <c r="B231" s="4" t="s">
        <v>3267</v>
      </c>
      <c r="C231" s="362" t="str">
        <f>sample_wld_rwr_vcfops_vlsr_username</f>
        <v>sfo-svc-vcfops-vlsr</v>
      </c>
      <c r="D231" s="337" t="str">
        <f>CONCATENATE(wld_rwr_vcfops_vlsr_username,"-cred")</f>
        <v>Value Missing-cred</v>
      </c>
      <c r="E231" s="337"/>
    </row>
    <row r="232" spans="2:5" ht="20" customHeight="1" x14ac:dyDescent="0.2">
      <c r="B232" s="4" t="s">
        <v>78</v>
      </c>
      <c r="C232" s="362" t="str">
        <f>CONCATENATE(sample_wld_rwr_vcfops_vlsr_username,"@",this_instance,"-w01.local")</f>
        <v>sfo-svc-vcfops-vlsr@sfo-w01.local</v>
      </c>
      <c r="D232" s="347"/>
      <c r="E232" s="337"/>
    </row>
    <row r="233" spans="2:5" ht="20" customHeight="1" x14ac:dyDescent="0.2">
      <c r="B233" s="4" t="s">
        <v>29</v>
      </c>
      <c r="C233" s="362" t="s">
        <v>141</v>
      </c>
      <c r="D233" s="347"/>
      <c r="E233" s="337"/>
    </row>
    <row r="234" spans="2:5" ht="20" customHeight="1" x14ac:dyDescent="0.2">
      <c r="B234" s="4" t="s">
        <v>3268</v>
      </c>
      <c r="C234" s="362" t="str">
        <f>CONCATENATE(sample_xreg_vrops_collector_fqdn, " or ", this_instance,"-m01-collector-group")</f>
        <v>sfo-cp01.sfo.rainpole.io or sfo-m01-collector-group</v>
      </c>
      <c r="D234" s="347"/>
      <c r="E234" s="337"/>
    </row>
    <row r="236" spans="2:5" ht="32" customHeight="1" x14ac:dyDescent="0.2">
      <c r="B236" s="529" t="s">
        <v>3269</v>
      </c>
      <c r="C236" s="530"/>
      <c r="D236" s="530"/>
      <c r="E236" s="531"/>
    </row>
    <row r="237" spans="2:5" ht="20" customHeight="1" x14ac:dyDescent="0.2">
      <c r="B237" s="505"/>
      <c r="C237" s="506"/>
      <c r="D237" s="506"/>
      <c r="E237" s="507"/>
    </row>
    <row r="238" spans="2:5" ht="20" customHeight="1" x14ac:dyDescent="0.2">
      <c r="B238" s="346" t="s">
        <v>17</v>
      </c>
      <c r="C238" s="346" t="s">
        <v>18</v>
      </c>
      <c r="D238" s="346" t="s">
        <v>19</v>
      </c>
      <c r="E238" s="346" t="s">
        <v>20</v>
      </c>
    </row>
    <row r="239" spans="2:5" ht="20" customHeight="1" x14ac:dyDescent="0.2">
      <c r="B239" s="4" t="s">
        <v>2997</v>
      </c>
      <c r="C239" s="362" t="str">
        <f>sample_xreg_vrops_virtual_fqdn</f>
        <v>flt-ops01.rainpole.io</v>
      </c>
      <c r="D239" s="347"/>
      <c r="E239" s="337"/>
    </row>
    <row r="240" spans="2:5" ht="20" customHeight="1" x14ac:dyDescent="0.2">
      <c r="B240" s="4" t="s">
        <v>261</v>
      </c>
      <c r="C240" s="362" t="str">
        <f>CONCATENATE(sample_wld_sddc_domain,"-vr")</f>
        <v>sfo-w01-vr</v>
      </c>
      <c r="D240" s="347"/>
      <c r="E240" s="337"/>
    </row>
    <row r="241" spans="2:5" ht="20" customHeight="1" x14ac:dyDescent="0.2">
      <c r="B241" s="4" t="s">
        <v>3270</v>
      </c>
      <c r="C241" s="362" t="str">
        <f>sample_wld_vc_fqdn</f>
        <v>sfo-w01-vc01.sfo.rainpole.io</v>
      </c>
      <c r="D241" s="347"/>
      <c r="E241" s="337"/>
    </row>
    <row r="242" spans="2:5" ht="20" customHeight="1" x14ac:dyDescent="0.2">
      <c r="B242" s="4" t="s">
        <v>3267</v>
      </c>
      <c r="C242" s="362" t="str">
        <f>sample_wld_rwr_vcfops_vr_username</f>
        <v>sfo-svc-vcfops-vr</v>
      </c>
      <c r="D242" s="337" t="str">
        <f>CONCATENATE(wld_rwr_vcfops_vr_username,"-cred")</f>
        <v>Value Missing-cred</v>
      </c>
      <c r="E242" s="337"/>
    </row>
    <row r="243" spans="2:5" ht="20" customHeight="1" x14ac:dyDescent="0.2">
      <c r="B243" s="4" t="s">
        <v>78</v>
      </c>
      <c r="C243" s="362" t="str">
        <f>CONCATENATE(sample_wld_rwr_vcfops_vr_username,,"@",this_instance,"-w01.local")</f>
        <v>sfo-svc-vcfops-vr@sfo-w01.local</v>
      </c>
      <c r="D243" s="347"/>
      <c r="E243" s="337"/>
    </row>
    <row r="244" spans="2:5" ht="20" customHeight="1" x14ac:dyDescent="0.2">
      <c r="B244" s="4" t="s">
        <v>29</v>
      </c>
      <c r="C244" s="362" t="s">
        <v>141</v>
      </c>
      <c r="D244" s="347"/>
      <c r="E244" s="337"/>
    </row>
    <row r="245" spans="2:5" ht="20" customHeight="1" x14ac:dyDescent="0.2">
      <c r="B245" s="4" t="s">
        <v>3268</v>
      </c>
      <c r="C245" s="362" t="str">
        <f>CONCATENATE(sample_xreg_vrops_collector_fqdn, " or ", this_instance,"-m01-collector-group")</f>
        <v>sfo-cp01.sfo.rainpole.io or sfo-m01-collector-group</v>
      </c>
      <c r="D245" s="347"/>
      <c r="E245" s="337"/>
    </row>
    <row r="247" spans="2:5" ht="32" customHeight="1" x14ac:dyDescent="0.2">
      <c r="B247" s="529" t="s">
        <v>3271</v>
      </c>
      <c r="C247" s="530"/>
      <c r="D247" s="530"/>
      <c r="E247" s="531"/>
    </row>
    <row r="248" spans="2:5" ht="20" customHeight="1" x14ac:dyDescent="0.2">
      <c r="B248" s="505"/>
      <c r="C248" s="506"/>
      <c r="D248" s="506"/>
      <c r="E248" s="507"/>
    </row>
    <row r="249" spans="2:5" ht="20" customHeight="1" x14ac:dyDescent="0.2">
      <c r="B249" s="346" t="s">
        <v>17</v>
      </c>
      <c r="C249" s="346" t="s">
        <v>18</v>
      </c>
      <c r="D249" s="346" t="s">
        <v>19</v>
      </c>
      <c r="E249" s="346" t="s">
        <v>20</v>
      </c>
    </row>
    <row r="250" spans="2:5" ht="20" customHeight="1" x14ac:dyDescent="0.2">
      <c r="B250" s="4" t="s">
        <v>2997</v>
      </c>
      <c r="C250" s="362" t="str">
        <f>sample_xreg_vrops_virtual_fqdn</f>
        <v>flt-ops01.rainpole.io</v>
      </c>
      <c r="D250" s="347"/>
      <c r="E250" s="337"/>
    </row>
  </sheetData>
  <sheetProtection algorithmName="SHA-512" hashValue="66XVo52oYYPhMk5ahMj9dyw3dvvdI8QV4Sy9wXIOaG6FQ8GYXhYBEZu4OVLw4UBQzLfl8yirU0J9EwkQTwB6kQ==" saltValue="kQ0PwX0qJTNeYFF61mtHOA==" spinCount="100000" sheet="1" selectLockedCells="1"/>
  <mergeCells count="50">
    <mergeCell ref="B55:E55"/>
    <mergeCell ref="B2:E2"/>
    <mergeCell ref="B3:E3"/>
    <mergeCell ref="B7:E7"/>
    <mergeCell ref="B26:E26"/>
    <mergeCell ref="B27:E27"/>
    <mergeCell ref="B6:E6"/>
    <mergeCell ref="B39:E39"/>
    <mergeCell ref="B40:E40"/>
    <mergeCell ref="B54:E54"/>
    <mergeCell ref="B47:E47"/>
    <mergeCell ref="B48:E48"/>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196:E196"/>
    <mergeCell ref="B146:E146"/>
    <mergeCell ref="B148:E148"/>
    <mergeCell ref="B149:E149"/>
    <mergeCell ref="B166:E166"/>
    <mergeCell ref="B167:E167"/>
    <mergeCell ref="B178:E178"/>
    <mergeCell ref="B179:E179"/>
    <mergeCell ref="B190:E190"/>
    <mergeCell ref="B191:E191"/>
    <mergeCell ref="B158:E158"/>
    <mergeCell ref="B159:E159"/>
    <mergeCell ref="B248:E248"/>
    <mergeCell ref="B198:E198"/>
    <mergeCell ref="B199:E199"/>
    <mergeCell ref="B208:E208"/>
    <mergeCell ref="B209:E209"/>
    <mergeCell ref="B218:E218"/>
    <mergeCell ref="B219:E219"/>
    <mergeCell ref="B224:E224"/>
    <mergeCell ref="B225:E225"/>
    <mergeCell ref="B236:E236"/>
    <mergeCell ref="B237:E237"/>
    <mergeCell ref="B247:E247"/>
  </mergeCells>
  <conditionalFormatting sqref="D9:D24">
    <cfRule type="containsBlanks" dxfId="345" priority="32">
      <formula>LEN(TRIM(D9))=0</formula>
    </cfRule>
    <cfRule type="notContainsBlanks" dxfId="344" priority="31">
      <formula>LEN(TRIM(D9))&gt;0</formula>
    </cfRule>
  </conditionalFormatting>
  <conditionalFormatting sqref="D29:D37">
    <cfRule type="containsBlanks" dxfId="343" priority="35">
      <formula>LEN(TRIM(D29))=0</formula>
    </cfRule>
    <cfRule type="notContainsBlanks" dxfId="342" priority="34">
      <formula>LEN(TRIM(D29))&gt;0</formula>
    </cfRule>
  </conditionalFormatting>
  <conditionalFormatting sqref="D42:D45">
    <cfRule type="containsBlanks" dxfId="340" priority="38">
      <formula>LEN(TRIM(D42))=0</formula>
    </cfRule>
    <cfRule type="notContainsBlanks" dxfId="339" priority="37">
      <formula>LEN(TRIM(D42))&gt;0</formula>
    </cfRule>
  </conditionalFormatting>
  <conditionalFormatting sqref="D50:D52">
    <cfRule type="containsBlanks" dxfId="336" priority="3">
      <formula>LEN(TRIM(D50))=0</formula>
    </cfRule>
    <cfRule type="notContainsBlanks" dxfId="335" priority="2">
      <formula>LEN(TRIM(D50))&gt;0</formula>
    </cfRule>
  </conditionalFormatting>
  <conditionalFormatting sqref="D57:D64">
    <cfRule type="containsBlanks" dxfId="334" priority="44">
      <formula>LEN(TRIM(D57))=0</formula>
    </cfRule>
    <cfRule type="notContainsBlanks" dxfId="332" priority="43">
      <formula>LEN(TRIM(D57))&gt;0</formula>
    </cfRule>
  </conditionalFormatting>
  <conditionalFormatting sqref="D69:D72">
    <cfRule type="containsBlanks" dxfId="331" priority="50">
      <formula>LEN(TRIM(D69))=0</formula>
    </cfRule>
    <cfRule type="notContainsBlanks" dxfId="330" priority="49">
      <formula>LEN(TRIM(D69))&gt;0</formula>
    </cfRule>
  </conditionalFormatting>
  <conditionalFormatting sqref="D77:D91">
    <cfRule type="containsBlanks" dxfId="328" priority="53">
      <formula>LEN(TRIM(D77))=0</formula>
    </cfRule>
    <cfRule type="notContainsBlanks" dxfId="327" priority="52">
      <formula>LEN(TRIM(D77))&gt;0</formula>
    </cfRule>
  </conditionalFormatting>
  <conditionalFormatting sqref="D96:D113">
    <cfRule type="containsBlanks" dxfId="325" priority="56">
      <formula>LEN(TRIM(D96))=0</formula>
    </cfRule>
    <cfRule type="notContainsBlanks" dxfId="324" priority="55">
      <formula>LEN(TRIM(D96))&gt;0</formula>
    </cfRule>
  </conditionalFormatting>
  <conditionalFormatting sqref="D118 D120:D123 D125:D132 D134:D137">
    <cfRule type="containsBlanks" dxfId="322" priority="59">
      <formula>LEN(TRIM(D118))=0</formula>
    </cfRule>
    <cfRule type="notContainsBlanks" dxfId="321" priority="58">
      <formula>LEN(TRIM(D118))&gt;0</formula>
    </cfRule>
    <cfRule type="expression" dxfId="319" priority="9">
      <formula>mgmt_domain_chosen="First Instance"</formula>
    </cfRule>
  </conditionalFormatting>
  <conditionalFormatting sqref="D142:D144">
    <cfRule type="containsBlanks" dxfId="318" priority="63">
      <formula>LEN(TRIM(D142))=0</formula>
    </cfRule>
    <cfRule type="notContainsBlanks" dxfId="317" priority="62">
      <formula>LEN(TRIM(D142))&gt;0</formula>
    </cfRule>
  </conditionalFormatting>
  <conditionalFormatting sqref="D151:D157 D161:D164 D169:D176 D181:D188 D193:D194 D221:D222 D250">
    <cfRule type="containsBlanks" dxfId="315" priority="133">
      <formula>LEN(TRIM(D151))=0</formula>
    </cfRule>
    <cfRule type="notContainsBlanks" dxfId="314" priority="130" stopIfTrue="1">
      <formula>LEN(TRIM(D151))&gt;0</formula>
    </cfRule>
  </conditionalFormatting>
  <conditionalFormatting sqref="D151:D157 D163:D164">
    <cfRule type="expression" dxfId="313" priority="132">
      <formula>mgmt_domain_chosen="Additional Instance"</formula>
    </cfRule>
  </conditionalFormatting>
  <conditionalFormatting sqref="D151:D157">
    <cfRule type="expression" dxfId="312" priority="10">
      <formula>mgmt_domain_chosen="Additional Instance"</formula>
    </cfRule>
  </conditionalFormatting>
  <conditionalFormatting sqref="D161:D164">
    <cfRule type="expression" dxfId="311" priority="7">
      <formula>mgmt_domain_chosen="Additional Instance"</formula>
    </cfRule>
  </conditionalFormatting>
  <conditionalFormatting sqref="D169:D176">
    <cfRule type="expression" dxfId="310" priority="12">
      <formula>mgmt_domain_chosen="Additional Instance"</formula>
    </cfRule>
    <cfRule type="expression" dxfId="309" priority="131">
      <formula>mgmt_domain_chosen="Additional Instance"</formula>
    </cfRule>
  </conditionalFormatting>
  <conditionalFormatting sqref="D181:D188">
    <cfRule type="expression" dxfId="308" priority="13">
      <formula>mgmt_domain_chosen="Additional Instance"</formula>
    </cfRule>
  </conditionalFormatting>
  <conditionalFormatting sqref="D193:D194">
    <cfRule type="expression" dxfId="306" priority="128">
      <formula>mgmt_domain_chosen="Additional Instance"</formula>
    </cfRule>
  </conditionalFormatting>
  <conditionalFormatting sqref="D201:D206">
    <cfRule type="containsBlanks" dxfId="305" priority="29">
      <formula>LEN(TRIM(D201))=0</formula>
    </cfRule>
    <cfRule type="notContainsBlanks" dxfId="304" priority="28">
      <formula>LEN(TRIM(D201))&gt;0</formula>
    </cfRule>
  </conditionalFormatting>
  <conditionalFormatting sqref="D211:D216">
    <cfRule type="containsBlanks" dxfId="302" priority="26">
      <formula>LEN(TRIM(D211))=0</formula>
    </cfRule>
    <cfRule type="notContainsBlanks" dxfId="301" priority="25">
      <formula>LEN(TRIM(D211))&gt;0</formula>
    </cfRule>
  </conditionalFormatting>
  <conditionalFormatting sqref="D221:D222">
    <cfRule type="expression" dxfId="299" priority="127">
      <formula>mgmt_domain_chosen="Additional Instance"</formula>
    </cfRule>
  </conditionalFormatting>
  <conditionalFormatting sqref="D227:D234">
    <cfRule type="notContainsBlanks" dxfId="297" priority="5">
      <formula>LEN(TRIM(D227))&gt;0</formula>
    </cfRule>
    <cfRule type="containsBlanks" dxfId="296" priority="6">
      <formula>LEN(TRIM(D227))=0</formula>
    </cfRule>
  </conditionalFormatting>
  <conditionalFormatting sqref="D239:D245">
    <cfRule type="containsBlanks" dxfId="295" priority="20">
      <formula>LEN(TRIM(D239))=0</formula>
    </cfRule>
    <cfRule type="notContainsBlanks" dxfId="294" priority="19">
      <formula>LEN(TRIM(D239))&gt;0</formula>
    </cfRule>
  </conditionalFormatting>
  <conditionalFormatting sqref="D250">
    <cfRule type="expression" dxfId="292"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F151"/>
  <sheetViews>
    <sheetView showGridLines="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4" width="75.83203125" style="8" customWidth="1"/>
    <col min="5" max="5" width="100.83203125" style="8" customWidth="1"/>
    <col min="6" max="13" width="10.83203125" style="8" customWidth="1"/>
    <col min="14" max="16384" width="10.83203125" style="8"/>
  </cols>
  <sheetData>
    <row r="2" spans="1:6" ht="54" customHeight="1" x14ac:dyDescent="0.2">
      <c r="A2" s="121"/>
      <c r="B2" s="517" t="s">
        <v>3272</v>
      </c>
      <c r="C2" s="517"/>
      <c r="D2" s="517"/>
      <c r="E2" s="517"/>
    </row>
    <row r="3" spans="1:6" x14ac:dyDescent="0.2">
      <c r="A3" s="42"/>
      <c r="B3" s="519" t="s">
        <v>1</v>
      </c>
      <c r="C3" s="519"/>
      <c r="D3" s="519"/>
      <c r="E3" s="519"/>
      <c r="F3" s="19"/>
    </row>
    <row r="6" spans="1:6" ht="34" customHeight="1" x14ac:dyDescent="0.2">
      <c r="B6" s="425" t="s">
        <v>3273</v>
      </c>
      <c r="C6" s="426"/>
      <c r="D6" s="426"/>
      <c r="E6" s="427"/>
    </row>
    <row r="7" spans="1:6" ht="20" customHeight="1" x14ac:dyDescent="0.2">
      <c r="B7" s="465" t="s">
        <v>3274</v>
      </c>
      <c r="C7" s="466"/>
      <c r="D7" s="466"/>
      <c r="E7" s="467"/>
    </row>
    <row r="8" spans="1:6" ht="20" customHeight="1" x14ac:dyDescent="0.2">
      <c r="B8" s="346" t="s">
        <v>17</v>
      </c>
      <c r="C8" s="346" t="s">
        <v>18</v>
      </c>
      <c r="D8" s="346" t="s">
        <v>19</v>
      </c>
      <c r="E8" s="346" t="s">
        <v>20</v>
      </c>
    </row>
    <row r="9" spans="1:6" ht="20" customHeight="1" x14ac:dyDescent="0.2">
      <c r="B9" s="492" t="s">
        <v>932</v>
      </c>
      <c r="C9" s="493"/>
      <c r="D9" s="493"/>
      <c r="E9" s="494"/>
    </row>
    <row r="10" spans="1:6" ht="20" customHeight="1" x14ac:dyDescent="0.2">
      <c r="B10" s="128" t="s">
        <v>85</v>
      </c>
      <c r="C10" s="89" t="str">
        <f>sample_mgmt_az1_mgmt_vm_vlan</f>
        <v>1110</v>
      </c>
      <c r="D10" s="337" t="str">
        <f>mgmt_az1_mgmt_vm_vlan</f>
        <v>Value Missing</v>
      </c>
      <c r="E10" s="33"/>
    </row>
    <row r="11" spans="1:6" ht="20" customHeight="1" x14ac:dyDescent="0.2">
      <c r="B11" s="128" t="s">
        <v>187</v>
      </c>
      <c r="C11" s="80" t="str">
        <f>sample_mgmt_az1_mgmt_vm_gateway_ip</f>
        <v>10.11.10.1</v>
      </c>
      <c r="D11" s="337" t="str">
        <f>mgmt_az1_mgmt_vm_gateway_ip</f>
        <v>Value Missing</v>
      </c>
      <c r="E11" s="33"/>
    </row>
    <row r="12" spans="1:6" ht="20" customHeight="1" x14ac:dyDescent="0.2">
      <c r="B12" s="128" t="s">
        <v>188</v>
      </c>
      <c r="C12" s="80" t="str">
        <f>sample_mgmt_az1_mgmt_vm_cidr</f>
        <v>10.11.10.0/24</v>
      </c>
      <c r="D12" s="337" t="str">
        <f>mgmt_az1_mgmt_cidr</f>
        <v>Value Missing</v>
      </c>
      <c r="E12" s="33"/>
    </row>
    <row r="13" spans="1:6" ht="20" customHeight="1" x14ac:dyDescent="0.2">
      <c r="B13" s="4" t="s">
        <v>160</v>
      </c>
      <c r="C13" s="80">
        <f>sample_mgmt_az1_mgmt_vm_mtu</f>
        <v>1500</v>
      </c>
      <c r="D13" s="337" t="str">
        <f>mgmt_az1_mgmt_vm_mtu</f>
        <v>Value Missing</v>
      </c>
      <c r="E13" s="33"/>
    </row>
    <row r="14" spans="1:6" ht="20" customHeight="1" x14ac:dyDescent="0.2">
      <c r="B14" s="492" t="s">
        <v>184</v>
      </c>
      <c r="C14" s="493"/>
      <c r="D14" s="493"/>
      <c r="E14" s="494"/>
    </row>
    <row r="15" spans="1:6" ht="20" customHeight="1" x14ac:dyDescent="0.2">
      <c r="B15" s="4" t="s">
        <v>85</v>
      </c>
      <c r="C15" s="80" t="str">
        <f>sample_mgmt_az1_uplink01_vlan</f>
        <v>1117</v>
      </c>
      <c r="D15" s="337" t="str">
        <f>mgmt_az1_uplink01_vlan</f>
        <v>Value Missing</v>
      </c>
      <c r="E15" s="32"/>
    </row>
    <row r="16" spans="1:6" ht="20" customHeight="1" x14ac:dyDescent="0.2">
      <c r="B16" s="4" t="s">
        <v>187</v>
      </c>
      <c r="C16" s="80" t="str">
        <f>sample_mgmt_az1_uplink01_gateway_ip</f>
        <v>10.11.17.1</v>
      </c>
      <c r="D16" s="337" t="str">
        <f>mgmt_az1_uplink01_gateway_ip</f>
        <v>Value Missing</v>
      </c>
      <c r="E16" s="32"/>
    </row>
    <row r="17" spans="2:5" ht="20" customHeight="1" x14ac:dyDescent="0.2">
      <c r="B17" s="4" t="s">
        <v>188</v>
      </c>
      <c r="C17" s="80" t="str">
        <f>sample_mgmt_az1_uplink01_cidr</f>
        <v>10.11.17.0/24</v>
      </c>
      <c r="D17" s="337" t="str">
        <f>mgmt_az1_uplink01_cidr</f>
        <v>Value Missing</v>
      </c>
      <c r="E17" s="32"/>
    </row>
    <row r="18" spans="2:5" ht="20" customHeight="1" x14ac:dyDescent="0.2">
      <c r="B18" s="4" t="s">
        <v>160</v>
      </c>
      <c r="C18" s="80">
        <f>sample_mgmt_az1_uplink01_mtu</f>
        <v>9000</v>
      </c>
      <c r="D18" s="337" t="str">
        <f>mgmt_az1_uplink01_mtu</f>
        <v>Value Missing</v>
      </c>
      <c r="E18" s="32"/>
    </row>
    <row r="19" spans="2:5" ht="20" customHeight="1" x14ac:dyDescent="0.2">
      <c r="B19" s="492" t="s">
        <v>189</v>
      </c>
      <c r="C19" s="493"/>
      <c r="D19" s="493"/>
      <c r="E19" s="494"/>
    </row>
    <row r="20" spans="2:5" ht="20" customHeight="1" x14ac:dyDescent="0.2">
      <c r="B20" s="4" t="s">
        <v>85</v>
      </c>
      <c r="C20" s="80" t="str">
        <f>sample_mgmt_az1_uplink02_vlan</f>
        <v>1118</v>
      </c>
      <c r="D20" s="337" t="str">
        <f>mgmt_az1_uplink02_vlan</f>
        <v>Value Missing</v>
      </c>
      <c r="E20" s="93"/>
    </row>
    <row r="21" spans="2:5" ht="20" customHeight="1" x14ac:dyDescent="0.2">
      <c r="B21" s="4" t="s">
        <v>187</v>
      </c>
      <c r="C21" s="80" t="str">
        <f>sample_mgmt_az1_uplink02_gateway_ip</f>
        <v>10.11.18.1</v>
      </c>
      <c r="D21" s="337" t="str">
        <f>mgmt_az1_uplink02_gateway_ip</f>
        <v>Value Missing</v>
      </c>
      <c r="E21" s="32"/>
    </row>
    <row r="22" spans="2:5" ht="20" customHeight="1" x14ac:dyDescent="0.2">
      <c r="B22" s="4" t="s">
        <v>188</v>
      </c>
      <c r="C22" s="80" t="str">
        <f>sample_mgmt_az1_uplink02_cidr</f>
        <v>10.11.18.0/24</v>
      </c>
      <c r="D22" s="337" t="str">
        <f>mgmt_az1_uplink02_cidr</f>
        <v>Value Missing</v>
      </c>
      <c r="E22" s="32"/>
    </row>
    <row r="23" spans="2:5" ht="20" customHeight="1" x14ac:dyDescent="0.2">
      <c r="B23" s="4" t="s">
        <v>160</v>
      </c>
      <c r="C23" s="80">
        <f>sample_mgmt_az1_uplink02_mtu</f>
        <v>9000</v>
      </c>
      <c r="D23" s="337" t="str">
        <f>mgmt_az1_uplink02_mtu</f>
        <v>Value Missing</v>
      </c>
      <c r="E23" s="32"/>
    </row>
    <row r="24" spans="2:5" ht="20" customHeight="1" x14ac:dyDescent="0.2">
      <c r="B24" s="492" t="s">
        <v>191</v>
      </c>
      <c r="C24" s="493"/>
      <c r="D24" s="493"/>
      <c r="E24" s="494"/>
    </row>
    <row r="25" spans="2:5" ht="20" customHeight="1" x14ac:dyDescent="0.2">
      <c r="B25" s="4" t="s">
        <v>85</v>
      </c>
      <c r="C25" s="80" t="str">
        <f>sample_mgmt_az1_edge_overlay_vlan</f>
        <v>1119</v>
      </c>
      <c r="D25" s="337" t="str">
        <f>mgmt_az1_edge_overlay_vlan</f>
        <v>Value Missing</v>
      </c>
      <c r="E25" s="32" t="str">
        <f>IF(AND(mgmt_stretched_cluster_result="Included",mgmt_dpg_reuse_result="Included"),"Stretched L2","")</f>
        <v/>
      </c>
    </row>
    <row r="26" spans="2:5" ht="20" customHeight="1" x14ac:dyDescent="0.2">
      <c r="B26" s="4" t="s">
        <v>187</v>
      </c>
      <c r="C26" s="80" t="str">
        <f>sample_mgmt_az1_edge_overlay_gateway_ip</f>
        <v>10.11.19.1</v>
      </c>
      <c r="D26" s="337" t="str">
        <f>mgmt_az1_edge_overlay_gateway_ip</f>
        <v>Value Missing</v>
      </c>
      <c r="E26" s="32" t="str">
        <f>IF(AND(mgmt_stretched_cluster_result="Included",mgmt_dpg_reuse_result="Excluded"),"Stretched L2","")</f>
        <v/>
      </c>
    </row>
    <row r="27" spans="2:5" ht="20" customHeight="1" x14ac:dyDescent="0.2">
      <c r="B27" s="4" t="s">
        <v>188</v>
      </c>
      <c r="C27" s="80" t="str">
        <f>sample_mgmt_az1_edge_overlay_cidr</f>
        <v>10.11.19.0/24</v>
      </c>
      <c r="D27" s="337" t="str">
        <f>mgmt_az1_edge_overlay_cidr</f>
        <v>Value Missing</v>
      </c>
      <c r="E27" s="32"/>
    </row>
    <row r="28" spans="2:5" ht="20" customHeight="1" x14ac:dyDescent="0.2">
      <c r="B28" s="4" t="s">
        <v>160</v>
      </c>
      <c r="C28" s="80">
        <f>sample_mgmt_az1_edge_overlay_mtu</f>
        <v>9000</v>
      </c>
      <c r="D28" s="337" t="str">
        <f>mgmt_az1_edge_overlay_mtu</f>
        <v>Value Missing</v>
      </c>
      <c r="E28" s="32"/>
    </row>
    <row r="29" spans="2:5" ht="20" customHeight="1" x14ac:dyDescent="0.2">
      <c r="B29" s="519" t="s">
        <v>3275</v>
      </c>
      <c r="C29" s="519"/>
      <c r="D29" s="519"/>
      <c r="E29" s="519"/>
    </row>
    <row r="30" spans="2:5" ht="20" customHeight="1" x14ac:dyDescent="0.2">
      <c r="B30" s="4" t="s">
        <v>1025</v>
      </c>
      <c r="C30" s="80" t="str">
        <f>sample_mgmt_en_asn</f>
        <v>65101</v>
      </c>
      <c r="D30" s="337" t="str">
        <f>mgmt_en_asn</f>
        <v>Value Missing</v>
      </c>
      <c r="E30" s="32"/>
    </row>
    <row r="31" spans="2:5" ht="20" customHeight="1" x14ac:dyDescent="0.2">
      <c r="B31" s="4" t="s">
        <v>168</v>
      </c>
      <c r="C31" s="80" t="str">
        <f>sample_mgmt_az1_tor1_peer_ip</f>
        <v>10.11.17.10</v>
      </c>
      <c r="D31" s="337" t="str">
        <f>mgmt_az1_tor1_peer_ip</f>
        <v>Value Missing</v>
      </c>
      <c r="E31" s="32"/>
    </row>
    <row r="32" spans="2:5" ht="20" customHeight="1" x14ac:dyDescent="0.2">
      <c r="B32" s="4" t="s">
        <v>169</v>
      </c>
      <c r="C32" s="80" t="str">
        <f>sample_mgmt_az1_tor1_peer_asn</f>
        <v>65111</v>
      </c>
      <c r="D32" s="337" t="str">
        <f>mgmt_az1_tor1_peer_asn</f>
        <v>Value Missing</v>
      </c>
      <c r="E32" s="32"/>
    </row>
    <row r="33" spans="2:5" ht="20" customHeight="1" x14ac:dyDescent="0.2">
      <c r="B33" s="4" t="s">
        <v>170</v>
      </c>
      <c r="C33" s="80" t="str">
        <f>sample_mgmt_az1_tor1_peer_bgp_password</f>
        <v>VMw@re1!</v>
      </c>
      <c r="D33" s="337" t="str">
        <f>mgmt_az1_tor1_peer_bgp_password</f>
        <v>Value Missing</v>
      </c>
      <c r="E33" s="32"/>
    </row>
    <row r="34" spans="2:5" ht="20" customHeight="1" x14ac:dyDescent="0.2">
      <c r="B34" s="4" t="s">
        <v>171</v>
      </c>
      <c r="C34" s="80" t="str">
        <f>sample_mgmt_az1_tor2_peer_ip</f>
        <v>10.11.18.10</v>
      </c>
      <c r="D34" s="337" t="str">
        <f>mgmt_az1_tor2_peer_ip</f>
        <v>Value Missing</v>
      </c>
      <c r="E34" s="32"/>
    </row>
    <row r="35" spans="2:5" ht="20" customHeight="1" x14ac:dyDescent="0.2">
      <c r="B35" s="4" t="s">
        <v>172</v>
      </c>
      <c r="C35" s="80" t="str">
        <f>sample_mgmt_az1_tor2_peer_asn</f>
        <v>65111</v>
      </c>
      <c r="D35" s="337" t="str">
        <f>mgmt_az1_tor2_peer_asn</f>
        <v>Value Missing</v>
      </c>
      <c r="E35" s="32"/>
    </row>
    <row r="36" spans="2:5" ht="20" customHeight="1" x14ac:dyDescent="0.2">
      <c r="B36" s="4" t="s">
        <v>173</v>
      </c>
      <c r="C36" s="80" t="str">
        <f>sample_mgmt_az1_tor2_peer_bgp_password</f>
        <v>VMw@re1!</v>
      </c>
      <c r="D36" s="337" t="str">
        <f>mgmt_az1_tor2_peer_bgp_password</f>
        <v>Value Missing</v>
      </c>
      <c r="E36" s="32"/>
    </row>
    <row r="37" spans="2:5" ht="20" customHeight="1" x14ac:dyDescent="0.2">
      <c r="B37" s="492" t="s">
        <v>3276</v>
      </c>
      <c r="C37" s="493"/>
      <c r="D37" s="493"/>
      <c r="E37" s="494"/>
    </row>
    <row r="38" spans="2:5" ht="20" customHeight="1" x14ac:dyDescent="0.2">
      <c r="B38" s="30" t="str">
        <f>mgmt_az1_en1_fqdn</f>
        <v>Value Missing</v>
      </c>
      <c r="C38" s="80" t="str">
        <f>sample_mgmt_az1_en1_mgmt_cidr</f>
        <v>10.11.10.75/24</v>
      </c>
      <c r="D38" s="337" t="str">
        <f>mgmt_az1_en1_mgmt_cidr</f>
        <v>Value Missing</v>
      </c>
      <c r="E38" s="337"/>
    </row>
    <row r="39" spans="2:5" ht="20" customHeight="1" x14ac:dyDescent="0.2">
      <c r="B39" s="99" t="s">
        <v>2729</v>
      </c>
      <c r="C39" s="80" t="str">
        <f>sample_mgmt_az1_en1_uplink01_interface_cidr</f>
        <v>10.11.17.2/24</v>
      </c>
      <c r="D39" s="337" t="str">
        <f>mgmt_az1_en1_uplink01_interface_cidr</f>
        <v>Value Missing</v>
      </c>
      <c r="E39" s="337" t="s">
        <v>156</v>
      </c>
    </row>
    <row r="40" spans="2:5" ht="20" customHeight="1" x14ac:dyDescent="0.2">
      <c r="B40" s="99" t="s">
        <v>2729</v>
      </c>
      <c r="C40" s="80" t="str">
        <f>sample_mgmt_az1_en1_uplink02_interface_cidr</f>
        <v>10.11.18.2/24</v>
      </c>
      <c r="D40" s="337" t="str">
        <f>mgmt_az1_en1_uplink02_interface_cidr</f>
        <v>Value Missing</v>
      </c>
      <c r="E40" s="337" t="s">
        <v>1057</v>
      </c>
    </row>
    <row r="41" spans="2:5" ht="20" customHeight="1" x14ac:dyDescent="0.2">
      <c r="B41" s="179" t="s">
        <v>2729</v>
      </c>
      <c r="C41" s="80" t="str">
        <f>sample_mgmt_az1_en1_edge_overlay_interface_ip_1_ip</f>
        <v>10.11.19.2</v>
      </c>
      <c r="D41" s="337" t="str">
        <f>mgmt_az1_en1_edge_overlay_interface_ip_1_ip</f>
        <v>Value Missing</v>
      </c>
      <c r="E41" s="337" t="s">
        <v>1046</v>
      </c>
    </row>
    <row r="42" spans="2:5" ht="20" customHeight="1" x14ac:dyDescent="0.2">
      <c r="B42" s="180" t="s">
        <v>2729</v>
      </c>
      <c r="C42" s="80" t="str">
        <f>sample_mgmt_az1_en1_edge_overlay_interface_ip_2_ip</f>
        <v>10.11.19.3</v>
      </c>
      <c r="D42" s="337" t="str">
        <f>mgmt_az1_en1_edge_overlay_interface_ip_2_ip</f>
        <v>Value Missing</v>
      </c>
      <c r="E42" s="337" t="s">
        <v>3277</v>
      </c>
    </row>
    <row r="43" spans="2:5" ht="20" customHeight="1" x14ac:dyDescent="0.2">
      <c r="B43" s="30" t="str">
        <f>mgmt_az1_en2_fqdn</f>
        <v>Value Missing</v>
      </c>
      <c r="C43" s="80" t="str">
        <f>sample_mgmt_az1_en2_mgmt_cidr</f>
        <v>10.11.10.76/24</v>
      </c>
      <c r="D43" s="337" t="str">
        <f>mgmt_az1_en2_mgmt_cidr</f>
        <v>Value Missing</v>
      </c>
      <c r="E43" s="337"/>
    </row>
    <row r="44" spans="2:5" ht="20" customHeight="1" x14ac:dyDescent="0.2">
      <c r="B44" s="99" t="s">
        <v>2729</v>
      </c>
      <c r="C44" s="80" t="str">
        <f>sample_mgmt_az1_en2_uplink01_interface_cidr</f>
        <v>10.11.17.3/24</v>
      </c>
      <c r="D44" s="337" t="str">
        <f>mgmt_az1_en2_uplink01_interface_cidr</f>
        <v>Value Missing</v>
      </c>
      <c r="E44" s="337" t="s">
        <v>167</v>
      </c>
    </row>
    <row r="45" spans="2:5" ht="20" customHeight="1" x14ac:dyDescent="0.2">
      <c r="B45" s="99" t="s">
        <v>2729</v>
      </c>
      <c r="C45" s="80" t="str">
        <f>sample_mgmt_az1_en2_uplink02_interface_cidr</f>
        <v>10.11.18.3/24</v>
      </c>
      <c r="D45" s="337" t="str">
        <f>mgmt_az1_en2_uplink02_interface_cidr</f>
        <v>Value Missing</v>
      </c>
      <c r="E45" s="337" t="s">
        <v>165</v>
      </c>
    </row>
    <row r="46" spans="2:5" ht="20" customHeight="1" x14ac:dyDescent="0.2">
      <c r="B46" s="179" t="s">
        <v>2729</v>
      </c>
      <c r="C46" s="80" t="str">
        <f>sample_mgmt_az1_en2_edge_overlay_interface_ip_1_ip</f>
        <v>10.11.19.4</v>
      </c>
      <c r="D46" s="337" t="str">
        <f>mgmt_az1_en2_edge_overlay_interface_ip_1_ip</f>
        <v>Value Missing</v>
      </c>
      <c r="E46" s="337" t="s">
        <v>1052</v>
      </c>
    </row>
    <row r="47" spans="2:5" ht="20" customHeight="1" x14ac:dyDescent="0.2">
      <c r="B47" s="180" t="s">
        <v>2729</v>
      </c>
      <c r="C47" s="80" t="str">
        <f>sample_mgmt_az1_en2_edge_overlay_interface_ip_2_ip</f>
        <v>10.11.19.5</v>
      </c>
      <c r="D47" s="337" t="str">
        <f>mgmt_az1_en2_edge_overlay_interface_ip_2_ip</f>
        <v>Value Missing</v>
      </c>
      <c r="E47" s="337" t="s">
        <v>1054</v>
      </c>
    </row>
    <row r="49" spans="2:5" ht="34" customHeight="1" x14ac:dyDescent="0.2">
      <c r="B49" s="425" t="s">
        <v>3278</v>
      </c>
      <c r="C49" s="426"/>
      <c r="D49" s="426"/>
      <c r="E49" s="427"/>
    </row>
    <row r="50" spans="2:5" ht="20" customHeight="1" x14ac:dyDescent="0.2">
      <c r="B50" s="346" t="s">
        <v>17</v>
      </c>
      <c r="C50" s="346" t="s">
        <v>18</v>
      </c>
      <c r="D50" s="346" t="s">
        <v>19</v>
      </c>
      <c r="E50" s="346" t="s">
        <v>20</v>
      </c>
    </row>
    <row r="51" spans="2:5" ht="20" customHeight="1" x14ac:dyDescent="0.2">
      <c r="B51" s="492" t="s">
        <v>932</v>
      </c>
      <c r="C51" s="493"/>
      <c r="D51" s="493"/>
      <c r="E51" s="494"/>
    </row>
    <row r="52" spans="2:5" ht="20" customHeight="1" x14ac:dyDescent="0.2">
      <c r="B52" s="4" t="s">
        <v>85</v>
      </c>
      <c r="C52" s="89" t="str">
        <f>sample_mgmt_az1_mgmt_vm_vlan</f>
        <v>1110</v>
      </c>
      <c r="D52" s="337" t="str">
        <f>mgmt_az1_mgmt_vm_vlan</f>
        <v>Value Missing</v>
      </c>
      <c r="E52" s="33"/>
    </row>
    <row r="53" spans="2:5" ht="20" customHeight="1" x14ac:dyDescent="0.2">
      <c r="B53" s="4" t="s">
        <v>187</v>
      </c>
      <c r="C53" s="80" t="str">
        <f>sample_mgmt_az1_mgmt_vm_gateway_ip</f>
        <v>10.11.10.1</v>
      </c>
      <c r="D53" s="337" t="str">
        <f>mgmt_az1_mgmt_vm_gateway_ip</f>
        <v>Value Missing</v>
      </c>
      <c r="E53" s="33"/>
    </row>
    <row r="54" spans="2:5" ht="20" customHeight="1" x14ac:dyDescent="0.2">
      <c r="B54" s="4" t="s">
        <v>188</v>
      </c>
      <c r="C54" s="80" t="str">
        <f>sample_mgmt_az1_mgmt_vm_cidr</f>
        <v>10.11.10.0/24</v>
      </c>
      <c r="D54" s="337" t="str">
        <f>mgmt_az1_mgmt_cidr</f>
        <v>Value Missing</v>
      </c>
      <c r="E54" s="33"/>
    </row>
    <row r="55" spans="2:5" ht="20" customHeight="1" x14ac:dyDescent="0.2">
      <c r="B55" s="4" t="s">
        <v>160</v>
      </c>
      <c r="C55" s="80">
        <f>sample_mgmt_az1_mgmt_vm_mtu</f>
        <v>1500</v>
      </c>
      <c r="D55" s="337" t="str">
        <f>mgmt_az1_mgmt_vm_mtu</f>
        <v>Value Missing</v>
      </c>
      <c r="E55" s="33"/>
    </row>
    <row r="56" spans="2:5" ht="20" customHeight="1" x14ac:dyDescent="0.2">
      <c r="B56" s="492" t="s">
        <v>3279</v>
      </c>
      <c r="C56" s="493"/>
      <c r="D56" s="493"/>
      <c r="E56" s="494"/>
    </row>
    <row r="57" spans="2:5" ht="20" customHeight="1" x14ac:dyDescent="0.2">
      <c r="B57" s="30" t="str">
        <f t="array" ref="B57">sample_mgmt_avilb_fqdn</f>
        <v>sfo-m01-avilb01.sfo.rainpole.io</v>
      </c>
      <c r="C57" s="80" t="str">
        <f>sample_mgmt_avilb_ip</f>
        <v>10.11.10.91</v>
      </c>
      <c r="D57" s="337" t="str">
        <f>mgmt_avilb_ip</f>
        <v>Value Missing</v>
      </c>
      <c r="E57" s="99" t="s">
        <v>208</v>
      </c>
    </row>
    <row r="58" spans="2:5" ht="20" customHeight="1" x14ac:dyDescent="0.2">
      <c r="B58" s="99" t="s">
        <v>2729</v>
      </c>
      <c r="C58" s="80" t="str">
        <f>sample_mgmt_avilb_mgra_ip</f>
        <v>10.11.10.92</v>
      </c>
      <c r="D58" s="337" t="str">
        <f>mgmt_avilb_mgra_ip</f>
        <v>Value Missing</v>
      </c>
      <c r="E58" s="99" t="s">
        <v>202</v>
      </c>
    </row>
    <row r="59" spans="2:5" ht="20" customHeight="1" x14ac:dyDescent="0.2">
      <c r="B59" s="99" t="s">
        <v>2729</v>
      </c>
      <c r="C59" s="80" t="str">
        <f>sample_mgmt_avilb_mgrb_ip</f>
        <v>10.11.10.93</v>
      </c>
      <c r="D59" s="337" t="str">
        <f>mgmt_avilb_mgrc_ip</f>
        <v>Value Missing</v>
      </c>
      <c r="E59" s="99" t="s">
        <v>204</v>
      </c>
    </row>
    <row r="60" spans="2:5" ht="20" customHeight="1" x14ac:dyDescent="0.2">
      <c r="B60" s="99" t="s">
        <v>2729</v>
      </c>
      <c r="C60" s="80" t="str">
        <f>sample_mgmt_avilb_mgrc_ip</f>
        <v>10.11.10.94</v>
      </c>
      <c r="D60" s="337" t="str">
        <f>mgmt_avilb_mgrc_ip</f>
        <v>Value Missing</v>
      </c>
      <c r="E60" s="99" t="s">
        <v>206</v>
      </c>
    </row>
    <row r="62" spans="2:5" ht="34" customHeight="1" x14ac:dyDescent="0.2">
      <c r="B62" s="425" t="s">
        <v>3280</v>
      </c>
      <c r="C62" s="426"/>
      <c r="D62" s="426"/>
      <c r="E62" s="427"/>
    </row>
    <row r="63" spans="2:5" ht="20" customHeight="1" x14ac:dyDescent="0.2">
      <c r="B63" s="346" t="s">
        <v>17</v>
      </c>
      <c r="C63" s="346" t="s">
        <v>18</v>
      </c>
      <c r="D63" s="346" t="s">
        <v>19</v>
      </c>
      <c r="E63" s="346" t="s">
        <v>20</v>
      </c>
    </row>
    <row r="64" spans="2:5" ht="20" customHeight="1" x14ac:dyDescent="0.2">
      <c r="B64" s="492" t="s">
        <v>3281</v>
      </c>
      <c r="C64" s="493"/>
      <c r="D64" s="493"/>
      <c r="E64" s="494"/>
    </row>
    <row r="65" spans="2:5" ht="20" customHeight="1" x14ac:dyDescent="0.2">
      <c r="B65" s="4" t="s">
        <v>85</v>
      </c>
      <c r="C65" s="362" t="str">
        <f>sample_mgmt_witnessaz_mgmt_vlan</f>
        <v>2110</v>
      </c>
      <c r="D65" s="9" t="str">
        <f>mgmt_witnessaz_mgmt_vlan</f>
        <v>Value Missing</v>
      </c>
      <c r="E65" s="32"/>
    </row>
    <row r="66" spans="2:5" ht="20" customHeight="1" x14ac:dyDescent="0.2">
      <c r="B66" s="4" t="s">
        <v>187</v>
      </c>
      <c r="C66" s="362" t="str">
        <f>sample_mgmt_witnessaz_mgmt_gateway_ip</f>
        <v>10.21.10.1</v>
      </c>
      <c r="D66" s="9" t="str">
        <f>mgmt_witnessaz_mgmt_gateway_ip</f>
        <v>Value Missing</v>
      </c>
      <c r="E66" s="32"/>
    </row>
    <row r="67" spans="2:5" ht="20" customHeight="1" x14ac:dyDescent="0.2">
      <c r="B67" s="4" t="s">
        <v>188</v>
      </c>
      <c r="C67" s="362" t="str">
        <f>sample_mgmt_witnessaz_mgmt_cidr</f>
        <v>10.21.10.0/24</v>
      </c>
      <c r="D67" s="9" t="str">
        <f>mgmt_witnessaz_mgmt_cidr</f>
        <v>Value Missing</v>
      </c>
      <c r="E67" s="32"/>
    </row>
    <row r="68" spans="2:5" ht="20" customHeight="1" x14ac:dyDescent="0.2">
      <c r="B68" s="4" t="s">
        <v>160</v>
      </c>
      <c r="C68" s="362">
        <f>sample_mgmt_witnessaz_mgmt_mtu</f>
        <v>1500</v>
      </c>
      <c r="D68" s="9" t="str">
        <f>mgmt_witnessaz_mgmt_mtu</f>
        <v>Value Missing</v>
      </c>
      <c r="E68" s="32"/>
    </row>
    <row r="69" spans="2:5" ht="20" customHeight="1" x14ac:dyDescent="0.2">
      <c r="B69" s="495" t="s">
        <v>251</v>
      </c>
      <c r="C69" s="496"/>
      <c r="D69" s="496"/>
      <c r="E69" s="638"/>
    </row>
    <row r="70" spans="2:5" ht="20" customHeight="1" x14ac:dyDescent="0.2">
      <c r="B70" s="22" t="s">
        <v>85</v>
      </c>
      <c r="C70" s="80" t="str">
        <f>sample_mgmt_az2_vmotion_vlan</f>
        <v>1212</v>
      </c>
      <c r="D70" s="9" t="str">
        <f>mgmt_az2_vmotion_vlan</f>
        <v>Value Missing</v>
      </c>
      <c r="E70" s="199"/>
    </row>
    <row r="71" spans="2:5" ht="20" customHeight="1" x14ac:dyDescent="0.2">
      <c r="B71" s="22" t="s">
        <v>187</v>
      </c>
      <c r="C71" s="80" t="str">
        <f>sample_mgmt_az2_vmotion_gateway_ip</f>
        <v>10.12.12.1</v>
      </c>
      <c r="D71" s="9" t="str">
        <f>mgmt_az2_vmotion_gateway_ip</f>
        <v>Value Missing</v>
      </c>
      <c r="E71" s="160"/>
    </row>
    <row r="72" spans="2:5" ht="20" customHeight="1" x14ac:dyDescent="0.2">
      <c r="B72" s="22" t="s">
        <v>188</v>
      </c>
      <c r="C72" s="80" t="str">
        <f>CONCATENATE(prefix_mgmt_az2_cidr,"12.0/24")</f>
        <v>10.12.12.0/24</v>
      </c>
      <c r="D72" s="9" t="str">
        <f>mgmt_az2_vmotion_cidr</f>
        <v>Value Missing</v>
      </c>
      <c r="E72" s="160"/>
    </row>
    <row r="73" spans="2:5" ht="20" customHeight="1" x14ac:dyDescent="0.2">
      <c r="B73" s="22" t="s">
        <v>160</v>
      </c>
      <c r="C73" s="80">
        <f>sample_mgmt_az2_vmotion_mtu</f>
        <v>9000</v>
      </c>
      <c r="D73" s="9" t="str">
        <f>mgmt_az2_vmotion_mtu</f>
        <v>Value Missing</v>
      </c>
      <c r="E73" s="160"/>
    </row>
    <row r="74" spans="2:5" ht="20" customHeight="1" x14ac:dyDescent="0.2">
      <c r="B74" s="22" t="s">
        <v>255</v>
      </c>
      <c r="C74" s="80" t="str">
        <f>sample_mgmt_az2_vmotion_pool_end_ip</f>
        <v>10.12.12.116</v>
      </c>
      <c r="D74" s="9" t="str">
        <f>mgmt_az2_vmotion_pool_end_ip</f>
        <v>Value Missing</v>
      </c>
      <c r="E74" s="160"/>
    </row>
    <row r="75" spans="2:5" ht="20" customHeight="1" x14ac:dyDescent="0.2">
      <c r="B75" s="22" t="s">
        <v>256</v>
      </c>
      <c r="C75" s="80" t="str">
        <f>sample_mgmt_az2_vmotion_pool_start_ip</f>
        <v>10.12.12.101</v>
      </c>
      <c r="D75" s="9" t="str">
        <f>mgmt_az2_vmotion_pool_start_ip</f>
        <v>Value Missing</v>
      </c>
      <c r="E75" s="160"/>
    </row>
    <row r="76" spans="2:5" ht="20" customHeight="1" x14ac:dyDescent="0.2">
      <c r="B76" s="495" t="s">
        <v>257</v>
      </c>
      <c r="C76" s="496"/>
      <c r="D76" s="496"/>
      <c r="E76" s="497"/>
    </row>
    <row r="77" spans="2:5" ht="20" customHeight="1" x14ac:dyDescent="0.2">
      <c r="B77" s="22" t="s">
        <v>85</v>
      </c>
      <c r="C77" s="80" t="str">
        <f>sample_mgmt_az2_vsan_vlan</f>
        <v>1213</v>
      </c>
      <c r="D77" s="9" t="str">
        <f>mgmt_az2_vsan_vlan</f>
        <v>Value Missing</v>
      </c>
      <c r="E77" s="160"/>
    </row>
    <row r="78" spans="2:5" ht="20" customHeight="1" x14ac:dyDescent="0.2">
      <c r="B78" s="22" t="s">
        <v>187</v>
      </c>
      <c r="C78" s="80" t="str">
        <f>sample_mgmt_az2_vsan_gateway_ip</f>
        <v>10.12.13.1</v>
      </c>
      <c r="D78" s="9" t="str">
        <f>mgmt_az2_vsan_gateway_ip</f>
        <v>Value Missing</v>
      </c>
      <c r="E78" s="160" t="s">
        <v>3282</v>
      </c>
    </row>
    <row r="79" spans="2:5" ht="20" customHeight="1" x14ac:dyDescent="0.2">
      <c r="B79" s="22" t="s">
        <v>160</v>
      </c>
      <c r="C79" s="80">
        <f>sample_mgmt_az2_vsan_mtu</f>
        <v>9000</v>
      </c>
      <c r="D79" s="9" t="str">
        <f>mgmt_az2_vsan_mtu</f>
        <v>Value Missing</v>
      </c>
      <c r="E79" s="160"/>
    </row>
    <row r="80" spans="2:5" ht="20" customHeight="1" x14ac:dyDescent="0.2">
      <c r="B80" s="22" t="s">
        <v>188</v>
      </c>
      <c r="C80" s="80" t="str">
        <f>CONCATENATE(prefix_mgmt_az2_cidr,"13.0/24")</f>
        <v>10.12.13.0/24</v>
      </c>
      <c r="D80" s="9" t="str">
        <f>mgmt_az2_vsan_cidr</f>
        <v>Value Missing</v>
      </c>
      <c r="E80" s="160"/>
    </row>
    <row r="81" spans="2:5" ht="20" customHeight="1" x14ac:dyDescent="0.2">
      <c r="B81" s="22" t="s">
        <v>255</v>
      </c>
      <c r="C81" s="80" t="str">
        <f>sample_mgmt_az2_vsan_pool_start_ip</f>
        <v>10.12.13.101</v>
      </c>
      <c r="D81" s="9" t="str">
        <f>mgmt_az2_vsan_pool_start_ip</f>
        <v>Value Missing</v>
      </c>
      <c r="E81" s="160"/>
    </row>
    <row r="82" spans="2:5" ht="20" customHeight="1" x14ac:dyDescent="0.2">
      <c r="B82" s="22" t="s">
        <v>256</v>
      </c>
      <c r="C82" s="80" t="str">
        <f>sample_mgmt_az2_vsan_pool_end_ip</f>
        <v>10.12.13.116</v>
      </c>
      <c r="D82" s="9" t="str">
        <f>mgmt_az2_vsan_pool_end_ip</f>
        <v>Value Missing</v>
      </c>
      <c r="E82" s="160"/>
    </row>
    <row r="83" spans="2:5" ht="20" customHeight="1" x14ac:dyDescent="0.2">
      <c r="B83" s="495" t="s">
        <v>258</v>
      </c>
      <c r="C83" s="496"/>
      <c r="D83" s="496"/>
      <c r="E83" s="497"/>
    </row>
    <row r="84" spans="2:5" ht="20" customHeight="1" x14ac:dyDescent="0.2">
      <c r="B84" s="22" t="s">
        <v>85</v>
      </c>
      <c r="C84" s="135" t="str">
        <f>sample_mgmt_az2_secondary_storage_vlan</f>
        <v>1215</v>
      </c>
      <c r="D84" s="276" t="str">
        <f>mgmt_az2_secondary_storage_vlan</f>
        <v>Value Missing</v>
      </c>
      <c r="E84" s="160"/>
    </row>
    <row r="85" spans="2:5" ht="20" customHeight="1" x14ac:dyDescent="0.2">
      <c r="B85" s="22" t="s">
        <v>187</v>
      </c>
      <c r="C85" s="135" t="str">
        <f>sample_mgmt_az2_secondary_storage_gateway_ip</f>
        <v>10.12.15.1</v>
      </c>
      <c r="D85" s="276" t="str">
        <f>mgmt_az2_secondary_storage_gateway_ip</f>
        <v>Value Missing</v>
      </c>
      <c r="E85" s="160"/>
    </row>
    <row r="86" spans="2:5" ht="20" customHeight="1" x14ac:dyDescent="0.2">
      <c r="B86" s="22" t="s">
        <v>160</v>
      </c>
      <c r="C86" s="135">
        <f>sample_mgmt_az2_secondary_storage_mtu</f>
        <v>9000</v>
      </c>
      <c r="D86" s="276" t="str">
        <f>mgmt_az2_secondary_storage_mtu</f>
        <v>Value Missing</v>
      </c>
      <c r="E86" s="160"/>
    </row>
    <row r="87" spans="2:5" ht="20" customHeight="1" x14ac:dyDescent="0.2">
      <c r="B87" s="22" t="s">
        <v>188</v>
      </c>
      <c r="C87" s="135" t="str">
        <f>CONCATENATE(prefix_mgmt_az2_cidr,"15.0/24")</f>
        <v>10.12.15.0/24</v>
      </c>
      <c r="D87" s="276" t="str">
        <f>sample_mgmt_az2_secondary_storage_cidr</f>
        <v>10.12.15.0/24</v>
      </c>
      <c r="E87" s="160"/>
    </row>
    <row r="88" spans="2:5" ht="20" customHeight="1" x14ac:dyDescent="0.2">
      <c r="B88" s="22" t="s">
        <v>255</v>
      </c>
      <c r="C88" s="135" t="str">
        <f>sample_mgmt_az2_secondary_storage_pool_start_ip</f>
        <v>10.12.15.101</v>
      </c>
      <c r="D88" s="277" t="str">
        <f>mgmt_az2_secondary_storage_pool_start_ip</f>
        <v>Value Missing</v>
      </c>
      <c r="E88" s="160"/>
    </row>
    <row r="89" spans="2:5" ht="20" customHeight="1" x14ac:dyDescent="0.2">
      <c r="B89" s="22" t="s">
        <v>256</v>
      </c>
      <c r="C89" s="135" t="str">
        <f>sample_mgmt_az2_secondary_storage_pool_end_ip</f>
        <v>10.12.15.116</v>
      </c>
      <c r="D89" s="277" t="str">
        <f>mgmt_az2_secondary_storage_pool_end_ip</f>
        <v>Value Missing</v>
      </c>
      <c r="E89" s="160"/>
    </row>
    <row r="90" spans="2:5" ht="20" customHeight="1" x14ac:dyDescent="0.2">
      <c r="B90" s="495" t="s">
        <v>938</v>
      </c>
      <c r="C90" s="496"/>
      <c r="D90" s="496"/>
      <c r="E90" s="497"/>
    </row>
    <row r="91" spans="2:5" ht="20" customHeight="1" x14ac:dyDescent="0.2">
      <c r="B91" s="22" t="s">
        <v>85</v>
      </c>
      <c r="C91" s="80" t="str">
        <f>sample_mgmt_az2_host_overlay_vlan</f>
        <v>1214</v>
      </c>
      <c r="D91" s="9" t="str">
        <f>mgmt_az2_host_overlay_vlan</f>
        <v>Value Missing</v>
      </c>
      <c r="E91" s="160"/>
    </row>
    <row r="92" spans="2:5" ht="20" customHeight="1" x14ac:dyDescent="0.2">
      <c r="B92" s="22" t="s">
        <v>187</v>
      </c>
      <c r="C92" s="80" t="str">
        <f>sample_mgmt_az2_host_overlay_gateway_ip</f>
        <v>10.12.14.1</v>
      </c>
      <c r="D92" s="9" t="str">
        <f>mgmt_az2_host_overlay_gateway_ip</f>
        <v>Value Missing</v>
      </c>
      <c r="E92" s="160"/>
    </row>
    <row r="93" spans="2:5" ht="20" customHeight="1" x14ac:dyDescent="0.2">
      <c r="B93" s="22" t="s">
        <v>160</v>
      </c>
      <c r="C93" s="80">
        <f>sample_mgmt_az2_host_overlay_mtu</f>
        <v>9000</v>
      </c>
      <c r="D93" s="9" t="str">
        <f>mgmt_az2_host_overlay_mtu</f>
        <v>Value Missing</v>
      </c>
      <c r="E93" s="160"/>
    </row>
    <row r="94" spans="2:5" ht="20" customHeight="1" x14ac:dyDescent="0.2">
      <c r="B94" s="22" t="s">
        <v>188</v>
      </c>
      <c r="C94" s="80" t="str">
        <f>sample_mgmt_az2_host_overlay_cidr</f>
        <v>10.12.14.0/24</v>
      </c>
      <c r="D94" s="9" t="str">
        <f>mgmt_az2_host_overlay_cidr</f>
        <v>Value Missing</v>
      </c>
      <c r="E94" s="160"/>
    </row>
    <row r="95" spans="2:5" ht="20" customHeight="1" x14ac:dyDescent="0.2">
      <c r="B95" s="22" t="s">
        <v>255</v>
      </c>
      <c r="C95" s="80" t="str">
        <f>sample_mgmt_az2_host_overlay_pool_start_ip</f>
        <v>10.12.14.101</v>
      </c>
      <c r="D95" s="9" t="str">
        <f>mgmt_az2_host_overlay_pool_start_ip</f>
        <v>Value Missing</v>
      </c>
      <c r="E95" s="160"/>
    </row>
    <row r="96" spans="2:5" ht="20" customHeight="1" x14ac:dyDescent="0.2">
      <c r="B96" s="22" t="s">
        <v>256</v>
      </c>
      <c r="C96" s="80" t="str">
        <f>sample_mgmt_az2_host_overlay_pool_end_ip</f>
        <v>10.12.14.132</v>
      </c>
      <c r="D96" s="9" t="str">
        <f>mgmt_az2_host_overlay_pool_end_ip</f>
        <v>Value Missing</v>
      </c>
      <c r="E96" s="160"/>
    </row>
    <row r="97" spans="2:5" ht="20" customHeight="1" x14ac:dyDescent="0.2">
      <c r="B97" s="492" t="s">
        <v>3279</v>
      </c>
      <c r="C97" s="493"/>
      <c r="D97" s="493"/>
      <c r="E97" s="494"/>
    </row>
    <row r="98" spans="2:5" ht="20" customHeight="1" x14ac:dyDescent="0.2">
      <c r="B98" s="182" t="str">
        <f>mgmt_witness_fqdn</f>
        <v>Value Missing</v>
      </c>
      <c r="C98" s="181" t="str">
        <f>sample_mgmt_witness_ip</f>
        <v>10.21.10.218</v>
      </c>
      <c r="D98" s="182" t="e">
        <f>mgmt_witness_mgmt_ip</f>
        <v>#NAME?</v>
      </c>
      <c r="E98" s="150" t="s">
        <v>278</v>
      </c>
    </row>
    <row r="99" spans="2:5" ht="20" customHeight="1" x14ac:dyDescent="0.2">
      <c r="B99" s="182" t="str">
        <f t="array" ref="B99">mgmt_witness_vcenter_fqdn</f>
        <v>Value Missing</v>
      </c>
      <c r="C99" s="181" t="str">
        <f>sample_mgmt_witness_zone_vc_ip</f>
        <v>10.21.10.70</v>
      </c>
      <c r="D99" s="182" t="str">
        <f>mgmt_witness_zone_vc_ip</f>
        <v>Value Missing</v>
      </c>
      <c r="E99" s="150" t="s">
        <v>274</v>
      </c>
    </row>
    <row r="100" spans="2:5" ht="20" customHeight="1" x14ac:dyDescent="0.2">
      <c r="B100" s="635" t="s">
        <v>3283</v>
      </c>
      <c r="C100" s="636"/>
      <c r="D100" s="636"/>
      <c r="E100" s="637"/>
    </row>
    <row r="101" spans="2:5" ht="20" customHeight="1" x14ac:dyDescent="0.2">
      <c r="B101" s="182" t="str">
        <f t="array" ref="B101:B116">mgmt_az2_host_fqdns</f>
        <v>Value Missing</v>
      </c>
      <c r="C101" s="131" t="str">
        <f>CONCATENATE(prefix_mgmt_az2_cidr,"11.101")</f>
        <v>10.12.11.101</v>
      </c>
      <c r="D101" s="182" t="str">
        <f>mgmt_az2_host1_mgmt_ip</f>
        <v>Value Missing</v>
      </c>
      <c r="E101" s="150"/>
    </row>
    <row r="102" spans="2:5" ht="20" customHeight="1" x14ac:dyDescent="0.2">
      <c r="B102" s="182" t="str">
        <v>Value Missing</v>
      </c>
      <c r="C102" s="131" t="str">
        <f>CONCATENATE(prefix_mgmt_az2_cidr,"11.102")</f>
        <v>10.12.11.102</v>
      </c>
      <c r="D102" s="182" t="str">
        <f>mgmt_az2_host2_mgmt_ip</f>
        <v>Value Missing</v>
      </c>
      <c r="E102" s="150"/>
    </row>
    <row r="103" spans="2:5" ht="20" customHeight="1" x14ac:dyDescent="0.2">
      <c r="B103" s="182" t="str">
        <v>Value Missing</v>
      </c>
      <c r="C103" s="131" t="str">
        <f>CONCATENATE(prefix_mgmt_az2_cidr,"11.103")</f>
        <v>10.12.11.103</v>
      </c>
      <c r="D103" s="182" t="str">
        <f>mgmt_az2_host3_mgmt_ip</f>
        <v>Value Missing</v>
      </c>
      <c r="E103" s="150"/>
    </row>
    <row r="104" spans="2:5" ht="20" customHeight="1" x14ac:dyDescent="0.2">
      <c r="B104" s="182" t="str">
        <v>Value Missing</v>
      </c>
      <c r="C104" s="131" t="str">
        <f>CONCATENATE(prefix_mgmt_az2_cidr,"11.104")</f>
        <v>10.12.11.104</v>
      </c>
      <c r="D104" s="182" t="str">
        <f>mgmt_az2_host4_mgmt_ip</f>
        <v>Value Missing</v>
      </c>
      <c r="E104" s="150"/>
    </row>
    <row r="105" spans="2:5" ht="20" customHeight="1" x14ac:dyDescent="0.2">
      <c r="B105" s="182" t="str">
        <v>Value Missing</v>
      </c>
      <c r="C105" s="131" t="str">
        <f>CONCATENATE(prefix_mgmt_az2_cidr,"11.105")</f>
        <v>10.12.11.105</v>
      </c>
      <c r="D105" s="182" t="str">
        <f>mgmt_az2_host5_mgmt_ip</f>
        <v>Value Missing</v>
      </c>
      <c r="E105" s="150"/>
    </row>
    <row r="106" spans="2:5" ht="20" customHeight="1" x14ac:dyDescent="0.2">
      <c r="B106" s="182" t="str">
        <v>Value Missing</v>
      </c>
      <c r="C106" s="131" t="str">
        <f>CONCATENATE(prefix_mgmt_az2_cidr,"11.106")</f>
        <v>10.12.11.106</v>
      </c>
      <c r="D106" s="182" t="str">
        <f>mgmt_az2_host6_mgmt_ip</f>
        <v>Value Missing</v>
      </c>
      <c r="E106" s="150"/>
    </row>
    <row r="107" spans="2:5" ht="20" customHeight="1" x14ac:dyDescent="0.2">
      <c r="B107" s="182" t="str">
        <v>Value Missing</v>
      </c>
      <c r="C107" s="131" t="str">
        <f>CONCATENATE(prefix_mgmt_az2_cidr,"11.107")</f>
        <v>10.12.11.107</v>
      </c>
      <c r="D107" s="182" t="str">
        <f>mgmt_az2_host7_mgmt_ip</f>
        <v>Value Missing</v>
      </c>
      <c r="E107" s="150"/>
    </row>
    <row r="108" spans="2:5" ht="20" customHeight="1" x14ac:dyDescent="0.2">
      <c r="B108" s="182" t="str">
        <v>Value Missing</v>
      </c>
      <c r="C108" s="131" t="str">
        <f>CONCATENATE(prefix_mgmt_az2_cidr,"11.108")</f>
        <v>10.12.11.108</v>
      </c>
      <c r="D108" s="182" t="str">
        <f>mgmt_az2_host8_mgmt_ip</f>
        <v>Value Missing</v>
      </c>
      <c r="E108" s="150"/>
    </row>
    <row r="109" spans="2:5" ht="20" customHeight="1" x14ac:dyDescent="0.2">
      <c r="B109" s="182" t="str">
        <v>Value Missing</v>
      </c>
      <c r="C109" s="131" t="str">
        <f>CONCATENATE(prefix_mgmt_az2_cidr,"11.109")</f>
        <v>10.12.11.109</v>
      </c>
      <c r="D109" s="182" t="str">
        <f>mgmt_az2_host9_mgmt_ip</f>
        <v>Value Missing</v>
      </c>
      <c r="E109" s="150"/>
    </row>
    <row r="110" spans="2:5" ht="20" customHeight="1" x14ac:dyDescent="0.2">
      <c r="B110" s="182" t="str">
        <v>Value Missing</v>
      </c>
      <c r="C110" s="131" t="str">
        <f>CONCATENATE(prefix_mgmt_az2_cidr,"11.110")</f>
        <v>10.12.11.110</v>
      </c>
      <c r="D110" s="182" t="str">
        <f>mgmt_az2_host10_mgmt_ip</f>
        <v>Value Missing</v>
      </c>
      <c r="E110" s="150"/>
    </row>
    <row r="111" spans="2:5" ht="20" customHeight="1" x14ac:dyDescent="0.2">
      <c r="B111" s="182" t="str">
        <v>Value Missing</v>
      </c>
      <c r="C111" s="131" t="str">
        <f>CONCATENATE(prefix_mgmt_az2_cidr,"11.111")</f>
        <v>10.12.11.111</v>
      </c>
      <c r="D111" s="182" t="str">
        <f>mgmt_az2_host11_mgmt_ip</f>
        <v>Value Missing</v>
      </c>
      <c r="E111" s="150"/>
    </row>
    <row r="112" spans="2:5" ht="20" customHeight="1" x14ac:dyDescent="0.2">
      <c r="B112" s="182" t="str">
        <v>Value Missing</v>
      </c>
      <c r="C112" s="131" t="str">
        <f>CONCATENATE(prefix_mgmt_az2_cidr,"11.112")</f>
        <v>10.12.11.112</v>
      </c>
      <c r="D112" s="182" t="str">
        <f>mgmt_az2_host12_mgmt_ip</f>
        <v>Value Missing</v>
      </c>
      <c r="E112" s="150"/>
    </row>
    <row r="113" spans="2:5" ht="20" customHeight="1" x14ac:dyDescent="0.2">
      <c r="B113" s="182" t="str">
        <v>Value Missing</v>
      </c>
      <c r="C113" s="131" t="str">
        <f>CONCATENATE(prefix_mgmt_az2_cidr,"11.113")</f>
        <v>10.12.11.113</v>
      </c>
      <c r="D113" s="182" t="str">
        <f>mgmt_az2_host13_mgmt_ip</f>
        <v>Value Missing</v>
      </c>
      <c r="E113" s="150"/>
    </row>
    <row r="114" spans="2:5" ht="20" customHeight="1" x14ac:dyDescent="0.2">
      <c r="B114" s="182" t="str">
        <v>Value Missing</v>
      </c>
      <c r="C114" s="131" t="str">
        <f>CONCATENATE(prefix_mgmt_az2_cidr,"11.114")</f>
        <v>10.12.11.114</v>
      </c>
      <c r="D114" s="182" t="str">
        <f>mgmt_az2_host14_mgmt_ip</f>
        <v>Value Missing</v>
      </c>
      <c r="E114" s="150"/>
    </row>
    <row r="115" spans="2:5" ht="20" customHeight="1" x14ac:dyDescent="0.2">
      <c r="B115" s="182" t="str">
        <v>Value Missing</v>
      </c>
      <c r="C115" s="131" t="str">
        <f>CONCATENATE(prefix_mgmt_az2_cidr,"11.115")</f>
        <v>10.12.11.115</v>
      </c>
      <c r="D115" s="182" t="str">
        <f>mgmt_az2_host15_mgmt_ip</f>
        <v>Value Missing</v>
      </c>
      <c r="E115" s="150"/>
    </row>
    <row r="116" spans="2:5" ht="20" customHeight="1" x14ac:dyDescent="0.2">
      <c r="B116" s="182" t="str">
        <v>Value Missing</v>
      </c>
      <c r="C116" s="131" t="str">
        <f>CONCATENATE(prefix_mgmt_az2_cidr,"11.116")</f>
        <v>10.12.11.116</v>
      </c>
      <c r="D116" s="182" t="str">
        <f>mgmt_az2_host16_mgmt_ip</f>
        <v>Value Missing</v>
      </c>
      <c r="E116" s="150"/>
    </row>
    <row r="117" spans="2:5" ht="20" customHeight="1" x14ac:dyDescent="0.2">
      <c r="B117" s="519" t="s">
        <v>3275</v>
      </c>
      <c r="C117" s="519"/>
      <c r="D117" s="519"/>
      <c r="E117" s="519"/>
    </row>
    <row r="118" spans="2:5" ht="20" customHeight="1" x14ac:dyDescent="0.2">
      <c r="B118" s="4" t="s">
        <v>1025</v>
      </c>
      <c r="C118" s="80" t="str">
        <f>sample_mgmt_en_asn</f>
        <v>65101</v>
      </c>
      <c r="D118" s="337" t="str">
        <f>mgmt_en_asn</f>
        <v>Value Missing</v>
      </c>
      <c r="E118" s="32"/>
    </row>
    <row r="119" spans="2:5" ht="20" customHeight="1" x14ac:dyDescent="0.2">
      <c r="B119" s="4" t="s">
        <v>168</v>
      </c>
      <c r="C119" s="80" t="str">
        <f>sample_mgmt_az2_tor1_peer_ip</f>
        <v>10.11.17.11</v>
      </c>
      <c r="D119" s="337" t="str">
        <f>mgmt_az1_tor1_peer_ip</f>
        <v>Value Missing</v>
      </c>
      <c r="E119" s="32"/>
    </row>
    <row r="120" spans="2:5" ht="20" customHeight="1" x14ac:dyDescent="0.2">
      <c r="B120" s="4" t="s">
        <v>169</v>
      </c>
      <c r="C120" s="80" t="str">
        <f>sample_mgmt_az2_tor1_peer_asn</f>
        <v>65121</v>
      </c>
      <c r="D120" s="337" t="str">
        <f>mgmt_az1_tor1_peer_asn</f>
        <v>Value Missing</v>
      </c>
      <c r="E120" s="32"/>
    </row>
    <row r="121" spans="2:5" ht="20" customHeight="1" x14ac:dyDescent="0.2">
      <c r="B121" s="4" t="s">
        <v>170</v>
      </c>
      <c r="C121" s="80" t="str">
        <f>sample_mgmt_az2_tor1_peer_bgp_password</f>
        <v>VMw@re1!</v>
      </c>
      <c r="D121" s="337" t="str">
        <f>mgmt_az1_tor1_peer_bgp_password</f>
        <v>Value Missing</v>
      </c>
      <c r="E121" s="32"/>
    </row>
    <row r="122" spans="2:5" ht="20" customHeight="1" x14ac:dyDescent="0.2">
      <c r="B122" s="4" t="s">
        <v>171</v>
      </c>
      <c r="C122" s="80" t="str">
        <f>sample_mgmt_az2_tor2_peer_ip</f>
        <v>10.11.18.11</v>
      </c>
      <c r="D122" s="337" t="str">
        <f>mgmt_az1_tor2_peer_ip</f>
        <v>Value Missing</v>
      </c>
      <c r="E122" s="32"/>
    </row>
    <row r="123" spans="2:5" ht="20" customHeight="1" x14ac:dyDescent="0.2">
      <c r="B123" s="4" t="s">
        <v>172</v>
      </c>
      <c r="C123" s="80" t="str">
        <f>sample_mgmt_az2_tor2_peer_asn</f>
        <v>65121</v>
      </c>
      <c r="D123" s="337" t="str">
        <f>mgmt_az1_tor2_peer_asn</f>
        <v>Value Missing</v>
      </c>
      <c r="E123" s="32"/>
    </row>
    <row r="124" spans="2:5" ht="20" customHeight="1" x14ac:dyDescent="0.2">
      <c r="B124" s="4" t="s">
        <v>173</v>
      </c>
      <c r="C124" s="80" t="str">
        <f>sample_mgmt_az2_tor2_peer_bgp_password</f>
        <v>VMw@re1!</v>
      </c>
      <c r="D124" s="337" t="str">
        <f>mgmt_az1_tor2_peer_bgp_password</f>
        <v>Value Missing</v>
      </c>
      <c r="E124" s="32"/>
    </row>
    <row r="126" spans="2:5" ht="34" customHeight="1" x14ac:dyDescent="0.2">
      <c r="B126" s="425" t="s">
        <v>7</v>
      </c>
      <c r="C126" s="426"/>
      <c r="D126" s="426"/>
      <c r="E126" s="427"/>
    </row>
    <row r="127" spans="2:5" ht="20" customHeight="1" x14ac:dyDescent="0.2">
      <c r="B127" s="346" t="s">
        <v>17</v>
      </c>
      <c r="C127" s="346" t="s">
        <v>18</v>
      </c>
      <c r="D127" s="346" t="s">
        <v>19</v>
      </c>
      <c r="E127" s="346" t="s">
        <v>20</v>
      </c>
    </row>
    <row r="128" spans="2:5" ht="20" customHeight="1" x14ac:dyDescent="0.2">
      <c r="B128" s="492" t="s">
        <v>932</v>
      </c>
      <c r="C128" s="493"/>
      <c r="D128" s="493"/>
      <c r="E128" s="494"/>
    </row>
    <row r="129" spans="2:5" ht="20" customHeight="1" x14ac:dyDescent="0.2">
      <c r="B129" s="4" t="s">
        <v>85</v>
      </c>
      <c r="C129" s="89" t="str">
        <f>sample_mgmt_az1_mgmt_vm_vlan</f>
        <v>1110</v>
      </c>
      <c r="D129" s="337" t="str">
        <f>mgmt_az1_mgmt_vm_vlan</f>
        <v>Value Missing</v>
      </c>
      <c r="E129" s="33" t="s">
        <v>3284</v>
      </c>
    </row>
    <row r="130" spans="2:5" ht="20" customHeight="1" x14ac:dyDescent="0.2">
      <c r="B130" s="4" t="s">
        <v>187</v>
      </c>
      <c r="C130" s="80" t="str">
        <f>sample_mgmt_az1_mgmt_vm_gateway_ip</f>
        <v>10.11.10.1</v>
      </c>
      <c r="D130" s="337" t="str">
        <f>mgmt_az1_mgmt_vm_gateway_ip</f>
        <v>Value Missing</v>
      </c>
      <c r="E130" s="33"/>
    </row>
    <row r="131" spans="2:5" ht="20" customHeight="1" x14ac:dyDescent="0.2">
      <c r="B131" s="4" t="s">
        <v>188</v>
      </c>
      <c r="C131" s="80" t="str">
        <f>sample_mgmt_az1_mgmt_cidr</f>
        <v>10.11.11.0/24</v>
      </c>
      <c r="D131" s="337" t="str">
        <f>mgmt_az1_mgmt_cidr</f>
        <v>Value Missing</v>
      </c>
      <c r="E131" s="33"/>
    </row>
    <row r="132" spans="2:5" ht="20" customHeight="1" x14ac:dyDescent="0.2">
      <c r="B132" s="4" t="s">
        <v>160</v>
      </c>
      <c r="C132" s="80">
        <f>sample_mgmt_az1_mgmt_vm_mtu</f>
        <v>1500</v>
      </c>
      <c r="D132" s="337" t="str">
        <f>mgmt_az1_mgmt_vm_mtu</f>
        <v>Value Missing</v>
      </c>
      <c r="E132" s="33"/>
    </row>
    <row r="133" spans="2:5" ht="20" customHeight="1" x14ac:dyDescent="0.2">
      <c r="B133" s="492" t="s">
        <v>3285</v>
      </c>
      <c r="C133" s="493"/>
      <c r="D133" s="493"/>
      <c r="E133" s="494"/>
    </row>
    <row r="134" spans="2:5" ht="20" customHeight="1" x14ac:dyDescent="0.2">
      <c r="B134" s="4" t="s">
        <v>85</v>
      </c>
      <c r="C134" s="362" t="str">
        <f>sample_mgmt_az1_rtep_overlay_vlan</f>
        <v>1120</v>
      </c>
      <c r="D134" s="337" t="str">
        <f>mgmt_az1_rtep_overlay_vlan</f>
        <v>Value Missing</v>
      </c>
      <c r="E134" s="337"/>
    </row>
    <row r="135" spans="2:5" ht="20" customHeight="1" x14ac:dyDescent="0.2">
      <c r="B135" s="4" t="s">
        <v>187</v>
      </c>
      <c r="C135" s="362" t="str">
        <f>sample_mgmt_az1_rtep_overlay_gateway_ip</f>
        <v>10.11.20.1</v>
      </c>
      <c r="D135" s="337" t="str">
        <f>mgmt_az1_rtep_overlay_gateway_ip</f>
        <v>Value Missing</v>
      </c>
      <c r="E135" s="337"/>
    </row>
    <row r="136" spans="2:5" ht="20" customHeight="1" x14ac:dyDescent="0.2">
      <c r="B136" s="4" t="s">
        <v>188</v>
      </c>
      <c r="C136" s="362" t="str">
        <f>sample_mgmt_az1_rtep_overlay_cidr</f>
        <v>10.11.20.0/24</v>
      </c>
      <c r="D136" s="337" t="str">
        <f>mgmt_az1_rtep_overlay_cidr</f>
        <v>Value Missing</v>
      </c>
      <c r="E136" s="337"/>
    </row>
    <row r="137" spans="2:5" ht="20" customHeight="1" x14ac:dyDescent="0.2">
      <c r="B137" s="492" t="s">
        <v>3276</v>
      </c>
      <c r="C137" s="493"/>
      <c r="D137" s="493"/>
      <c r="E137" s="494"/>
    </row>
    <row r="138" spans="2:5" ht="20" customHeight="1" x14ac:dyDescent="0.2">
      <c r="B138" s="4" t="str">
        <f>mgmt_nsxt_global_mgra_fqdn</f>
        <v>Value Missing</v>
      </c>
      <c r="C138" s="362" t="str">
        <f>sample_mgmt_nsxt_gm_vip_ip</f>
        <v>10.11.10.81</v>
      </c>
      <c r="D138" s="337" t="str">
        <f>mgmt_nsxt_gm_vip_ip</f>
        <v>Value Missing</v>
      </c>
      <c r="E138" s="337"/>
    </row>
    <row r="139" spans="2:5" ht="20" customHeight="1" x14ac:dyDescent="0.2">
      <c r="B139" s="4" t="str">
        <f>mgmt_nsxt_global_mgra_fqdn</f>
        <v>Value Missing</v>
      </c>
      <c r="C139" s="362" t="str">
        <f>sample_mgmt_nsxt_global_mgra_ip</f>
        <v>10.11.10.82</v>
      </c>
      <c r="D139" s="337" t="str">
        <f>mgmt_nsxt_global_mgra_ip</f>
        <v>Value Missing</v>
      </c>
      <c r="E139" s="337"/>
    </row>
    <row r="140" spans="2:5" ht="20" customHeight="1" x14ac:dyDescent="0.2">
      <c r="B140" s="4" t="str">
        <f>mgmt_nsxt_global_mgrb_fqdn</f>
        <v>Value Missing</v>
      </c>
      <c r="C140" s="362" t="str">
        <f>sample_mgmt_nsxt_global_mgrb_ip</f>
        <v>10.11.10.83</v>
      </c>
      <c r="D140" s="337" t="str">
        <f>mgmt_nsxt_global_mgrb_ip</f>
        <v>Value Missing</v>
      </c>
      <c r="E140" s="337"/>
    </row>
    <row r="141" spans="2:5" ht="20" customHeight="1" x14ac:dyDescent="0.2">
      <c r="B141" s="4" t="str">
        <f>mgmt_nsxt_global_mgrc_fqdn</f>
        <v>Value Missing</v>
      </c>
      <c r="C141" s="362" t="str">
        <f>sample_mgmt_nsxt_global_mgrc_ip</f>
        <v>10.11.10.84</v>
      </c>
      <c r="D141" s="337" t="str">
        <f>mgmt_nsxt_global_mgrc_ip</f>
        <v>Value Missing</v>
      </c>
      <c r="E141" s="337"/>
    </row>
    <row r="142" spans="2:5" ht="20" customHeight="1" x14ac:dyDescent="0.2">
      <c r="B142" s="30" t="str">
        <f>sample_mgmt_az1_en1_hostname</f>
        <v>sfo-m01-en1</v>
      </c>
      <c r="C142" s="80" t="str">
        <f>sample_mgmt_az1_en1_mgmt_cidr</f>
        <v>10.11.10.75/24</v>
      </c>
      <c r="D142" s="337" t="str">
        <f>mgmt_az1_en1_mgmt_cidr</f>
        <v>Value Missing</v>
      </c>
      <c r="E142" s="337"/>
    </row>
    <row r="143" spans="2:5" ht="20" customHeight="1" x14ac:dyDescent="0.2">
      <c r="B143" s="99" t="s">
        <v>2729</v>
      </c>
      <c r="C143" s="80" t="str">
        <f>sample_mgmt_az1_en1_uplink01_interface_cidr</f>
        <v>10.11.17.2/24</v>
      </c>
      <c r="D143" s="337" t="str">
        <f>mgmt_az1_en1_uplink01_interface_cidr</f>
        <v>Value Missing</v>
      </c>
      <c r="E143" s="337" t="s">
        <v>156</v>
      </c>
    </row>
    <row r="144" spans="2:5" ht="20" customHeight="1" x14ac:dyDescent="0.2">
      <c r="B144" s="99" t="s">
        <v>2729</v>
      </c>
      <c r="C144" s="80" t="str">
        <f>sample_mgmt_az1_en1_uplink02_interface_cidr</f>
        <v>10.11.18.2/24</v>
      </c>
      <c r="D144" s="337" t="str">
        <f>mgmt_az1_en1_uplink02_interface_cidr</f>
        <v>Value Missing</v>
      </c>
      <c r="E144" s="337" t="s">
        <v>1057</v>
      </c>
    </row>
    <row r="145" spans="2:5" ht="20" customHeight="1" x14ac:dyDescent="0.2">
      <c r="B145" s="179" t="s">
        <v>2729</v>
      </c>
      <c r="C145" s="80" t="str">
        <f>sample_mgmt_az1_en1_edge_overlay_interface_ip_1_ip</f>
        <v>10.11.19.2</v>
      </c>
      <c r="D145" s="337" t="str">
        <f>mgmt_az1_en1_edge_overlay_interface_ip_1_ip</f>
        <v>Value Missing</v>
      </c>
      <c r="E145" s="337" t="s">
        <v>1046</v>
      </c>
    </row>
    <row r="146" spans="2:5" ht="20" customHeight="1" x14ac:dyDescent="0.2">
      <c r="B146" s="180" t="s">
        <v>2729</v>
      </c>
      <c r="C146" s="80" t="str">
        <f>sample_mgmt_az1_en1_edge_overlay_interface_ip_2_ip</f>
        <v>10.11.19.3</v>
      </c>
      <c r="D146" s="337" t="str">
        <f>mgmt_az1_en1_edge_overlay_interface_ip_2_ip</f>
        <v>Value Missing</v>
      </c>
      <c r="E146" s="337" t="s">
        <v>3277</v>
      </c>
    </row>
    <row r="147" spans="2:5" ht="20" customHeight="1" x14ac:dyDescent="0.2">
      <c r="B147" s="30" t="str">
        <f>sample_mgmt_az1_en2_hostname</f>
        <v>sfo-m01-en2</v>
      </c>
      <c r="C147" s="80" t="str">
        <f>sample_mgmt_az1_en2_mgmt_cidr</f>
        <v>10.11.10.76/24</v>
      </c>
      <c r="D147" s="337" t="str">
        <f>mgmt_az1_en2_mgmt_cidr</f>
        <v>Value Missing</v>
      </c>
      <c r="E147" s="337"/>
    </row>
    <row r="148" spans="2:5" ht="20" customHeight="1" x14ac:dyDescent="0.2">
      <c r="B148" s="99" t="s">
        <v>2729</v>
      </c>
      <c r="C148" s="80" t="str">
        <f>sample_mgmt_az1_en2_uplink01_interface_cidr</f>
        <v>10.11.17.3/24</v>
      </c>
      <c r="D148" s="337" t="str">
        <f>mgmt_az1_en2_uplink01_interface_cidr</f>
        <v>Value Missing</v>
      </c>
      <c r="E148" s="337" t="s">
        <v>167</v>
      </c>
    </row>
    <row r="149" spans="2:5" ht="20" customHeight="1" x14ac:dyDescent="0.2">
      <c r="B149" s="99" t="s">
        <v>2729</v>
      </c>
      <c r="C149" s="80" t="str">
        <f>sample_mgmt_az1_en2_uplink02_interface_cidr</f>
        <v>10.11.18.3/24</v>
      </c>
      <c r="D149" s="337" t="str">
        <f>mgmt_az1_en2_uplink02_interface_cidr</f>
        <v>Value Missing</v>
      </c>
      <c r="E149" s="337" t="s">
        <v>165</v>
      </c>
    </row>
    <row r="150" spans="2:5" ht="20" customHeight="1" x14ac:dyDescent="0.2">
      <c r="B150" s="179" t="s">
        <v>2729</v>
      </c>
      <c r="C150" s="80" t="str">
        <f>sample_mgmt_az1_en2_edge_overlay_interface_ip_1_ip</f>
        <v>10.11.19.4</v>
      </c>
      <c r="D150" s="337" t="str">
        <f>mgmt_az1_en2_edge_overlay_interface_ip_1_ip</f>
        <v>Value Missing</v>
      </c>
      <c r="E150" s="337" t="s">
        <v>1052</v>
      </c>
    </row>
    <row r="151" spans="2:5" ht="20" customHeight="1" x14ac:dyDescent="0.2">
      <c r="B151" s="180" t="s">
        <v>2729</v>
      </c>
      <c r="C151" s="80" t="str">
        <f>sample_mgmt_az1_en2_edge_overlay_interface_ip_2_ip</f>
        <v>10.11.19.5</v>
      </c>
      <c r="D151" s="337" t="str">
        <f>mgmt_az1_en2_edge_overlay_interface_ip_2_ip</f>
        <v>Value Missing</v>
      </c>
      <c r="E151" s="337" t="s">
        <v>1054</v>
      </c>
    </row>
  </sheetData>
  <sheetProtection algorithmName="SHA-512" hashValue="nUPEmXMgPmMwaLeMRjscM78D2cKiq3FkSMxuKmDGwswDMXwujgaWnMf2FMNjAa0vcWbbIFHsUTUBFCnP6g8SnQ==" saltValue="lTeQBUBWNmGPOerRTEbUyw==" spinCount="100000" sheet="1" objects="1" scenarios="1"/>
  <mergeCells count="26">
    <mergeCell ref="B2:E2"/>
    <mergeCell ref="B3:E3"/>
    <mergeCell ref="B69:E69"/>
    <mergeCell ref="B56:E56"/>
    <mergeCell ref="B19:E19"/>
    <mergeCell ref="B29:E29"/>
    <mergeCell ref="B24:E24"/>
    <mergeCell ref="B51:E51"/>
    <mergeCell ref="B49:E49"/>
    <mergeCell ref="B9:E9"/>
    <mergeCell ref="B14:E14"/>
    <mergeCell ref="B7:E7"/>
    <mergeCell ref="B6:E6"/>
    <mergeCell ref="B37:E37"/>
    <mergeCell ref="B137:E137"/>
    <mergeCell ref="B62:E62"/>
    <mergeCell ref="B64:E64"/>
    <mergeCell ref="B117:E117"/>
    <mergeCell ref="B126:E126"/>
    <mergeCell ref="B133:E133"/>
    <mergeCell ref="B128:E128"/>
    <mergeCell ref="B76:E76"/>
    <mergeCell ref="B83:E83"/>
    <mergeCell ref="B90:E90"/>
    <mergeCell ref="B97:E97"/>
    <mergeCell ref="B100:E100"/>
  </mergeCells>
  <conditionalFormatting sqref="B98:B99">
    <cfRule type="expression" dxfId="291" priority="2" stopIfTrue="1">
      <formula>mgmt_stretched_cluster_result="Excluded"</formula>
    </cfRule>
    <cfRule type="containsBlanks" dxfId="290" priority="3">
      <formula>LEN(TRIM(B98))=0</formula>
    </cfRule>
    <cfRule type="notContainsBlanks" dxfId="288" priority="5" stopIfTrue="1">
      <formula>LEN(TRIM(B98))&gt;0</formula>
    </cfRule>
  </conditionalFormatting>
  <conditionalFormatting sqref="B101:B116">
    <cfRule type="expression" dxfId="287" priority="6" stopIfTrue="1">
      <formula>mgmt_stretched_cluster_result="Excluded"</formula>
    </cfRule>
    <cfRule type="containsBlanks" dxfId="286" priority="7">
      <formula>LEN(TRIM(B101))=0</formula>
    </cfRule>
    <cfRule type="notContainsBlanks" dxfId="284" priority="9" stopIfTrue="1">
      <formula>LEN(TRIM(B101))&gt;0</formula>
    </cfRule>
  </conditionalFormatting>
  <conditionalFormatting sqref="D10:D13">
    <cfRule type="expression" dxfId="282" priority="54">
      <formula>OR((mgmt_domain_result="Excluded"),(mgmt_vns_result="Excluded"))</formula>
    </cfRule>
    <cfRule type="notContainsBlanks" dxfId="281" priority="84">
      <formula>LEN(TRIM(D10))&gt;0</formula>
    </cfRule>
    <cfRule type="containsBlanks" dxfId="280" priority="55">
      <formula>LEN(TRIM(D10))=0</formula>
    </cfRule>
  </conditionalFormatting>
  <conditionalFormatting sqref="D15:D18">
    <cfRule type="containsBlanks" dxfId="279" priority="65">
      <formula>LEN(TRIM(D15))=0</formula>
    </cfRule>
    <cfRule type="notContainsBlanks" dxfId="277" priority="85">
      <formula>LEN(TRIM(D15))&gt;0</formula>
    </cfRule>
    <cfRule type="expression" dxfId="276" priority="64">
      <formula>OR((mgmt_domain_result="Excluded"),(mgmt_vns_result="Excluded"))</formula>
    </cfRule>
  </conditionalFormatting>
  <conditionalFormatting sqref="D20:D23">
    <cfRule type="expression" dxfId="275" priority="61">
      <formula>OR((mgmt_domain_result="Excluded"),(mgmt_vns_result="Excluded"))</formula>
    </cfRule>
    <cfRule type="containsBlanks" dxfId="274" priority="62">
      <formula>LEN(TRIM(D20))=0</formula>
    </cfRule>
  </conditionalFormatting>
  <conditionalFormatting sqref="D20:D24">
    <cfRule type="notContainsBlanks" dxfId="272" priority="82">
      <formula>LEN(TRIM(D20))&gt;0</formula>
    </cfRule>
  </conditionalFormatting>
  <conditionalFormatting sqref="D24 D8:D9">
    <cfRule type="expression" dxfId="271" priority="80">
      <formula>mgmt_domain_existing_vcenter_chosen="Selected"</formula>
    </cfRule>
  </conditionalFormatting>
  <conditionalFormatting sqref="D24">
    <cfRule type="expression" dxfId="269" priority="79">
      <formula>input_mgmt_principal_storage_chosen="VMFS on Fibre Channel (FC)"</formula>
    </cfRule>
    <cfRule type="containsBlanks" dxfId="268" priority="83">
      <formula>LEN(TRIM(D24))=0</formula>
    </cfRule>
  </conditionalFormatting>
  <conditionalFormatting sqref="D25:D28">
    <cfRule type="expression" dxfId="267" priority="57">
      <formula>OR((mgmt_domain_result="Excluded"),(mgmt_vns_result="Excluded"))</formula>
    </cfRule>
    <cfRule type="containsBlanks" dxfId="266" priority="58">
      <formula>LEN(TRIM(D25))=0</formula>
    </cfRule>
    <cfRule type="notContainsBlanks" dxfId="264" priority="60">
      <formula>LEN(TRIM(D25))&gt;0</formula>
    </cfRule>
  </conditionalFormatting>
  <conditionalFormatting sqref="D30:D36">
    <cfRule type="notContainsBlanks" dxfId="262" priority="86">
      <formula>LEN(TRIM(D30))&gt;0</formula>
    </cfRule>
    <cfRule type="containsBlanks" dxfId="261" priority="74">
      <formula>LEN(TRIM(D30))=0</formula>
    </cfRule>
    <cfRule type="expression" dxfId="260" priority="72">
      <formula>OR((mgmt_domain_result="Excluded"),(mgmt_vns_result="Excluded"))</formula>
    </cfRule>
    <cfRule type="expression" dxfId="259" priority="71">
      <formula>mgmt_vns_chosen&lt;&gt;"Centralized Connectivity"</formula>
    </cfRule>
  </conditionalFormatting>
  <conditionalFormatting sqref="D38:D47">
    <cfRule type="expression" dxfId="257" priority="67">
      <formula>OR((mgmt_domain_result="Excluded"),(mgmt_vns_result="Excluded"))</formula>
    </cfRule>
    <cfRule type="containsBlanks" dxfId="256" priority="68">
      <formula>LEN(TRIM(D38))=0</formula>
    </cfRule>
    <cfRule type="notContainsBlanks" dxfId="255" priority="70">
      <formula>LEN(TRIM(D38))&gt;0</formula>
    </cfRule>
  </conditionalFormatting>
  <conditionalFormatting sqref="D50:D51">
    <cfRule type="expression" dxfId="254" priority="50">
      <formula>mgmt_domain_existing_vcenter_chosen="Selected"</formula>
    </cfRule>
  </conditionalFormatting>
  <conditionalFormatting sqref="D52:D55 D57:D60">
    <cfRule type="expression" dxfId="253" priority="46">
      <formula>mgmt_avi_loadbalancer_result="Excluded"</formula>
    </cfRule>
  </conditionalFormatting>
  <conditionalFormatting sqref="D52:D55">
    <cfRule type="containsBlanks" dxfId="252" priority="47">
      <formula>LEN(TRIM(D52))=0</formula>
    </cfRule>
    <cfRule type="notContainsBlanks" dxfId="250" priority="49">
      <formula>LEN(TRIM(D52))&gt;0</formula>
    </cfRule>
  </conditionalFormatting>
  <conditionalFormatting sqref="D57:D60">
    <cfRule type="containsBlanks" dxfId="249" priority="51">
      <formula>LEN(TRIM(D57))=0</formula>
    </cfRule>
    <cfRule type="notContainsBlanks" dxfId="247" priority="53">
      <formula>LEN(TRIM(D57))&gt;0</formula>
    </cfRule>
  </conditionalFormatting>
  <conditionalFormatting sqref="D63:D64">
    <cfRule type="expression" dxfId="246" priority="45">
      <formula>mgmt_domain_existing_vcenter_chosen="Selected"</formula>
    </cfRule>
  </conditionalFormatting>
  <conditionalFormatting sqref="D65:D68 D98:D99 D101:D116">
    <cfRule type="expression" dxfId="245" priority="36" stopIfTrue="1">
      <formula>mgmt_stretched_cluster_result="Excluded"</formula>
    </cfRule>
    <cfRule type="containsBlanks" dxfId="244" priority="37">
      <formula>LEN(TRIM(D65))=0</formula>
    </cfRule>
    <cfRule type="notContainsBlanks" dxfId="243" priority="39" stopIfTrue="1">
      <formula>LEN(TRIM(D65))&gt;0</formula>
    </cfRule>
  </conditionalFormatting>
  <conditionalFormatting sqref="D70:D75">
    <cfRule type="containsBlanks" dxfId="242" priority="23">
      <formula>LEN(TRIM(D70))=0</formula>
    </cfRule>
    <cfRule type="expression" dxfId="241" priority="22" stopIfTrue="1">
      <formula>mgmt_stretched_cluster_result="Excluded"</formula>
    </cfRule>
    <cfRule type="notContainsBlanks" dxfId="239" priority="25" stopIfTrue="1">
      <formula>LEN(TRIM(D70))&gt;0</formula>
    </cfRule>
  </conditionalFormatting>
  <conditionalFormatting sqref="D77:D82">
    <cfRule type="notContainsBlanks" dxfId="238" priority="21" stopIfTrue="1">
      <formula>LEN(TRIM(D77))&gt;0</formula>
    </cfRule>
    <cfRule type="containsBlanks" dxfId="236" priority="19">
      <formula>LEN(TRIM(D77))=0</formula>
    </cfRule>
    <cfRule type="expression" dxfId="235" priority="18" stopIfTrue="1">
      <formula>mgmt_stretched_cluster_result="Excluded"</formula>
    </cfRule>
  </conditionalFormatting>
  <conditionalFormatting sqref="D84:D89">
    <cfRule type="expression" dxfId="234" priority="1">
      <formula>mgmt_principal_storage_chosen&lt;&gt;"NFSv3"</formula>
    </cfRule>
  </conditionalFormatting>
  <conditionalFormatting sqref="D91:D96">
    <cfRule type="notContainsBlanks" dxfId="233" priority="17" stopIfTrue="1">
      <formula>LEN(TRIM(D91))&gt;0</formula>
    </cfRule>
    <cfRule type="expression" dxfId="232" priority="14" stopIfTrue="1">
      <formula>mgmt_stretched_cluster_result="Excluded"</formula>
    </cfRule>
    <cfRule type="containsBlanks" dxfId="231" priority="15">
      <formula>LEN(TRIM(D91))=0</formula>
    </cfRule>
  </conditionalFormatting>
  <conditionalFormatting sqref="D118:D124">
    <cfRule type="containsBlanks" dxfId="228" priority="42">
      <formula>LEN(TRIM(D118))=0</formula>
    </cfRule>
    <cfRule type="expression" dxfId="226" priority="38">
      <formula>mgmt_vns_chosen&lt;&gt;"Overlay-Backed"</formula>
    </cfRule>
    <cfRule type="expression" dxfId="225" priority="40">
      <formula>OR((mgmt_domain_result="Excluded"),(mgmt_vns_result="Excluded"))</formula>
    </cfRule>
    <cfRule type="notContainsBlanks" dxfId="224" priority="43">
      <formula>LEN(TRIM(D118))&gt;0</formula>
    </cfRule>
  </conditionalFormatting>
  <conditionalFormatting sqref="D127:D128">
    <cfRule type="expression" dxfId="223" priority="30">
      <formula>mgmt_domain_existing_vcenter_chosen="Selected"</formula>
    </cfRule>
  </conditionalFormatting>
  <conditionalFormatting sqref="D129:D132">
    <cfRule type="notContainsBlanks" dxfId="222" priority="29">
      <formula>LEN(TRIM(D129))&gt;0</formula>
    </cfRule>
    <cfRule type="containsBlanks" dxfId="221" priority="27">
      <formula>LEN(TRIM(D129))=0</formula>
    </cfRule>
    <cfRule type="expression" dxfId="220" priority="26">
      <formula>mgmt_avi_loadbalancer_result="Excluded"</formula>
    </cfRule>
  </conditionalFormatting>
  <conditionalFormatting sqref="D133">
    <cfRule type="expression" dxfId="218" priority="35">
      <formula>mgmt_domain_existing_vcenter_chosen="Selected"</formula>
    </cfRule>
  </conditionalFormatting>
  <conditionalFormatting sqref="D134:D136">
    <cfRule type="notContainsBlanks" dxfId="217" priority="13">
      <formula>LEN(TRIM(D134))&gt;0</formula>
    </cfRule>
    <cfRule type="containsBlanks" dxfId="215" priority="11">
      <formula>LEN(TRIM(D134))=0</formula>
    </cfRule>
    <cfRule type="expression" dxfId="214" priority="10">
      <formula>mgmt_avi_loadbalancer_result="Excluded"</formula>
    </cfRule>
  </conditionalFormatting>
  <conditionalFormatting sqref="D138:D151">
    <cfRule type="notContainsBlanks" dxfId="213" priority="34">
      <formula>LEN(TRIM(D138))&gt;0</formula>
    </cfRule>
    <cfRule type="containsBlanks" dxfId="211" priority="32">
      <formula>LEN(TRIM(D138))=0</formula>
    </cfRule>
    <cfRule type="expression" dxfId="210" priority="31">
      <formula>OR((mgmt_domain_result="Excluded"),(mgmt_vns_result="Excluded"))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Missing",B98)))</xm:f>
            <xm:f>"Value Missing"</xm:f>
            <x14:dxf>
              <font>
                <color theme="1"/>
              </font>
              <fill>
                <patternFill>
                  <bgColor rgb="FFFFBE29"/>
                </patternFill>
              </fill>
            </x14:dxf>
          </x14:cfRule>
          <xm:sqref>B98:B99</xm:sqref>
        </x14:conditionalFormatting>
        <x14:conditionalFormatting xmlns:xm="http://schemas.microsoft.com/office/excel/2006/main">
          <x14:cfRule type="containsText" priority="8" stopIfTrue="1" operator="containsText" id="{6F12DB5D-E0A9-454B-A486-C5017B91CD9E}">
            <xm:f>NOT(ISERROR(SEARCH("Value Missing",B101)))</xm:f>
            <xm:f>"Value Missing"</xm:f>
            <x14:dxf>
              <font>
                <color theme="1"/>
              </font>
              <fill>
                <patternFill>
                  <bgColor rgb="FFFFBE29"/>
                </patternFill>
              </fill>
            </x14:dxf>
          </x14:cfRule>
          <xm:sqref>B101:B116</xm:sqref>
        </x14:conditionalFormatting>
        <x14:conditionalFormatting xmlns:xm="http://schemas.microsoft.com/office/excel/2006/main">
          <x14:cfRule type="containsText" priority="56" operator="containsText" id="{0BACB2E9-1795-A042-8238-B4388C39E7AA}">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66" operator="containsText" id="{D6B3E001-F36D-D249-81D2-225FAF68AD97}">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63" operator="containsText" id="{79F169C9-1172-984F-8F9F-1EBED5A0321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81" stopIfTrue="1" operator="containsText" id="{DD02FDDE-7EF3-D947-9541-B9C59C9D9B36}">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59" operator="containsText" id="{A84D36B2-DD1D-0546-8471-D3FDFF7DB0D9}">
            <xm:f>NOT(ISERROR(SEARCH("Value Missing",D25)))</xm:f>
            <xm:f>"Value Missing"</xm:f>
            <x14:dxf>
              <font>
                <color theme="1"/>
              </font>
              <fill>
                <patternFill>
                  <bgColor rgb="FFFFBE29"/>
                </patternFill>
              </fill>
            </x14:dxf>
          </x14:cfRule>
          <xm:sqref>D25:D28</xm:sqref>
        </x14:conditionalFormatting>
        <x14:conditionalFormatting xmlns:xm="http://schemas.microsoft.com/office/excel/2006/main">
          <x14:cfRule type="containsText" priority="73" operator="containsText" id="{A63EF1E4-6E52-114B-AAE8-13A520C9936D}">
            <xm:f>NOT(ISERROR(SEARCH("Value Missing",D30)))</xm:f>
            <xm:f>"Value Missing"</xm:f>
            <x14:dxf>
              <font>
                <color theme="1"/>
              </font>
              <fill>
                <patternFill>
                  <bgColor rgb="FFFFBE29"/>
                </patternFill>
              </fill>
            </x14:dxf>
          </x14:cfRule>
          <xm:sqref>D30:D36</xm:sqref>
        </x14:conditionalFormatting>
        <x14:conditionalFormatting xmlns:xm="http://schemas.microsoft.com/office/excel/2006/main">
          <x14:cfRule type="containsText" priority="69" operator="containsText" id="{1663532D-294C-CB4C-B41A-F924FBAB7090}">
            <xm:f>NOT(ISERROR(SEARCH("Value Missing",D38)))</xm:f>
            <xm:f>"Value Missing"</xm:f>
            <x14:dxf>
              <font>
                <color theme="1"/>
              </font>
              <fill>
                <patternFill>
                  <bgColor rgb="FFFFBE29"/>
                </patternFill>
              </fill>
            </x14:dxf>
          </x14:cfRule>
          <xm:sqref>D38:D47</xm:sqref>
        </x14:conditionalFormatting>
        <x14:conditionalFormatting xmlns:xm="http://schemas.microsoft.com/office/excel/2006/main">
          <x14:cfRule type="containsText" priority="48" operator="containsText" id="{59A10F34-52E1-2D40-AEA2-A11B56421DE3}">
            <xm:f>NOT(ISERROR(SEARCH("Value Missing",D52)))</xm:f>
            <xm:f>"Value Missing"</xm:f>
            <x14:dxf>
              <font>
                <color theme="1"/>
              </font>
              <fill>
                <patternFill>
                  <bgColor rgb="FFFFBE29"/>
                </patternFill>
              </fill>
            </x14:dxf>
          </x14:cfRule>
          <xm:sqref>D52:D55</xm:sqref>
        </x14:conditionalFormatting>
        <x14:conditionalFormatting xmlns:xm="http://schemas.microsoft.com/office/excel/2006/main">
          <x14:cfRule type="containsText" priority="52" operator="containsText" id="{B011AF18-DC27-9B45-BEA8-FB410A93DD8E}">
            <xm:f>NOT(ISERROR(SEARCH("Value Missing",D57)))</xm:f>
            <xm:f>"Value Missing"</xm:f>
            <x14:dxf>
              <font>
                <color theme="1"/>
              </font>
              <fill>
                <patternFill>
                  <bgColor rgb="FFFFBE29"/>
                </patternFill>
              </fill>
            </x14:dxf>
          </x14:cfRule>
          <xm:sqref>D57:D60</xm:sqref>
        </x14:conditionalFormatting>
        <x14:conditionalFormatting xmlns:xm="http://schemas.microsoft.com/office/excel/2006/main">
          <x14:cfRule type="containsText" priority="24" stopIfTrue="1" operator="containsText" id="{C16AD4A5-7146-8546-88CE-DCF4A43945A3}">
            <xm:f>NOT(ISERROR(SEARCH("Value Missing",D70)))</xm:f>
            <xm:f>"Value Missing"</xm:f>
            <x14:dxf>
              <font>
                <color theme="1"/>
              </font>
              <fill>
                <patternFill>
                  <bgColor rgb="FFFFBE29"/>
                </patternFill>
              </fill>
            </x14:dxf>
          </x14:cfRule>
          <xm:sqref>D70:D75</xm:sqref>
        </x14:conditionalFormatting>
        <x14:conditionalFormatting xmlns:xm="http://schemas.microsoft.com/office/excel/2006/main">
          <x14:cfRule type="containsText" priority="20" stopIfTrue="1" operator="containsText" id="{4A17EEEC-C710-F945-B9F5-1B25E7BFCD7C}">
            <xm:f>NOT(ISERROR(SEARCH("Value Missing",D77)))</xm:f>
            <xm:f>"Value Missing"</xm:f>
            <x14:dxf>
              <font>
                <color theme="1"/>
              </font>
              <fill>
                <patternFill>
                  <bgColor rgb="FFFFBE29"/>
                </patternFill>
              </fill>
            </x14:dxf>
          </x14:cfRule>
          <xm:sqref>D77:D82</xm:sqref>
        </x14:conditionalFormatting>
        <x14:conditionalFormatting xmlns:xm="http://schemas.microsoft.com/office/excel/2006/main">
          <x14:cfRule type="containsText" priority="16" stopIfTrue="1" operator="containsText" id="{096F47E6-5F8D-694F-A137-DADCBC45FD18}">
            <xm:f>NOT(ISERROR(SEARCH("Value Missing",D91)))</xm:f>
            <xm:f>"Value Missing"</xm:f>
            <x14:dxf>
              <font>
                <color theme="1"/>
              </font>
              <fill>
                <patternFill>
                  <bgColor rgb="FFFFBE29"/>
                </patternFill>
              </fill>
            </x14:dxf>
          </x14:cfRule>
          <xm:sqref>D91:D96</xm:sqref>
        </x14:conditionalFormatting>
        <x14:conditionalFormatting xmlns:xm="http://schemas.microsoft.com/office/excel/2006/main">
          <x14:cfRule type="containsText" priority="41" stopIfTrue="1" operator="containsText" id="{2BEACADF-F6E6-874B-8004-073C384B0E26}">
            <xm:f>NOT(ISERROR(SEARCH("Value Missing",D65)))</xm:f>
            <xm:f>"Value Missing"</xm:f>
            <x14:dxf>
              <font>
                <color theme="1"/>
              </font>
              <fill>
                <patternFill>
                  <bgColor rgb="FFFFBE29"/>
                </patternFill>
              </fill>
            </x14:dxf>
          </x14:cfRule>
          <xm:sqref>D118:D124 D65:D68 D98:D99 D101:D116</xm:sqref>
        </x14:conditionalFormatting>
        <x14:conditionalFormatting xmlns:xm="http://schemas.microsoft.com/office/excel/2006/main">
          <x14:cfRule type="containsText" priority="44" operator="containsText" id="{2992D1B3-A8B1-7C44-98C5-75E07A3AEA22}">
            <xm:f>NOT(ISERROR(SEARCH("Value Missing",D118)))</xm:f>
            <xm:f>"Value Missing"</xm:f>
            <x14:dxf>
              <font>
                <color theme="1"/>
              </font>
              <fill>
                <patternFill>
                  <bgColor rgb="FFFFBE29"/>
                </patternFill>
              </fill>
            </x14:dxf>
          </x14:cfRule>
          <xm:sqref>D118:D124</xm:sqref>
        </x14:conditionalFormatting>
        <x14:conditionalFormatting xmlns:xm="http://schemas.microsoft.com/office/excel/2006/main">
          <x14:cfRule type="containsText" priority="28" operator="containsText" id="{9454E179-569A-7A41-9E83-FA9A8C9DF310}">
            <xm:f>NOT(ISERROR(SEARCH("Value Missing",D129)))</xm:f>
            <xm:f>"Value Missing"</xm:f>
            <x14:dxf>
              <font>
                <color theme="1"/>
              </font>
              <fill>
                <patternFill>
                  <bgColor rgb="FFFFBE29"/>
                </patternFill>
              </fill>
            </x14:dxf>
          </x14:cfRule>
          <xm:sqref>D129:D132</xm:sqref>
        </x14:conditionalFormatting>
        <x14:conditionalFormatting xmlns:xm="http://schemas.microsoft.com/office/excel/2006/main">
          <x14:cfRule type="containsText" priority="12" operator="containsText" id="{EA074F36-CE07-E14B-8C09-3FE943F4657A}">
            <xm:f>NOT(ISERROR(SEARCH("Value Missing",D134)))</xm:f>
            <xm:f>"Value Missing"</xm:f>
            <x14:dxf>
              <font>
                <color theme="1"/>
              </font>
              <fill>
                <patternFill>
                  <bgColor rgb="FFFFBE29"/>
                </patternFill>
              </fill>
            </x14:dxf>
          </x14:cfRule>
          <xm:sqref>D134:D136</xm:sqref>
        </x14:conditionalFormatting>
        <x14:conditionalFormatting xmlns:xm="http://schemas.microsoft.com/office/excel/2006/main">
          <x14:cfRule type="containsText" priority="33" operator="containsText" id="{434F7923-6B80-C34E-8FB8-B27C9ECED7D0}">
            <xm:f>NOT(ISERROR(SEARCH("Value Missing",D138)))</xm:f>
            <xm:f>"Value Missing"</xm:f>
            <x14:dxf>
              <font>
                <color theme="1"/>
              </font>
              <fill>
                <patternFill>
                  <bgColor rgb="FFFFBE29"/>
                </patternFill>
              </fill>
            </x14:dxf>
          </x14:cfRule>
          <xm:sqref>D138:D151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34"/>
  <sheetViews>
    <sheetView showGridLines="0" workbookViewId="0">
      <pane ySplit="4" topLeftCell="A5" activePane="bottomLeft" state="frozen"/>
      <selection pane="bottomLeft"/>
    </sheetView>
  </sheetViews>
  <sheetFormatPr baseColWidth="10" defaultColWidth="11" defaultRowHeight="16" x14ac:dyDescent="0.2"/>
  <cols>
    <col min="1" max="1" width="2.83203125" customWidth="1"/>
    <col min="2" max="4" width="75.83203125" customWidth="1"/>
    <col min="5" max="5" width="100.83203125" customWidth="1"/>
  </cols>
  <sheetData>
    <row r="1" spans="1:6" x14ac:dyDescent="0.2">
      <c r="A1" s="120"/>
      <c r="B1" s="120"/>
      <c r="C1" s="120"/>
      <c r="D1" s="120"/>
      <c r="E1" s="120"/>
      <c r="F1" s="120"/>
    </row>
    <row r="2" spans="1:6" ht="54" customHeight="1" x14ac:dyDescent="0.2">
      <c r="A2" s="248"/>
      <c r="B2" s="639" t="s">
        <v>3286</v>
      </c>
      <c r="C2" s="640"/>
      <c r="D2" s="640"/>
      <c r="E2" s="641"/>
      <c r="F2" s="120"/>
    </row>
    <row r="3" spans="1:6" x14ac:dyDescent="0.2">
      <c r="A3" s="249"/>
      <c r="B3" s="495" t="s">
        <v>1</v>
      </c>
      <c r="C3" s="496"/>
      <c r="D3" s="496"/>
      <c r="E3" s="638"/>
      <c r="F3" s="250"/>
    </row>
    <row r="4" spans="1:6" x14ac:dyDescent="0.2">
      <c r="A4" s="120"/>
      <c r="B4" s="120"/>
      <c r="C4" s="120"/>
      <c r="D4" s="120"/>
      <c r="E4" s="120"/>
      <c r="F4" s="120"/>
    </row>
    <row r="5" spans="1:6" x14ac:dyDescent="0.2">
      <c r="A5" s="120"/>
      <c r="B5" s="120"/>
      <c r="C5" s="120"/>
      <c r="D5" s="120"/>
      <c r="E5" s="120"/>
      <c r="F5" s="120"/>
    </row>
    <row r="6" spans="1:6" s="8" customFormat="1" ht="34" customHeight="1" x14ac:dyDescent="0.2">
      <c r="B6" s="425" t="s">
        <v>3287</v>
      </c>
      <c r="C6" s="426"/>
      <c r="D6" s="426"/>
      <c r="E6" s="427"/>
    </row>
    <row r="7" spans="1:6" s="8" customFormat="1" ht="20" customHeight="1" x14ac:dyDescent="0.2">
      <c r="B7" s="465" t="s">
        <v>3288</v>
      </c>
      <c r="C7" s="466"/>
      <c r="D7" s="466"/>
      <c r="E7" s="467"/>
    </row>
    <row r="8" spans="1:6" s="8" customFormat="1" ht="20" customHeight="1" x14ac:dyDescent="0.2">
      <c r="B8" s="346" t="s">
        <v>17</v>
      </c>
      <c r="C8" s="346" t="s">
        <v>18</v>
      </c>
      <c r="D8" s="346" t="s">
        <v>19</v>
      </c>
      <c r="E8" s="346" t="s">
        <v>20</v>
      </c>
    </row>
    <row r="9" spans="1:6" s="8" customFormat="1" ht="20" customHeight="1" x14ac:dyDescent="0.2">
      <c r="B9" s="492" t="s">
        <v>932</v>
      </c>
      <c r="C9" s="493"/>
      <c r="D9" s="493"/>
      <c r="E9" s="494"/>
    </row>
    <row r="10" spans="1:6" s="8" customFormat="1" ht="20" customHeight="1" x14ac:dyDescent="0.2">
      <c r="B10" s="128" t="s">
        <v>85</v>
      </c>
      <c r="C10" s="80" t="str">
        <f>IF(wld_dpg_separation_result="Included",CONCATENATE(prefix_wld_az1_vlan,"10"),CONCATENATE(prefix_wld_az1_vlan,"11"))</f>
        <v>1310</v>
      </c>
      <c r="D10" s="337" t="str">
        <f>wld_az1_mgmt_vm_vlan</f>
        <v>Value Missing</v>
      </c>
      <c r="E10" s="33"/>
    </row>
    <row r="11" spans="1:6" s="8" customFormat="1" ht="20" customHeight="1" x14ac:dyDescent="0.2">
      <c r="B11" s="128" t="s">
        <v>187</v>
      </c>
      <c r="C11" s="80" t="str">
        <f>IF(wld_dpg_separation_result="Included",CONCATENATE(prefix_wld_az1_cidr,"10.1"),CONCATENATE(prefix_wld_az1_cidr,"11.1"))</f>
        <v>10.13.10.1</v>
      </c>
      <c r="D11" s="337" t="str">
        <f>wld_az1_mgmt_vm_gateway_ip</f>
        <v>Value Missing</v>
      </c>
      <c r="E11" s="33"/>
    </row>
    <row r="12" spans="1:6" s="8" customFormat="1" ht="20" customHeight="1" x14ac:dyDescent="0.2">
      <c r="B12" s="128" t="s">
        <v>188</v>
      </c>
      <c r="C12" s="80" t="str">
        <f>IF(wld_dpg_separation_result="Included",CONCATENATE(prefix_wld_az1_cidr,"10.0/24"),CONCATENATE(prefix_wld_az1_cidr,"11.0/24"))</f>
        <v>10.13.10.0/24</v>
      </c>
      <c r="D12" s="337" t="str">
        <f>wld_az1_mgmt_vm_cidr</f>
        <v>Value Missing</v>
      </c>
      <c r="E12" s="33"/>
    </row>
    <row r="13" spans="1:6" s="8" customFormat="1" ht="20" customHeight="1" x14ac:dyDescent="0.2">
      <c r="B13" s="4" t="s">
        <v>160</v>
      </c>
      <c r="C13" s="80">
        <v>1500</v>
      </c>
      <c r="D13" s="337" t="str">
        <f>wld_az1_mgmt_vm_mtu</f>
        <v>Value Missing</v>
      </c>
      <c r="E13" s="33"/>
    </row>
    <row r="14" spans="1:6" s="8" customFormat="1" ht="20" customHeight="1" x14ac:dyDescent="0.2">
      <c r="B14" s="492" t="s">
        <v>184</v>
      </c>
      <c r="C14" s="493"/>
      <c r="D14" s="493"/>
      <c r="E14" s="494"/>
    </row>
    <row r="15" spans="1:6" s="8" customFormat="1" ht="20" customHeight="1" x14ac:dyDescent="0.2">
      <c r="B15" s="4" t="s">
        <v>85</v>
      </c>
      <c r="C15" s="80" t="str">
        <f>sample_wld_az1_uplink01_vlan</f>
        <v>1317</v>
      </c>
      <c r="D15" s="337" t="str">
        <f>wld_az1_uplink01_vlan</f>
        <v>Value Missing</v>
      </c>
      <c r="E15" s="32"/>
    </row>
    <row r="16" spans="1:6" s="8" customFormat="1" ht="20" customHeight="1" x14ac:dyDescent="0.2">
      <c r="B16" s="4" t="s">
        <v>187</v>
      </c>
      <c r="C16" s="80" t="str">
        <f>sample_wld_az1_uplink01_gateway_ip</f>
        <v>10.13.17.1</v>
      </c>
      <c r="D16" s="337" t="str">
        <f>wld_az1_uplink01_gateway_ip</f>
        <v>Value Missing</v>
      </c>
      <c r="E16" s="32"/>
    </row>
    <row r="17" spans="2:5" s="8" customFormat="1" ht="20" customHeight="1" x14ac:dyDescent="0.2">
      <c r="B17" s="4" t="s">
        <v>188</v>
      </c>
      <c r="C17" s="80" t="str">
        <f>sample_wld_az1_uplink01_cidr</f>
        <v>10.13.17.0/24</v>
      </c>
      <c r="D17" s="337" t="str">
        <f>wld_az1_uplink01_cidr</f>
        <v>Value Missing</v>
      </c>
      <c r="E17" s="32"/>
    </row>
    <row r="18" spans="2:5" s="8" customFormat="1" ht="20" customHeight="1" x14ac:dyDescent="0.2">
      <c r="B18" s="4" t="s">
        <v>160</v>
      </c>
      <c r="C18" s="80">
        <f>sample_wld_az1_uplink01_mtu</f>
        <v>9000</v>
      </c>
      <c r="D18" s="337" t="str">
        <f>wld_az1_uplink01_mtu</f>
        <v>Value Missing</v>
      </c>
      <c r="E18" s="32"/>
    </row>
    <row r="19" spans="2:5" s="8" customFormat="1" ht="20" customHeight="1" x14ac:dyDescent="0.2">
      <c r="B19" s="492" t="s">
        <v>189</v>
      </c>
      <c r="C19" s="493"/>
      <c r="D19" s="493"/>
      <c r="E19" s="494"/>
    </row>
    <row r="20" spans="2:5" s="8" customFormat="1" ht="20" customHeight="1" x14ac:dyDescent="0.2">
      <c r="B20" s="4" t="s">
        <v>85</v>
      </c>
      <c r="C20" s="80" t="str">
        <f>sample_wld_az1_uplink02_vlan</f>
        <v>1318</v>
      </c>
      <c r="D20" s="337" t="str">
        <f>wld_az1_uplink02_vlan</f>
        <v>Value Missing</v>
      </c>
      <c r="E20" s="93"/>
    </row>
    <row r="21" spans="2:5" s="8" customFormat="1" ht="20" customHeight="1" x14ac:dyDescent="0.2">
      <c r="B21" s="4" t="s">
        <v>187</v>
      </c>
      <c r="C21" s="80" t="str">
        <f>sample_wld_az1_uplink02_gateway_ip</f>
        <v>10.13.18.1</v>
      </c>
      <c r="D21" s="337" t="str">
        <f>wld_az1_uplink02_gateway_ip</f>
        <v>Value Missing</v>
      </c>
      <c r="E21" s="32"/>
    </row>
    <row r="22" spans="2:5" s="8" customFormat="1" ht="20" customHeight="1" x14ac:dyDescent="0.2">
      <c r="B22" s="4" t="s">
        <v>188</v>
      </c>
      <c r="C22" s="80" t="str">
        <f>sample_wld_az1_uplink02_cidr</f>
        <v>10.13.18.0/24</v>
      </c>
      <c r="D22" s="337" t="str">
        <f>wld_az1_uplink01_cidr</f>
        <v>Value Missing</v>
      </c>
      <c r="E22" s="32"/>
    </row>
    <row r="23" spans="2:5" s="8" customFormat="1" ht="20" customHeight="1" x14ac:dyDescent="0.2">
      <c r="B23" s="4" t="s">
        <v>160</v>
      </c>
      <c r="C23" s="80">
        <f>sample_wld_az1_uplink02_mtu</f>
        <v>9000</v>
      </c>
      <c r="D23" s="337" t="str">
        <f>wld_az1_uplink02_mtu</f>
        <v>Value Missing</v>
      </c>
      <c r="E23" s="32"/>
    </row>
    <row r="24" spans="2:5" s="8" customFormat="1" ht="20" customHeight="1" x14ac:dyDescent="0.2">
      <c r="B24" s="492" t="s">
        <v>191</v>
      </c>
      <c r="C24" s="493"/>
      <c r="D24" s="493"/>
      <c r="E24" s="494"/>
    </row>
    <row r="25" spans="2:5" s="8" customFormat="1" ht="20" customHeight="1" x14ac:dyDescent="0.2">
      <c r="B25" s="4" t="s">
        <v>85</v>
      </c>
      <c r="C25" s="80" t="str">
        <f>CONCATENATE(prefix_wld_az1_vlan,"19")</f>
        <v>1319</v>
      </c>
      <c r="D25" s="337" t="str">
        <f>wld_az1_edge_overlay_vlan</f>
        <v>Value Missing</v>
      </c>
      <c r="E25" s="32" t="str">
        <f>IF(AND(mgmt_stretched_cluster_result="Included",mgmt_dpg_reuse_result="Included"),"Stretched L2","")</f>
        <v/>
      </c>
    </row>
    <row r="26" spans="2:5" s="8" customFormat="1" ht="20" customHeight="1" x14ac:dyDescent="0.2">
      <c r="B26" s="4" t="s">
        <v>187</v>
      </c>
      <c r="C26" s="80" t="str">
        <f>sample_wld_az1_edge_overlay_gateway_ip</f>
        <v>10.13.19.1</v>
      </c>
      <c r="D26" s="337" t="str">
        <f>wld_az1_edge_overlay_gateway_ip</f>
        <v>Value Missing</v>
      </c>
      <c r="E26" s="32" t="str">
        <f>IF(AND(mgmt_stretched_cluster_result="Included",mgmt_dpg_reuse_result="Excluded"),"Stretched L2","")</f>
        <v/>
      </c>
    </row>
    <row r="27" spans="2:5" s="8" customFormat="1" ht="20" customHeight="1" x14ac:dyDescent="0.2">
      <c r="B27" s="4" t="s">
        <v>188</v>
      </c>
      <c r="C27" s="80" t="str">
        <f>sample_wld_az1_edge_overlay_cidr</f>
        <v>10.13.19.0/24</v>
      </c>
      <c r="D27" s="337" t="str">
        <f>wld_az1_edge_overlay_cidr</f>
        <v>Value Missing</v>
      </c>
      <c r="E27" s="32"/>
    </row>
    <row r="28" spans="2:5" s="8" customFormat="1" ht="20" customHeight="1" x14ac:dyDescent="0.2">
      <c r="B28" s="519" t="s">
        <v>3289</v>
      </c>
      <c r="C28" s="519"/>
      <c r="D28" s="519"/>
      <c r="E28" s="519"/>
    </row>
    <row r="29" spans="2:5" s="8" customFormat="1" ht="20" customHeight="1" x14ac:dyDescent="0.2">
      <c r="B29" s="4" t="s">
        <v>1025</v>
      </c>
      <c r="C29" s="80" t="str">
        <f>sample_wld_en_asn</f>
        <v>65102</v>
      </c>
      <c r="D29" s="337" t="str">
        <f>wld_en_asn</f>
        <v>Value Missing</v>
      </c>
      <c r="E29" s="32"/>
    </row>
    <row r="30" spans="2:5" s="8" customFormat="1" ht="20" customHeight="1" x14ac:dyDescent="0.2">
      <c r="B30" s="4" t="s">
        <v>168</v>
      </c>
      <c r="C30" s="80" t="str">
        <f>sample_wld_az1_tor1_peer_ip</f>
        <v>10.13.17.10</v>
      </c>
      <c r="D30" s="337" t="str">
        <f>wld_az1_tor1_peer_ip</f>
        <v>Value Missing</v>
      </c>
      <c r="E30" s="32"/>
    </row>
    <row r="31" spans="2:5" s="8" customFormat="1" ht="20" customHeight="1" x14ac:dyDescent="0.2">
      <c r="B31" s="4" t="s">
        <v>169</v>
      </c>
      <c r="C31" s="80" t="str">
        <f>sample_wld_az1_tor1_peer_asn</f>
        <v>65131</v>
      </c>
      <c r="D31" s="337" t="str">
        <f>wld_az1_tor1_peer_asn</f>
        <v>Value Missing</v>
      </c>
      <c r="E31" s="32"/>
    </row>
    <row r="32" spans="2:5" s="8" customFormat="1" ht="20" customHeight="1" x14ac:dyDescent="0.2">
      <c r="B32" s="4" t="s">
        <v>170</v>
      </c>
      <c r="C32" s="80" t="str">
        <f>sample_wld_az1_tor1_peer_bgp_password</f>
        <v>VMw@re1!</v>
      </c>
      <c r="D32" s="337" t="str">
        <f>wld_az1_tor1_peer_bgp_password</f>
        <v>Value Missing</v>
      </c>
      <c r="E32" s="32"/>
    </row>
    <row r="33" spans="2:5" s="8" customFormat="1" ht="20" customHeight="1" x14ac:dyDescent="0.2">
      <c r="B33" s="4" t="s">
        <v>171</v>
      </c>
      <c r="C33" s="80" t="str">
        <f>sample_wld_az1_tor2_peer_ip</f>
        <v>10.13.18.10</v>
      </c>
      <c r="D33" s="337" t="str">
        <f>wld_az1_tor2_peer_ip</f>
        <v>Value Missing</v>
      </c>
      <c r="E33" s="32"/>
    </row>
    <row r="34" spans="2:5" s="8" customFormat="1" ht="20" customHeight="1" x14ac:dyDescent="0.2">
      <c r="B34" s="4" t="s">
        <v>172</v>
      </c>
      <c r="C34" s="80" t="str">
        <f>sample_wld_az1_tor2_peer_asn</f>
        <v>65131</v>
      </c>
      <c r="D34" s="337" t="str">
        <f>wld_az1_tor2_peer_asn</f>
        <v>Value Missing</v>
      </c>
      <c r="E34" s="32"/>
    </row>
    <row r="35" spans="2:5" s="8" customFormat="1" ht="20" customHeight="1" x14ac:dyDescent="0.2">
      <c r="B35" s="4" t="s">
        <v>173</v>
      </c>
      <c r="C35" s="80" t="str">
        <f>sample_wld_az1_tor2_peer_bgp_password</f>
        <v>VMw@re1!</v>
      </c>
      <c r="D35" s="337" t="str">
        <f>wld_az1_tor2_peer_bgp_password</f>
        <v>Value Missing</v>
      </c>
      <c r="E35" s="32"/>
    </row>
    <row r="36" spans="2:5" s="8" customFormat="1" ht="20" customHeight="1" x14ac:dyDescent="0.2">
      <c r="B36" s="492" t="s">
        <v>3276</v>
      </c>
      <c r="C36" s="493"/>
      <c r="D36" s="493"/>
      <c r="E36" s="494"/>
    </row>
    <row r="37" spans="2:5" s="8" customFormat="1" ht="20" customHeight="1" x14ac:dyDescent="0.2">
      <c r="B37" s="30" t="str">
        <f>wld_az1_en1_fqdn</f>
        <v>Value Missing</v>
      </c>
      <c r="C37" s="80" t="str">
        <f>sample_wld_az1_en1_mgmt_cidr</f>
        <v>10.13.10.135/24</v>
      </c>
      <c r="D37" s="337" t="str">
        <f>wld_az1_en1_mgmt_cidr</f>
        <v>Value Missing</v>
      </c>
      <c r="E37" s="337"/>
    </row>
    <row r="38" spans="2:5" s="8" customFormat="1" ht="20" customHeight="1" x14ac:dyDescent="0.2">
      <c r="B38" s="99" t="s">
        <v>2729</v>
      </c>
      <c r="C38" s="80" t="str">
        <f>sample_wld_az1_en1_uplink01_interface_cidr</f>
        <v>10.13.17.2/24</v>
      </c>
      <c r="D38" s="337" t="str">
        <f>wld_az1_en1_uplink01_interface_cidr</f>
        <v>Value Missing</v>
      </c>
      <c r="E38" s="337" t="s">
        <v>156</v>
      </c>
    </row>
    <row r="39" spans="2:5" s="8" customFormat="1" ht="20" customHeight="1" x14ac:dyDescent="0.2">
      <c r="B39" s="99" t="s">
        <v>2729</v>
      </c>
      <c r="C39" s="80" t="str">
        <f>sample_wld_az1_en1_uplink02_interface_cidr</f>
        <v>10.13.18.2/24</v>
      </c>
      <c r="D39" s="337" t="str">
        <f>wld_az1_en1_uplink02_interface_cidr</f>
        <v>Value Missing</v>
      </c>
      <c r="E39" s="337" t="s">
        <v>1057</v>
      </c>
    </row>
    <row r="40" spans="2:5" s="8" customFormat="1" ht="20" customHeight="1" x14ac:dyDescent="0.2">
      <c r="B40" s="179" t="s">
        <v>2729</v>
      </c>
      <c r="C40" s="80" t="str">
        <f>sample_wld_az1_en1_edge_overlay_interface_ip_1_ip</f>
        <v>10.13.19.2</v>
      </c>
      <c r="D40" s="337" t="str">
        <f>wld_az1_en1_edge_overlay_interface_ip_1_ip</f>
        <v>Value Missing</v>
      </c>
      <c r="E40" s="337" t="s">
        <v>1046</v>
      </c>
    </row>
    <row r="41" spans="2:5" s="8" customFormat="1" ht="20" customHeight="1" x14ac:dyDescent="0.2">
      <c r="B41" s="180" t="s">
        <v>2729</v>
      </c>
      <c r="C41" s="80" t="str">
        <f>sample_wld_az1_en1_edge_overlay_interface_ip_2_ip</f>
        <v>10.13.19.3</v>
      </c>
      <c r="D41" s="337" t="str">
        <f>wld_az1_en1_edge_overlay_interface_ip_2_ip</f>
        <v>Value Missing</v>
      </c>
      <c r="E41" s="337" t="s">
        <v>3277</v>
      </c>
    </row>
    <row r="42" spans="2:5" s="8" customFormat="1" ht="20" customHeight="1" x14ac:dyDescent="0.2">
      <c r="B42" s="30" t="str">
        <f>wld_az1_en2_fqdn</f>
        <v>Value Missing</v>
      </c>
      <c r="C42" s="80" t="str">
        <f>sample_wld_az1_en2_mgmt_cidr</f>
        <v>10.13.10.136/24</v>
      </c>
      <c r="D42" s="337" t="str">
        <f>wld_az1_en2_mgmt_cidr</f>
        <v>Value Missing</v>
      </c>
      <c r="E42" s="337"/>
    </row>
    <row r="43" spans="2:5" s="8" customFormat="1" ht="20" customHeight="1" x14ac:dyDescent="0.2">
      <c r="B43" s="99" t="s">
        <v>2729</v>
      </c>
      <c r="C43" s="80" t="str">
        <f>sample_wld_az1_en2_uplink01_interface_cidr</f>
        <v>10.13.17.3/24</v>
      </c>
      <c r="D43" s="337" t="str">
        <f>wld_az1_en2_uplink01_interface_cidr</f>
        <v>Value Missing</v>
      </c>
      <c r="E43" s="337" t="s">
        <v>167</v>
      </c>
    </row>
    <row r="44" spans="2:5" s="8" customFormat="1" ht="20" customHeight="1" x14ac:dyDescent="0.2">
      <c r="B44" s="99" t="s">
        <v>2729</v>
      </c>
      <c r="C44" s="80" t="str">
        <f>sample_wld_az1_en2_uplink02_interface_cidr</f>
        <v>10.13.18.3/24</v>
      </c>
      <c r="D44" s="337" t="str">
        <f>wld_az1_en2_uplink02_interface_cidr</f>
        <v>Value Missing</v>
      </c>
      <c r="E44" s="337" t="s">
        <v>165</v>
      </c>
    </row>
    <row r="45" spans="2:5" s="8" customFormat="1" ht="20" customHeight="1" x14ac:dyDescent="0.2">
      <c r="B45" s="179" t="s">
        <v>2729</v>
      </c>
      <c r="C45" s="80" t="str">
        <f>sample_wld_az1_en2_edge_overlay_interface_ip_1_ip</f>
        <v>10.13.19.4</v>
      </c>
      <c r="D45" s="337" t="str">
        <f>wld_az1_en2_edge_overlay_interface_ip_1_ip</f>
        <v>Value Missing</v>
      </c>
      <c r="E45" s="337" t="s">
        <v>1052</v>
      </c>
    </row>
    <row r="46" spans="2:5" s="8" customFormat="1" ht="20" customHeight="1" x14ac:dyDescent="0.2">
      <c r="B46" s="180" t="s">
        <v>2729</v>
      </c>
      <c r="C46" s="80" t="str">
        <f>sample_wld_az1_en2_edge_overlay_interface_ip_2_ip</f>
        <v>10.13.19.5</v>
      </c>
      <c r="D46" s="337" t="str">
        <f>wld_az1_en2_edge_overlay_interface_ip_2_ip</f>
        <v>Value Missing</v>
      </c>
      <c r="E46" s="337" t="s">
        <v>1054</v>
      </c>
    </row>
    <row r="47" spans="2:5" s="8" customFormat="1" ht="20" customHeight="1" x14ac:dyDescent="0.2"/>
    <row r="48" spans="2:5" s="8" customFormat="1" ht="34" customHeight="1" x14ac:dyDescent="0.2">
      <c r="B48" s="425" t="s">
        <v>3290</v>
      </c>
      <c r="C48" s="426"/>
      <c r="D48" s="426"/>
      <c r="E48" s="427"/>
    </row>
    <row r="49" spans="2:5" s="8" customFormat="1" ht="20" customHeight="1" x14ac:dyDescent="0.2">
      <c r="B49" s="346" t="s">
        <v>17</v>
      </c>
      <c r="C49" s="346" t="s">
        <v>18</v>
      </c>
      <c r="D49" s="346" t="s">
        <v>19</v>
      </c>
      <c r="E49" s="346" t="s">
        <v>20</v>
      </c>
    </row>
    <row r="50" spans="2:5" s="8" customFormat="1" ht="20" customHeight="1" x14ac:dyDescent="0.2">
      <c r="B50" s="492" t="s">
        <v>932</v>
      </c>
      <c r="C50" s="493"/>
      <c r="D50" s="493"/>
      <c r="E50" s="494"/>
    </row>
    <row r="51" spans="2:5" s="8" customFormat="1" ht="20" customHeight="1" x14ac:dyDescent="0.2">
      <c r="B51" s="4" t="s">
        <v>85</v>
      </c>
      <c r="C51" s="89" t="str">
        <f>sample_wld_az1_mgmt_vm_vlan</f>
        <v>1310</v>
      </c>
      <c r="D51" s="337" t="str">
        <f>wld_az1_mgmt_vm_vlan</f>
        <v>Value Missing</v>
      </c>
      <c r="E51" s="33"/>
    </row>
    <row r="52" spans="2:5" s="8" customFormat="1" ht="20" customHeight="1" x14ac:dyDescent="0.2">
      <c r="B52" s="4" t="s">
        <v>187</v>
      </c>
      <c r="C52" s="80" t="str">
        <f>sample_wld_az1_mgmt_vm_gateway_ip</f>
        <v>10.13.10.1</v>
      </c>
      <c r="D52" s="337" t="str">
        <f>wld_az1_mgmt_vm_gateway_ip</f>
        <v>Value Missing</v>
      </c>
      <c r="E52" s="33"/>
    </row>
    <row r="53" spans="2:5" s="8" customFormat="1" ht="20" customHeight="1" x14ac:dyDescent="0.2">
      <c r="B53" s="4" t="s">
        <v>188</v>
      </c>
      <c r="C53" s="80" t="str">
        <f>sample_wld_az1_mgmt_cidr</f>
        <v>10.13.11.0/24</v>
      </c>
      <c r="D53" s="337" t="str">
        <f>wld_az1_mgmt_cidr</f>
        <v>Value Missing</v>
      </c>
      <c r="E53" s="33"/>
    </row>
    <row r="54" spans="2:5" s="8" customFormat="1" ht="20" customHeight="1" x14ac:dyDescent="0.2">
      <c r="B54" s="4" t="s">
        <v>160</v>
      </c>
      <c r="C54" s="80">
        <f>sample_wld_az1_mgmt_vm_mtu</f>
        <v>1500</v>
      </c>
      <c r="D54" s="337" t="str">
        <f>wld_az1_mgmt_vm_mtu</f>
        <v>Value Missing</v>
      </c>
      <c r="E54" s="33"/>
    </row>
    <row r="55" spans="2:5" s="8" customFormat="1" ht="20" customHeight="1" x14ac:dyDescent="0.2">
      <c r="B55" s="492" t="s">
        <v>3276</v>
      </c>
      <c r="C55" s="493"/>
      <c r="D55" s="493"/>
      <c r="E55" s="494"/>
    </row>
    <row r="56" spans="2:5" s="8" customFormat="1" ht="20" customHeight="1" x14ac:dyDescent="0.2">
      <c r="B56" s="30" t="str">
        <f>sample_wld_avilb_fqdn</f>
        <v>sfo-w01-avilb01.sfo.rainpole.io</v>
      </c>
      <c r="C56" s="80" t="str">
        <f>sample_wld_avilb_ip</f>
        <v>10.11.10.151</v>
      </c>
      <c r="D56" s="337" t="str">
        <f>wld_avilb_ip</f>
        <v>Value Missing</v>
      </c>
      <c r="E56" s="99" t="s">
        <v>208</v>
      </c>
    </row>
    <row r="57" spans="2:5" s="8" customFormat="1" ht="20" customHeight="1" x14ac:dyDescent="0.2">
      <c r="B57" s="99" t="s">
        <v>2729</v>
      </c>
      <c r="C57" s="80" t="str">
        <f>sample_wld_avilb_mgra_ip</f>
        <v>10.11.10.152</v>
      </c>
      <c r="D57" s="337" t="str">
        <f>wld_avilb_mgra_ip</f>
        <v>Value Missing</v>
      </c>
      <c r="E57" s="99" t="s">
        <v>202</v>
      </c>
    </row>
    <row r="58" spans="2:5" s="8" customFormat="1" ht="20" customHeight="1" x14ac:dyDescent="0.2">
      <c r="B58" s="99" t="s">
        <v>2729</v>
      </c>
      <c r="C58" s="80" t="str">
        <f>sample_wld_avilb_mgrb_ip</f>
        <v>10.11.10.153</v>
      </c>
      <c r="D58" s="337" t="str">
        <f>wld_avilb_mgrb_ip</f>
        <v>Value Missing</v>
      </c>
      <c r="E58" s="99" t="s">
        <v>204</v>
      </c>
    </row>
    <row r="59" spans="2:5" s="8" customFormat="1" ht="20" customHeight="1" x14ac:dyDescent="0.2">
      <c r="B59" s="99" t="s">
        <v>2729</v>
      </c>
      <c r="C59" s="80" t="str">
        <f>sample_wld_avilb_mgrc_ip</f>
        <v>10.11.10.154</v>
      </c>
      <c r="D59" s="337" t="str">
        <f>wld_avilb_mgrc_ip</f>
        <v>Value Missing</v>
      </c>
      <c r="E59" s="99" t="s">
        <v>206</v>
      </c>
    </row>
    <row r="60" spans="2:5" s="8" customFormat="1" ht="20" customHeight="1" x14ac:dyDescent="0.2"/>
    <row r="61" spans="2:5" s="8" customFormat="1" ht="34" customHeight="1" x14ac:dyDescent="0.2">
      <c r="B61" s="425" t="s">
        <v>1180</v>
      </c>
      <c r="C61" s="426"/>
      <c r="D61" s="426"/>
      <c r="E61" s="427"/>
    </row>
    <row r="62" spans="2:5" s="8" customFormat="1" ht="20" customHeight="1" x14ac:dyDescent="0.2">
      <c r="B62" s="346" t="s">
        <v>17</v>
      </c>
      <c r="C62" s="346" t="s">
        <v>18</v>
      </c>
      <c r="D62" s="346" t="s">
        <v>19</v>
      </c>
      <c r="E62" s="346" t="s">
        <v>20</v>
      </c>
    </row>
    <row r="63" spans="2:5" s="8" customFormat="1" ht="20" customHeight="1" x14ac:dyDescent="0.2">
      <c r="B63" s="492" t="s">
        <v>3281</v>
      </c>
      <c r="C63" s="493"/>
      <c r="D63" s="493"/>
      <c r="E63" s="494"/>
    </row>
    <row r="64" spans="2:5" s="8" customFormat="1" ht="20" customHeight="1" x14ac:dyDescent="0.2">
      <c r="B64" s="4" t="s">
        <v>85</v>
      </c>
      <c r="C64" s="80" t="str">
        <f>IF(mgmt_dpg_reuse_result="Included",CONCATENATE(prefix_wld_witness_vlan,"10"),CONCATENATE(prefix_wld_witness_vlan,"11"))</f>
        <v>2110</v>
      </c>
      <c r="D64" s="258" t="str">
        <f>wld_witnessaz_mgmt_vlan</f>
        <v>Value Missing</v>
      </c>
      <c r="E64" s="32"/>
    </row>
    <row r="65" spans="2:5" s="8" customFormat="1" ht="20" customHeight="1" x14ac:dyDescent="0.2">
      <c r="B65" s="4" t="s">
        <v>187</v>
      </c>
      <c r="C65" s="362" t="str">
        <f>sample_wld_witnessaz_mgmt_gateway_ip</f>
        <v>10.21.10.1</v>
      </c>
      <c r="D65" s="258" t="str">
        <f>wld_witnessaz_mgmt_gateway_ip</f>
        <v>Value Missing</v>
      </c>
      <c r="E65" s="32"/>
    </row>
    <row r="66" spans="2:5" s="8" customFormat="1" ht="20" customHeight="1" x14ac:dyDescent="0.2">
      <c r="B66" s="4" t="s">
        <v>188</v>
      </c>
      <c r="C66" s="80" t="str">
        <f>IF(mgmt_dpg_reuse_result="Included",CONCATENATE(prefix_wld_witness_cidr,"10.0/24"),CONCATENATE(prefix_wld_witness_cidr,"11.0/24"))</f>
        <v>10.21.10.0/24</v>
      </c>
      <c r="D66" s="258" t="str">
        <f>wld_witnessaz_mgmt_cidr</f>
        <v>Value Missing</v>
      </c>
      <c r="E66" s="32"/>
    </row>
    <row r="67" spans="2:5" s="8" customFormat="1" ht="20" customHeight="1" x14ac:dyDescent="0.2">
      <c r="B67" s="4" t="s">
        <v>160</v>
      </c>
      <c r="C67" s="362">
        <f>sample_wld_witnessaz_mgmt_mtu</f>
        <v>1500</v>
      </c>
      <c r="D67" s="258" t="str">
        <f>wld_witnessaz_mgmt_mtu</f>
        <v>Value Missing</v>
      </c>
      <c r="E67" s="32"/>
    </row>
    <row r="68" spans="2:5" s="8" customFormat="1" ht="20" customHeight="1" x14ac:dyDescent="0.2">
      <c r="B68" s="495" t="s">
        <v>251</v>
      </c>
      <c r="C68" s="496"/>
      <c r="D68" s="496"/>
      <c r="E68" s="638"/>
    </row>
    <row r="69" spans="2:5" s="8" customFormat="1" ht="20" customHeight="1" x14ac:dyDescent="0.2">
      <c r="B69" s="22" t="s">
        <v>85</v>
      </c>
      <c r="C69" s="80" t="str">
        <f>sample_wld_az2_vmotion_vlan</f>
        <v>1412</v>
      </c>
      <c r="D69" s="258" t="str">
        <f>wld_az2_vmotion_vlan</f>
        <v>Value Missing</v>
      </c>
      <c r="E69" s="199"/>
    </row>
    <row r="70" spans="2:5" s="8" customFormat="1" ht="20" customHeight="1" x14ac:dyDescent="0.2">
      <c r="B70" s="22" t="s">
        <v>187</v>
      </c>
      <c r="C70" s="80" t="str">
        <f>sample_wld_az2_vmotion_gateway_ip</f>
        <v>10.14.12.1</v>
      </c>
      <c r="D70" s="258" t="str">
        <f>wld_az2_vmotion_gateway_ip</f>
        <v>Value Missing</v>
      </c>
      <c r="E70" s="160"/>
    </row>
    <row r="71" spans="2:5" s="8" customFormat="1" ht="20" customHeight="1" x14ac:dyDescent="0.2">
      <c r="B71" s="22" t="s">
        <v>188</v>
      </c>
      <c r="C71" s="80" t="str">
        <f>CONCATENATE(prefix_wld_az2_cidr,"12.0/24")</f>
        <v>10.14.12.0/24</v>
      </c>
      <c r="D71" s="258" t="str">
        <f>wld_az2_vmotion_cidr</f>
        <v>Value Missing</v>
      </c>
      <c r="E71" s="160"/>
    </row>
    <row r="72" spans="2:5" s="8" customFormat="1" ht="20" customHeight="1" x14ac:dyDescent="0.2">
      <c r="B72" s="22" t="s">
        <v>160</v>
      </c>
      <c r="C72" s="80">
        <f>sample_wld_az2_vmotion_mtu</f>
        <v>9000</v>
      </c>
      <c r="D72" s="258" t="str">
        <f>wld_az2_vmotion_mtu</f>
        <v>Value Missing</v>
      </c>
      <c r="E72" s="160"/>
    </row>
    <row r="73" spans="2:5" s="8" customFormat="1" ht="20" customHeight="1" x14ac:dyDescent="0.2">
      <c r="B73" s="22" t="s">
        <v>255</v>
      </c>
      <c r="C73" s="80" t="str">
        <f>sample_wld_az2_vmotion_pool_end_ip</f>
        <v>10.14.12.116</v>
      </c>
      <c r="D73" s="258" t="str">
        <f>wld_az2_vmotion_pool_end_ip</f>
        <v>Value Missing</v>
      </c>
      <c r="E73" s="160"/>
    </row>
    <row r="74" spans="2:5" s="8" customFormat="1" ht="20" customHeight="1" x14ac:dyDescent="0.2">
      <c r="B74" s="22" t="s">
        <v>256</v>
      </c>
      <c r="C74" s="80" t="str">
        <f>sample_wld_az2_vmotion_pool_start_ip</f>
        <v>10.14.12.101</v>
      </c>
      <c r="D74" s="258" t="str">
        <f>wld_az2_vmotion_pool_start_ip</f>
        <v>Value Missing</v>
      </c>
      <c r="E74" s="160"/>
    </row>
    <row r="75" spans="2:5" s="8" customFormat="1" ht="20" customHeight="1" x14ac:dyDescent="0.2">
      <c r="B75" s="495" t="s">
        <v>257</v>
      </c>
      <c r="C75" s="496"/>
      <c r="D75" s="496"/>
      <c r="E75" s="497"/>
    </row>
    <row r="76" spans="2:5" s="8" customFormat="1" ht="20" customHeight="1" x14ac:dyDescent="0.2">
      <c r="B76" s="22" t="s">
        <v>85</v>
      </c>
      <c r="C76" s="80" t="str">
        <f>sample_wld_az2_principal_storage_vlan</f>
        <v>1413</v>
      </c>
      <c r="D76" s="9" t="str">
        <f>wld_az2_principal_storage_vlan</f>
        <v>Value Missing</v>
      </c>
      <c r="E76" s="160"/>
    </row>
    <row r="77" spans="2:5" s="8" customFormat="1" ht="20" customHeight="1" x14ac:dyDescent="0.2">
      <c r="B77" s="22" t="s">
        <v>187</v>
      </c>
      <c r="C77" s="80" t="str">
        <f>sample_wld_az2_principal_storage_gateway_ip</f>
        <v>10.14.13.1</v>
      </c>
      <c r="D77" s="9" t="str">
        <f>wld_az2_principal_storage_gateway_ip</f>
        <v>Value Missing</v>
      </c>
      <c r="E77" s="160"/>
    </row>
    <row r="78" spans="2:5" s="8" customFormat="1" ht="20" customHeight="1" x14ac:dyDescent="0.2">
      <c r="B78" s="22" t="s">
        <v>160</v>
      </c>
      <c r="C78" s="80">
        <f>sample_wld_az2_principal_storage_mtu</f>
        <v>9000</v>
      </c>
      <c r="D78" s="9" t="str">
        <f>wld_az2_principal_storage_mtu</f>
        <v>Value Missing</v>
      </c>
      <c r="E78" s="160"/>
    </row>
    <row r="79" spans="2:5" s="8" customFormat="1" ht="20" customHeight="1" x14ac:dyDescent="0.2">
      <c r="B79" s="22" t="s">
        <v>188</v>
      </c>
      <c r="C79" s="80" t="str">
        <f>CONCATENATE(prefix_mgmt_az2_cidr,"13.0/24")</f>
        <v>10.12.13.0/24</v>
      </c>
      <c r="D79" s="9" t="str">
        <f>wld_az2_principal_storage_network</f>
        <v>Value Missing</v>
      </c>
      <c r="E79" s="160"/>
    </row>
    <row r="80" spans="2:5" s="8" customFormat="1" ht="20" customHeight="1" x14ac:dyDescent="0.2">
      <c r="B80" s="22" t="s">
        <v>255</v>
      </c>
      <c r="C80" s="80" t="str">
        <f>sample_mgmt_az2_vsan_pool_start_ip</f>
        <v>10.12.13.101</v>
      </c>
      <c r="D80" s="9" t="str">
        <f>wld_az2_principal_storage_pool_start_ip</f>
        <v>Value Missing</v>
      </c>
      <c r="E80" s="160"/>
    </row>
    <row r="81" spans="2:5" s="8" customFormat="1" ht="20" customHeight="1" x14ac:dyDescent="0.2">
      <c r="B81" s="22" t="s">
        <v>256</v>
      </c>
      <c r="C81" s="80" t="str">
        <f>sample_mgmt_az2_vsan_pool_end_ip</f>
        <v>10.12.13.116</v>
      </c>
      <c r="D81" s="9" t="str">
        <f>wld_az2_principal_storage_pool_end_ip</f>
        <v>Value Missing</v>
      </c>
      <c r="E81" s="160"/>
    </row>
    <row r="82" spans="2:5" s="8" customFormat="1" ht="20" customHeight="1" x14ac:dyDescent="0.2">
      <c r="B82" s="495" t="s">
        <v>258</v>
      </c>
      <c r="C82" s="496"/>
      <c r="D82" s="496"/>
      <c r="E82" s="497"/>
    </row>
    <row r="83" spans="2:5" s="8" customFormat="1" ht="20" customHeight="1" x14ac:dyDescent="0.2">
      <c r="B83" s="22" t="s">
        <v>85</v>
      </c>
      <c r="C83" s="135" t="str">
        <f>sample_wld_az2_secondary_storage_vlan</f>
        <v>1415</v>
      </c>
      <c r="D83" s="9" t="str">
        <f>wld_az2_secondary_storage_vlan</f>
        <v>Value Missing</v>
      </c>
      <c r="E83" s="160"/>
    </row>
    <row r="84" spans="2:5" s="8" customFormat="1" ht="20" customHeight="1" x14ac:dyDescent="0.2">
      <c r="B84" s="22" t="s">
        <v>187</v>
      </c>
      <c r="C84" s="135" t="str">
        <f>sample_wld_az2_secondary_storage_gateway_ip</f>
        <v>10.14.15.1</v>
      </c>
      <c r="D84" s="9" t="str">
        <f>wld_az2_secondary_storage_gateway_ip</f>
        <v>Value Missing</v>
      </c>
      <c r="E84" s="160"/>
    </row>
    <row r="85" spans="2:5" s="8" customFormat="1" ht="20" customHeight="1" x14ac:dyDescent="0.2">
      <c r="B85" s="22" t="s">
        <v>160</v>
      </c>
      <c r="C85" s="135">
        <f>sample_wld_az2_secondary_storage_mtu</f>
        <v>9000</v>
      </c>
      <c r="D85" s="9" t="str">
        <f>wld_az2_secondary_storage_mtu</f>
        <v>Value Missing</v>
      </c>
      <c r="E85" s="160"/>
    </row>
    <row r="86" spans="2:5" s="8" customFormat="1" ht="20" customHeight="1" x14ac:dyDescent="0.2">
      <c r="B86" s="22" t="s">
        <v>188</v>
      </c>
      <c r="C86" s="135" t="str">
        <f>CONCATENATE(prefix_wld_az2_cidr,"15.0/24")</f>
        <v>10.14.15.0/24</v>
      </c>
      <c r="D86" s="9" t="str">
        <f>wld_az2_secondary_storage_cidr</f>
        <v>Value Missing</v>
      </c>
      <c r="E86" s="160"/>
    </row>
    <row r="87" spans="2:5" s="8" customFormat="1" ht="20" customHeight="1" x14ac:dyDescent="0.2">
      <c r="B87" s="22" t="s">
        <v>255</v>
      </c>
      <c r="C87" s="135" t="str">
        <f>sample_wld_az2_secondary_storage_pool_start_ip</f>
        <v>10.14.15.101</v>
      </c>
      <c r="D87" s="9" t="str">
        <f>wld_az2_secondary_storage_pool_start_ip</f>
        <v>Value Missing</v>
      </c>
      <c r="E87" s="160"/>
    </row>
    <row r="88" spans="2:5" s="8" customFormat="1" ht="20" customHeight="1" x14ac:dyDescent="0.2">
      <c r="B88" s="22" t="s">
        <v>256</v>
      </c>
      <c r="C88" s="135" t="str">
        <f>sample_wld_az2_secondary_storage_pool_end_ip</f>
        <v>10.14.15.116</v>
      </c>
      <c r="D88" s="9" t="str">
        <f>wld_az2_secondary_storage_pool_end_ip</f>
        <v>Value Missing</v>
      </c>
      <c r="E88" s="160"/>
    </row>
    <row r="89" spans="2:5" s="8" customFormat="1" ht="20" customHeight="1" x14ac:dyDescent="0.2">
      <c r="B89" s="492" t="s">
        <v>3291</v>
      </c>
      <c r="C89" s="493"/>
      <c r="D89" s="493"/>
      <c r="E89" s="494"/>
    </row>
    <row r="90" spans="2:5" s="8" customFormat="1" ht="20" customHeight="1" x14ac:dyDescent="0.2">
      <c r="B90" s="4" t="s">
        <v>85</v>
      </c>
      <c r="C90" s="362" t="str">
        <f>sample_wld_az2_host_overlay_vlan</f>
        <v>1414</v>
      </c>
      <c r="D90" s="258" t="str">
        <f>wld_az2_host_overlay_vlan</f>
        <v>Value Missing</v>
      </c>
      <c r="E90" s="56"/>
    </row>
    <row r="91" spans="2:5" s="8" customFormat="1" ht="20" customHeight="1" x14ac:dyDescent="0.2">
      <c r="B91" s="4" t="s">
        <v>187</v>
      </c>
      <c r="C91" s="80" t="str">
        <f>sample_wld_az2_host_overlay_gateway_ip</f>
        <v>10.14.14.1</v>
      </c>
      <c r="D91" s="258" t="str">
        <f>wld_az2_host_overlay_gateway_ip</f>
        <v>Value Missing</v>
      </c>
      <c r="E91" s="56"/>
    </row>
    <row r="92" spans="2:5" s="8" customFormat="1" ht="20" customHeight="1" x14ac:dyDescent="0.2">
      <c r="B92" s="4" t="s">
        <v>188</v>
      </c>
      <c r="C92" s="80" t="str">
        <f>sample_wld_az2_host_overlay_cidr</f>
        <v>10.14.14.0/24</v>
      </c>
      <c r="D92" s="258" t="str">
        <f>wld_az2_host_overlay_cidr</f>
        <v>Value Missing</v>
      </c>
      <c r="E92" s="56"/>
    </row>
    <row r="93" spans="2:5" s="8" customFormat="1" ht="20" customHeight="1" x14ac:dyDescent="0.2">
      <c r="B93" s="4" t="s">
        <v>160</v>
      </c>
      <c r="C93" s="80">
        <f>sample_wld_az2_host_overlay_mtu</f>
        <v>9000</v>
      </c>
      <c r="D93" s="258" t="str">
        <f>wld_az2_host_overlay_cidr</f>
        <v>Value Missing</v>
      </c>
    </row>
    <row r="94" spans="2:5" s="8" customFormat="1" ht="20" customHeight="1" x14ac:dyDescent="0.2">
      <c r="B94" s="22" t="s">
        <v>255</v>
      </c>
      <c r="C94" s="80" t="str">
        <f>sample_wld_az2_host_overlay_pool_start_ip</f>
        <v>10.14.14.101</v>
      </c>
      <c r="D94" s="9" t="str">
        <f>wld_az2_host_overlay_pool_start_ip</f>
        <v>Value Missing</v>
      </c>
      <c r="E94" s="160"/>
    </row>
    <row r="95" spans="2:5" s="8" customFormat="1" ht="20" customHeight="1" x14ac:dyDescent="0.2">
      <c r="B95" s="22" t="s">
        <v>256</v>
      </c>
      <c r="C95" s="80" t="str">
        <f>sample_wld_az2_host_overlay_pool_end_ip</f>
        <v>10.14.14.132</v>
      </c>
      <c r="D95" s="9" t="str">
        <f>wld_az2_host_overlay_pool_end_ip</f>
        <v>Value Missing</v>
      </c>
      <c r="E95" s="160"/>
    </row>
    <row r="96" spans="2:5" s="8" customFormat="1" ht="20" customHeight="1" x14ac:dyDescent="0.2">
      <c r="B96" s="492" t="s">
        <v>939</v>
      </c>
      <c r="C96" s="493"/>
      <c r="D96" s="493"/>
      <c r="E96" s="494"/>
    </row>
    <row r="97" spans="2:5" s="8" customFormat="1" ht="20" customHeight="1" x14ac:dyDescent="0.2">
      <c r="B97" s="9" t="str">
        <f>mgmt_witness_hostname</f>
        <v>Value Missing</v>
      </c>
      <c r="C97" s="181" t="str">
        <f>sample_wld_witness_ip</f>
        <v>10.21.10.219</v>
      </c>
      <c r="D97" s="182" t="e">
        <f>wld_witness_mgmt_ip</f>
        <v>#NAME?</v>
      </c>
      <c r="E97" s="150" t="s">
        <v>278</v>
      </c>
    </row>
    <row r="98" spans="2:5" s="8" customFormat="1" ht="20" customHeight="1" x14ac:dyDescent="0.2">
      <c r="B98" s="9" t="str">
        <f>wld_witness_zone_vc_hostname</f>
        <v>Value Missing</v>
      </c>
      <c r="C98" s="181" t="str">
        <f>sample_wld_witness_zone_vc_ip</f>
        <v>10.21.10.70</v>
      </c>
      <c r="D98" s="182" t="str">
        <f>wld_witness_zone_vc_ip</f>
        <v>Value Missing</v>
      </c>
      <c r="E98" s="150" t="s">
        <v>274</v>
      </c>
    </row>
    <row r="99" spans="2:5" s="8" customFormat="1" ht="20" customHeight="1" x14ac:dyDescent="0.2">
      <c r="B99" s="519" t="s">
        <v>3289</v>
      </c>
      <c r="C99" s="519"/>
      <c r="D99" s="519"/>
      <c r="E99" s="519"/>
    </row>
    <row r="100" spans="2:5" s="8" customFormat="1" ht="20" customHeight="1" x14ac:dyDescent="0.2">
      <c r="B100" s="4" t="s">
        <v>1025</v>
      </c>
      <c r="C100" s="80" t="str">
        <f>sample_wld_en_asn</f>
        <v>65102</v>
      </c>
      <c r="D100" s="182" t="str">
        <f>wld_en_asn</f>
        <v>Value Missing</v>
      </c>
      <c r="E100" s="32"/>
    </row>
    <row r="101" spans="2:5" s="8" customFormat="1" ht="20" customHeight="1" x14ac:dyDescent="0.2">
      <c r="B101" s="4" t="s">
        <v>168</v>
      </c>
      <c r="C101" s="80" t="str">
        <f>sample_wld_az2_tor1_peer_ip</f>
        <v>10.13.17.11</v>
      </c>
      <c r="D101" s="182" t="str">
        <f>wld_az1_tor1_peer_ip</f>
        <v>Value Missing</v>
      </c>
      <c r="E101" s="32"/>
    </row>
    <row r="102" spans="2:5" s="8" customFormat="1" ht="20" customHeight="1" x14ac:dyDescent="0.2">
      <c r="B102" s="4" t="s">
        <v>169</v>
      </c>
      <c r="C102" s="80" t="str">
        <f>sample_wld_az2_tor1_peer_asn</f>
        <v>65141</v>
      </c>
      <c r="D102" s="182" t="str">
        <f>wld_az1_tor1_peer_asn</f>
        <v>Value Missing</v>
      </c>
      <c r="E102" s="32"/>
    </row>
    <row r="103" spans="2:5" s="8" customFormat="1" ht="20" customHeight="1" x14ac:dyDescent="0.2">
      <c r="B103" s="4" t="s">
        <v>170</v>
      </c>
      <c r="C103" s="80" t="str">
        <f>sample_wld_az2_tor1_peer_bgp_password</f>
        <v>VMw@re1!</v>
      </c>
      <c r="D103" s="182" t="str">
        <f>wld_az1_tor1_peer_bgp_password</f>
        <v>Value Missing</v>
      </c>
      <c r="E103" s="32"/>
    </row>
    <row r="104" spans="2:5" s="8" customFormat="1" ht="20" customHeight="1" x14ac:dyDescent="0.2">
      <c r="B104" s="4" t="s">
        <v>171</v>
      </c>
      <c r="C104" s="80" t="str">
        <f>sample_wld_az2_tor2_peer_ip</f>
        <v>10.13.18.11</v>
      </c>
      <c r="D104" s="182" t="str">
        <f>wld_az1_tor2_peer_ip</f>
        <v>Value Missing</v>
      </c>
      <c r="E104" s="32"/>
    </row>
    <row r="105" spans="2:5" s="8" customFormat="1" ht="20" customHeight="1" x14ac:dyDescent="0.2">
      <c r="B105" s="4" t="s">
        <v>172</v>
      </c>
      <c r="C105" s="80" t="str">
        <f>sample_wld_az2_tor2_peer_asn</f>
        <v>65141</v>
      </c>
      <c r="D105" s="182" t="str">
        <f>wld_az1_tor2_peer_asn</f>
        <v>Value Missing</v>
      </c>
      <c r="E105" s="32"/>
    </row>
    <row r="106" spans="2:5" s="8" customFormat="1" ht="20" customHeight="1" x14ac:dyDescent="0.2">
      <c r="B106" s="4" t="s">
        <v>173</v>
      </c>
      <c r="C106" s="80" t="str">
        <f>sample_wld_az2_tor2_peer_bgp_password</f>
        <v>VMw@re1!</v>
      </c>
      <c r="D106" s="182" t="str">
        <f>wld_az1_tor2_peer_bgp_password</f>
        <v>Value Missing</v>
      </c>
      <c r="E106" s="32"/>
    </row>
    <row r="107" spans="2:5" s="8" customFormat="1" ht="20" customHeight="1" x14ac:dyDescent="0.2"/>
    <row r="108" spans="2:5" s="8" customFormat="1" ht="34" customHeight="1" x14ac:dyDescent="0.2">
      <c r="B108" s="425" t="s">
        <v>1029</v>
      </c>
      <c r="C108" s="426"/>
      <c r="D108" s="426"/>
      <c r="E108" s="427"/>
    </row>
    <row r="109" spans="2:5" s="8" customFormat="1" ht="20" customHeight="1" x14ac:dyDescent="0.2">
      <c r="B109" s="346" t="s">
        <v>17</v>
      </c>
      <c r="C109" s="346" t="s">
        <v>18</v>
      </c>
      <c r="D109" s="346" t="s">
        <v>19</v>
      </c>
      <c r="E109" s="346" t="s">
        <v>20</v>
      </c>
    </row>
    <row r="110" spans="2:5" s="8" customFormat="1" ht="20" customHeight="1" x14ac:dyDescent="0.2">
      <c r="B110" s="492" t="s">
        <v>932</v>
      </c>
      <c r="C110" s="493"/>
      <c r="D110" s="493"/>
      <c r="E110" s="494"/>
    </row>
    <row r="111" spans="2:5" s="8" customFormat="1" ht="20" customHeight="1" x14ac:dyDescent="0.2">
      <c r="B111" s="4" t="s">
        <v>85</v>
      </c>
      <c r="C111" s="89" t="str">
        <f>sample_mgmt_az1_mgmt_vm_vlan</f>
        <v>1110</v>
      </c>
      <c r="D111" s="337" t="str">
        <f>mgmt_az1_mgmt_vm_vlan</f>
        <v>Value Missing</v>
      </c>
      <c r="E111" s="33"/>
    </row>
    <row r="112" spans="2:5" s="8" customFormat="1" ht="20" customHeight="1" x14ac:dyDescent="0.2">
      <c r="B112" s="4" t="s">
        <v>187</v>
      </c>
      <c r="C112" s="80" t="str">
        <f>sample_mgmt_az1_mgmt_vm_gateway_ip</f>
        <v>10.11.10.1</v>
      </c>
      <c r="D112" s="337" t="str">
        <f>mgmt_az1_mgmt_vm_gateway_ip</f>
        <v>Value Missing</v>
      </c>
      <c r="E112" s="33"/>
    </row>
    <row r="113" spans="2:5" s="8" customFormat="1" ht="20" customHeight="1" x14ac:dyDescent="0.2">
      <c r="B113" s="4" t="s">
        <v>188</v>
      </c>
      <c r="C113" s="80" t="str">
        <f>sample_mgmt_az1_mgmt_cidr</f>
        <v>10.11.11.0/24</v>
      </c>
      <c r="D113" s="337" t="str">
        <f>mgmt_az1_mgmt_cidr</f>
        <v>Value Missing</v>
      </c>
      <c r="E113" s="33"/>
    </row>
    <row r="114" spans="2:5" s="8" customFormat="1" ht="20" customHeight="1" x14ac:dyDescent="0.2">
      <c r="B114" s="4" t="s">
        <v>160</v>
      </c>
      <c r="C114" s="80">
        <v>1500</v>
      </c>
      <c r="D114" s="337" t="str">
        <f>wld_witnessaz_mgmt_mtu</f>
        <v>Value Missing</v>
      </c>
      <c r="E114" s="33"/>
    </row>
    <row r="115" spans="2:5" s="8" customFormat="1" ht="20" customHeight="1" x14ac:dyDescent="0.2">
      <c r="B115" s="492" t="s">
        <v>3285</v>
      </c>
      <c r="C115" s="493"/>
      <c r="D115" s="493"/>
      <c r="E115" s="494"/>
    </row>
    <row r="116" spans="2:5" s="8" customFormat="1" ht="20" customHeight="1" x14ac:dyDescent="0.2">
      <c r="B116" s="4" t="s">
        <v>85</v>
      </c>
      <c r="C116" s="362" t="str">
        <f>sample_wld_az1_rtep_overlay_vlan</f>
        <v>1320</v>
      </c>
      <c r="D116" s="337" t="str">
        <f>wld_az1_rtep_overlay_vlan</f>
        <v>Value Missing</v>
      </c>
      <c r="E116" s="337"/>
    </row>
    <row r="117" spans="2:5" s="8" customFormat="1" ht="20" customHeight="1" x14ac:dyDescent="0.2">
      <c r="B117" s="4" t="s">
        <v>187</v>
      </c>
      <c r="C117" s="362" t="str">
        <f>sample_wld_az1_rtep_overlay_gateway_ip</f>
        <v>10.13.20.1</v>
      </c>
      <c r="D117" s="337" t="str">
        <f>wld_az1_rtep_overlay_gateway_ip</f>
        <v>Value Missing</v>
      </c>
      <c r="E117" s="337"/>
    </row>
    <row r="118" spans="2:5" s="8" customFormat="1" ht="20" customHeight="1" x14ac:dyDescent="0.2">
      <c r="B118" s="4" t="s">
        <v>188</v>
      </c>
      <c r="C118" s="362" t="str">
        <f>sample_wld_az1_rtep_overlay_cidr</f>
        <v>10.13.20.0/24</v>
      </c>
      <c r="D118" s="337" t="str">
        <f>wld_az1_rtep_overlay_cidr</f>
        <v>Value Missing</v>
      </c>
      <c r="E118" s="337"/>
    </row>
    <row r="119" spans="2:5" s="8" customFormat="1" ht="20" customHeight="1" x14ac:dyDescent="0.2">
      <c r="B119" s="492" t="s">
        <v>3276</v>
      </c>
      <c r="C119" s="493"/>
      <c r="D119" s="493"/>
      <c r="E119" s="494"/>
    </row>
    <row r="120" spans="2:5" s="8" customFormat="1" ht="20" customHeight="1" x14ac:dyDescent="0.2">
      <c r="B120" s="4" t="str">
        <f>wld_nsxt_global_mgra_fqdn</f>
        <v>Value Missing</v>
      </c>
      <c r="C120" s="362" t="str">
        <f>sample_wld_nsxt_gm_vip_ip</f>
        <v>10.11.10.141</v>
      </c>
      <c r="D120" s="337" t="str">
        <f>wld_nsxt_gm_vip_ip</f>
        <v>Value Missing</v>
      </c>
      <c r="E120" s="337"/>
    </row>
    <row r="121" spans="2:5" s="8" customFormat="1" ht="20" customHeight="1" x14ac:dyDescent="0.2">
      <c r="B121" s="4" t="str">
        <f>wld_nsxt_global_mgra_fqdn</f>
        <v>Value Missing</v>
      </c>
      <c r="C121" s="362" t="str">
        <f>sample_wld_nsxt_global_mgra_ip</f>
        <v>10.11.10.142</v>
      </c>
      <c r="D121" s="337" t="str">
        <f>wld_nsxt_global_mgra_ip</f>
        <v>Value Missing</v>
      </c>
      <c r="E121" s="337"/>
    </row>
    <row r="122" spans="2:5" s="8" customFormat="1" ht="20" customHeight="1" x14ac:dyDescent="0.2">
      <c r="B122" s="4" t="str">
        <f>wld_nsxt_global_mgrb_fqdn</f>
        <v>Value Missing</v>
      </c>
      <c r="C122" s="362" t="str">
        <f>sample_wld_nsxt_global_mgrb_ip</f>
        <v>10.11.10.143</v>
      </c>
      <c r="D122" s="337" t="str">
        <f>wld_nsxt_global_mgrb_ip</f>
        <v>Value Missing</v>
      </c>
      <c r="E122" s="337"/>
    </row>
    <row r="123" spans="2:5" s="8" customFormat="1" ht="20" customHeight="1" x14ac:dyDescent="0.2">
      <c r="B123" s="4" t="str">
        <f>wld_nsxt_global_mgrc_fqdn</f>
        <v>Value Missing</v>
      </c>
      <c r="C123" s="362" t="str">
        <f>sample_wld_nsxt_global_mgrc_ip</f>
        <v>10.11.10.144</v>
      </c>
      <c r="D123" s="337" t="str">
        <f>wld_nsxt_global_mgrc_ip</f>
        <v>Value Missing</v>
      </c>
      <c r="E123" s="337"/>
    </row>
    <row r="124" spans="2:5" s="8" customFormat="1" ht="20" customHeight="1" x14ac:dyDescent="0.2">
      <c r="B124" s="30" t="str">
        <f>wld_az1_en1_hostname</f>
        <v>Value Missing</v>
      </c>
      <c r="C124" s="80" t="str">
        <f>sample_wld_az1_en1_mgmt_cidr</f>
        <v>10.13.10.135/24</v>
      </c>
      <c r="D124" s="337" t="str">
        <f>wld_az1_en1_mgmt_cidr</f>
        <v>Value Missing</v>
      </c>
      <c r="E124" s="337"/>
    </row>
    <row r="125" spans="2:5" s="8" customFormat="1" ht="20" customHeight="1" x14ac:dyDescent="0.2">
      <c r="B125" s="99" t="s">
        <v>2729</v>
      </c>
      <c r="C125" s="80" t="str">
        <f>sample_wld_az1_en1_uplink01_interface_cidr</f>
        <v>10.13.17.2/24</v>
      </c>
      <c r="D125" s="337" t="str">
        <f>wld_az1_en1_uplink01_interface_cidr</f>
        <v>Value Missing</v>
      </c>
      <c r="E125" s="337" t="s">
        <v>156</v>
      </c>
    </row>
    <row r="126" spans="2:5" s="8" customFormat="1" ht="20" customHeight="1" x14ac:dyDescent="0.2">
      <c r="B126" s="99" t="s">
        <v>2729</v>
      </c>
      <c r="C126" s="80" t="str">
        <f>sample_wld_az1_en1_uplink02_interface_cidr</f>
        <v>10.13.18.2/24</v>
      </c>
      <c r="D126" s="337" t="str">
        <f>wld_az1_en1_uplink02_interface_cidr</f>
        <v>Value Missing</v>
      </c>
      <c r="E126" s="337" t="s">
        <v>1057</v>
      </c>
    </row>
    <row r="127" spans="2:5" s="8" customFormat="1" ht="20" customHeight="1" x14ac:dyDescent="0.2">
      <c r="B127" s="179" t="s">
        <v>2729</v>
      </c>
      <c r="C127" s="80" t="str">
        <f>sample_wld_az1_en1_edge_overlay_interface_ip_1_ip</f>
        <v>10.13.19.2</v>
      </c>
      <c r="D127" s="337" t="str">
        <f>wld_az1_en1_edge_overlay_interface_ip_1_ip</f>
        <v>Value Missing</v>
      </c>
      <c r="E127" s="337" t="s">
        <v>1046</v>
      </c>
    </row>
    <row r="128" spans="2:5" s="8" customFormat="1" ht="20" customHeight="1" x14ac:dyDescent="0.2">
      <c r="B128" s="180" t="s">
        <v>2729</v>
      </c>
      <c r="C128" s="80" t="str">
        <f>sample_wld_az1_en1_edge_overlay_interface_ip_2_ip</f>
        <v>10.13.19.3</v>
      </c>
      <c r="D128" s="337" t="str">
        <f>wld_az1_en1_edge_overlay_interface_ip_2_ip</f>
        <v>Value Missing</v>
      </c>
      <c r="E128" s="337" t="s">
        <v>3277</v>
      </c>
    </row>
    <row r="129" spans="2:5" s="8" customFormat="1" ht="20" customHeight="1" x14ac:dyDescent="0.2">
      <c r="B129" s="30" t="str">
        <f>wld_az1_en2_hostname</f>
        <v>Value Missing</v>
      </c>
      <c r="C129" s="80" t="str">
        <f>sample_wld_az1_en2_mgmt_cidr</f>
        <v>10.13.10.136/24</v>
      </c>
      <c r="D129" s="337" t="str">
        <f>wld_az1_en2_mgmt_cidr</f>
        <v>Value Missing</v>
      </c>
      <c r="E129" s="337"/>
    </row>
    <row r="130" spans="2:5" s="8" customFormat="1" ht="20" customHeight="1" x14ac:dyDescent="0.2">
      <c r="B130" s="99" t="s">
        <v>2729</v>
      </c>
      <c r="C130" s="80" t="str">
        <f>sample_wld_az1_en2_uplink01_interface_cidr</f>
        <v>10.13.17.3/24</v>
      </c>
      <c r="D130" s="337" t="str">
        <f>wld_az1_en2_uplink01_interface_cidr</f>
        <v>Value Missing</v>
      </c>
      <c r="E130" s="337" t="s">
        <v>167</v>
      </c>
    </row>
    <row r="131" spans="2:5" s="8" customFormat="1" ht="20" customHeight="1" x14ac:dyDescent="0.2">
      <c r="B131" s="99" t="s">
        <v>2729</v>
      </c>
      <c r="C131" s="80" t="str">
        <f>sample_wld_az1_en2_uplink02_interface_cidr</f>
        <v>10.13.18.3/24</v>
      </c>
      <c r="D131" s="337" t="str">
        <f>wld_az1_en2_uplink02_interface_cidr</f>
        <v>Value Missing</v>
      </c>
      <c r="E131" s="337" t="s">
        <v>165</v>
      </c>
    </row>
    <row r="132" spans="2:5" s="8" customFormat="1" ht="20" customHeight="1" x14ac:dyDescent="0.2">
      <c r="B132" s="179" t="s">
        <v>2729</v>
      </c>
      <c r="C132" s="80" t="str">
        <f>sample_wld_az1_en2_edge_overlay_interface_ip_1_ip</f>
        <v>10.13.19.4</v>
      </c>
      <c r="D132" s="337" t="str">
        <f>wld_az1_en2_edge_overlay_interface_ip_1_ip</f>
        <v>Value Missing</v>
      </c>
      <c r="E132" s="337" t="s">
        <v>1052</v>
      </c>
    </row>
    <row r="133" spans="2:5" s="8" customFormat="1" ht="20" customHeight="1" x14ac:dyDescent="0.2">
      <c r="B133" s="180" t="s">
        <v>2729</v>
      </c>
      <c r="C133" s="80" t="str">
        <f>sample_wld_az1_en2_edge_overlay_interface_ip_2_ip</f>
        <v>10.13.19.5</v>
      </c>
      <c r="D133" s="337" t="str">
        <f>wld_az1_en2_edge_overlay_interface_ip_2_ip</f>
        <v>Value Missing</v>
      </c>
      <c r="E133" s="337" t="s">
        <v>1054</v>
      </c>
    </row>
    <row r="134" spans="2:5" s="8" customFormat="1" x14ac:dyDescent="0.2"/>
  </sheetData>
  <sheetProtection algorithmName="SHA-512" hashValue="wMD+ohXfwNic6hEwU7M+jcDvLnXevg1dUYhbKkNCgHUOR5rhYXzkRMIkNL2X1qsBgP+7gC5XBfGTvmTcDIH40A==" saltValue="6j/vw7K6PWc/iO7jUcGWMQ==" spinCount="100000" sheet="1" objects="1" scenarios="1"/>
  <mergeCells count="25">
    <mergeCell ref="B119:E119"/>
    <mergeCell ref="B48:E48"/>
    <mergeCell ref="B50:E50"/>
    <mergeCell ref="B55:E55"/>
    <mergeCell ref="B61:E61"/>
    <mergeCell ref="B63:E63"/>
    <mergeCell ref="B110:E110"/>
    <mergeCell ref="B96:E96"/>
    <mergeCell ref="B115:E115"/>
    <mergeCell ref="B89:E89"/>
    <mergeCell ref="B68:E68"/>
    <mergeCell ref="B75:E75"/>
    <mergeCell ref="B82:E82"/>
    <mergeCell ref="B2:E2"/>
    <mergeCell ref="B3:E3"/>
    <mergeCell ref="B6:E6"/>
    <mergeCell ref="B99:E99"/>
    <mergeCell ref="B108:E108"/>
    <mergeCell ref="B24:E24"/>
    <mergeCell ref="B28:E28"/>
    <mergeCell ref="B7:E7"/>
    <mergeCell ref="B9:E9"/>
    <mergeCell ref="B14:E14"/>
    <mergeCell ref="B19:E19"/>
    <mergeCell ref="B36:E36"/>
  </mergeCells>
  <conditionalFormatting sqref="B97:B98">
    <cfRule type="expression" dxfId="209" priority="69" stopIfTrue="1">
      <formula>wld_stretched_cluster_result="Excluded"</formula>
    </cfRule>
    <cfRule type="containsBlanks" dxfId="208" priority="70">
      <formula>LEN(TRIM(B97))=0</formula>
    </cfRule>
    <cfRule type="notContainsBlanks" dxfId="206" priority="72" stopIfTrue="1">
      <formula>LEN(TRIM(B97))&gt;0</formula>
    </cfRule>
  </conditionalFormatting>
  <conditionalFormatting sqref="D10:D13 D15:D18 D20:D23 D29:D35 D37:D46">
    <cfRule type="expression" dxfId="205" priority="116">
      <formula>OR((wld_domain_result="Excluded"),(wld_bgp_result="Excluded"))</formula>
    </cfRule>
  </conditionalFormatting>
  <conditionalFormatting sqref="D10:D13">
    <cfRule type="notContainsBlanks" dxfId="204" priority="139">
      <formula>LEN(TRIM(D10))&gt;0</formula>
    </cfRule>
    <cfRule type="containsBlanks" dxfId="202" priority="123">
      <formula>LEN(TRIM(D10))=0</formula>
    </cfRule>
  </conditionalFormatting>
  <conditionalFormatting sqref="D15:D18">
    <cfRule type="containsBlanks" dxfId="201" priority="127">
      <formula>LEN(TRIM(D15))=0</formula>
    </cfRule>
    <cfRule type="notContainsBlanks" dxfId="199" priority="140">
      <formula>LEN(TRIM(D15))&gt;0</formula>
    </cfRule>
  </conditionalFormatting>
  <conditionalFormatting sqref="D20:D23">
    <cfRule type="containsBlanks" dxfId="197" priority="125">
      <formula>LEN(TRIM(D20))=0</formula>
    </cfRule>
  </conditionalFormatting>
  <conditionalFormatting sqref="D20:D27">
    <cfRule type="notContainsBlanks" dxfId="196" priority="137">
      <formula>LEN(TRIM(D20))&gt;0</formula>
    </cfRule>
  </conditionalFormatting>
  <conditionalFormatting sqref="D24 D8:D9">
    <cfRule type="expression" dxfId="195" priority="135">
      <formula>mgmt_domain_existing_vcenter_chosen="Selected"</formula>
    </cfRule>
  </conditionalFormatting>
  <conditionalFormatting sqref="D24">
    <cfRule type="containsBlanks" dxfId="194" priority="138">
      <formula>LEN(TRIM(D24))=0</formula>
    </cfRule>
    <cfRule type="expression" dxfId="192" priority="134">
      <formula>input_mgmt_principal_storage_chosen="VMFS on Fibre Channel (FC)"</formula>
    </cfRule>
  </conditionalFormatting>
  <conditionalFormatting sqref="D25:D27">
    <cfRule type="containsBlanks" dxfId="190" priority="3">
      <formula>LEN(TRIM(D25))=0</formula>
    </cfRule>
    <cfRule type="expression" dxfId="189" priority="2">
      <formula>OR((wld_domain_result="Excluded"),(wld_bgp_result="Excluded"))</formula>
    </cfRule>
  </conditionalFormatting>
  <conditionalFormatting sqref="D29:D35">
    <cfRule type="notContainsBlanks" dxfId="188" priority="141">
      <formula>LEN(TRIM(D29))&gt;0</formula>
    </cfRule>
    <cfRule type="containsBlanks" dxfId="186" priority="132">
      <formula>LEN(TRIM(D29))=0</formula>
    </cfRule>
  </conditionalFormatting>
  <conditionalFormatting sqref="D37:D46">
    <cfRule type="notContainsBlanks" dxfId="185" priority="131">
      <formula>LEN(TRIM(D37))&gt;0</formula>
    </cfRule>
    <cfRule type="containsBlanks" dxfId="183" priority="129">
      <formula>LEN(TRIM(D37))=0</formula>
    </cfRule>
  </conditionalFormatting>
  <conditionalFormatting sqref="D49:D50">
    <cfRule type="expression" dxfId="182" priority="105">
      <formula>mgmt_domain_existing_vcenter_chosen="Selected"</formula>
    </cfRule>
  </conditionalFormatting>
  <conditionalFormatting sqref="D51:D54 D56:D59">
    <cfRule type="expression" dxfId="181" priority="101">
      <formula>wld_avi_loadbalancer_result="Excluded"</formula>
    </cfRule>
  </conditionalFormatting>
  <conditionalFormatting sqref="D51:D54">
    <cfRule type="notContainsBlanks" dxfId="179" priority="104">
      <formula>LEN(TRIM(D51))&gt;0</formula>
    </cfRule>
    <cfRule type="containsBlanks" dxfId="178" priority="102">
      <formula>LEN(TRIM(D51))=0</formula>
    </cfRule>
  </conditionalFormatting>
  <conditionalFormatting sqref="D56:D59">
    <cfRule type="notContainsBlanks" dxfId="177" priority="108">
      <formula>LEN(TRIM(D56))&gt;0</formula>
    </cfRule>
    <cfRule type="containsBlanks" dxfId="175" priority="106">
      <formula>LEN(TRIM(D56))=0</formula>
    </cfRule>
  </conditionalFormatting>
  <conditionalFormatting sqref="D62:D63">
    <cfRule type="expression" dxfId="174" priority="100">
      <formula>mgmt_domain_existing_vcenter_chosen="Selected"</formula>
    </cfRule>
  </conditionalFormatting>
  <conditionalFormatting sqref="D64:D67">
    <cfRule type="notContainsBlanks" dxfId="173" priority="18" stopIfTrue="1">
      <formula>LEN(TRIM(D64))&gt;0</formula>
    </cfRule>
    <cfRule type="containsBlanks" dxfId="171" priority="16">
      <formula>LEN(TRIM(D64))=0</formula>
    </cfRule>
    <cfRule type="expression" dxfId="170" priority="15" stopIfTrue="1">
      <formula>wld_stretched_cluster_result="Excluded"</formula>
    </cfRule>
    <cfRule type="expression" dxfId="169" priority="14">
      <formula>mgmt_domain_deployment_type_chosen="VMware vSphere Foundation"</formula>
    </cfRule>
  </conditionalFormatting>
  <conditionalFormatting sqref="D69:D74">
    <cfRule type="notContainsBlanks" dxfId="168" priority="13" stopIfTrue="1">
      <formula>LEN(TRIM(D69))&gt;0</formula>
    </cfRule>
    <cfRule type="containsBlanks" dxfId="166" priority="11">
      <formula>LEN(TRIM(D69))=0</formula>
    </cfRule>
    <cfRule type="expression" dxfId="165" priority="10" stopIfTrue="1">
      <formula>wld_stretched_cluster_result="Excluded"</formula>
    </cfRule>
    <cfRule type="expression" dxfId="164" priority="9">
      <formula>mgmt_domain_deployment_type_chosen="VMware vSphere Foundation"</formula>
    </cfRule>
  </conditionalFormatting>
  <conditionalFormatting sqref="D76:D81">
    <cfRule type="notContainsBlanks" dxfId="163" priority="53" stopIfTrue="1">
      <formula>LEN(TRIM(D76))&gt;0</formula>
    </cfRule>
    <cfRule type="containsBlanks" dxfId="161" priority="51">
      <formula>LEN(TRIM(D76))=0</formula>
    </cfRule>
    <cfRule type="expression" dxfId="160" priority="50" stopIfTrue="1">
      <formula>wld_stretched_cluster_result="Excluded"</formula>
    </cfRule>
  </conditionalFormatting>
  <conditionalFormatting sqref="D83:D88">
    <cfRule type="expression" dxfId="159" priority="1">
      <formula>wld_secondary_storage_result="Excluded"</formula>
    </cfRule>
    <cfRule type="expression" dxfId="158" priority="5" stopIfTrue="1">
      <formula>wld_stretched_cluster_result="Excluded"</formula>
    </cfRule>
    <cfRule type="containsBlanks" dxfId="157" priority="6">
      <formula>LEN(TRIM(D83))=0</formula>
    </cfRule>
    <cfRule type="notContainsBlanks" dxfId="155" priority="8" stopIfTrue="1">
      <formula>LEN(TRIM(D83))&gt;0</formula>
    </cfRule>
  </conditionalFormatting>
  <conditionalFormatting sqref="D89">
    <cfRule type="expression" dxfId="154" priority="66">
      <formula>mgmt_domain_existing_vcenter_chosen="Selected"</formula>
    </cfRule>
  </conditionalFormatting>
  <conditionalFormatting sqref="D90:D93 D97:D98">
    <cfRule type="containsBlanks" dxfId="152" priority="97">
      <formula>LEN(TRIM(D90))=0</formula>
    </cfRule>
    <cfRule type="expression" dxfId="151" priority="96" stopIfTrue="1">
      <formula>wld_stretched_cluster_result="Excluded"</formula>
    </cfRule>
    <cfRule type="notContainsBlanks" dxfId="150" priority="99" stopIfTrue="1">
      <formula>LEN(TRIM(D90))&gt;0</formula>
    </cfRule>
  </conditionalFormatting>
  <conditionalFormatting sqref="D90:D93">
    <cfRule type="expression" dxfId="149" priority="58">
      <formula>mgmt_domain_deployment_type_chosen="VMware vSphere Foundation"</formula>
    </cfRule>
  </conditionalFormatting>
  <conditionalFormatting sqref="D94:D95">
    <cfRule type="notContainsBlanks" dxfId="148" priority="49" stopIfTrue="1">
      <formula>LEN(TRIM(D94))&gt;0</formula>
    </cfRule>
    <cfRule type="containsBlanks" dxfId="146" priority="47">
      <formula>LEN(TRIM(D94))=0</formula>
    </cfRule>
    <cfRule type="expression" dxfId="145" priority="46" stopIfTrue="1">
      <formula>wld_stretched_cluster_result="Excluded"</formula>
    </cfRule>
  </conditionalFormatting>
  <conditionalFormatting sqref="D100:D106">
    <cfRule type="notContainsBlanks" dxfId="144" priority="22" stopIfTrue="1">
      <formula>LEN(TRIM(D100))&gt;0</formula>
    </cfRule>
    <cfRule type="containsBlanks" dxfId="142" priority="20">
      <formula>LEN(TRIM(D100))=0</formula>
    </cfRule>
    <cfRule type="expression" dxfId="141" priority="19" stopIfTrue="1">
      <formula>wld_stretched_cluster_result="Excluded"</formula>
    </cfRule>
  </conditionalFormatting>
  <conditionalFormatting sqref="D109:D110">
    <cfRule type="expression" dxfId="140" priority="92">
      <formula>mgmt_domain_existing_vcenter_chosen="Selected"</formula>
    </cfRule>
  </conditionalFormatting>
  <conditionalFormatting sqref="D111:D114 D116:D118 D120:D133">
    <cfRule type="expression" dxfId="139" priority="68">
      <formula>wld_nsxt_federation_result="Excluded"</formula>
    </cfRule>
    <cfRule type="notContainsBlanks" dxfId="137" priority="94">
      <formula>LEN(TRIM(D111))&gt;0</formula>
    </cfRule>
  </conditionalFormatting>
  <conditionalFormatting sqref="D115">
    <cfRule type="expression" dxfId="136" priority="95">
      <formula>mgmt_domain_existing_vcenter_chosen="Selected"</formula>
    </cfRule>
  </conditionalFormatting>
  <conditionalFormatting sqref="D120:D133 D111:D114 D116:D118">
    <cfRule type="containsBlanks" dxfId="135" priority="91">
      <formula>LEN(TRIM(D111))=0</formula>
    </cfRule>
  </conditionalFormatting>
  <conditionalFormatting sqref="D124:D133">
    <cfRule type="expression" dxfId="134" priority="90">
      <formula>OR((wld_domain_result="Excluded"),(wld_vns_result="Excluded"))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71" stopIfTrue="1" operator="containsText" id="{FE5607DF-0EB2-6744-B779-8E1B8E69A7EF}">
            <xm:f>NOT(ISERROR(SEARCH("Value Missing",B97)))</xm:f>
            <xm:f>"Value Missing"</xm:f>
            <x14:dxf>
              <font>
                <color theme="1"/>
              </font>
              <fill>
                <patternFill>
                  <bgColor rgb="FFFFBE29"/>
                </patternFill>
              </fill>
            </x14:dxf>
          </x14:cfRule>
          <xm:sqref>B97:B98</xm:sqref>
        </x14:conditionalFormatting>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128" operator="containsText" id="{41778B76-5EC9-5D46-8535-39F269506A9B}">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126" operator="containsText" id="{7EA8EC3C-8EE8-5642-8C97-E653304C54C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136" stopIfTrue="1" operator="containsText" id="{DB0F4BB3-D523-4447-878D-DF8B4A81E554}">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4" operator="containsText" id="{F2A4D477-D319-6342-B8D1-8D1E6F60A54B}">
            <xm:f>NOT(ISERROR(SEARCH("Value Missing",D25)))</xm:f>
            <xm:f>"Value Missing"</xm:f>
            <x14:dxf>
              <font>
                <color theme="1"/>
              </font>
              <fill>
                <patternFill>
                  <bgColor rgb="FFFFBE29"/>
                </patternFill>
              </fill>
            </x14:dxf>
          </x14:cfRule>
          <xm:sqref>D25:D27</xm:sqref>
        </x14:conditionalFormatting>
        <x14:conditionalFormatting xmlns:xm="http://schemas.microsoft.com/office/excel/2006/main">
          <x14:cfRule type="containsText" priority="133" operator="containsText" id="{56C4391B-0BF1-0444-B6AB-C42DA8B5D5EA}">
            <xm:f>NOT(ISERROR(SEARCH("Value Missing",D29)))</xm:f>
            <xm:f>"Value Missing"</xm:f>
            <x14:dxf>
              <font>
                <color theme="1"/>
              </font>
              <fill>
                <patternFill>
                  <bgColor rgb="FFFFBE29"/>
                </patternFill>
              </fill>
            </x14:dxf>
          </x14:cfRule>
          <xm:sqref>D29:D35</xm:sqref>
        </x14:conditionalFormatting>
        <x14:conditionalFormatting xmlns:xm="http://schemas.microsoft.com/office/excel/2006/main">
          <x14:cfRule type="containsText" priority="130" operator="containsText" id="{44A45759-F4F9-D145-946E-23FF84BC6853}">
            <xm:f>NOT(ISERROR(SEARCH("Value Missing",D37)))</xm:f>
            <xm:f>"Value Missing"</xm:f>
            <x14:dxf>
              <font>
                <color theme="1"/>
              </font>
              <fill>
                <patternFill>
                  <bgColor rgb="FFFFBE29"/>
                </patternFill>
              </fill>
            </x14:dxf>
          </x14:cfRule>
          <xm:sqref>D37:D46</xm:sqref>
        </x14:conditionalFormatting>
        <x14:conditionalFormatting xmlns:xm="http://schemas.microsoft.com/office/excel/2006/main">
          <x14:cfRule type="containsText" priority="103" operator="containsText" id="{380DB61A-EC44-884C-90AD-43892422DB29}">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07" operator="containsText" id="{BC64B5A3-7E55-D04C-9EE5-A7FD1E8BE104}">
            <xm:f>NOT(ISERROR(SEARCH("Value Missing",D56)))</xm:f>
            <xm:f>"Value Missing"</xm:f>
            <x14:dxf>
              <font>
                <color theme="1"/>
              </font>
              <fill>
                <patternFill>
                  <bgColor rgb="FFFFBE29"/>
                </patternFill>
              </fill>
            </x14:dxf>
          </x14:cfRule>
          <xm:sqref>D56:D59</xm:sqref>
        </x14:conditionalFormatting>
        <x14:conditionalFormatting xmlns:xm="http://schemas.microsoft.com/office/excel/2006/main">
          <x14:cfRule type="containsText" priority="17" stopIfTrue="1" operator="containsText" id="{66CDB210-9332-BD43-985C-D86C318F2B67}">
            <xm:f>NOT(ISERROR(SEARCH("Value Missing",D64)))</xm:f>
            <xm:f>"Value Missing"</xm:f>
            <x14:dxf>
              <font>
                <color theme="1"/>
              </font>
              <fill>
                <patternFill>
                  <bgColor rgb="FFFFBE29"/>
                </patternFill>
              </fill>
            </x14:dxf>
          </x14:cfRule>
          <xm:sqref>D64:D67</xm:sqref>
        </x14:conditionalFormatting>
        <x14:conditionalFormatting xmlns:xm="http://schemas.microsoft.com/office/excel/2006/main">
          <x14:cfRule type="containsText" priority="12" stopIfTrue="1" operator="containsText" id="{EDF13E9E-1BCE-8B45-B5AE-73484880B674}">
            <xm:f>NOT(ISERROR(SEARCH("Value Missing",D69)))</xm:f>
            <xm:f>"Value Missing"</xm:f>
            <x14:dxf>
              <font>
                <color theme="1"/>
              </font>
              <fill>
                <patternFill>
                  <bgColor rgb="FFFFBE29"/>
                </patternFill>
              </fill>
            </x14:dxf>
          </x14:cfRule>
          <xm:sqref>D69:D74</xm:sqref>
        </x14:conditionalFormatting>
        <x14:conditionalFormatting xmlns:xm="http://schemas.microsoft.com/office/excel/2006/main">
          <x14:cfRule type="containsText" priority="52" stopIfTrue="1" operator="containsText" id="{10C308F2-C4FC-CF44-B780-61D23B397331}">
            <xm:f>NOT(ISERROR(SEARCH("Value Missing",D76)))</xm:f>
            <xm:f>"Value Missing"</xm:f>
            <x14:dxf>
              <font>
                <color theme="1"/>
              </font>
              <fill>
                <patternFill>
                  <bgColor rgb="FFFFBE29"/>
                </patternFill>
              </fill>
            </x14:dxf>
          </x14:cfRule>
          <xm:sqref>D76:D81</xm:sqref>
        </x14:conditionalFormatting>
        <x14:conditionalFormatting xmlns:xm="http://schemas.microsoft.com/office/excel/2006/main">
          <x14:cfRule type="containsText" priority="7" stopIfTrue="1" operator="containsText" id="{9AB7BA9A-510F-1949-ABEF-62389D7135D1}">
            <xm:f>NOT(ISERROR(SEARCH("Value Missing",D83)))</xm:f>
            <xm:f>"Value Missing"</xm:f>
            <x14:dxf>
              <font>
                <color theme="1"/>
              </font>
              <fill>
                <patternFill>
                  <bgColor rgb="FFFFBE29"/>
                </patternFill>
              </fill>
            </x14:dxf>
          </x14:cfRule>
          <xm:sqref>D83:D88</xm:sqref>
        </x14:conditionalFormatting>
        <x14:conditionalFormatting xmlns:xm="http://schemas.microsoft.com/office/excel/2006/main">
          <x14:cfRule type="containsText" priority="98" stopIfTrue="1" operator="containsText" id="{D6D77E41-DD4C-274C-9606-212298DFF473}">
            <xm:f>NOT(ISERROR(SEARCH("Value Missing",D90)))</xm:f>
            <xm:f>"Value Missing"</xm:f>
            <x14:dxf>
              <font>
                <color theme="1"/>
              </font>
              <fill>
                <patternFill>
                  <bgColor rgb="FFFFBE29"/>
                </patternFill>
              </fill>
            </x14:dxf>
          </x14:cfRule>
          <xm:sqref>D90:D93 D97:D98</xm:sqref>
        </x14:conditionalFormatting>
        <x14:conditionalFormatting xmlns:xm="http://schemas.microsoft.com/office/excel/2006/main">
          <x14:cfRule type="containsText" priority="48" stopIfTrue="1" operator="containsText" id="{ABEE340E-16B7-DE4B-B09E-B60F6355486F}">
            <xm:f>NOT(ISERROR(SEARCH("Value Missing",D94)))</xm:f>
            <xm:f>"Value Missing"</xm:f>
            <x14:dxf>
              <font>
                <color theme="1"/>
              </font>
              <fill>
                <patternFill>
                  <bgColor rgb="FFFFBE29"/>
                </patternFill>
              </fill>
            </x14:dxf>
          </x14:cfRule>
          <xm:sqref>D94:D95</xm:sqref>
        </x14:conditionalFormatting>
        <x14:conditionalFormatting xmlns:xm="http://schemas.microsoft.com/office/excel/2006/main">
          <x14:cfRule type="containsText" priority="21" stopIfTrue="1" operator="containsText" id="{BB9E7CB7-0730-4C49-9A77-0A67090896A5}">
            <xm:f>NOT(ISERROR(SEARCH("Value Missing",D100)))</xm:f>
            <xm:f>"Value Missing"</xm:f>
            <x14:dxf>
              <font>
                <color theme="1"/>
              </font>
              <fill>
                <patternFill>
                  <bgColor rgb="FFFFBE29"/>
                </patternFill>
              </fill>
            </x14:dxf>
          </x14:cfRule>
          <xm:sqref>D100:D106</xm:sqref>
        </x14:conditionalFormatting>
        <x14:conditionalFormatting xmlns:xm="http://schemas.microsoft.com/office/excel/2006/main">
          <x14:cfRule type="containsText" priority="93" operator="containsText" id="{2D87D5BA-6A9D-DB43-83CB-A355E471219A}">
            <xm:f>NOT(ISERROR(SEARCH("Value Missing",D111)))</xm:f>
            <xm:f>"Value Missing"</xm:f>
            <x14:dxf>
              <font>
                <color theme="1"/>
              </font>
              <fill>
                <patternFill>
                  <bgColor rgb="FFFFBE29"/>
                </patternFill>
              </fill>
            </x14:dxf>
          </x14:cfRule>
          <xm:sqref>D111:D114 D116:D118 D120:D133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1532-02EC-E34E-B89A-5F794A3A7C51}">
  <sheetPr codeName="Sheet10">
    <tabColor theme="2" tint="-9.9978637043366805E-2"/>
  </sheetPr>
  <dimension ref="B1:I230"/>
  <sheetViews>
    <sheetView showGridLines="0" workbookViewId="0">
      <pane ySplit="4" topLeftCell="A5" activePane="bottomLeft" state="frozen"/>
      <selection pane="bottomLeft" activeCell="E16" sqref="E16"/>
    </sheetView>
  </sheetViews>
  <sheetFormatPr baseColWidth="10" defaultColWidth="10.83203125" defaultRowHeight="16" x14ac:dyDescent="0.2"/>
  <cols>
    <col min="1" max="1" width="2.83203125" style="8" customWidth="1"/>
    <col min="2" max="2" width="42" style="8" customWidth="1"/>
    <col min="3" max="3" width="35.83203125" style="8" customWidth="1"/>
    <col min="4" max="8" width="20.83203125" style="8" customWidth="1"/>
    <col min="9" max="9" width="2.83203125" style="8" customWidth="1"/>
    <col min="10" max="11" width="35.83203125" style="8" customWidth="1"/>
    <col min="12" max="16" width="20.83203125" style="8" customWidth="1"/>
    <col min="17" max="24" width="10.83203125" style="8" customWidth="1"/>
    <col min="25" max="16384" width="10.83203125" style="8"/>
  </cols>
  <sheetData>
    <row r="1" spans="2:8" ht="15" customHeight="1" x14ac:dyDescent="0.2">
      <c r="B1" s="120"/>
      <c r="C1" s="120"/>
      <c r="D1" s="120"/>
      <c r="E1" s="120"/>
      <c r="F1" s="120"/>
      <c r="G1" s="120"/>
    </row>
    <row r="2" spans="2:8" ht="54" customHeight="1" x14ac:dyDescent="0.2">
      <c r="B2" s="260" t="s">
        <v>3292</v>
      </c>
      <c r="C2" s="260"/>
      <c r="D2" s="260"/>
      <c r="E2" s="260"/>
      <c r="F2" s="260"/>
      <c r="G2" s="260"/>
      <c r="H2" s="260"/>
    </row>
    <row r="3" spans="2:8" ht="15" customHeight="1" x14ac:dyDescent="0.2">
      <c r="B3" s="259" t="s">
        <v>1</v>
      </c>
      <c r="C3" s="259"/>
      <c r="D3" s="259"/>
      <c r="E3" s="259"/>
      <c r="F3" s="259"/>
      <c r="G3" s="259"/>
      <c r="H3" s="259"/>
    </row>
    <row r="4" spans="2:8" x14ac:dyDescent="0.2">
      <c r="B4" s="120"/>
      <c r="C4" s="120"/>
      <c r="D4" s="120"/>
      <c r="E4" s="120"/>
      <c r="F4" s="120"/>
      <c r="G4" s="120"/>
    </row>
    <row r="6" spans="2:8" ht="34" customHeight="1" x14ac:dyDescent="0.2">
      <c r="B6" s="397" t="s">
        <v>3293</v>
      </c>
      <c r="C6" s="397"/>
      <c r="D6" s="397"/>
      <c r="E6" s="397"/>
      <c r="F6" s="397"/>
      <c r="G6" s="397"/>
      <c r="H6" s="397"/>
    </row>
    <row r="8" spans="2:8" ht="34" customHeight="1" x14ac:dyDescent="0.2">
      <c r="B8" s="522" t="s">
        <v>3294</v>
      </c>
      <c r="C8" s="523"/>
      <c r="D8" s="523"/>
      <c r="E8" s="523"/>
      <c r="F8" s="523"/>
      <c r="G8" s="523"/>
      <c r="H8" s="523"/>
    </row>
    <row r="9" spans="2:8" ht="20" customHeight="1" x14ac:dyDescent="0.2">
      <c r="B9" s="468"/>
      <c r="C9" s="469"/>
      <c r="D9" s="469"/>
      <c r="E9" s="469"/>
      <c r="F9" s="469"/>
      <c r="G9" s="469"/>
      <c r="H9" s="469"/>
    </row>
    <row r="10" spans="2:8" ht="20" customHeight="1" x14ac:dyDescent="0.2">
      <c r="B10" s="43" t="s">
        <v>3295</v>
      </c>
      <c r="C10" s="43" t="s">
        <v>2745</v>
      </c>
      <c r="D10" s="130" t="s">
        <v>3296</v>
      </c>
      <c r="E10" s="130" t="s">
        <v>3297</v>
      </c>
      <c r="F10" s="130" t="s">
        <v>252</v>
      </c>
      <c r="G10" s="130" t="s">
        <v>3298</v>
      </c>
      <c r="H10" s="130" t="s">
        <v>3299</v>
      </c>
    </row>
    <row r="11" spans="2:8" ht="20" customHeight="1" x14ac:dyDescent="0.2">
      <c r="B11" s="4" t="s">
        <v>1272</v>
      </c>
      <c r="C11" s="337" t="str">
        <f>mgmt_cl01_az1_mgmt_pg</f>
        <v>Value Missing</v>
      </c>
      <c r="D11" s="337" t="str">
        <f>mgmt_az1_mgmt_vm_vlan</f>
        <v>Value Missing</v>
      </c>
      <c r="E11" s="337" t="str">
        <f>mgmt_az1_mgmt_vm_cidr</f>
        <v>Value Missing</v>
      </c>
      <c r="F11" s="337" t="str">
        <f t="array" ref="F11">mgmt_az1_mgmt_vm_network</f>
        <v>Value Missing</v>
      </c>
      <c r="G11" s="337" t="str">
        <f>mgmt_az1_mgmt_vm_gateway_ip</f>
        <v>Value Missing</v>
      </c>
      <c r="H11" s="337" t="str">
        <f>mgmt_az1_mgmt_vm_mtu</f>
        <v>Value Missing</v>
      </c>
    </row>
    <row r="12" spans="2:8" ht="20" customHeight="1" x14ac:dyDescent="0.2">
      <c r="B12" s="4" t="s">
        <v>3300</v>
      </c>
      <c r="C12" s="337" t="str">
        <f>mgmt_cl01_az1_mgmt_pg</f>
        <v>Value Missing</v>
      </c>
      <c r="D12" s="337" t="str">
        <f>mgmt_az1_mgmt_vlan</f>
        <v>Value Missing</v>
      </c>
      <c r="E12" s="337" t="str">
        <f>mgmt_az1_mgmt_cidr</f>
        <v>Value Missing</v>
      </c>
      <c r="F12" s="337" t="str">
        <f t="array" ref="F12">mgmt_az1_mgmt_network</f>
        <v>Value Missing</v>
      </c>
      <c r="G12" s="337" t="str">
        <f>mgmt_az1_mgmt_gateway_ip</f>
        <v>Value Missing</v>
      </c>
      <c r="H12" s="337" t="str">
        <f>mgmt_az1_mgmt_mtu</f>
        <v>Value Missing</v>
      </c>
    </row>
    <row r="13" spans="2:8" ht="20" customHeight="1" x14ac:dyDescent="0.2">
      <c r="B13" s="4" t="s">
        <v>251</v>
      </c>
      <c r="C13" s="337" t="str">
        <f>mgmt_cl01_az1_vmotion_pg</f>
        <v>Value Missing</v>
      </c>
      <c r="D13" s="337" t="str">
        <f>mgmt_az1_vmotion_vlan</f>
        <v>Value Missing</v>
      </c>
      <c r="E13" s="337" t="str">
        <f>mgmt_az1_vmotion_cidr</f>
        <v>Value Missing</v>
      </c>
      <c r="F13" s="337" t="str">
        <f t="array" ref="F13">mgmt_az1_vmotion_network</f>
        <v>Value Missing</v>
      </c>
      <c r="G13" s="337" t="str">
        <f>mgmt_az1_vmotion_gateway_ip</f>
        <v>Value Missing</v>
      </c>
      <c r="H13" s="337" t="str">
        <f>mgmt_az1_vmotion_mtu</f>
        <v>Value Missing</v>
      </c>
    </row>
    <row r="14" spans="2:8" ht="20" customHeight="1" x14ac:dyDescent="0.2">
      <c r="B14" s="4" t="s">
        <v>257</v>
      </c>
      <c r="C14" s="337" t="str">
        <f>mgmt_cl01_az1_vsan_pg</f>
        <v>Value Missing</v>
      </c>
      <c r="D14" s="337" t="str">
        <f>mgmt_az1_vsan_vlan</f>
        <v>Value Missing</v>
      </c>
      <c r="E14" s="337" t="str">
        <f>mgmt_az1_vsan_cidr</f>
        <v>Value Missing</v>
      </c>
      <c r="F14" s="337" t="str">
        <f t="array" ref="F14">mgmt_az1_vsan_network</f>
        <v>Value Missing</v>
      </c>
      <c r="G14" s="337" t="str">
        <f>mgmt_az1_vsan_gateway_ip</f>
        <v>Value Missing</v>
      </c>
      <c r="H14" s="337" t="str">
        <f>mgmt_az1_vsan_mtu</f>
        <v>Value Missing</v>
      </c>
    </row>
    <row r="15" spans="2:8" ht="20" customHeight="1" x14ac:dyDescent="0.2">
      <c r="B15" s="4" t="s">
        <v>1278</v>
      </c>
      <c r="C15" s="337" t="str">
        <f t="array" ref="C15">mgmt_az1_host_overlay_pg</f>
        <v>N/A</v>
      </c>
      <c r="D15" s="337" t="str">
        <f>mgmt_az1_host_overlay_vlan</f>
        <v>Value Missing</v>
      </c>
      <c r="E15" s="337" t="str">
        <f>mgmt_az1_host_overlay_cidr</f>
        <v>Value Missing</v>
      </c>
      <c r="F15" s="337" t="str">
        <f t="array" ref="F15">mgmt_az1_host_overlay_network</f>
        <v>Value Missing</v>
      </c>
      <c r="G15" s="337" t="str">
        <f>mgmt_az1_host_overlay_gateway_ip</f>
        <v>Value Missing</v>
      </c>
      <c r="H15" s="337" t="str">
        <f>mgmt_az1_host_overlay_mtu</f>
        <v>Value Missing</v>
      </c>
    </row>
    <row r="16" spans="2:8" ht="20" customHeight="1" x14ac:dyDescent="0.2">
      <c r="B16" s="4" t="s">
        <v>1291</v>
      </c>
      <c r="C16" s="337" t="str">
        <f>mgmt_vrms_pg</f>
        <v>Value Missing</v>
      </c>
      <c r="D16" s="337" t="str">
        <f>mgmt_az1_vrms_vlan</f>
        <v>Value Missing</v>
      </c>
      <c r="E16" s="337">
        <f>mgmt_az1_vrms_cidr</f>
        <v>0</v>
      </c>
      <c r="F16" s="337">
        <f t="array" ref="F16">mgmt_az1_vrms_network</f>
        <v>0</v>
      </c>
      <c r="G16" s="337">
        <f>mgmt_az1_vrms_gateway_ip</f>
        <v>0</v>
      </c>
      <c r="H16" s="337" t="str">
        <f>mgmt_az1_vrms_mtu</f>
        <v>Value Missing</v>
      </c>
    </row>
    <row r="17" spans="2:8" ht="20" customHeight="1" x14ac:dyDescent="0.2">
      <c r="B17" s="4" t="s">
        <v>3301</v>
      </c>
      <c r="C17" s="337" t="str">
        <f>mgmt_cl01_az1_uplink01_pg</f>
        <v>Value Missing</v>
      </c>
      <c r="D17" s="337" t="str">
        <f>mgmt_az1_uplink01_vlan</f>
        <v>Value Missing</v>
      </c>
      <c r="E17" s="337" t="str">
        <f>mgmt_az1_uplink01_cidr</f>
        <v>Value Missing</v>
      </c>
      <c r="F17" s="337" t="str">
        <f t="array" ref="F17">mgmt_az1_uplink01_network</f>
        <v>Value Missing</v>
      </c>
      <c r="G17" s="337" t="str">
        <f>mgmt_az1_uplink01_gateway_ip</f>
        <v>Value Missing</v>
      </c>
      <c r="H17" s="337" t="str">
        <f>mgmt_az1_uplink01_mtu</f>
        <v>Value Missing</v>
      </c>
    </row>
    <row r="18" spans="2:8" ht="20" customHeight="1" x14ac:dyDescent="0.2">
      <c r="B18" s="17" t="s">
        <v>3302</v>
      </c>
      <c r="C18" s="337" t="str">
        <f>mgmt_cl01_az1_uplink02_pg</f>
        <v>Value Missing</v>
      </c>
      <c r="D18" s="337" t="str">
        <f>mgmt_az1_uplink02_vlan</f>
        <v>Value Missing</v>
      </c>
      <c r="E18" s="337" t="str">
        <f>mgmt_az1_uplink02_cidr</f>
        <v>Value Missing</v>
      </c>
      <c r="F18" s="337" t="str">
        <f t="array" ref="F18">mgmt_az1_uplink02_network</f>
        <v>Value Missing</v>
      </c>
      <c r="G18" s="337" t="str">
        <f>mgmt_az1_uplink02_gateway_ip</f>
        <v>Value Missing</v>
      </c>
      <c r="H18" s="337" t="str">
        <f>mgmt_az1_uplink02_mtu</f>
        <v>Value Missing</v>
      </c>
    </row>
    <row r="19" spans="2:8" ht="20" customHeight="1" x14ac:dyDescent="0.2">
      <c r="B19" s="17" t="s">
        <v>1287</v>
      </c>
      <c r="C19" s="337" t="str">
        <f>mgmt_az1_edge_overlay_pg</f>
        <v>N/A</v>
      </c>
      <c r="D19" s="337" t="str">
        <f>mgmt_az1_edge_overlay_vlan</f>
        <v>Value Missing</v>
      </c>
      <c r="E19" s="337" t="str">
        <f>mgmt_az1_edge_overlay_cidr</f>
        <v>Value Missing</v>
      </c>
      <c r="F19" s="337" t="str">
        <f>mgmt_az1_edge_overlay_network</f>
        <v>Value Missing</v>
      </c>
      <c r="G19" s="337" t="str">
        <f>mgmt_az1_edge_overlay_gateway_ip</f>
        <v>Value Missing</v>
      </c>
      <c r="H19" s="337" t="str">
        <f>mgmt_az1_edge_overlay_mtu</f>
        <v>Value Missing</v>
      </c>
    </row>
    <row r="20" spans="2:8" ht="20" customHeight="1" x14ac:dyDescent="0.2">
      <c r="B20" s="4" t="s">
        <v>1382</v>
      </c>
      <c r="C20" s="337" t="str">
        <f>mgmt_az1_rtep_overlay_pg</f>
        <v>N/A</v>
      </c>
      <c r="D20" s="337" t="str">
        <f>mgmt_az1_rtep_overlay_vlan</f>
        <v>Value Missing</v>
      </c>
      <c r="E20" s="337" t="str">
        <f>mgmt_az1_rtep_overlay_cidr</f>
        <v>Value Missing</v>
      </c>
      <c r="F20" s="337" t="str">
        <f t="array" ref="F20">mgmt_az1_rtep_overlay_network</f>
        <v>Value Missing</v>
      </c>
      <c r="G20" s="337" t="str">
        <f>mgmt_az1_rtep_overlay_gateway_ip</f>
        <v>Value Missing</v>
      </c>
      <c r="H20" s="337" t="s">
        <v>632</v>
      </c>
    </row>
    <row r="22" spans="2:8" ht="34" customHeight="1" x14ac:dyDescent="0.2">
      <c r="B22" s="522" t="s">
        <v>3303</v>
      </c>
      <c r="C22" s="523"/>
      <c r="D22" s="523"/>
      <c r="E22" s="523"/>
      <c r="F22" s="523"/>
      <c r="G22" s="523"/>
      <c r="H22" s="523"/>
    </row>
    <row r="23" spans="2:8" ht="20" customHeight="1" x14ac:dyDescent="0.2">
      <c r="B23" s="468"/>
      <c r="C23" s="469"/>
      <c r="D23" s="469"/>
      <c r="E23" s="469"/>
      <c r="F23" s="469"/>
      <c r="G23" s="469"/>
      <c r="H23" s="469"/>
    </row>
    <row r="24" spans="2:8" ht="20" customHeight="1" x14ac:dyDescent="0.2">
      <c r="B24" s="43" t="s">
        <v>3295</v>
      </c>
      <c r="C24" s="43" t="s">
        <v>1268</v>
      </c>
    </row>
    <row r="25" spans="2:8" ht="20" customHeight="1" x14ac:dyDescent="0.2">
      <c r="B25" s="4" t="s">
        <v>1025</v>
      </c>
      <c r="C25" s="337" t="str">
        <f>mgmt_en_asn</f>
        <v>Value Missing</v>
      </c>
    </row>
    <row r="26" spans="2:8" ht="20" customHeight="1" x14ac:dyDescent="0.2">
      <c r="B26" s="4" t="s">
        <v>168</v>
      </c>
      <c r="C26" s="337" t="str">
        <f>mgmt_az1_tor1_peer_ip</f>
        <v>Value Missing</v>
      </c>
    </row>
    <row r="27" spans="2:8" ht="20" customHeight="1" x14ac:dyDescent="0.2">
      <c r="B27" s="4" t="s">
        <v>169</v>
      </c>
      <c r="C27" s="337" t="str">
        <f>mgmt_az1_tor1_peer_asn</f>
        <v>Value Missing</v>
      </c>
    </row>
    <row r="28" spans="2:8" ht="20" customHeight="1" x14ac:dyDescent="0.2">
      <c r="B28" s="4" t="s">
        <v>170</v>
      </c>
      <c r="C28" s="337" t="str">
        <f>mgmt_az1_tor1_peer_bgp_password</f>
        <v>Value Missing</v>
      </c>
    </row>
    <row r="29" spans="2:8" ht="20" customHeight="1" x14ac:dyDescent="0.2">
      <c r="B29" s="4" t="s">
        <v>171</v>
      </c>
      <c r="C29" s="337" t="str">
        <f>mgmt_az1_tor2_peer_ip</f>
        <v>Value Missing</v>
      </c>
    </row>
    <row r="30" spans="2:8" ht="20" customHeight="1" x14ac:dyDescent="0.2">
      <c r="B30" s="4" t="s">
        <v>172</v>
      </c>
      <c r="C30" s="337" t="str">
        <f>mgmt_az1_tor2_peer_asn</f>
        <v>Value Missing</v>
      </c>
    </row>
    <row r="31" spans="2:8" ht="20" customHeight="1" x14ac:dyDescent="0.2">
      <c r="B31" s="4" t="s">
        <v>173</v>
      </c>
      <c r="C31" s="337" t="str">
        <f>mgmt_az1_tor2_peer_bgp_password</f>
        <v>Value Missing</v>
      </c>
    </row>
    <row r="33" spans="2:8" ht="34" customHeight="1" x14ac:dyDescent="0.2">
      <c r="B33" s="522" t="s">
        <v>3304</v>
      </c>
      <c r="C33" s="523"/>
      <c r="D33" s="523"/>
      <c r="E33" s="523"/>
      <c r="F33" s="523"/>
      <c r="G33" s="523"/>
      <c r="H33" s="523"/>
    </row>
    <row r="34" spans="2:8" ht="20" customHeight="1" x14ac:dyDescent="0.2">
      <c r="B34" s="468"/>
      <c r="C34" s="469"/>
      <c r="D34" s="469"/>
      <c r="E34" s="469"/>
      <c r="F34" s="469"/>
      <c r="G34" s="469"/>
      <c r="H34" s="469"/>
    </row>
    <row r="35" spans="2:8" ht="20" customHeight="1" x14ac:dyDescent="0.2">
      <c r="B35" s="43" t="s">
        <v>3295</v>
      </c>
      <c r="C35" s="43" t="s">
        <v>2745</v>
      </c>
      <c r="D35" s="130" t="s">
        <v>85</v>
      </c>
      <c r="E35" s="130" t="s">
        <v>3297</v>
      </c>
      <c r="F35" s="130" t="s">
        <v>252</v>
      </c>
      <c r="G35" s="130" t="s">
        <v>187</v>
      </c>
      <c r="H35" s="130" t="s">
        <v>160</v>
      </c>
    </row>
    <row r="36" spans="2:8" ht="20" customHeight="1" x14ac:dyDescent="0.2">
      <c r="B36" s="4" t="s">
        <v>1272</v>
      </c>
      <c r="C36" s="337" t="str">
        <f>IF(mgmt_stretched_cluster_result="Excluded","Not Required",mgmt_cl01_az1_mgmt_vm_pg)</f>
        <v>Not Required</v>
      </c>
      <c r="D36" s="337" t="str">
        <f>IF(mgmt_stretched_cluster_result="Excluded","Not Required",mgmt_az1_mgmt_vm_vlan)</f>
        <v>Not Required</v>
      </c>
      <c r="E36" s="337" t="str">
        <f>IF(mgmt_stretched_cluster_result="Excluded","Not Required",mgmt_az1_mgmt_vm_cidr)</f>
        <v>Not Required</v>
      </c>
      <c r="F36" s="337" t="str">
        <f>IF(mgmt_stretched_cluster_result="Excluded","Not Required",mgmt_az1_mgmt_vm_network)</f>
        <v>Not Required</v>
      </c>
      <c r="G36" s="337" t="str">
        <f>IF(mgmt_stretched_cluster_result="Excluded","Not Required",mgmt_az1_mgmt_vm_gateway_ip)</f>
        <v>Not Required</v>
      </c>
      <c r="H36" s="337" t="str">
        <f>IF(mgmt_stretched_cluster_result="Excluded","Not Required",mgmt_az1_mgmt_vm_mtu)</f>
        <v>Not Required</v>
      </c>
    </row>
    <row r="37" spans="2:8" ht="20" customHeight="1" x14ac:dyDescent="0.2">
      <c r="B37" s="4" t="s">
        <v>3300</v>
      </c>
      <c r="C37" s="337" t="str">
        <f>mgmt_cl01_az2_mgmt_pg</f>
        <v>Value Missing</v>
      </c>
      <c r="D37" s="337" t="str">
        <f>mgmt_az2_mgmt_vlan</f>
        <v>Value Missing</v>
      </c>
      <c r="E37" s="337" t="str">
        <f>mgmt_az2_mgmt_cidr</f>
        <v>Value Missing</v>
      </c>
      <c r="F37" s="337" t="str">
        <f>mgmt_az2_mgmt_network</f>
        <v>Value Missing</v>
      </c>
      <c r="G37" s="337" t="str">
        <f>mgmt_az2_mgmt_gateway_ip</f>
        <v>Value Missing</v>
      </c>
      <c r="H37" s="337" t="str">
        <f>mgmt_az2_mgmt_mtu</f>
        <v>Value Missing</v>
      </c>
    </row>
    <row r="38" spans="2:8" ht="20" customHeight="1" x14ac:dyDescent="0.2">
      <c r="B38" s="4" t="s">
        <v>251</v>
      </c>
      <c r="C38" s="337" t="str">
        <f>mgmt_cl01_az2_vmotion_pg</f>
        <v>Value Missing</v>
      </c>
      <c r="D38" s="337" t="str">
        <f>mgmt_az2_vmotion_vlan</f>
        <v>Value Missing</v>
      </c>
      <c r="E38" s="337" t="str">
        <f>mgmt_az2_vmotion_cidr</f>
        <v>Value Missing</v>
      </c>
      <c r="F38" s="337" t="str">
        <f t="array" ref="F38">mgmt_az2_vmotion_network</f>
        <v>Value Missing</v>
      </c>
      <c r="G38" s="337" t="str">
        <f>mgmt_az2_vmotion_gateway_ip</f>
        <v>Value Missing</v>
      </c>
      <c r="H38" s="337" t="str">
        <f>mgmt_az2_vmotion_mtu</f>
        <v>Value Missing</v>
      </c>
    </row>
    <row r="39" spans="2:8" ht="20" customHeight="1" x14ac:dyDescent="0.2">
      <c r="B39" s="4" t="s">
        <v>257</v>
      </c>
      <c r="C39" s="337" t="str">
        <f>mgmt_cl01_az2_vsan_pg</f>
        <v>Value Missing</v>
      </c>
      <c r="D39" s="337" t="str">
        <f>mgmt_az2_vsan_vlan</f>
        <v>Value Missing</v>
      </c>
      <c r="E39" s="337" t="str">
        <f>mgmt_az2_vsan_cidr</f>
        <v>Value Missing</v>
      </c>
      <c r="F39" s="337" t="str">
        <f>mgmt_az2_vsan_network</f>
        <v>Value Missing</v>
      </c>
      <c r="G39" s="337" t="str">
        <f>mgmt_az2_vsan_gateway_ip</f>
        <v>Value Missing</v>
      </c>
      <c r="H39" s="337" t="str">
        <f>mgmt_az2_vsan_mtu</f>
        <v>Value Missing</v>
      </c>
    </row>
    <row r="40" spans="2:8" ht="20" customHeight="1" x14ac:dyDescent="0.2">
      <c r="B40" s="4" t="s">
        <v>1278</v>
      </c>
      <c r="C40" s="337" t="str">
        <f>mgmt_az2_host_overlay_pg</f>
        <v>N/A</v>
      </c>
      <c r="D40" s="337" t="str">
        <f>mgmt_az2_host_overlay_vlan</f>
        <v>Value Missing</v>
      </c>
      <c r="E40" s="337" t="str">
        <f>mgmt_az2_host_overlay_cidr</f>
        <v>Value Missing</v>
      </c>
      <c r="F40" s="337" t="str">
        <f>mgmt_az2_host_overlay_network</f>
        <v>Value Missing</v>
      </c>
      <c r="G40" s="337" t="str">
        <f>mgmt_az2_host_overlay_gateway_ip</f>
        <v>Value Missing</v>
      </c>
      <c r="H40" s="337" t="str">
        <f>IF(mgmt_stretched_cluster_result="Excluded","Not Required",mgmt_az2_host_overlay_mtu)</f>
        <v>Not Required</v>
      </c>
    </row>
    <row r="41" spans="2:8" ht="20" customHeight="1" x14ac:dyDescent="0.2">
      <c r="B41" s="4" t="s">
        <v>3305</v>
      </c>
      <c r="C41" s="337" t="str">
        <f>mgmt_vrms_pg</f>
        <v>Value Missing</v>
      </c>
      <c r="D41" s="337" t="str">
        <f>mgmt_az2_vrms_vlan</f>
        <v>Value Missing</v>
      </c>
      <c r="E41" s="337">
        <f>mgmt_az2_vrms_cidr</f>
        <v>0</v>
      </c>
      <c r="F41" s="337">
        <f t="array" ref="F41">mgmt_az2_vrms_network</f>
        <v>0</v>
      </c>
      <c r="G41" s="337">
        <f>mgmt_az2_vrms_gateway_ip</f>
        <v>0</v>
      </c>
      <c r="H41" s="337">
        <f>mgmt_az2_vrms_mtu</f>
        <v>0</v>
      </c>
    </row>
    <row r="42" spans="2:8" ht="20" customHeight="1" x14ac:dyDescent="0.2">
      <c r="B42" s="4" t="s">
        <v>3301</v>
      </c>
      <c r="C42" s="337" t="str">
        <f>IF(mgmt_stretched_cluster_result="Excluded","Not Required",mgmt_cl01_az1_uplink01_pg)</f>
        <v>Not Required</v>
      </c>
      <c r="D42" s="337" t="str">
        <f>IF(mgmt_stretched_cluster_result="Excluded","Not Required",mgmt_az2_uplink01_vlan)</f>
        <v>Not Required</v>
      </c>
      <c r="E42" s="337" t="str">
        <f>IF(mgmt_stretched_cluster_result="Excluded","Not Required",mgmt_az2_uplink01_cidr)</f>
        <v>Not Required</v>
      </c>
      <c r="F42" s="337" t="str">
        <f>IF(mgmt_stretched_cluster_result="Excluded","Not Required",mgmt_az2_uplink01_network)</f>
        <v>Not Required</v>
      </c>
      <c r="G42" s="337" t="str">
        <f>IF(mgmt_stretched_cluster_result="Excluded","Not Required",mgmt_az2_uplink01_gateway_ip)</f>
        <v>Not Required</v>
      </c>
      <c r="H42" s="337" t="str">
        <f>IF(mgmt_stretched_cluster_result="Excluded","Not Required",mgmt_az2_uplink01_mtu)</f>
        <v>Not Required</v>
      </c>
    </row>
    <row r="43" spans="2:8" ht="20" customHeight="1" x14ac:dyDescent="0.2">
      <c r="B43" s="17" t="s">
        <v>3302</v>
      </c>
      <c r="C43" s="337" t="str">
        <f>mgmt_cl01_az2_uplink01_pg</f>
        <v>Value Missing</v>
      </c>
      <c r="D43" s="337" t="str">
        <f>mgmt_az2_uplink02_vlan</f>
        <v>Value Missing</v>
      </c>
      <c r="E43" s="337" t="str">
        <f>IF(mgmt_stretched_cluster_result="Excluded","Not Required",mgmt_az2_uplink02_cidr)</f>
        <v>Not Required</v>
      </c>
      <c r="F43" s="337" t="str">
        <f>IF(mgmt_stretched_cluster_result="Excluded","Not Required",mgmt_az2_uplink02_network)</f>
        <v>Not Required</v>
      </c>
      <c r="G43" s="337" t="str">
        <f>IF(mgmt_stretched_cluster_result="Excluded","Not Required",mgmt_az2_uplink02_gateway_ip)</f>
        <v>Not Required</v>
      </c>
      <c r="H43" s="337" t="str">
        <f>IF(mgmt_stretched_cluster_result="Excluded","Not Required",mgmt_az2_uplink02_mtu)</f>
        <v>Not Required</v>
      </c>
    </row>
    <row r="44" spans="2:8" ht="20" customHeight="1" x14ac:dyDescent="0.2">
      <c r="B44" s="17" t="s">
        <v>1287</v>
      </c>
      <c r="C44" s="337" t="str">
        <f t="array" ref="C44">mgmt_az2_edge_overlay_pg</f>
        <v>N/A</v>
      </c>
      <c r="D44" s="337" t="str">
        <f>mgmt_az2_edge_overlay_vlan</f>
        <v>Value Missing</v>
      </c>
      <c r="E44" s="337" t="str">
        <f>IF(mgmt_stretched_cluster_result="Excluded","Not Required",mgmt_az1_edge_overlay_cidr)</f>
        <v>Not Required</v>
      </c>
      <c r="F44" s="337" t="str">
        <f>IF(mgmt_stretched_cluster_result="Excluded","Not Required",mgmt_az1_edge_overlay_network)</f>
        <v>Not Required</v>
      </c>
      <c r="G44" s="337" t="str">
        <f>IF(mgmt_stretched_cluster_result="Excluded","Not Required",mgmt_az1_edge_overlay_gateway_ip)</f>
        <v>Not Required</v>
      </c>
      <c r="H44" s="337" t="str">
        <f>IF(mgmt_stretched_cluster_result="Excluded","Not Required",mgmt_az1_edge_overlay_mtu)</f>
        <v>Not Required</v>
      </c>
    </row>
    <row r="45" spans="2:8" ht="20" customHeight="1" x14ac:dyDescent="0.2">
      <c r="B45" s="4" t="s">
        <v>1382</v>
      </c>
      <c r="C45" s="337" t="str">
        <f>mgmt_az1_rtep_overlay_pg</f>
        <v>N/A</v>
      </c>
      <c r="D45" s="337" t="str">
        <f>mgmt_az1_rtep_overlay_vlan</f>
        <v>Value Missing</v>
      </c>
      <c r="E45" s="337" t="str">
        <f>mgmt_az1_rtep_overlay_cidr</f>
        <v>Value Missing</v>
      </c>
      <c r="F45" s="337" t="str">
        <f>mgmt_az1_rtep_overlay_network</f>
        <v>Value Missing</v>
      </c>
      <c r="G45" s="337" t="str">
        <f>mgmt_az2_rtep_overlay_gateway_ip</f>
        <v>Value Missing</v>
      </c>
      <c r="H45" s="337" t="s">
        <v>632</v>
      </c>
    </row>
    <row r="47" spans="2:8" ht="34" customHeight="1" x14ac:dyDescent="0.2">
      <c r="B47" s="522" t="s">
        <v>3306</v>
      </c>
      <c r="C47" s="523"/>
      <c r="D47" s="523"/>
      <c r="E47" s="523"/>
      <c r="F47" s="523"/>
      <c r="G47" s="523"/>
      <c r="H47" s="523"/>
    </row>
    <row r="48" spans="2:8" ht="20" customHeight="1" x14ac:dyDescent="0.2">
      <c r="B48" s="468"/>
      <c r="C48" s="469"/>
      <c r="D48" s="469"/>
      <c r="E48" s="469"/>
      <c r="F48" s="469"/>
      <c r="G48" s="469"/>
      <c r="H48" s="469"/>
    </row>
    <row r="49" spans="2:8" ht="20" customHeight="1" x14ac:dyDescent="0.2">
      <c r="B49" s="43" t="s">
        <v>3295</v>
      </c>
      <c r="C49" s="43" t="s">
        <v>1268</v>
      </c>
    </row>
    <row r="50" spans="2:8" ht="20" customHeight="1" x14ac:dyDescent="0.2">
      <c r="B50" s="4" t="s">
        <v>1025</v>
      </c>
      <c r="C50" s="337" t="str">
        <f>IF(mgmt_stretched_cluster_result="Excluded","Not Required",mgmt_en_asn)</f>
        <v>Not Required</v>
      </c>
    </row>
    <row r="51" spans="2:8" ht="20" customHeight="1" x14ac:dyDescent="0.2">
      <c r="B51" s="4" t="s">
        <v>168</v>
      </c>
      <c r="C51" s="337" t="str">
        <f>IF(mgmt_stretched_cluster_result="Excluded","Not Required",mgmt_az1_tor1_peer_ip)</f>
        <v>Not Required</v>
      </c>
    </row>
    <row r="52" spans="2:8" ht="20" customHeight="1" x14ac:dyDescent="0.2">
      <c r="B52" s="4" t="s">
        <v>169</v>
      </c>
      <c r="C52" s="337" t="str">
        <f>IF(mgmt_stretched_cluster_result="Excluded","Not Required",mgmt_az1_tor1_peer_asn)</f>
        <v>Not Required</v>
      </c>
    </row>
    <row r="53" spans="2:8" ht="20" customHeight="1" x14ac:dyDescent="0.2">
      <c r="B53" s="4" t="s">
        <v>170</v>
      </c>
      <c r="C53" s="337" t="str">
        <f>IF(mgmt_stretched_cluster_result="Excluded","Not Required",mgmt_az1_tor1_peer_bgp_password)</f>
        <v>Not Required</v>
      </c>
    </row>
    <row r="54" spans="2:8" ht="20" customHeight="1" x14ac:dyDescent="0.2">
      <c r="B54" s="4" t="s">
        <v>171</v>
      </c>
      <c r="C54" s="337" t="str">
        <f>IF(mgmt_stretched_cluster_result="Excluded","Not Required",mgmt_az1_tor2_peer_ip)</f>
        <v>Not Required</v>
      </c>
    </row>
    <row r="55" spans="2:8" ht="20" customHeight="1" x14ac:dyDescent="0.2">
      <c r="B55" s="4" t="s">
        <v>172</v>
      </c>
      <c r="C55" s="337" t="str">
        <f>IF(mgmt_stretched_cluster_result="Excluded","Not Required",mgmt_az1_tor2_peer_asn)</f>
        <v>Not Required</v>
      </c>
    </row>
    <row r="56" spans="2:8" ht="20" customHeight="1" x14ac:dyDescent="0.2">
      <c r="B56" s="4" t="s">
        <v>173</v>
      </c>
      <c r="C56" s="337" t="str">
        <f>IF(mgmt_stretched_cluster_result="Excluded","Not Required",mgmt_az1_tor2_peer_bgp_password)</f>
        <v>Not Required</v>
      </c>
    </row>
    <row r="58" spans="2:8" ht="34" customHeight="1" x14ac:dyDescent="0.2">
      <c r="B58" s="522" t="s">
        <v>3304</v>
      </c>
      <c r="C58" s="523"/>
      <c r="D58" s="523"/>
      <c r="E58" s="523"/>
      <c r="F58" s="523"/>
      <c r="G58" s="523"/>
      <c r="H58" s="523"/>
    </row>
    <row r="59" spans="2:8" ht="20" customHeight="1" x14ac:dyDescent="0.2">
      <c r="B59" s="468"/>
      <c r="C59" s="469"/>
      <c r="D59" s="469"/>
      <c r="E59" s="469"/>
      <c r="F59" s="469"/>
      <c r="G59" s="469"/>
      <c r="H59" s="469"/>
    </row>
    <row r="60" spans="2:8" ht="20" customHeight="1" x14ac:dyDescent="0.2">
      <c r="B60" s="43" t="s">
        <v>3295</v>
      </c>
      <c r="C60" s="43" t="s">
        <v>2745</v>
      </c>
      <c r="D60" s="130" t="s">
        <v>85</v>
      </c>
      <c r="E60" s="130" t="s">
        <v>3297</v>
      </c>
      <c r="F60" s="130" t="s">
        <v>252</v>
      </c>
      <c r="G60" s="130" t="s">
        <v>187</v>
      </c>
      <c r="H60" s="130" t="s">
        <v>160</v>
      </c>
    </row>
    <row r="61" spans="2:8" ht="20" customHeight="1" x14ac:dyDescent="0.2">
      <c r="B61" s="4" t="s">
        <v>1272</v>
      </c>
      <c r="C61" s="337" t="str">
        <f>IF(mgmt_stretched_cluster_result="Excluded","Not Required",mgmt_witness_mgmt_pg)</f>
        <v>Not Required</v>
      </c>
      <c r="D61" s="337" t="str">
        <f>IF(mgmt_stretched_cluster_result="Excluded","Not Required",mgmt_witnessaz_mgmt_vlan)</f>
        <v>Not Required</v>
      </c>
      <c r="E61" s="337" t="str">
        <f>IF(mgmt_stretched_cluster_result="Excluded","Not Required",mgmt_witnessaz_mgmt_cidr)</f>
        <v>Not Required</v>
      </c>
      <c r="F61" s="337" t="str">
        <f>IF(mgmt_stretched_cluster_result="Excluded","Not Required",mgmt_witnessaz_mgmt_cidr)</f>
        <v>Not Required</v>
      </c>
      <c r="G61" s="337" t="str">
        <f>IF(mgmt_stretched_cluster_result="Excluded","Not Required",mgmt_witnessaz_mgmt_gateway_ip)</f>
        <v>Not Required</v>
      </c>
      <c r="H61" s="337" t="str">
        <f>IF(mgmt_stretched_cluster_result="Excluded","Not Required",mgmt_witnessaz_mgmt_mtu)</f>
        <v>Not Required</v>
      </c>
    </row>
    <row r="62" spans="2:8" ht="16" customHeight="1" x14ac:dyDescent="0.2"/>
    <row r="63" spans="2:8" ht="32" customHeight="1" x14ac:dyDescent="0.2">
      <c r="B63" s="522" t="s">
        <v>3307</v>
      </c>
      <c r="C63" s="523"/>
      <c r="D63" s="523"/>
      <c r="E63" s="523"/>
      <c r="F63" s="523"/>
      <c r="G63" s="523"/>
      <c r="H63" s="523"/>
    </row>
    <row r="64" spans="2:8" ht="20" customHeight="1" x14ac:dyDescent="0.2">
      <c r="B64" s="468" t="s">
        <v>3283</v>
      </c>
      <c r="C64" s="469"/>
      <c r="D64" s="469"/>
      <c r="E64" s="469"/>
      <c r="F64" s="469"/>
      <c r="G64" s="469"/>
      <c r="H64" s="469"/>
    </row>
    <row r="65" spans="2:5" ht="20" customHeight="1" x14ac:dyDescent="0.2">
      <c r="B65" s="43" t="s">
        <v>3295</v>
      </c>
      <c r="C65" s="43" t="s">
        <v>38</v>
      </c>
      <c r="D65" s="43" t="s">
        <v>302</v>
      </c>
      <c r="E65" s="130" t="s">
        <v>3308</v>
      </c>
    </row>
    <row r="66" spans="2:5" ht="20" customHeight="1" x14ac:dyDescent="0.2">
      <c r="B66" s="4" t="s">
        <v>215</v>
      </c>
      <c r="C66" s="337" t="str">
        <f>mgmt_az1_host1_fqdn</f>
        <v>Value Missing</v>
      </c>
      <c r="D66" s="337" t="str">
        <f>mgmt_az1_host1_hostname</f>
        <v>Value Missing</v>
      </c>
      <c r="E66" s="337" t="str">
        <f>mgmt_az1_host1_mgmt_ip</f>
        <v>Value Missing</v>
      </c>
    </row>
    <row r="67" spans="2:5" ht="20" customHeight="1" x14ac:dyDescent="0.2">
      <c r="B67" s="4" t="s">
        <v>217</v>
      </c>
      <c r="C67" s="337" t="str">
        <f>mgmt_az1_host2_fqdn</f>
        <v>Value Missing</v>
      </c>
      <c r="D67" s="337" t="str">
        <f>mgmt_az1_host2_hostname</f>
        <v>Value Missing</v>
      </c>
      <c r="E67" s="337" t="str">
        <f>mgmt_az1_host2_mgmt_ip</f>
        <v>Value Missing</v>
      </c>
    </row>
    <row r="68" spans="2:5" ht="20" customHeight="1" x14ac:dyDescent="0.2">
      <c r="B68" s="4" t="s">
        <v>219</v>
      </c>
      <c r="C68" s="337" t="str">
        <f>mgmt_az1_host3_fqdn</f>
        <v>Value Missing</v>
      </c>
      <c r="D68" s="337" t="str">
        <f>mgmt_az1_host3_hostname</f>
        <v>Value Missing</v>
      </c>
      <c r="E68" s="337" t="str">
        <f>mgmt_az1_host3_mgmt_ip</f>
        <v>Value Missing</v>
      </c>
    </row>
    <row r="69" spans="2:5" ht="20" customHeight="1" x14ac:dyDescent="0.2">
      <c r="B69" s="4" t="s">
        <v>221</v>
      </c>
      <c r="C69" s="337" t="str">
        <f>mgmt_az1_host4_fqdn</f>
        <v>Value Missing</v>
      </c>
      <c r="D69" s="337" t="str">
        <f>mgmt_az1_host4_hostname</f>
        <v>Value Missing</v>
      </c>
      <c r="E69" s="337" t="str">
        <f>mgmt_az1_host4_mgmt_ip</f>
        <v>Value Missing</v>
      </c>
    </row>
    <row r="70" spans="2:5" ht="20" customHeight="1" x14ac:dyDescent="0.2">
      <c r="B70" s="4" t="s">
        <v>223</v>
      </c>
      <c r="C70" s="337" t="str">
        <f>mgmt_az1_host5_fqdn</f>
        <v>Value Missing</v>
      </c>
      <c r="D70" s="337" t="str">
        <f>mgmt_az1_host5_hostname</f>
        <v>Value Missing</v>
      </c>
      <c r="E70" s="337" t="str">
        <f>mgmt_az1_host5_mgmt_ip</f>
        <v>Value Missing</v>
      </c>
    </row>
    <row r="71" spans="2:5" ht="20" customHeight="1" x14ac:dyDescent="0.2">
      <c r="B71" s="4" t="s">
        <v>225</v>
      </c>
      <c r="C71" s="337" t="str">
        <f>mgmt_az1_host6_fqdn</f>
        <v>Value Missing</v>
      </c>
      <c r="D71" s="337" t="str">
        <f>mgmt_az1_host6_hostname</f>
        <v>Value Missing</v>
      </c>
      <c r="E71" s="337" t="str">
        <f>mgmt_az1_host6_mgmt_ip</f>
        <v>Value Missing</v>
      </c>
    </row>
    <row r="72" spans="2:5" ht="20" customHeight="1" x14ac:dyDescent="0.2">
      <c r="B72" s="4" t="s">
        <v>227</v>
      </c>
      <c r="C72" s="337" t="str">
        <f>mgmt_az1_host7_fqdn</f>
        <v>Value Missing</v>
      </c>
      <c r="D72" s="337" t="str">
        <f>mgmt_az1_host7_hostname</f>
        <v>Value Missing</v>
      </c>
      <c r="E72" s="337" t="str">
        <f>mgmt_az1_host7_mgmt_ip</f>
        <v>Value Missing</v>
      </c>
    </row>
    <row r="73" spans="2:5" ht="20" customHeight="1" x14ac:dyDescent="0.2">
      <c r="B73" s="4" t="s">
        <v>229</v>
      </c>
      <c r="C73" s="337" t="str">
        <f>mgmt_az1_host8_fqdn</f>
        <v>Value Missing</v>
      </c>
      <c r="D73" s="337" t="str">
        <f>mgmt_az1_host8_hostname</f>
        <v>Value Missing</v>
      </c>
      <c r="E73" s="337" t="str">
        <f>mgmt_az1_host8_mgmt_ip</f>
        <v>Value Missing</v>
      </c>
    </row>
    <row r="74" spans="2:5" ht="20" customHeight="1" x14ac:dyDescent="0.2">
      <c r="B74" s="4" t="s">
        <v>231</v>
      </c>
      <c r="C74" s="337" t="str">
        <f>mgmt_az1_host9_fqdn</f>
        <v>Value Missing</v>
      </c>
      <c r="D74" s="337" t="str">
        <f>mgmt_az1_host9_hostname</f>
        <v>Value Missing</v>
      </c>
      <c r="E74" s="337" t="str">
        <f>mgmt_az1_host9_mgmt_ip</f>
        <v>Value Missing</v>
      </c>
    </row>
    <row r="75" spans="2:5" ht="20" customHeight="1" x14ac:dyDescent="0.2">
      <c r="B75" s="4" t="s">
        <v>233</v>
      </c>
      <c r="C75" s="337" t="str">
        <f>mgmt_az1_host10_fqdn</f>
        <v>Value Missing</v>
      </c>
      <c r="D75" s="337" t="str">
        <f>mgmt_az1_host10_hostname</f>
        <v>Value Missing</v>
      </c>
      <c r="E75" s="337" t="str">
        <f>mgmt_az1_host10_mgmt_ip</f>
        <v>Value Missing</v>
      </c>
    </row>
    <row r="76" spans="2:5" ht="20" customHeight="1" x14ac:dyDescent="0.2">
      <c r="B76" s="4" t="s">
        <v>235</v>
      </c>
      <c r="C76" s="337" t="str">
        <f>mgmt_az1_host11_fqdn</f>
        <v>Value Missing</v>
      </c>
      <c r="D76" s="337" t="str">
        <f>mgmt_az1_host11_hostname</f>
        <v>Value Missing</v>
      </c>
      <c r="E76" s="337" t="str">
        <f>mgmt_az1_host11_mgmt_ip</f>
        <v>Value Missing</v>
      </c>
    </row>
    <row r="77" spans="2:5" ht="20" customHeight="1" x14ac:dyDescent="0.2">
      <c r="B77" s="4" t="s">
        <v>237</v>
      </c>
      <c r="C77" s="337" t="str">
        <f>mgmt_az1_host12_fqdn</f>
        <v>Value Missing</v>
      </c>
      <c r="D77" s="337" t="str">
        <f>mgmt_az1_host12_hostname</f>
        <v>Value Missing</v>
      </c>
      <c r="E77" s="337" t="str">
        <f>mgmt_az1_host12_mgmt_ip</f>
        <v>Value Missing</v>
      </c>
    </row>
    <row r="78" spans="2:5" ht="20" customHeight="1" x14ac:dyDescent="0.2">
      <c r="B78" s="4" t="s">
        <v>239</v>
      </c>
      <c r="C78" s="337" t="str">
        <f>mgmt_az1_host13_fqdn</f>
        <v>Value Missing</v>
      </c>
      <c r="D78" s="337" t="str">
        <f>mgmt_az1_host13_hostname</f>
        <v>Value Missing</v>
      </c>
      <c r="E78" s="337" t="str">
        <f>mgmt_az1_host13_mgmt_ip</f>
        <v>Value Missing</v>
      </c>
    </row>
    <row r="79" spans="2:5" ht="20" customHeight="1" x14ac:dyDescent="0.2">
      <c r="B79" s="4" t="s">
        <v>241</v>
      </c>
      <c r="C79" s="337" t="str">
        <f>mgmt_az1_host14_fqdn</f>
        <v>Value Missing</v>
      </c>
      <c r="D79" s="337" t="str">
        <f>mgmt_az1_host14_hostname</f>
        <v>Value Missing</v>
      </c>
      <c r="E79" s="337" t="str">
        <f>mgmt_az1_host14_mgmt_ip</f>
        <v>Value Missing</v>
      </c>
    </row>
    <row r="80" spans="2:5" ht="20" customHeight="1" x14ac:dyDescent="0.2">
      <c r="B80" s="4" t="s">
        <v>243</v>
      </c>
      <c r="C80" s="337" t="str">
        <f>mgmt_az1_host15_fqdn</f>
        <v>Value Missing</v>
      </c>
      <c r="D80" s="337" t="str">
        <f>mgmt_az1_host15_hostname</f>
        <v>Value Missing</v>
      </c>
      <c r="E80" s="337" t="str">
        <f>mgmt_az1_host15_mgmt_ip</f>
        <v>Value Missing</v>
      </c>
    </row>
    <row r="81" spans="2:8" ht="20" customHeight="1" x14ac:dyDescent="0.2">
      <c r="B81" s="4" t="s">
        <v>245</v>
      </c>
      <c r="C81" s="337" t="str">
        <f>mgmt_az1_host16_fqdn</f>
        <v>Value Missing</v>
      </c>
      <c r="D81" s="337" t="str">
        <f>mgmt_az1_host16_hostname</f>
        <v>Value Missing</v>
      </c>
      <c r="E81" s="337" t="str">
        <f>mgmt_az1_host16_mgmt_ip</f>
        <v>Value Missing</v>
      </c>
    </row>
    <row r="82" spans="2:8" ht="16" customHeight="1" x14ac:dyDescent="0.2"/>
    <row r="83" spans="2:8" ht="34" customHeight="1" x14ac:dyDescent="0.2">
      <c r="B83" s="522" t="s">
        <v>3309</v>
      </c>
      <c r="C83" s="523"/>
      <c r="D83" s="523"/>
      <c r="E83" s="523"/>
      <c r="F83" s="523"/>
      <c r="G83" s="523"/>
      <c r="H83" s="523"/>
    </row>
    <row r="84" spans="2:8" ht="20" customHeight="1" x14ac:dyDescent="0.2">
      <c r="B84" s="468" t="s">
        <v>3059</v>
      </c>
      <c r="C84" s="469"/>
      <c r="D84" s="469"/>
      <c r="E84" s="469"/>
    </row>
    <row r="85" spans="2:8" ht="20" customHeight="1" x14ac:dyDescent="0.2">
      <c r="B85" s="43" t="s">
        <v>3295</v>
      </c>
      <c r="C85" s="43" t="s">
        <v>38</v>
      </c>
      <c r="D85" s="43" t="s">
        <v>302</v>
      </c>
      <c r="E85" s="130" t="s">
        <v>3310</v>
      </c>
    </row>
    <row r="86" spans="2:8" ht="20" customHeight="1" x14ac:dyDescent="0.2">
      <c r="B86" s="4" t="s">
        <v>1664</v>
      </c>
      <c r="C86" s="337" t="str">
        <f>sddc_mgr_fqdn</f>
        <v>Value Missing</v>
      </c>
      <c r="D86" s="337" t="str">
        <f>sddc_mgr_hostname</f>
        <v>Value Missing</v>
      </c>
      <c r="E86" s="337" t="str">
        <f>sddc_mgr_ip</f>
        <v>Value Missing</v>
      </c>
    </row>
    <row r="87" spans="2:8" ht="20" customHeight="1" x14ac:dyDescent="0.2">
      <c r="B87" s="4" t="s">
        <v>814</v>
      </c>
      <c r="C87" s="337" t="str">
        <f>mgmt_vc_fqdn</f>
        <v>Value Missing</v>
      </c>
      <c r="D87" s="337" t="str">
        <f>mgmt_vc_hostname</f>
        <v>Value Missing</v>
      </c>
      <c r="E87" s="337" t="str">
        <f>mgmt_vc_ip</f>
        <v>Value Missing</v>
      </c>
    </row>
    <row r="88" spans="2:8" ht="20" customHeight="1" x14ac:dyDescent="0.2">
      <c r="B88" s="4" t="s">
        <v>3311</v>
      </c>
      <c r="C88" s="337" t="str">
        <f>mgmt_nsxt_vip_fqdn</f>
        <v>Value Missing</v>
      </c>
      <c r="D88" s="337" t="str">
        <f>mgmt_nsxt_hostname</f>
        <v>Value Missing</v>
      </c>
      <c r="E88" s="337" t="str">
        <f>mgmt_nsxt_vip_ip</f>
        <v>Value Missing</v>
      </c>
    </row>
    <row r="89" spans="2:8" ht="20" customHeight="1" x14ac:dyDescent="0.2">
      <c r="B89" s="4" t="s">
        <v>3312</v>
      </c>
      <c r="C89" s="337" t="str">
        <f>mgmt_nsxt_mgra_fqdn</f>
        <v>Value Missing</v>
      </c>
      <c r="D89" s="337" t="str">
        <f>mgmt_nsxt_mgra_hostname</f>
        <v>Value Missing</v>
      </c>
      <c r="E89" s="337" t="str">
        <f>mgmt_nsxt_mgra_ip</f>
        <v>Value Missing</v>
      </c>
    </row>
    <row r="90" spans="2:8" ht="20" customHeight="1" x14ac:dyDescent="0.2">
      <c r="B90" s="4" t="s">
        <v>3313</v>
      </c>
      <c r="C90" s="337" t="str">
        <f>mgmt_nsxt_mgrb_fqdn</f>
        <v>Value Missing</v>
      </c>
      <c r="D90" s="337" t="str">
        <f>mgmt_nsxt_mgrb_hostname</f>
        <v>Value Missing</v>
      </c>
      <c r="E90" s="337" t="str">
        <f>mgmt_nsxt_mgrb_ip</f>
        <v>Value Missing</v>
      </c>
    </row>
    <row r="91" spans="2:8" ht="20" customHeight="1" x14ac:dyDescent="0.2">
      <c r="B91" s="4" t="s">
        <v>3314</v>
      </c>
      <c r="C91" s="337" t="str">
        <f>mgmt_nsxt_mgrc_fqdn</f>
        <v>Value Missing</v>
      </c>
      <c r="D91" s="337" t="str">
        <f>mgmt_nsxt_mgrc_hostname</f>
        <v>Value Missing</v>
      </c>
      <c r="E91" s="337" t="str">
        <f>mgmt_nsxt_mgrc_ip</f>
        <v>Value Missing</v>
      </c>
    </row>
    <row r="92" spans="2:8" ht="20" customHeight="1" x14ac:dyDescent="0.2">
      <c r="B92" s="4" t="s">
        <v>3315</v>
      </c>
      <c r="C92" s="337" t="str">
        <f>mgmt_az1_en1_fqdn</f>
        <v>Value Missing</v>
      </c>
      <c r="D92" s="337" t="str">
        <f>mgmt_az1_en1_hostname</f>
        <v>Value Missing</v>
      </c>
      <c r="E92" s="337" t="str">
        <f>mgmt_az1_en1_mgmt_cidr</f>
        <v>Value Missing</v>
      </c>
    </row>
    <row r="93" spans="2:8" ht="20" customHeight="1" x14ac:dyDescent="0.2">
      <c r="B93" s="4" t="s">
        <v>3316</v>
      </c>
      <c r="C93" s="337" t="str">
        <f>mgmt_az1_en2_fqdn</f>
        <v>Value Missing</v>
      </c>
      <c r="D93" s="337" t="str">
        <f>mgmt_az1_en2_hostname</f>
        <v>Value Missing</v>
      </c>
      <c r="E93" s="337" t="str">
        <f>mgmt_az1_en2_mgmt_cidr</f>
        <v>Value Missing</v>
      </c>
    </row>
    <row r="94" spans="2:8" ht="20" customHeight="1" x14ac:dyDescent="0.2">
      <c r="B94" s="4" t="s">
        <v>3317</v>
      </c>
      <c r="C94" s="337" t="str">
        <f>xreg_vrops_nodea_fqdn</f>
        <v>Value Missing</v>
      </c>
      <c r="D94" s="337" t="str">
        <f>xreg_vrops_nodea_hostname</f>
        <v>Value Missing</v>
      </c>
      <c r="E94" s="337" t="str">
        <f>xreg_vrops_nodea_ip</f>
        <v>Value Missing</v>
      </c>
    </row>
    <row r="95" spans="2:8" ht="20" customHeight="1" x14ac:dyDescent="0.2">
      <c r="B95" s="4" t="s">
        <v>1961</v>
      </c>
      <c r="C95" s="337" t="str">
        <f>xreg_vrops_nodeb_fqdn</f>
        <v>Value Missing</v>
      </c>
      <c r="D95" s="337" t="str">
        <f>xreg_vrops_nodeb_hostname</f>
        <v>Value Missing</v>
      </c>
      <c r="E95" s="337" t="str">
        <f>xreg_vrops_nodeb_ip</f>
        <v>Value Missing</v>
      </c>
    </row>
    <row r="96" spans="2:8" ht="20" customHeight="1" x14ac:dyDescent="0.2">
      <c r="B96" s="4" t="s">
        <v>1967</v>
      </c>
      <c r="C96" s="337" t="str">
        <f>xreg_vrops_nodec_fqdn</f>
        <v>Value Missing</v>
      </c>
      <c r="D96" s="337" t="str">
        <f>xreg_vrops_nodec_hostname</f>
        <v>Value Missing</v>
      </c>
      <c r="E96" s="337" t="str">
        <f>xreg_vrops_nodec_ip</f>
        <v>Value Missing</v>
      </c>
    </row>
    <row r="97" spans="2:8" ht="20" customHeight="1" x14ac:dyDescent="0.2">
      <c r="B97" s="4" t="s">
        <v>3318</v>
      </c>
      <c r="C97" s="337" t="str">
        <f>xreg_vrops_virtual_fqdn</f>
        <v>Value Missing</v>
      </c>
      <c r="D97" s="337" t="str">
        <f>xreg_vrops_virtual_hostname</f>
        <v>Value Missing</v>
      </c>
      <c r="E97" s="337" t="str">
        <f>xreg_vrops_virtual_ip</f>
        <v>Value Missing</v>
      </c>
    </row>
    <row r="98" spans="2:8" ht="20" customHeight="1" x14ac:dyDescent="0.2">
      <c r="B98" s="4" t="s">
        <v>2458</v>
      </c>
      <c r="C98" s="337" t="str">
        <f>xreg_vra_virtual_fqdn</f>
        <v>Value Missing</v>
      </c>
      <c r="D98" s="337" t="str">
        <f>xreg_vra_virtual_hostname</f>
        <v>Value Missing</v>
      </c>
      <c r="E98" s="337" t="str">
        <f>xreg_vra_virtual_ip</f>
        <v>Value Missing</v>
      </c>
    </row>
    <row r="99" spans="2:8" ht="20" customHeight="1" x14ac:dyDescent="0.2">
      <c r="B99" s="4" t="s">
        <v>3319</v>
      </c>
      <c r="C99" s="337" t="s">
        <v>632</v>
      </c>
      <c r="D99" s="337" t="s">
        <v>632</v>
      </c>
      <c r="E99" s="337" t="str">
        <f>xreg_vra_nodea_ip</f>
        <v>Value Missing</v>
      </c>
    </row>
    <row r="100" spans="2:8" ht="20" customHeight="1" x14ac:dyDescent="0.2">
      <c r="B100" s="4" t="s">
        <v>3320</v>
      </c>
      <c r="C100" s="337" t="s">
        <v>632</v>
      </c>
      <c r="D100" s="337" t="s">
        <v>632</v>
      </c>
      <c r="E100" s="337" t="str">
        <f>xreg_vra_nodeb_ip</f>
        <v>Value Missing</v>
      </c>
    </row>
    <row r="101" spans="2:8" ht="20" customHeight="1" x14ac:dyDescent="0.2">
      <c r="B101" s="4" t="s">
        <v>3321</v>
      </c>
      <c r="C101" s="337" t="s">
        <v>632</v>
      </c>
      <c r="D101" s="337" t="s">
        <v>632</v>
      </c>
      <c r="E101" s="337" t="str">
        <f>xreg_vra_nodec_ip</f>
        <v>Value Missing</v>
      </c>
    </row>
    <row r="102" spans="2:8" ht="20" customHeight="1" x14ac:dyDescent="0.2">
      <c r="B102" s="4" t="s">
        <v>3322</v>
      </c>
      <c r="C102" s="337" t="s">
        <v>632</v>
      </c>
      <c r="D102" s="337" t="s">
        <v>632</v>
      </c>
      <c r="E102" s="337" t="str">
        <f>xreg_vra_noded_ip</f>
        <v>Value Missing</v>
      </c>
    </row>
    <row r="103" spans="2:8" ht="20" customHeight="1" x14ac:dyDescent="0.2">
      <c r="B103" s="4" t="s">
        <v>3323</v>
      </c>
      <c r="C103" s="337" t="str">
        <f>flt_vidb_vip_fqdn</f>
        <v>Value Missing</v>
      </c>
      <c r="D103" s="337" t="str">
        <f t="array" ref="D103">flt_vidb_hostname</f>
        <v>Value Missing</v>
      </c>
      <c r="E103" s="337" t="str">
        <f>flt_vidb_vip_ip</f>
        <v>Value Missing</v>
      </c>
    </row>
    <row r="104" spans="2:8" ht="20" customHeight="1" x14ac:dyDescent="0.2">
      <c r="B104" s="4" t="s">
        <v>3324</v>
      </c>
      <c r="C104" s="337" t="s">
        <v>632</v>
      </c>
      <c r="D104" s="337" t="s">
        <v>632</v>
      </c>
      <c r="E104" s="337" t="str">
        <f>flt_vidb_nodea_ip</f>
        <v>Value Missing</v>
      </c>
    </row>
    <row r="105" spans="2:8" ht="20" customHeight="1" x14ac:dyDescent="0.2">
      <c r="B105" s="4" t="s">
        <v>3325</v>
      </c>
      <c r="C105" s="337" t="s">
        <v>632</v>
      </c>
      <c r="D105" s="337" t="s">
        <v>632</v>
      </c>
      <c r="E105" s="337" t="str">
        <f>flt_vidb_nodeb_ip</f>
        <v>Value Missing</v>
      </c>
    </row>
    <row r="106" spans="2:8" ht="20" customHeight="1" x14ac:dyDescent="0.2">
      <c r="B106" s="4" t="s">
        <v>3326</v>
      </c>
      <c r="C106" s="337" t="s">
        <v>632</v>
      </c>
      <c r="D106" s="337" t="s">
        <v>632</v>
      </c>
      <c r="E106" s="337" t="str">
        <f>flt_vidb_nodec_ip</f>
        <v>Value Missing</v>
      </c>
    </row>
    <row r="107" spans="2:8" ht="20" customHeight="1" x14ac:dyDescent="0.2">
      <c r="B107" s="4" t="s">
        <v>3327</v>
      </c>
      <c r="C107" s="337" t="s">
        <v>632</v>
      </c>
      <c r="D107" s="337" t="s">
        <v>632</v>
      </c>
      <c r="E107" s="337" t="str">
        <f>flt_vidb_noded_ip</f>
        <v>Value Missing</v>
      </c>
    </row>
    <row r="108" spans="2:8" ht="20" customHeight="1" x14ac:dyDescent="0.2">
      <c r="B108" s="4" t="s">
        <v>3328</v>
      </c>
      <c r="C108" s="337" t="s">
        <v>632</v>
      </c>
      <c r="D108" s="337" t="s">
        <v>632</v>
      </c>
      <c r="E108" s="337"/>
    </row>
    <row r="110" spans="2:8" ht="34" customHeight="1" x14ac:dyDescent="0.2">
      <c r="B110" s="522" t="s">
        <v>3329</v>
      </c>
      <c r="C110" s="523"/>
      <c r="D110" s="523"/>
      <c r="E110" s="523"/>
      <c r="F110" s="523"/>
      <c r="G110" s="523"/>
      <c r="H110" s="523"/>
    </row>
    <row r="111" spans="2:8" ht="20" customHeight="1" x14ac:dyDescent="0.2">
      <c r="B111" s="468" t="s">
        <v>3283</v>
      </c>
      <c r="C111" s="469"/>
      <c r="D111" s="469"/>
      <c r="E111" s="469"/>
      <c r="F111" s="469"/>
      <c r="G111" s="469"/>
      <c r="H111" s="469"/>
    </row>
    <row r="112" spans="2:8" ht="20" customHeight="1" x14ac:dyDescent="0.2">
      <c r="B112" s="43" t="s">
        <v>3295</v>
      </c>
      <c r="C112" s="43" t="s">
        <v>38</v>
      </c>
      <c r="D112" s="43" t="s">
        <v>302</v>
      </c>
      <c r="E112" s="130" t="s">
        <v>3308</v>
      </c>
    </row>
    <row r="113" spans="2:5" ht="20" customHeight="1" x14ac:dyDescent="0.2">
      <c r="B113" s="4" t="s">
        <v>215</v>
      </c>
      <c r="C113" s="337" t="str">
        <f>mgmt_az2_host1_fqdn</f>
        <v>Value Missing</v>
      </c>
      <c r="D113" s="337" t="str">
        <f>mgmt_az2_host1_hostname</f>
        <v>Value Missing</v>
      </c>
      <c r="E113" s="337" t="str">
        <f>mgmt_az2_host1_mgmt_ip</f>
        <v>Value Missing</v>
      </c>
    </row>
    <row r="114" spans="2:5" ht="20" customHeight="1" x14ac:dyDescent="0.2">
      <c r="B114" s="4" t="s">
        <v>217</v>
      </c>
      <c r="C114" s="337" t="str">
        <f>mgmt_az2_host2_fqdn</f>
        <v>Value Missing</v>
      </c>
      <c r="D114" s="337" t="str">
        <f>mgmt_az2_host2_hostname</f>
        <v>Value Missing</v>
      </c>
      <c r="E114" s="337" t="str">
        <f>mgmt_az2_host2_mgmt_ip</f>
        <v>Value Missing</v>
      </c>
    </row>
    <row r="115" spans="2:5" ht="20" customHeight="1" x14ac:dyDescent="0.2">
      <c r="B115" s="4" t="s">
        <v>219</v>
      </c>
      <c r="C115" s="337" t="str">
        <f>mgmt_az2_host3_fqdn</f>
        <v>Value Missing</v>
      </c>
      <c r="D115" s="337" t="str">
        <f>mgmt_az2_host3_hostname</f>
        <v>Value Missing</v>
      </c>
      <c r="E115" s="337" t="str">
        <f>mgmt_az2_host3_mgmt_ip</f>
        <v>Value Missing</v>
      </c>
    </row>
    <row r="116" spans="2:5" ht="20" customHeight="1" x14ac:dyDescent="0.2">
      <c r="B116" s="4" t="s">
        <v>221</v>
      </c>
      <c r="C116" s="337" t="str">
        <f>mgmt_az2_host4_fqdn</f>
        <v>Value Missing</v>
      </c>
      <c r="D116" s="337" t="str">
        <f>mgmt_az2_host4_hostname</f>
        <v>Value Missing</v>
      </c>
      <c r="E116" s="337" t="str">
        <f>mgmt_az2_host4_mgmt_ip</f>
        <v>Value Missing</v>
      </c>
    </row>
    <row r="117" spans="2:5" ht="20" customHeight="1" x14ac:dyDescent="0.2">
      <c r="B117" s="4" t="s">
        <v>223</v>
      </c>
      <c r="C117" s="337" t="str">
        <f>mgmt_az2_host5_fqdn</f>
        <v>Value Missing</v>
      </c>
      <c r="D117" s="337" t="str">
        <f>mgmt_az2_host5_hostname</f>
        <v>Value Missing</v>
      </c>
      <c r="E117" s="337" t="str">
        <f>mgmt_az2_host5_mgmt_ip</f>
        <v>Value Missing</v>
      </c>
    </row>
    <row r="118" spans="2:5" ht="20" customHeight="1" x14ac:dyDescent="0.2">
      <c r="B118" s="4" t="s">
        <v>225</v>
      </c>
      <c r="C118" s="337" t="str">
        <f>mgmt_az2_host6_fqdn</f>
        <v>Value Missing</v>
      </c>
      <c r="D118" s="337" t="str">
        <f>mgmt_az2_host6_hostname</f>
        <v>Value Missing</v>
      </c>
      <c r="E118" s="337" t="str">
        <f>mgmt_az2_host6_mgmt_ip</f>
        <v>Value Missing</v>
      </c>
    </row>
    <row r="119" spans="2:5" ht="20" customHeight="1" x14ac:dyDescent="0.2">
      <c r="B119" s="4" t="s">
        <v>227</v>
      </c>
      <c r="C119" s="337" t="str">
        <f>mgmt_az2_host7_fqdn</f>
        <v>Value Missing</v>
      </c>
      <c r="D119" s="337" t="str">
        <f>mgmt_az2_host7_hostname</f>
        <v>Value Missing</v>
      </c>
      <c r="E119" s="337" t="str">
        <f>mgmt_az2_host7_mgmt_ip</f>
        <v>Value Missing</v>
      </c>
    </row>
    <row r="120" spans="2:5" ht="20" customHeight="1" x14ac:dyDescent="0.2">
      <c r="B120" s="4" t="s">
        <v>229</v>
      </c>
      <c r="C120" s="337" t="str">
        <f>mgmt_az2_host8_fqdn</f>
        <v>Value Missing</v>
      </c>
      <c r="D120" s="337" t="str">
        <f>mgmt_az2_host8_hostname</f>
        <v>Value Missing</v>
      </c>
      <c r="E120" s="337" t="str">
        <f>mgmt_az2_host8_mgmt_ip</f>
        <v>Value Missing</v>
      </c>
    </row>
    <row r="121" spans="2:5" ht="20" customHeight="1" x14ac:dyDescent="0.2">
      <c r="B121" s="4" t="s">
        <v>231</v>
      </c>
      <c r="C121" s="337" t="str">
        <f>mgmt_az2_host9_fqdn</f>
        <v>Value Missing</v>
      </c>
      <c r="D121" s="337" t="str">
        <f>mgmt_az2_host9_hostname</f>
        <v>Value Missing</v>
      </c>
      <c r="E121" s="337" t="str">
        <f>mgmt_az2_host9_mgmt_ip</f>
        <v>Value Missing</v>
      </c>
    </row>
    <row r="122" spans="2:5" ht="20" customHeight="1" x14ac:dyDescent="0.2">
      <c r="B122" s="4" t="s">
        <v>233</v>
      </c>
      <c r="C122" s="337" t="str">
        <f>mgmt_az2_host10_fqdn</f>
        <v>Value Missing</v>
      </c>
      <c r="D122" s="337" t="str">
        <f>mgmt_az2_host10_hostname</f>
        <v>Value Missing</v>
      </c>
      <c r="E122" s="337" t="str">
        <f>mgmt_az2_host10_mgmt_ip</f>
        <v>Value Missing</v>
      </c>
    </row>
    <row r="123" spans="2:5" ht="20" customHeight="1" x14ac:dyDescent="0.2">
      <c r="B123" s="4" t="s">
        <v>235</v>
      </c>
      <c r="C123" s="337" t="str">
        <f>mgmt_az2_host11_fqdn</f>
        <v>Value Missing</v>
      </c>
      <c r="D123" s="337" t="str">
        <f>mgmt_az2_host11_hostname</f>
        <v>Value Missing</v>
      </c>
      <c r="E123" s="337" t="str">
        <f>mgmt_az2_host11_mgmt_ip</f>
        <v>Value Missing</v>
      </c>
    </row>
    <row r="124" spans="2:5" ht="20" customHeight="1" x14ac:dyDescent="0.2">
      <c r="B124" s="4" t="s">
        <v>237</v>
      </c>
      <c r="C124" s="337" t="str">
        <f>mgmt_az2_host12_fqdn</f>
        <v>Value Missing</v>
      </c>
      <c r="D124" s="337" t="str">
        <f>mgmt_az2_host12_hostname</f>
        <v>Value Missing</v>
      </c>
      <c r="E124" s="337" t="str">
        <f>mgmt_az2_host12_mgmt_ip</f>
        <v>Value Missing</v>
      </c>
    </row>
    <row r="125" spans="2:5" ht="20" customHeight="1" x14ac:dyDescent="0.2">
      <c r="B125" s="4" t="s">
        <v>239</v>
      </c>
      <c r="C125" s="337" t="str">
        <f>mgmt_az2_host13_fqdn</f>
        <v>Value Missing</v>
      </c>
      <c r="D125" s="337" t="str">
        <f>mgmt_az2_host13_hostname</f>
        <v>Value Missing</v>
      </c>
      <c r="E125" s="337" t="str">
        <f>mgmt_az2_host13_mgmt_ip</f>
        <v>Value Missing</v>
      </c>
    </row>
    <row r="126" spans="2:5" ht="20" customHeight="1" x14ac:dyDescent="0.2">
      <c r="B126" s="4" t="s">
        <v>241</v>
      </c>
      <c r="C126" s="337" t="str">
        <f>mgmt_az2_host14_fqdn</f>
        <v>Value Missing</v>
      </c>
      <c r="D126" s="337" t="str">
        <f>mgmt_az2_host14_hostname</f>
        <v>Value Missing</v>
      </c>
      <c r="E126" s="337" t="str">
        <f>mgmt_az2_host14_mgmt_ip</f>
        <v>Value Missing</v>
      </c>
    </row>
    <row r="127" spans="2:5" ht="20" customHeight="1" x14ac:dyDescent="0.2">
      <c r="B127" s="4" t="s">
        <v>243</v>
      </c>
      <c r="C127" s="337" t="str">
        <f>mgmt_az2_host15_fqdn</f>
        <v>Value Missing</v>
      </c>
      <c r="D127" s="337" t="str">
        <f>mgmt_az2_host15_hostname</f>
        <v>Value Missing</v>
      </c>
      <c r="E127" s="337" t="str">
        <f>mgmt_az2_host15_mgmt_ip</f>
        <v>Value Missing</v>
      </c>
    </row>
    <row r="128" spans="2:5" ht="20" customHeight="1" x14ac:dyDescent="0.2">
      <c r="B128" s="4" t="s">
        <v>245</v>
      </c>
      <c r="C128" s="337" t="str">
        <f>mgmt_az2_host16_fqdn</f>
        <v>Value Missing</v>
      </c>
      <c r="D128" s="337" t="str">
        <f>mgmt_az2_host16_hostname</f>
        <v>Value Missing</v>
      </c>
      <c r="E128" s="337" t="str">
        <f>mgmt_az2_host16_mgmt_ip</f>
        <v>Value Missing</v>
      </c>
    </row>
    <row r="130" spans="2:9" ht="34" customHeight="1" x14ac:dyDescent="0.2">
      <c r="B130" s="642" t="s">
        <v>3330</v>
      </c>
      <c r="C130" s="642"/>
      <c r="D130" s="642"/>
      <c r="E130" s="642"/>
      <c r="F130" s="642"/>
      <c r="G130" s="642"/>
      <c r="H130" s="642"/>
    </row>
    <row r="131" spans="2:9" ht="15" customHeight="1" x14ac:dyDescent="0.2"/>
    <row r="132" spans="2:9" ht="32" customHeight="1" x14ac:dyDescent="0.2">
      <c r="B132" s="522" t="s">
        <v>3331</v>
      </c>
      <c r="C132" s="523"/>
      <c r="D132" s="523"/>
      <c r="E132" s="523"/>
      <c r="F132" s="523"/>
      <c r="G132" s="523"/>
      <c r="H132" s="523"/>
    </row>
    <row r="133" spans="2:9" ht="20" customHeight="1" x14ac:dyDescent="0.2">
      <c r="B133" s="468"/>
      <c r="C133" s="469"/>
      <c r="D133" s="469"/>
      <c r="E133" s="469"/>
      <c r="F133" s="469"/>
      <c r="G133" s="469"/>
      <c r="H133" s="469"/>
    </row>
    <row r="134" spans="2:9" ht="20" customHeight="1" x14ac:dyDescent="0.2">
      <c r="B134" s="43" t="s">
        <v>3295</v>
      </c>
      <c r="C134" s="43" t="s">
        <v>2745</v>
      </c>
      <c r="D134" s="43" t="s">
        <v>3296</v>
      </c>
      <c r="E134" s="43" t="s">
        <v>3297</v>
      </c>
      <c r="F134" s="130" t="s">
        <v>3332</v>
      </c>
      <c r="G134" s="130" t="s">
        <v>3298</v>
      </c>
      <c r="H134" s="130" t="s">
        <v>3299</v>
      </c>
    </row>
    <row r="135" spans="2:9" ht="20" customHeight="1" x14ac:dyDescent="0.2">
      <c r="B135" s="4" t="s">
        <v>1272</v>
      </c>
      <c r="C135" s="337" t="str">
        <f>wld_cl01_az1_mgmt_vm_pg</f>
        <v>Value Missing</v>
      </c>
      <c r="D135" s="337" t="str">
        <f>wld_az1_mgmt_vm_vlan</f>
        <v>Value Missing</v>
      </c>
      <c r="E135" s="337" t="str">
        <f>wld_az1_mgmt_vm_cidr</f>
        <v>Value Missing</v>
      </c>
      <c r="F135" s="337" t="str">
        <f>wld_az1_mgmt_vm_network</f>
        <v>Value Missing</v>
      </c>
      <c r="G135" s="337" t="str">
        <f>wld_az1_mgmt_vm_gateway_ip</f>
        <v>Value Missing</v>
      </c>
      <c r="H135" s="337" t="str">
        <f>wld_az1_mgmt_vm_mtu</f>
        <v>Value Missing</v>
      </c>
    </row>
    <row r="136" spans="2:9" ht="20" customHeight="1" x14ac:dyDescent="0.2">
      <c r="B136" s="4" t="s">
        <v>3300</v>
      </c>
      <c r="C136" s="337" t="str">
        <f>wld_cl01_az1_mgmt_pg</f>
        <v>Value Missing</v>
      </c>
      <c r="D136" s="337" t="str">
        <f>wld_az1_mgmt_vlan</f>
        <v>Value Missing</v>
      </c>
      <c r="E136" s="337" t="str">
        <f>wld_az1_mgmt_cidr</f>
        <v>Value Missing</v>
      </c>
      <c r="F136" s="337" t="str">
        <f>wld_az1_mgmt_network</f>
        <v>Value Missing</v>
      </c>
      <c r="G136" s="337" t="str">
        <f>wld_az1_mgmt_gateway_ip</f>
        <v>Value Missing</v>
      </c>
      <c r="H136" s="337" t="str">
        <f>wld_az1_mgmt_mtu</f>
        <v>Value Missing</v>
      </c>
    </row>
    <row r="137" spans="2:9" ht="20" customHeight="1" x14ac:dyDescent="0.2">
      <c r="B137" s="4" t="s">
        <v>251</v>
      </c>
      <c r="C137" s="337" t="str">
        <f>wld_cl01_az1_vmotion_pg</f>
        <v>Value Missing</v>
      </c>
      <c r="D137" s="337" t="str">
        <f>wld_az1_vmotion_vlan</f>
        <v>Value Missing</v>
      </c>
      <c r="E137" s="337" t="str">
        <f>wld_az1_vmotion_cidr</f>
        <v>Value Missing</v>
      </c>
      <c r="F137" s="337" t="str">
        <f>wld_az1_vmotion_network</f>
        <v>Value Missing</v>
      </c>
      <c r="G137" s="337" t="str">
        <f>wld_az1_vmotion_gateway_ip</f>
        <v>Value Missing</v>
      </c>
      <c r="H137" s="337" t="str">
        <f>wld_az1_vmotion_mtu</f>
        <v>Value Missing</v>
      </c>
    </row>
    <row r="138" spans="2:9" ht="20" customHeight="1" x14ac:dyDescent="0.2">
      <c r="B138" s="4" t="s">
        <v>257</v>
      </c>
      <c r="C138" s="337" t="str">
        <f>wld_cl01_az1_principal_storage_pg</f>
        <v>Value Missing</v>
      </c>
      <c r="D138" s="337" t="str">
        <f>wld_az1_principal_storage_vlan</f>
        <v>Value Missing</v>
      </c>
      <c r="E138" s="337" t="str">
        <f>wld_az1_principal_storage_cidr</f>
        <v>Value Missing</v>
      </c>
      <c r="F138" s="337" t="str">
        <f>wld_az1_principal_storage_network</f>
        <v>Value Missing</v>
      </c>
      <c r="G138" s="337" t="str">
        <f>wld_az1_principal_storage_gateway_ip</f>
        <v>Value Missing</v>
      </c>
      <c r="H138" s="337" t="str">
        <f>wld_az1_principal_storage_mtu</f>
        <v>Value Missing</v>
      </c>
    </row>
    <row r="139" spans="2:9" ht="20" customHeight="1" x14ac:dyDescent="0.2">
      <c r="B139" s="4" t="s">
        <v>1278</v>
      </c>
      <c r="C139" s="337" t="str">
        <f>wld_az1_host_overlay_pg</f>
        <v>N/A</v>
      </c>
      <c r="D139" s="337" t="str">
        <f>wld_az1_host_overlay_vlan</f>
        <v>Value Missing</v>
      </c>
      <c r="E139" s="337" t="str">
        <f>wld_az1_host_overlay_cidr</f>
        <v>Value Missing</v>
      </c>
      <c r="F139" s="337" t="str">
        <f>wld_az1_host_overlay_network</f>
        <v>Value Missing</v>
      </c>
      <c r="G139" s="337" t="str">
        <f>wld_az1_host_overlay_gateway_ip</f>
        <v>Value Missing</v>
      </c>
      <c r="H139" s="337" t="str">
        <f>wld_az1_host_overlay_mtu</f>
        <v>Value Missing</v>
      </c>
    </row>
    <row r="140" spans="2:9" ht="20" customHeight="1" x14ac:dyDescent="0.2">
      <c r="B140" s="4" t="s">
        <v>3305</v>
      </c>
      <c r="C140" s="337" t="str">
        <f>wld_vrms_pg</f>
        <v>Value Missing</v>
      </c>
      <c r="D140" s="337" t="str">
        <f>wld_az1_vrms_vlan</f>
        <v>Value Missing</v>
      </c>
      <c r="E140" s="337" t="str">
        <f>wld_az1_vrms_cidr</f>
        <v>Value Missing</v>
      </c>
      <c r="F140" s="337" t="str">
        <f>wld_az1_vrms_network</f>
        <v>Value Missing</v>
      </c>
      <c r="G140" s="337" t="str">
        <f>wld_az1_vrms_gateway_ip</f>
        <v>Value Missing</v>
      </c>
      <c r="H140" s="337" t="str">
        <f>wld_az1_vrms_mtu</f>
        <v>Value Missing</v>
      </c>
    </row>
    <row r="141" spans="2:9" ht="20" customHeight="1" x14ac:dyDescent="0.2">
      <c r="B141" s="4" t="s">
        <v>3301</v>
      </c>
      <c r="C141" s="337" t="str">
        <f>wld_cl01_az1_uplink01_pg</f>
        <v>Value Missing</v>
      </c>
      <c r="D141" s="337" t="str">
        <f>wld_az1_uplink01_vlan</f>
        <v>Value Missing</v>
      </c>
      <c r="E141" s="337" t="str">
        <f>wld_az1_uplink01_cidr</f>
        <v>Value Missing</v>
      </c>
      <c r="F141" s="337" t="str">
        <f>wld_az1_uplink01_network</f>
        <v>Value Missing</v>
      </c>
      <c r="G141" s="337" t="str">
        <f>wld_az1_uplink01_gateway_ip</f>
        <v>Value Missing</v>
      </c>
      <c r="H141" s="337" t="str">
        <f>wld_az1_uplink01_mtu</f>
        <v>Value Missing</v>
      </c>
    </row>
    <row r="142" spans="2:9" ht="20" customHeight="1" x14ac:dyDescent="0.2">
      <c r="B142" s="17" t="s">
        <v>3302</v>
      </c>
      <c r="C142" s="337" t="str">
        <f>wld_cl01_az1_uplink02_pg</f>
        <v>Value Missing</v>
      </c>
      <c r="D142" s="337" t="str">
        <f>wld_az1_uplink02_vlan</f>
        <v>Value Missing</v>
      </c>
      <c r="E142" s="337" t="str">
        <f>wld_az1_uplink02_cidr</f>
        <v>Value Missing</v>
      </c>
      <c r="F142" s="337" t="str">
        <f>wld_az1_uplink02_network</f>
        <v>Value Missing</v>
      </c>
      <c r="G142" s="337" t="str">
        <f>wld_az1_uplink02_gateway_ip</f>
        <v>Value Missing</v>
      </c>
      <c r="H142" s="337" t="str">
        <f>wld_az1_uplink02_mtu</f>
        <v>Value Missing</v>
      </c>
      <c r="I142" s="41"/>
    </row>
    <row r="143" spans="2:9" ht="20" customHeight="1" x14ac:dyDescent="0.2">
      <c r="B143" s="17" t="s">
        <v>1287</v>
      </c>
      <c r="C143" s="337" t="str">
        <f>wld_az1_edge_overlay_pg</f>
        <v>N/A</v>
      </c>
      <c r="D143" s="337" t="str">
        <f>wld_az1_edge_overlay_vlan</f>
        <v>Value Missing</v>
      </c>
      <c r="E143" s="337" t="str">
        <f>wld_az1_edge_overlay_cidr</f>
        <v>Value Missing</v>
      </c>
      <c r="F143" s="337" t="str">
        <f>wld_az1_edge_overlay_network</f>
        <v>Value Missing</v>
      </c>
      <c r="G143" s="337" t="str">
        <f>wld_az1_edge_overlay_gateway_ip</f>
        <v>Value Missing</v>
      </c>
      <c r="H143" s="337" t="str">
        <f>wld_az1_edge_overlay_mtu</f>
        <v>N/A</v>
      </c>
      <c r="I143" s="41"/>
    </row>
    <row r="144" spans="2:9" ht="20" customHeight="1" x14ac:dyDescent="0.2">
      <c r="B144" s="4" t="s">
        <v>1382</v>
      </c>
      <c r="C144" s="337" t="str">
        <f>wld_az1_rtep_overlay_pg</f>
        <v>N/A</v>
      </c>
      <c r="D144" s="337" t="str">
        <f>wld_az1_rtep_overlay_vlan</f>
        <v>Value Missing</v>
      </c>
      <c r="E144" s="337" t="str">
        <f>wld_az1_rtep_overlay_cidr</f>
        <v>Value Missing</v>
      </c>
      <c r="F144" s="337" t="str">
        <f>wld_az1_rtep_overlay_network</f>
        <v>Value Missing</v>
      </c>
      <c r="G144" s="337" t="str">
        <f>wld_az1_rtep_overlay_gateway_ip</f>
        <v>Value Missing</v>
      </c>
      <c r="H144" s="337">
        <f>wld_az1_rtep_overlay_mtu</f>
        <v>0</v>
      </c>
    </row>
    <row r="146" spans="2:8" ht="34" customHeight="1" x14ac:dyDescent="0.2">
      <c r="B146" s="522" t="s">
        <v>3333</v>
      </c>
      <c r="C146" s="523"/>
      <c r="D146" s="523"/>
      <c r="E146" s="523"/>
      <c r="F146" s="523"/>
      <c r="G146" s="523"/>
      <c r="H146" s="523"/>
    </row>
    <row r="147" spans="2:8" ht="20" customHeight="1" x14ac:dyDescent="0.2">
      <c r="B147" s="468"/>
      <c r="C147" s="469"/>
      <c r="D147" s="469"/>
      <c r="E147" s="469"/>
      <c r="F147" s="469"/>
      <c r="G147" s="469"/>
      <c r="H147" s="469"/>
    </row>
    <row r="148" spans="2:8" ht="20" customHeight="1" x14ac:dyDescent="0.2">
      <c r="B148" s="43" t="s">
        <v>3295</v>
      </c>
      <c r="C148" s="43" t="s">
        <v>1268</v>
      </c>
    </row>
    <row r="149" spans="2:8" ht="20" customHeight="1" x14ac:dyDescent="0.2">
      <c r="B149" s="4" t="s">
        <v>1025</v>
      </c>
      <c r="C149" s="337" t="str">
        <f>wld_en_asn</f>
        <v>Value Missing</v>
      </c>
    </row>
    <row r="150" spans="2:8" ht="20" customHeight="1" x14ac:dyDescent="0.2">
      <c r="B150" s="4" t="s">
        <v>168</v>
      </c>
      <c r="C150" s="337" t="str">
        <f>wld_az1_tor1_peer_ip</f>
        <v>Value Missing</v>
      </c>
    </row>
    <row r="151" spans="2:8" ht="20" customHeight="1" x14ac:dyDescent="0.2">
      <c r="B151" s="4" t="s">
        <v>169</v>
      </c>
      <c r="C151" s="337" t="str">
        <f>wld_az1_tor1_peer_asn</f>
        <v>Value Missing</v>
      </c>
    </row>
    <row r="152" spans="2:8" ht="20" customHeight="1" x14ac:dyDescent="0.2">
      <c r="B152" s="4" t="s">
        <v>170</v>
      </c>
      <c r="C152" s="337" t="str">
        <f>wld_az1_tor1_peer_bgp_password</f>
        <v>Value Missing</v>
      </c>
    </row>
    <row r="153" spans="2:8" ht="20" customHeight="1" x14ac:dyDescent="0.2">
      <c r="B153" s="4" t="s">
        <v>171</v>
      </c>
      <c r="C153" s="337" t="str">
        <f>wld_az1_tor2_peer_ip</f>
        <v>Value Missing</v>
      </c>
    </row>
    <row r="154" spans="2:8" ht="20" customHeight="1" x14ac:dyDescent="0.2">
      <c r="B154" s="4" t="s">
        <v>172</v>
      </c>
      <c r="C154" s="337" t="str">
        <f>wld_az1_tor2_peer_asn</f>
        <v>Value Missing</v>
      </c>
    </row>
    <row r="155" spans="2:8" ht="20" customHeight="1" x14ac:dyDescent="0.2">
      <c r="B155" s="4" t="s">
        <v>173</v>
      </c>
      <c r="C155" s="337" t="str">
        <f>wld_az1_tor2_peer_bgp_password</f>
        <v>Value Missing</v>
      </c>
    </row>
    <row r="157" spans="2:8" ht="34" customHeight="1" x14ac:dyDescent="0.2">
      <c r="B157" s="522" t="s">
        <v>3334</v>
      </c>
      <c r="C157" s="523"/>
      <c r="D157" s="523"/>
      <c r="E157" s="523"/>
      <c r="F157" s="523"/>
      <c r="G157" s="523"/>
      <c r="H157" s="523"/>
    </row>
    <row r="158" spans="2:8" ht="20" customHeight="1" x14ac:dyDescent="0.2">
      <c r="B158" s="468"/>
      <c r="C158" s="469"/>
      <c r="D158" s="469"/>
      <c r="E158" s="469"/>
      <c r="F158" s="469"/>
      <c r="G158" s="469"/>
      <c r="H158" s="469"/>
    </row>
    <row r="159" spans="2:8" ht="20" customHeight="1" x14ac:dyDescent="0.2">
      <c r="B159" s="43" t="s">
        <v>3295</v>
      </c>
      <c r="C159" s="43" t="s">
        <v>2745</v>
      </c>
      <c r="D159" s="43" t="s">
        <v>85</v>
      </c>
      <c r="E159" s="43" t="s">
        <v>2170</v>
      </c>
      <c r="F159" s="130" t="s">
        <v>252</v>
      </c>
      <c r="G159" s="130" t="s">
        <v>187</v>
      </c>
      <c r="H159" s="130" t="s">
        <v>160</v>
      </c>
    </row>
    <row r="160" spans="2:8" ht="20" customHeight="1" x14ac:dyDescent="0.2">
      <c r="B160" s="4" t="s">
        <v>1272</v>
      </c>
      <c r="C160" s="337" t="str">
        <f>IF(wld_stretched_cluster_result="Excluded","Not Required",wld_cl01_az1_mgmt_vm_pg)</f>
        <v>Not Required</v>
      </c>
      <c r="D160" s="337" t="str">
        <f>IF(wld_stretched_cluster_result="Excluded","Not Required",wld_az1_mgmt_vm_vlan)</f>
        <v>Not Required</v>
      </c>
      <c r="E160" s="337" t="str">
        <f>IF(wld_stretched_cluster_result="Excluded","Not Required",wld_az1_mgmt_vm_cidr)</f>
        <v>Not Required</v>
      </c>
      <c r="F160" s="337" t="str">
        <f>IF(wld_stretched_cluster_result="Excluded","Not Required",wld_az1_mgmt_vm_network)</f>
        <v>Not Required</v>
      </c>
      <c r="G160" s="337" t="str">
        <f>IF(wld_stretched_cluster_result="Excluded","Not Required",wld_az1_mgmt_vm_gateway_ip)</f>
        <v>Not Required</v>
      </c>
      <c r="H160" s="337" t="str">
        <f>IF(wld_stretched_cluster_result="Excluded","Not Required",wld_az1_mgmt_vm_mtu)</f>
        <v>Not Required</v>
      </c>
    </row>
    <row r="161" spans="2:8" ht="20" customHeight="1" x14ac:dyDescent="0.2">
      <c r="B161" s="4" t="s">
        <v>3300</v>
      </c>
      <c r="C161" s="337" t="str">
        <f>wld_cl01_az2_mgmt_pg</f>
        <v>Value Missing</v>
      </c>
      <c r="D161" s="337" t="str">
        <f>wld_az2_mgmt_vlan</f>
        <v>Value Missing</v>
      </c>
      <c r="E161" s="337" t="str">
        <f>wld_az2_mgmt_cidr</f>
        <v>Value Missing</v>
      </c>
      <c r="F161" s="337" t="str">
        <f t="array" ref="F161">wld_az2_mgmt_network</f>
        <v>Value Missing</v>
      </c>
      <c r="G161" s="337" t="str">
        <f>wld_az2_mgmt_gateway_ip</f>
        <v>Value Missing</v>
      </c>
      <c r="H161" s="337" t="str">
        <f>wld_az2_mgmt_mtu</f>
        <v>Value Missing</v>
      </c>
    </row>
    <row r="162" spans="2:8" ht="20" customHeight="1" x14ac:dyDescent="0.2">
      <c r="B162" s="4" t="s">
        <v>251</v>
      </c>
      <c r="C162" s="337" t="str">
        <f>wld_cl01_az2_vmotion_pg</f>
        <v>Value Missing</v>
      </c>
      <c r="D162" s="337" t="str">
        <f>wld_az2_vmotion_vlan</f>
        <v>Value Missing</v>
      </c>
      <c r="E162" s="337" t="str">
        <f>wld_az2_vmotion_cidr</f>
        <v>Value Missing</v>
      </c>
      <c r="F162" s="337" t="str">
        <f>wld_az2_vmotion_network</f>
        <v>Value Missing</v>
      </c>
      <c r="G162" s="337" t="str">
        <f>wld_az2_vmotion_gateway_ip</f>
        <v>Value Missing</v>
      </c>
      <c r="H162" s="337" t="str">
        <f>wld_az2_vmotion_mtu</f>
        <v>Value Missing</v>
      </c>
    </row>
    <row r="163" spans="2:8" ht="20" customHeight="1" x14ac:dyDescent="0.2">
      <c r="B163" s="4" t="s">
        <v>257</v>
      </c>
      <c r="C163" s="337" t="str">
        <f>wld_cl01_az2_principal_storage_pg</f>
        <v>Value Missing</v>
      </c>
      <c r="D163" s="337" t="str">
        <f>wld_az2_principal_storage_vlan</f>
        <v>Value Missing</v>
      </c>
      <c r="E163" s="337" t="str">
        <f>wld_az2_principal_storage_cidr</f>
        <v>Value Missing</v>
      </c>
      <c r="F163" s="337" t="str">
        <f>wld_az2_principal_storage_network</f>
        <v>Value Missing</v>
      </c>
      <c r="G163" s="337" t="str">
        <f>wld_az2_principal_storage_gateway_ip</f>
        <v>Value Missing</v>
      </c>
      <c r="H163" s="337" t="str">
        <f>wld_az2_principal_storage_mtu</f>
        <v>Value Missing</v>
      </c>
    </row>
    <row r="164" spans="2:8" ht="20" customHeight="1" x14ac:dyDescent="0.2">
      <c r="B164" s="4" t="s">
        <v>1278</v>
      </c>
      <c r="C164" s="337" t="str">
        <f t="array" ref="C164">wld_az2_host_overlay_pg</f>
        <v>N/A</v>
      </c>
      <c r="D164" s="337" t="str">
        <f>wld_az2_host_overlay_vlan</f>
        <v>Value Missing</v>
      </c>
      <c r="E164" s="337" t="str">
        <f>wld_az2_host_overlay_cidr</f>
        <v>Value Missing</v>
      </c>
      <c r="F164" s="337" t="str">
        <f>wld_az2_host_overlay_network</f>
        <v>Value Missing</v>
      </c>
      <c r="G164" s="337" t="str">
        <f>wld_az2_host_overlay_gateway_ip</f>
        <v>Value Missing</v>
      </c>
      <c r="H164" s="337" t="str">
        <f>wld_az2_host_overlay_mtu</f>
        <v>Value Missing</v>
      </c>
    </row>
    <row r="165" spans="2:8" ht="20" customHeight="1" x14ac:dyDescent="0.2">
      <c r="B165" s="4" t="s">
        <v>3305</v>
      </c>
      <c r="C165" s="337" t="str">
        <f>wld_vrms_pg</f>
        <v>Value Missing</v>
      </c>
      <c r="D165" s="337" t="str">
        <f>wld_az2_vrms_vlan</f>
        <v>Value Missing</v>
      </c>
      <c r="E165" s="337" t="str">
        <f>wld_az2_vrms_cidr</f>
        <v>Value Missing</v>
      </c>
      <c r="F165" s="337" t="str">
        <f>wld_az2_vrms_network</f>
        <v>Value Missing</v>
      </c>
      <c r="G165" s="337" t="str">
        <f>wld_az2_vrms_gateway_ip</f>
        <v>Value Missing</v>
      </c>
      <c r="H165" s="337" t="str">
        <f>wld_az2_vrms_mtu</f>
        <v>Value Missing</v>
      </c>
    </row>
    <row r="166" spans="2:8" ht="20" customHeight="1" x14ac:dyDescent="0.2">
      <c r="B166" s="4" t="s">
        <v>3301</v>
      </c>
      <c r="C166" s="337" t="str">
        <f t="array" ref="C166">wld_cl01_az2_uplink01_pg</f>
        <v>Value Missing</v>
      </c>
      <c r="D166" s="337" t="str">
        <f>wld_az2_uplink01_vlan</f>
        <v>Value Missing</v>
      </c>
      <c r="E166" s="337" t="str">
        <f>wld_az2_uplink01_cidr</f>
        <v>Value Missing</v>
      </c>
      <c r="F166" s="337" t="str">
        <f>wld_az2_uplink02_network</f>
        <v>Value Missing</v>
      </c>
      <c r="G166" s="337" t="str">
        <f>wld_az2_uplink01_gateway_ip</f>
        <v>Value Missing</v>
      </c>
      <c r="H166" s="337" t="str">
        <f>wld_az2_uplink01_mtu</f>
        <v>Value Missing</v>
      </c>
    </row>
    <row r="167" spans="2:8" ht="20" customHeight="1" x14ac:dyDescent="0.2">
      <c r="B167" s="17" t="s">
        <v>3302</v>
      </c>
      <c r="C167" s="337" t="str">
        <f t="array" ref="C167">wld_cl01_az2_uplink02_pg</f>
        <v>Value Missing</v>
      </c>
      <c r="D167" s="337" t="str">
        <f>wld_az2_uplink02_vlan</f>
        <v>Value Missing</v>
      </c>
      <c r="E167" s="337" t="str">
        <f>wld_az2_uplink02_cidr</f>
        <v>Value Missing</v>
      </c>
      <c r="F167" s="337" t="str">
        <f>wld_az2_uplink02_network</f>
        <v>Value Missing</v>
      </c>
      <c r="G167" s="337" t="str">
        <f>wld_az2_uplink02_gateway_ip</f>
        <v>Value Missing</v>
      </c>
      <c r="H167" s="337" t="str">
        <f>wld_az2_uplink02_mtu</f>
        <v>Value Missing</v>
      </c>
    </row>
    <row r="168" spans="2:8" ht="20" customHeight="1" x14ac:dyDescent="0.2">
      <c r="B168" s="17" t="s">
        <v>1287</v>
      </c>
      <c r="C168" s="337" t="str">
        <f t="array" ref="C168">wld_az2_edge_overlay_pg</f>
        <v>N/A</v>
      </c>
      <c r="D168" s="337" t="str">
        <f>wld_az2_edge_overlay_vlan</f>
        <v>Value Missing</v>
      </c>
      <c r="E168" s="337" t="str">
        <f>wld_az2_edge_overlay_cidr</f>
        <v>Value Missing</v>
      </c>
      <c r="F168" s="337" t="str">
        <f>wld_az2_edge_overlay_network</f>
        <v>Value Missing</v>
      </c>
      <c r="G168" s="337" t="str">
        <f>wld_az2_edge_overlay_gateway_ip</f>
        <v>Value Missing</v>
      </c>
      <c r="H168" s="337" t="str">
        <f>wld_az2_edge_overlay_mtu</f>
        <v>N/A</v>
      </c>
    </row>
    <row r="169" spans="2:8" ht="20" customHeight="1" x14ac:dyDescent="0.2">
      <c r="B169" s="4" t="s">
        <v>1382</v>
      </c>
      <c r="C169" s="337" t="str">
        <f>wld_az1_rtep_overlay_pg</f>
        <v>N/A</v>
      </c>
      <c r="D169" s="337" t="str">
        <f>wld_az2_rtep_overlay_vlan</f>
        <v>Value Missing</v>
      </c>
      <c r="E169" s="337" t="str">
        <f>wld_az2_rtep_overlay_cidr</f>
        <v>Value Missing</v>
      </c>
      <c r="F169" s="337" t="str">
        <f>wld_az1_rtep_overlay_network</f>
        <v>Value Missing</v>
      </c>
      <c r="G169" s="337" t="str">
        <f>wld_az2_rtep_overlay_gateway_ip</f>
        <v>Value Missing</v>
      </c>
      <c r="H169" s="337">
        <f>wld_az2_rtep_overlay_mtu</f>
        <v>0</v>
      </c>
    </row>
    <row r="171" spans="2:8" ht="34" customHeight="1" x14ac:dyDescent="0.2">
      <c r="B171" s="522" t="s">
        <v>3335</v>
      </c>
      <c r="C171" s="523"/>
      <c r="D171" s="523"/>
      <c r="E171" s="523"/>
      <c r="F171" s="523"/>
      <c r="G171" s="523"/>
      <c r="H171" s="523"/>
    </row>
    <row r="172" spans="2:8" ht="20" customHeight="1" x14ac:dyDescent="0.2">
      <c r="B172" s="468"/>
      <c r="C172" s="469"/>
      <c r="D172" s="469"/>
      <c r="E172" s="469"/>
      <c r="F172" s="469"/>
      <c r="G172" s="469"/>
      <c r="H172" s="469"/>
    </row>
    <row r="173" spans="2:8" ht="20" customHeight="1" x14ac:dyDescent="0.2">
      <c r="B173" s="43" t="s">
        <v>3295</v>
      </c>
      <c r="C173" s="43" t="s">
        <v>1268</v>
      </c>
    </row>
    <row r="174" spans="2:8" ht="20" customHeight="1" x14ac:dyDescent="0.2">
      <c r="B174" s="4" t="s">
        <v>1025</v>
      </c>
      <c r="C174" s="337" t="str">
        <f>wld_en_asn</f>
        <v>Value Missing</v>
      </c>
    </row>
    <row r="175" spans="2:8" ht="20" customHeight="1" x14ac:dyDescent="0.2">
      <c r="B175" s="4" t="s">
        <v>168</v>
      </c>
      <c r="C175" s="337" t="str">
        <f>wld_az1_tor1_peer_ip</f>
        <v>Value Missing</v>
      </c>
    </row>
    <row r="176" spans="2:8" ht="20" customHeight="1" x14ac:dyDescent="0.2">
      <c r="B176" s="4" t="s">
        <v>169</v>
      </c>
      <c r="C176" s="337" t="str">
        <f>wld_az1_tor1_peer_asn</f>
        <v>Value Missing</v>
      </c>
    </row>
    <row r="177" spans="2:8" ht="20" customHeight="1" x14ac:dyDescent="0.2">
      <c r="B177" s="4" t="s">
        <v>170</v>
      </c>
      <c r="C177" s="337" t="str">
        <f>wld_az1_tor1_peer_bgp_password</f>
        <v>Value Missing</v>
      </c>
    </row>
    <row r="178" spans="2:8" ht="20" customHeight="1" x14ac:dyDescent="0.2">
      <c r="B178" s="4" t="s">
        <v>171</v>
      </c>
      <c r="C178" s="337" t="str">
        <f>wld_az1_tor2_peer_ip</f>
        <v>Value Missing</v>
      </c>
    </row>
    <row r="179" spans="2:8" ht="20" customHeight="1" x14ac:dyDescent="0.2">
      <c r="B179" s="4" t="s">
        <v>172</v>
      </c>
      <c r="C179" s="337" t="str">
        <f>wld_az1_tor2_peer_asn</f>
        <v>Value Missing</v>
      </c>
    </row>
    <row r="180" spans="2:8" ht="20" customHeight="1" x14ac:dyDescent="0.2">
      <c r="B180" s="4" t="s">
        <v>173</v>
      </c>
      <c r="C180" s="337" t="str">
        <f>wld_az1_tor2_peer_bgp_password</f>
        <v>Value Missing</v>
      </c>
    </row>
    <row r="182" spans="2:8" ht="32" customHeight="1" x14ac:dyDescent="0.2">
      <c r="B182" s="522" t="s">
        <v>3336</v>
      </c>
      <c r="C182" s="523"/>
      <c r="D182" s="523"/>
      <c r="E182" s="523"/>
      <c r="F182" s="523"/>
      <c r="G182" s="523"/>
      <c r="H182" s="523"/>
    </row>
    <row r="183" spans="2:8" ht="20" customHeight="1" x14ac:dyDescent="0.2">
      <c r="B183" s="468" t="s">
        <v>3283</v>
      </c>
      <c r="C183" s="469"/>
      <c r="D183" s="469"/>
      <c r="E183" s="469"/>
      <c r="F183" s="469"/>
      <c r="G183" s="469"/>
      <c r="H183" s="469"/>
    </row>
    <row r="184" spans="2:8" ht="20" customHeight="1" x14ac:dyDescent="0.2">
      <c r="B184" s="43" t="s">
        <v>3295</v>
      </c>
      <c r="C184" s="43" t="s">
        <v>38</v>
      </c>
      <c r="D184" s="43" t="s">
        <v>302</v>
      </c>
      <c r="E184" s="130" t="s">
        <v>3308</v>
      </c>
    </row>
    <row r="185" spans="2:8" ht="20" customHeight="1" x14ac:dyDescent="0.2">
      <c r="B185" s="4" t="s">
        <v>215</v>
      </c>
      <c r="C185" s="337" t="str">
        <f>wld_az1_host1_fqdn</f>
        <v>Value Missing</v>
      </c>
      <c r="D185" s="337" t="str">
        <f>wld_az1_host1_hostname</f>
        <v>Value Missing</v>
      </c>
      <c r="E185" s="337" t="str">
        <f>wld_az1_host1_mgmt_ip</f>
        <v>Value Missing</v>
      </c>
    </row>
    <row r="186" spans="2:8" ht="20" customHeight="1" x14ac:dyDescent="0.2">
      <c r="B186" s="4" t="s">
        <v>217</v>
      </c>
      <c r="C186" s="337" t="str">
        <f>wld_az1_host2_fqdn</f>
        <v>Value Missing</v>
      </c>
      <c r="D186" s="337" t="str">
        <f>wld_az1_host2_hostname</f>
        <v>Value Missing</v>
      </c>
      <c r="E186" s="337" t="str">
        <f>wld_az1_host2_mgmt_ip</f>
        <v>Value Missing</v>
      </c>
    </row>
    <row r="187" spans="2:8" ht="20" customHeight="1" x14ac:dyDescent="0.2">
      <c r="B187" s="4" t="s">
        <v>219</v>
      </c>
      <c r="C187" s="337" t="str">
        <f>wld_az1_host3_fqdn</f>
        <v>Value Missing</v>
      </c>
      <c r="D187" s="337" t="str">
        <f>wld_az1_host3_hostname</f>
        <v>Value Missing</v>
      </c>
      <c r="E187" s="337" t="str">
        <f>wld_az1_host3_mgmt_ip</f>
        <v>Value Missing</v>
      </c>
    </row>
    <row r="188" spans="2:8" ht="20" customHeight="1" x14ac:dyDescent="0.2">
      <c r="B188" s="4" t="s">
        <v>221</v>
      </c>
      <c r="C188" s="337" t="str">
        <f>wld_az1_host4_fqdn</f>
        <v>Value Missing</v>
      </c>
      <c r="D188" s="337" t="str">
        <f>wld_az1_host4_hostname</f>
        <v>Value Missing</v>
      </c>
      <c r="E188" s="337" t="str">
        <f>wld_az1_host4_mgmt_ip</f>
        <v>Value Missing</v>
      </c>
    </row>
    <row r="189" spans="2:8" ht="20" customHeight="1" x14ac:dyDescent="0.2">
      <c r="B189" s="4" t="s">
        <v>223</v>
      </c>
      <c r="C189" s="337" t="str">
        <f>wld_az1_host5_fqdn</f>
        <v>Value Missing</v>
      </c>
      <c r="D189" s="337" t="str">
        <f>wld_az1_host5_hostname</f>
        <v>Value Missing</v>
      </c>
      <c r="E189" s="337" t="str">
        <f>wld_az1_host5_mgmt_ip</f>
        <v>Value Missing</v>
      </c>
    </row>
    <row r="190" spans="2:8" ht="20" customHeight="1" x14ac:dyDescent="0.2">
      <c r="B190" s="4" t="s">
        <v>225</v>
      </c>
      <c r="C190" s="337" t="str">
        <f>wld_az1_host6_fqdn</f>
        <v>Value Missing</v>
      </c>
      <c r="D190" s="337" t="str">
        <f>wld_az1_host6_hostname</f>
        <v>Value Missing</v>
      </c>
      <c r="E190" s="337" t="str">
        <f>wld_az1_host6_mgmt_ip</f>
        <v>Value Missing</v>
      </c>
    </row>
    <row r="191" spans="2:8" ht="20" customHeight="1" x14ac:dyDescent="0.2">
      <c r="B191" s="4" t="s">
        <v>227</v>
      </c>
      <c r="C191" s="337" t="str">
        <f>wld_az1_host7_fqdn</f>
        <v>Value Missing</v>
      </c>
      <c r="D191" s="337" t="str">
        <f>wld_az1_host7_hostname</f>
        <v>Value Missing</v>
      </c>
      <c r="E191" s="337" t="str">
        <f>wld_az1_host7_mgmt_ip</f>
        <v>Value Missing</v>
      </c>
    </row>
    <row r="192" spans="2:8" ht="20" customHeight="1" x14ac:dyDescent="0.2">
      <c r="B192" s="4" t="s">
        <v>229</v>
      </c>
      <c r="C192" s="337" t="str">
        <f>wld_az1_host8_fqdn</f>
        <v>Value Missing</v>
      </c>
      <c r="D192" s="337" t="str">
        <f>wld_az1_host8_hostname</f>
        <v>Value Missing</v>
      </c>
      <c r="E192" s="337" t="str">
        <f>wld_az1_host8_mgmt_ip</f>
        <v>Value Missing</v>
      </c>
    </row>
    <row r="193" spans="2:8" ht="20" customHeight="1" x14ac:dyDescent="0.2">
      <c r="B193" s="4" t="s">
        <v>231</v>
      </c>
      <c r="C193" s="337" t="str">
        <f>wld_az1_host9_fqdn</f>
        <v>Value Missing</v>
      </c>
      <c r="D193" s="337" t="str">
        <f>wld_az1_host9_hostname</f>
        <v>Value Missing</v>
      </c>
      <c r="E193" s="337" t="str">
        <f>wld_az1_host9_mgmt_ip</f>
        <v>Value Missing</v>
      </c>
    </row>
    <row r="194" spans="2:8" ht="20" customHeight="1" x14ac:dyDescent="0.2">
      <c r="B194" s="4" t="s">
        <v>233</v>
      </c>
      <c r="C194" s="337" t="str">
        <f>wld_az1_host10_fqdn</f>
        <v>Value Missing</v>
      </c>
      <c r="D194" s="337" t="str">
        <f>wld_az1_host10_hostname</f>
        <v>Value Missing</v>
      </c>
      <c r="E194" s="337" t="str">
        <f>wld_az1_host10_mgmt_ip</f>
        <v>Value Missing</v>
      </c>
    </row>
    <row r="195" spans="2:8" ht="20" customHeight="1" x14ac:dyDescent="0.2">
      <c r="B195" s="4" t="s">
        <v>235</v>
      </c>
      <c r="C195" s="337" t="str">
        <f>wld_az1_host11_fqdn</f>
        <v>Value Missing</v>
      </c>
      <c r="D195" s="337" t="str">
        <f>wld_az1_host11_hostname</f>
        <v>Value Missing</v>
      </c>
      <c r="E195" s="337" t="str">
        <f>wld_az1_host11_mgmt_ip</f>
        <v>Value Missing</v>
      </c>
    </row>
    <row r="196" spans="2:8" ht="20" customHeight="1" x14ac:dyDescent="0.2">
      <c r="B196" s="4" t="s">
        <v>237</v>
      </c>
      <c r="C196" s="337" t="str">
        <f>wld_az1_host12_fqdn</f>
        <v>Value Missing</v>
      </c>
      <c r="D196" s="337" t="str">
        <f>wld_az1_host12_hostname</f>
        <v>Value Missing</v>
      </c>
      <c r="E196" s="337" t="str">
        <f>wld_az1_host12_mgmt_ip</f>
        <v>Value Missing</v>
      </c>
    </row>
    <row r="197" spans="2:8" ht="20" customHeight="1" x14ac:dyDescent="0.2">
      <c r="B197" s="4" t="s">
        <v>239</v>
      </c>
      <c r="C197" s="337" t="str">
        <f>wld_az1_host13_fqdn</f>
        <v>Value Missing</v>
      </c>
      <c r="D197" s="337" t="str">
        <f>wld_az1_host13_hostname</f>
        <v>Value Missing</v>
      </c>
      <c r="E197" s="337" t="str">
        <f>wld_az1_host13_mgmt_ip</f>
        <v>Value Missing</v>
      </c>
    </row>
    <row r="198" spans="2:8" ht="20" customHeight="1" x14ac:dyDescent="0.2">
      <c r="B198" s="4" t="s">
        <v>241</v>
      </c>
      <c r="C198" s="337" t="str">
        <f>wld_az1_host14_fqdn</f>
        <v>Value Missing</v>
      </c>
      <c r="D198" s="337" t="str">
        <f>wld_az1_host14_hostname</f>
        <v>Value Missing</v>
      </c>
      <c r="E198" s="337" t="str">
        <f>wld_az1_host14_mgmt_ip</f>
        <v>Value Missing</v>
      </c>
    </row>
    <row r="199" spans="2:8" ht="20" customHeight="1" x14ac:dyDescent="0.2">
      <c r="B199" s="4" t="s">
        <v>243</v>
      </c>
      <c r="C199" s="337" t="str">
        <f>wld_az1_host15_fqdn</f>
        <v>Value Missing</v>
      </c>
      <c r="D199" s="337" t="str">
        <f>wld_az1_host15_hostname</f>
        <v>Value Missing</v>
      </c>
      <c r="E199" s="337" t="str">
        <f>wld_az1_host15_mgmt_ip</f>
        <v>Value Missing</v>
      </c>
    </row>
    <row r="200" spans="2:8" ht="20" customHeight="1" x14ac:dyDescent="0.2">
      <c r="B200" s="4" t="s">
        <v>245</v>
      </c>
      <c r="C200" s="337" t="str">
        <f>wld_az1_host16_fqdn</f>
        <v>Value Missing</v>
      </c>
      <c r="D200" s="337" t="str">
        <f>wld_az1_host16_hostname</f>
        <v>Value Missing</v>
      </c>
      <c r="E200" s="337" t="str">
        <f>wld_az1_host16_mgmt_ip</f>
        <v>Value Missing</v>
      </c>
    </row>
    <row r="202" spans="2:8" ht="20" customHeight="1" x14ac:dyDescent="0.2">
      <c r="B202" s="468" t="s">
        <v>3059</v>
      </c>
      <c r="C202" s="469"/>
      <c r="D202" s="469"/>
      <c r="E202" s="469"/>
      <c r="F202" s="469"/>
      <c r="G202" s="469"/>
      <c r="H202" s="469"/>
    </row>
    <row r="203" spans="2:8" ht="20" customHeight="1" x14ac:dyDescent="0.2">
      <c r="B203" s="43" t="s">
        <v>3295</v>
      </c>
      <c r="C203" s="43" t="s">
        <v>38</v>
      </c>
      <c r="D203" s="43" t="s">
        <v>302</v>
      </c>
      <c r="E203" s="130" t="s">
        <v>3310</v>
      </c>
    </row>
    <row r="204" spans="2:8" ht="20" customHeight="1" x14ac:dyDescent="0.2">
      <c r="B204" s="4" t="s">
        <v>814</v>
      </c>
      <c r="C204" s="337" t="str">
        <f>wld_vc_fqdn</f>
        <v>Value Missing</v>
      </c>
      <c r="D204" s="337" t="str">
        <f>wld_vc_hostname</f>
        <v>Value Missing</v>
      </c>
      <c r="E204" s="337" t="str">
        <f>wld_vc_ip</f>
        <v>Value Missing</v>
      </c>
    </row>
    <row r="205" spans="2:8" ht="20" customHeight="1" x14ac:dyDescent="0.2">
      <c r="B205" s="4" t="s">
        <v>3311</v>
      </c>
      <c r="C205" s="337" t="str">
        <f>wld_nsxt_vip_fqdn</f>
        <v>Value Missing</v>
      </c>
      <c r="D205" s="337" t="str">
        <f>wld_nsxt_vip_fqdn</f>
        <v>Value Missing</v>
      </c>
      <c r="E205" s="337" t="str">
        <f>wld_nsxt_vip_ip</f>
        <v>Value Missing</v>
      </c>
    </row>
    <row r="206" spans="2:8" ht="20" customHeight="1" x14ac:dyDescent="0.2">
      <c r="B206" s="4" t="s">
        <v>3312</v>
      </c>
      <c r="C206" s="337" t="str">
        <f>wld_nsxt_mgra_fqdn</f>
        <v>Value Missing</v>
      </c>
      <c r="D206" s="337" t="str">
        <f>wld_nsxt_mgra_hostname</f>
        <v>Value Missing</v>
      </c>
      <c r="E206" s="337" t="str">
        <f>wld_nsxt_mgra_ip</f>
        <v>Value Missing</v>
      </c>
    </row>
    <row r="207" spans="2:8" ht="20" customHeight="1" x14ac:dyDescent="0.2">
      <c r="B207" s="4" t="s">
        <v>3313</v>
      </c>
      <c r="C207" s="337" t="str">
        <f>wld_nsxt_mgrb_fqdn</f>
        <v>Value Missing</v>
      </c>
      <c r="D207" s="337" t="str">
        <f>wld_nsxt_mgrb_hostname</f>
        <v>Value Missing</v>
      </c>
      <c r="E207" s="337" t="str">
        <f>wld_nsxt_mgrb_ip</f>
        <v>Value Missing</v>
      </c>
    </row>
    <row r="208" spans="2:8" ht="20" customHeight="1" x14ac:dyDescent="0.2">
      <c r="B208" s="4" t="s">
        <v>3314</v>
      </c>
      <c r="C208" s="337" t="str">
        <f>wld_nsxt_mgrc_fqdn</f>
        <v>Value Missing</v>
      </c>
      <c r="D208" s="337" t="str">
        <f>wld_nsxt_mgrc_hostname</f>
        <v>Value Missing</v>
      </c>
      <c r="E208" s="337" t="str">
        <f>wld_nsxt_mgrc_ip</f>
        <v>Value Missing</v>
      </c>
    </row>
    <row r="209" spans="2:8" ht="20" customHeight="1" x14ac:dyDescent="0.2">
      <c r="B209" s="4" t="s">
        <v>3315</v>
      </c>
      <c r="C209" s="337" t="str">
        <f>wld_az1_en1_fqdn</f>
        <v>Value Missing</v>
      </c>
      <c r="D209" s="337" t="str">
        <f>wld_az1_en1_hostname</f>
        <v>Value Missing</v>
      </c>
      <c r="E209" s="337" t="str">
        <f>wld_az1_en1_mgmt_cidr</f>
        <v>Value Missing</v>
      </c>
    </row>
    <row r="210" spans="2:8" ht="20" customHeight="1" x14ac:dyDescent="0.2">
      <c r="B210" s="4" t="s">
        <v>3316</v>
      </c>
      <c r="C210" s="337" t="str">
        <f>wld_az1_en2_fqdn</f>
        <v>Value Missing</v>
      </c>
      <c r="D210" s="337" t="str">
        <f>wld_az1_en2_hostname</f>
        <v>Value Missing</v>
      </c>
      <c r="E210" s="337" t="str">
        <f>wld_az1_en2_mgmt_cidr</f>
        <v>Value Missing</v>
      </c>
    </row>
    <row r="212" spans="2:8" ht="34" customHeight="1" x14ac:dyDescent="0.2">
      <c r="B212" s="522" t="s">
        <v>3337</v>
      </c>
      <c r="C212" s="523"/>
      <c r="D212" s="523"/>
      <c r="E212" s="523"/>
      <c r="F212" s="523"/>
      <c r="G212" s="523"/>
      <c r="H212" s="523"/>
    </row>
    <row r="213" spans="2:8" ht="20" customHeight="1" x14ac:dyDescent="0.2">
      <c r="B213" s="468" t="s">
        <v>3283</v>
      </c>
      <c r="C213" s="469"/>
      <c r="D213" s="469"/>
      <c r="E213" s="469"/>
      <c r="F213" s="469"/>
      <c r="G213" s="469"/>
      <c r="H213" s="469"/>
    </row>
    <row r="214" spans="2:8" ht="20" customHeight="1" x14ac:dyDescent="0.2">
      <c r="B214" s="43" t="s">
        <v>3295</v>
      </c>
      <c r="C214" s="43" t="s">
        <v>38</v>
      </c>
      <c r="D214" s="43" t="s">
        <v>302</v>
      </c>
      <c r="E214" s="130" t="s">
        <v>3308</v>
      </c>
    </row>
    <row r="215" spans="2:8" ht="20" customHeight="1" x14ac:dyDescent="0.2">
      <c r="B215" s="4" t="s">
        <v>215</v>
      </c>
      <c r="C215" s="337" t="str">
        <f>wld_az2_host1_fqdn</f>
        <v>Value Missing</v>
      </c>
      <c r="D215" s="337" t="str">
        <f>wld_az2_host1_hostname</f>
        <v>Value Missing</v>
      </c>
      <c r="E215" s="337" t="str">
        <f>wld_az2_host1_mgmt_ip</f>
        <v>Value Missing</v>
      </c>
    </row>
    <row r="216" spans="2:8" ht="20" customHeight="1" x14ac:dyDescent="0.2">
      <c r="B216" s="4" t="s">
        <v>217</v>
      </c>
      <c r="C216" s="337" t="str">
        <f>wld_az2_host2_fqdn</f>
        <v>Value Missing</v>
      </c>
      <c r="D216" s="337" t="str">
        <f>wld_az2_host2_hostname</f>
        <v>Value Missing</v>
      </c>
      <c r="E216" s="337" t="str">
        <f>wld_az2_host2_mgmt_ip</f>
        <v>Value Missing</v>
      </c>
    </row>
    <row r="217" spans="2:8" ht="20" customHeight="1" x14ac:dyDescent="0.2">
      <c r="B217" s="4" t="s">
        <v>219</v>
      </c>
      <c r="C217" s="337" t="str">
        <f>wld_az2_host3_fqdn</f>
        <v>Value Missing</v>
      </c>
      <c r="D217" s="337" t="str">
        <f>wld_az2_host3_hostname</f>
        <v>Value Missing</v>
      </c>
      <c r="E217" s="337" t="str">
        <f>wld_az2_host3_mgmt_ip</f>
        <v>Value Missing</v>
      </c>
    </row>
    <row r="218" spans="2:8" ht="20" customHeight="1" x14ac:dyDescent="0.2">
      <c r="B218" s="4" t="s">
        <v>221</v>
      </c>
      <c r="C218" s="337" t="str">
        <f>wld_az2_host4_fqdn</f>
        <v>Value Missing</v>
      </c>
      <c r="D218" s="337" t="str">
        <f>wld_az2_host4_hostname</f>
        <v>Value Missing</v>
      </c>
      <c r="E218" s="337" t="str">
        <f>wld_az2_host4_mgmt_ip</f>
        <v>Value Missing</v>
      </c>
    </row>
    <row r="219" spans="2:8" ht="20" customHeight="1" x14ac:dyDescent="0.2">
      <c r="B219" s="4" t="s">
        <v>223</v>
      </c>
      <c r="C219" s="337" t="str">
        <f>wld_az2_host5_fqdn</f>
        <v>Value Missing</v>
      </c>
      <c r="D219" s="337" t="str">
        <f>wld_az2_host5_hostname</f>
        <v>Value Missing</v>
      </c>
      <c r="E219" s="337" t="str">
        <f>wld_az2_host5_mgmt_ip</f>
        <v>Value Missing</v>
      </c>
    </row>
    <row r="220" spans="2:8" ht="20" customHeight="1" x14ac:dyDescent="0.2">
      <c r="B220" s="4" t="s">
        <v>225</v>
      </c>
      <c r="C220" s="337" t="str">
        <f>wld_az2_host6_fqdn</f>
        <v>Value Missing</v>
      </c>
      <c r="D220" s="337" t="str">
        <f>wld_az2_host6_hostname</f>
        <v>Value Missing</v>
      </c>
      <c r="E220" s="337" t="str">
        <f>wld_az2_host6_mgmt_ip</f>
        <v>Value Missing</v>
      </c>
    </row>
    <row r="221" spans="2:8" ht="20" customHeight="1" x14ac:dyDescent="0.2">
      <c r="B221" s="4" t="s">
        <v>227</v>
      </c>
      <c r="C221" s="337" t="str">
        <f>wld_az2_host7_fqdn</f>
        <v>Value Missing</v>
      </c>
      <c r="D221" s="337" t="str">
        <f>wld_az2_host7_hostname</f>
        <v>Value Missing</v>
      </c>
      <c r="E221" s="337" t="str">
        <f>wld_az2_host7_mgmt_ip</f>
        <v>Value Missing</v>
      </c>
    </row>
    <row r="222" spans="2:8" ht="20" customHeight="1" x14ac:dyDescent="0.2">
      <c r="B222" s="4" t="s">
        <v>229</v>
      </c>
      <c r="C222" s="337" t="str">
        <f>wld_az2_host8_fqdn</f>
        <v>Value Missing</v>
      </c>
      <c r="D222" s="337" t="str">
        <f>wld_az2_host8_hostname</f>
        <v>Value Missing</v>
      </c>
      <c r="E222" s="337" t="str">
        <f>wld_az2_host8_mgmt_ip</f>
        <v>Value Missing</v>
      </c>
    </row>
    <row r="223" spans="2:8" ht="20" customHeight="1" x14ac:dyDescent="0.2">
      <c r="B223" s="4" t="s">
        <v>231</v>
      </c>
      <c r="C223" s="337" t="str">
        <f>wld_az2_host9_fqdn</f>
        <v>Value Missing</v>
      </c>
      <c r="D223" s="337" t="str">
        <f>wld_az2_host9_hostname</f>
        <v>Value Missing</v>
      </c>
      <c r="E223" s="337" t="str">
        <f>wld_az2_host9_mgmt_ip</f>
        <v>Value Missing</v>
      </c>
    </row>
    <row r="224" spans="2:8" ht="20" customHeight="1" x14ac:dyDescent="0.2">
      <c r="B224" s="4" t="s">
        <v>233</v>
      </c>
      <c r="C224" s="337" t="str">
        <f>wld_az2_host10_fqdn</f>
        <v>Value Missing</v>
      </c>
      <c r="D224" s="337" t="str">
        <f>wld_az2_host10_hostname</f>
        <v>Value Missing</v>
      </c>
      <c r="E224" s="337" t="str">
        <f>wld_az2_host10_mgmt_ip</f>
        <v>Value Missing</v>
      </c>
    </row>
    <row r="225" spans="2:5" ht="20" customHeight="1" x14ac:dyDescent="0.2">
      <c r="B225" s="4" t="s">
        <v>235</v>
      </c>
      <c r="C225" s="337" t="str">
        <f>wld_az2_host11_fqdn</f>
        <v>Value Missing</v>
      </c>
      <c r="D225" s="337" t="str">
        <f>wld_az2_host11_hostname</f>
        <v>Value Missing</v>
      </c>
      <c r="E225" s="337" t="str">
        <f>wld_az2_host11_mgmt_ip</f>
        <v>Value Missing</v>
      </c>
    </row>
    <row r="226" spans="2:5" ht="20" customHeight="1" x14ac:dyDescent="0.2">
      <c r="B226" s="4" t="s">
        <v>237</v>
      </c>
      <c r="C226" s="337" t="str">
        <f>wld_az2_host12_fqdn</f>
        <v>Value Missing</v>
      </c>
      <c r="D226" s="337" t="str">
        <f>wld_az2_host12_hostname</f>
        <v>Value Missing</v>
      </c>
      <c r="E226" s="337" t="str">
        <f>wld_az2_host12_mgmt_ip</f>
        <v>Value Missing</v>
      </c>
    </row>
    <row r="227" spans="2:5" ht="20" customHeight="1" x14ac:dyDescent="0.2">
      <c r="B227" s="4" t="s">
        <v>239</v>
      </c>
      <c r="C227" s="337" t="str">
        <f>wld_az2_host13_fqdn</f>
        <v>Value Missing</v>
      </c>
      <c r="D227" s="337" t="str">
        <f>wld_az2_host13_hostname</f>
        <v>Value Missing</v>
      </c>
      <c r="E227" s="337" t="str">
        <f>wld_az2_host13_mgmt_ip</f>
        <v>Value Missing</v>
      </c>
    </row>
    <row r="228" spans="2:5" ht="20" customHeight="1" x14ac:dyDescent="0.2">
      <c r="B228" s="4" t="s">
        <v>241</v>
      </c>
      <c r="C228" s="337" t="str">
        <f>wld_az2_host14_fqdn</f>
        <v>Value Missing</v>
      </c>
      <c r="D228" s="337" t="str">
        <f>wld_az2_host14_hostname</f>
        <v>Value Missing</v>
      </c>
      <c r="E228" s="337" t="str">
        <f>wld_az2_host14_mgmt_ip</f>
        <v>Value Missing</v>
      </c>
    </row>
    <row r="229" spans="2:5" ht="20" customHeight="1" x14ac:dyDescent="0.2">
      <c r="B229" s="4" t="s">
        <v>243</v>
      </c>
      <c r="C229" s="337" t="str">
        <f>wld_az2_host15_fqdn</f>
        <v>Value Missing</v>
      </c>
      <c r="D229" s="337" t="str">
        <f>wld_az2_host15_hostname</f>
        <v>Value Missing</v>
      </c>
      <c r="E229" s="337" t="str">
        <f>wld_az2_host15_mgmt_ip</f>
        <v>Value Missing</v>
      </c>
    </row>
    <row r="230" spans="2:5" ht="20" customHeight="1" x14ac:dyDescent="0.2">
      <c r="B230" s="4" t="s">
        <v>245</v>
      </c>
      <c r="C230" s="337" t="str">
        <f>wld_az2_host16_fqdn</f>
        <v>Value Missing</v>
      </c>
      <c r="D230" s="337" t="str">
        <f>wld_az2_host16_hostname</f>
        <v>Value Missing</v>
      </c>
      <c r="E230" s="337" t="str">
        <f>wld_az2_host16_mgmt_ip</f>
        <v>Value Missing</v>
      </c>
    </row>
  </sheetData>
  <sheetProtection algorithmName="SHA-512" hashValue="7c1KLwlzuthRaH0GSI3Z6ZGzjgzNgHZ5n4CeeKnkoFzDYdU4aHstbEUyx1ZPELvPzMoOK2dsaiUiLfLbCFKmjg==" saltValue="uT6s1LweScKBdPFJaeWB1w==" spinCount="100000" sheet="1" objects="1" scenarios="1"/>
  <mergeCells count="30">
    <mergeCell ref="B58:H58"/>
    <mergeCell ref="B59:H59"/>
    <mergeCell ref="B63:H63"/>
    <mergeCell ref="B33:H33"/>
    <mergeCell ref="B34:H34"/>
    <mergeCell ref="B48:H48"/>
    <mergeCell ref="B8:H8"/>
    <mergeCell ref="B9:H9"/>
    <mergeCell ref="B22:H22"/>
    <mergeCell ref="B23:H23"/>
    <mergeCell ref="B47:H47"/>
    <mergeCell ref="B213:H213"/>
    <mergeCell ref="B202:H202"/>
    <mergeCell ref="B84:E84"/>
    <mergeCell ref="B183:H183"/>
    <mergeCell ref="B157:H157"/>
    <mergeCell ref="B158:H158"/>
    <mergeCell ref="B172:H172"/>
    <mergeCell ref="B146:H146"/>
    <mergeCell ref="B147:H147"/>
    <mergeCell ref="B171:H171"/>
    <mergeCell ref="B132:H132"/>
    <mergeCell ref="B133:H133"/>
    <mergeCell ref="B64:H64"/>
    <mergeCell ref="B111:H111"/>
    <mergeCell ref="B110:H110"/>
    <mergeCell ref="B212:H212"/>
    <mergeCell ref="B83:H83"/>
    <mergeCell ref="B130:H130"/>
    <mergeCell ref="B182:H182"/>
  </mergeCells>
  <phoneticPr fontId="9" type="noConversion"/>
  <conditionalFormatting sqref="C25:C31">
    <cfRule type="notContainsBlanks" dxfId="132" priority="35">
      <formula>LEN(TRIM(C25))&gt;0</formula>
    </cfRule>
    <cfRule type="containsBlanks" dxfId="131" priority="34">
      <formula>LEN(TRIM(C25))=0</formula>
    </cfRule>
    <cfRule type="expression" dxfId="130" priority="31">
      <formula>mgmt_vns_chosen&lt;&gt;"Centralized Connectivity"</formula>
    </cfRule>
    <cfRule type="expression" dxfId="129" priority="32">
      <formula>OR((mgmt_domain_result="Excluded"),(mgmt_vns_result="Excluded"))</formula>
    </cfRule>
  </conditionalFormatting>
  <conditionalFormatting sqref="C50:C56">
    <cfRule type="notContainsBlanks" dxfId="126" priority="24">
      <formula>LEN(TRIM(C50))&gt;0</formula>
    </cfRule>
  </conditionalFormatting>
  <conditionalFormatting sqref="C149:C155">
    <cfRule type="notContainsBlanks" dxfId="122" priority="6">
      <formula>LEN(TRIM(C149))&gt;0</formula>
    </cfRule>
  </conditionalFormatting>
  <conditionalFormatting sqref="C174:C180">
    <cfRule type="notContainsBlanks" dxfId="120" priority="3">
      <formula>LEN(TRIM(C174))&gt;0</formula>
    </cfRule>
  </conditionalFormatting>
  <conditionalFormatting sqref="C86:E108 C204:E210">
    <cfRule type="notContainsBlanks" dxfId="113" priority="81">
      <formula>LEN(TRIM(C86))&gt;0</formula>
    </cfRule>
    <cfRule type="containsBlanks" dxfId="112" priority="82">
      <formula>LEN(TRIM(C86))=0</formula>
    </cfRule>
  </conditionalFormatting>
  <conditionalFormatting sqref="C11:H20 C36:H45 C135:H144 C160:H169">
    <cfRule type="notContainsBlanks" dxfId="102" priority="110">
      <formula>LEN(TRIM(C11))&gt;0</formula>
    </cfRule>
    <cfRule type="containsBlanks" dxfId="101" priority="111">
      <formula>LEN(TRIM(C11))=0</formula>
    </cfRule>
  </conditionalFormatting>
  <conditionalFormatting sqref="C61:H61">
    <cfRule type="containsBlanks" dxfId="100" priority="11">
      <formula>LEN(TRIM(C61))=0</formula>
    </cfRule>
    <cfRule type="notContainsBlanks" dxfId="99" priority="10">
      <formula>LEN(TRIM(C61))&gt;0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3" operator="containsText" id="{2FFE3604-F9BF-B04B-AC9F-7A822C75374B}">
            <xm:f>NOT(ISERROR(SEARCH("Value Missing",C25)))</xm:f>
            <xm:f>"Value Missing"</xm:f>
            <x14:dxf>
              <font>
                <color theme="1"/>
              </font>
              <fill>
                <patternFill>
                  <bgColor rgb="FFFFBE29"/>
                </patternFill>
              </fill>
            </x14:dxf>
          </x14:cfRule>
          <xm:sqref>C25:C31</xm:sqref>
        </x14:conditionalFormatting>
        <x14:conditionalFormatting xmlns:xm="http://schemas.microsoft.com/office/excel/2006/main">
          <x14:cfRule type="containsText" priority="7" operator="containsText" id="{B02671E1-BCA0-504D-ADF6-B983BA71A0DD}">
            <xm:f>NOT(ISERROR(SEARCH("Not Required",C50)))</xm:f>
            <xm:f>"Not Required"</xm:f>
            <x14:dxf>
              <font>
                <color theme="0"/>
              </font>
              <fill>
                <patternFill>
                  <bgColor rgb="FF505F69"/>
                </patternFill>
              </fill>
            </x14:dxf>
          </x14:cfRule>
          <x14:cfRule type="containsText" priority="20" stopIfTrue="1" operator="containsText" id="{7806C691-691A-1847-9DAF-D5BA15D4CC6E}">
            <xm:f>NOT(ISERROR(SEARCH("Value Missing",C50)))</xm:f>
            <xm:f>"Value Missing"</xm:f>
            <x14:dxf>
              <font>
                <color theme="1"/>
              </font>
              <fill>
                <patternFill>
                  <bgColor rgb="FFFFBE29"/>
                </patternFill>
              </fill>
            </x14:dxf>
          </x14:cfRule>
          <xm:sqref>C50:C56</xm:sqref>
        </x14:conditionalFormatting>
        <x14:conditionalFormatting xmlns:xm="http://schemas.microsoft.com/office/excel/2006/main">
          <x14:cfRule type="containsText" priority="58" operator="containsText" id="{A35C960E-EA48-8642-898E-0A3D09C894C3}">
            <xm:f>NOT(ISERROR(SEARCH("Value Missing",C113)))</xm:f>
            <xm:f>"Value Missing"</xm:f>
            <x14:dxf>
              <font>
                <color theme="1"/>
              </font>
              <fill>
                <patternFill>
                  <bgColor rgb="FFFFBD29"/>
                </patternFill>
              </fill>
            </x14:dxf>
          </x14:cfRule>
          <xm:sqref>C149:C155 C174:C180 C113:E128 C132:E133 C135:E144 C146:E147 C157:E158 C160:E169 C171:E172</xm:sqref>
        </x14:conditionalFormatting>
        <x14:conditionalFormatting xmlns:xm="http://schemas.microsoft.com/office/excel/2006/main">
          <x14:cfRule type="containsText" priority="4" operator="containsText" id="{BE001C28-9B34-0646-BC9B-A4E854AD2567}">
            <xm:f>NOT(ISERROR(SEARCH("Not Required",C149)))</xm:f>
            <xm:f>"Not Required"</xm:f>
            <x14:dxf>
              <font>
                <color theme="0"/>
              </font>
              <fill>
                <patternFill>
                  <bgColor rgb="FF505F69"/>
                </patternFill>
              </fill>
            </x14:dxf>
          </x14:cfRule>
          <x14:cfRule type="containsText" priority="5" stopIfTrue="1" operator="containsText" id="{E93A3172-5505-404F-BA1C-B910953B1F95}">
            <xm:f>NOT(ISERROR(SEARCH("Value Missing",C149)))</xm:f>
            <xm:f>"Value Missing"</xm:f>
            <x14:dxf>
              <font>
                <color theme="1"/>
              </font>
              <fill>
                <patternFill>
                  <bgColor rgb="FFFFBE29"/>
                </patternFill>
              </fill>
            </x14:dxf>
          </x14:cfRule>
          <xm:sqref>C149:C155</xm:sqref>
        </x14:conditionalFormatting>
        <x14:conditionalFormatting xmlns:xm="http://schemas.microsoft.com/office/excel/2006/main">
          <x14:cfRule type="containsText" priority="2" stopIfTrue="1" operator="containsText" id="{6941E7B2-F462-124A-B17C-D1DC29906903}">
            <xm:f>NOT(ISERROR(SEARCH("Value Missing",C174)))</xm:f>
            <xm:f>"Value Missing"</xm:f>
            <x14:dxf>
              <font>
                <color theme="1"/>
              </font>
              <fill>
                <patternFill>
                  <bgColor rgb="FFFFBE29"/>
                </patternFill>
              </fill>
            </x14:dxf>
          </x14:cfRule>
          <x14:cfRule type="containsText" priority="1" operator="containsText" id="{96C1964B-0A08-E14E-BBC1-015CF0F93365}">
            <xm:f>NOT(ISERROR(SEARCH("Not Required",C174)))</xm:f>
            <xm:f>"Not Required"</xm:f>
            <x14:dxf>
              <font>
                <color theme="0"/>
              </font>
              <fill>
                <patternFill>
                  <bgColor rgb="FF505F69"/>
                </patternFill>
              </fill>
            </x14:dxf>
          </x14:cfRule>
          <xm:sqref>C174:C180</xm:sqref>
        </x14:conditionalFormatting>
        <x14:conditionalFormatting xmlns:xm="http://schemas.microsoft.com/office/excel/2006/main">
          <x14:cfRule type="containsText" priority="67" operator="containsText" id="{EDF2FEC1-E916-CB46-94D2-53CDA65CB16B}">
            <xm:f>NOT(ISERROR(SEARCH("Value Missing",C66)))</xm:f>
            <xm:f>"Value Missing"</xm:f>
            <x14:dxf>
              <font>
                <color theme="1"/>
              </font>
              <fill>
                <patternFill>
                  <bgColor rgb="FFFFBD29"/>
                </patternFill>
              </fill>
            </x14:dxf>
          </x14:cfRule>
          <x14:cfRule type="notContainsText" priority="69" operator="notContains" id="{571FEF58-1F03-6749-A09A-60EF644BCEA9}">
            <xm:f>ISERROR(SEARCH("Value Missing",C66))</xm:f>
            <xm:f>"Value Missing"</xm:f>
            <x14:dxf>
              <font>
                <color theme="1"/>
              </font>
              <fill>
                <patternFill>
                  <bgColor rgb="FFEFFDE3"/>
                </patternFill>
              </fill>
            </x14:dxf>
          </x14:cfRule>
          <x14:cfRule type="containsText" priority="68" operator="containsText" id="{79426EED-1EB3-8B48-8A54-66E7511F1F03}">
            <xm:f>NOT(ISERROR(SEARCH("Not Required",C66)))</xm:f>
            <xm:f>"Not Required"</xm:f>
            <x14:dxf>
              <font>
                <color theme="0"/>
              </font>
              <fill>
                <patternFill>
                  <bgColor rgb="FF506069"/>
                </patternFill>
              </fill>
            </x14:dxf>
          </x14:cfRule>
          <xm:sqref>C66:E81</xm:sqref>
        </x14:conditionalFormatting>
        <x14:conditionalFormatting xmlns:xm="http://schemas.microsoft.com/office/excel/2006/main">
          <x14:cfRule type="containsText" priority="79" operator="containsText" id="{80157483-73F8-014E-89C4-4C1347AFE6E6}">
            <xm:f>NOT(ISERROR(SEARCH("Not Required",C86)))</xm:f>
            <xm:f>"Not Required"</xm:f>
            <x14:dxf>
              <font>
                <color theme="0"/>
              </font>
              <fill>
                <patternFill>
                  <bgColor rgb="FF505F69"/>
                </patternFill>
              </fill>
            </x14:dxf>
          </x14:cfRule>
          <x14:cfRule type="containsText" priority="80" stopIfTrue="1" operator="containsText" id="{046BE289-BE91-8E44-B356-F624FE7885A9}">
            <xm:f>NOT(ISERROR(SEARCH("Value Missing",C86)))</xm:f>
            <xm:f>"Value Missing"</xm:f>
            <x14:dxf>
              <font>
                <color rgb="FF0E223A"/>
              </font>
              <fill>
                <patternFill>
                  <bgColor rgb="FFFFBE29"/>
                </patternFill>
              </fill>
            </x14:dxf>
          </x14:cfRule>
          <xm:sqref>C86:E108 C204:E210</xm:sqref>
        </x14:conditionalFormatting>
        <x14:conditionalFormatting xmlns:xm="http://schemas.microsoft.com/office/excel/2006/main">
          <x14:cfRule type="containsText" priority="59" operator="containsText" id="{41044BF3-70AA-724D-88C1-038A81258EBF}">
            <xm:f>NOT(ISERROR(SEARCH("Not Required",C113)))</xm:f>
            <xm:f>"Not Required"</xm:f>
            <x14:dxf>
              <font>
                <color theme="0"/>
              </font>
              <fill>
                <patternFill>
                  <bgColor rgb="FF506069"/>
                </patternFill>
              </fill>
            </x14:dxf>
          </x14:cfRule>
          <x14:cfRule type="notContainsText" priority="60" operator="notContains" id="{C62662A5-DD53-494B-B8FB-4DCA2B77A0D8}">
            <xm:f>ISERROR(SEARCH("Value Missing",C113))</xm:f>
            <xm:f>"Value Missing"</xm:f>
            <x14:dxf>
              <font>
                <color theme="1"/>
              </font>
              <fill>
                <patternFill>
                  <bgColor rgb="FFEFFDE3"/>
                </patternFill>
              </fill>
            </x14:dxf>
          </x14:cfRule>
          <xm:sqref>C113:E128 C132:E133 C135:E144 C146:E147 C149:C155 C157:E158 C160:E169 C171:E172 C174:C180</xm:sqref>
        </x14:conditionalFormatting>
        <x14:conditionalFormatting xmlns:xm="http://schemas.microsoft.com/office/excel/2006/main">
          <x14:cfRule type="containsText" priority="49" operator="containsText" id="{16B6C646-FEC4-F545-847B-ADB830B00EF3}">
            <xm:f>NOT(ISERROR(SEARCH("Value Missing",C185)))</xm:f>
            <xm:f>"Value Missing"</xm:f>
            <x14:dxf>
              <font>
                <color theme="1"/>
              </font>
              <fill>
                <patternFill>
                  <bgColor rgb="FFFFBD29"/>
                </patternFill>
              </fill>
            </x14:dxf>
          </x14:cfRule>
          <x14:cfRule type="containsText" priority="50" operator="containsText" id="{ACE38C15-1344-704F-BC33-600823142192}">
            <xm:f>NOT(ISERROR(SEARCH("Not Required",C185)))</xm:f>
            <xm:f>"Not Required"</xm:f>
            <x14:dxf>
              <font>
                <color theme="0"/>
              </font>
              <fill>
                <patternFill>
                  <bgColor rgb="FF506069"/>
                </patternFill>
              </fill>
            </x14:dxf>
          </x14:cfRule>
          <x14:cfRule type="notContainsText" priority="51" operator="notContains" id="{0E8FF85A-7A70-9B48-94F8-88A51242BDBB}">
            <xm:f>ISERROR(SEARCH("Value Missing",C185))</xm:f>
            <xm:f>"Value Missing"</xm:f>
            <x14:dxf>
              <font>
                <color theme="1"/>
              </font>
              <fill>
                <patternFill>
                  <bgColor rgb="FFEFFDE3"/>
                </patternFill>
              </fill>
            </x14:dxf>
          </x14:cfRule>
          <xm:sqref>C185:E200</xm:sqref>
        </x14:conditionalFormatting>
        <x14:conditionalFormatting xmlns:xm="http://schemas.microsoft.com/office/excel/2006/main">
          <x14:cfRule type="containsText" priority="41" operator="containsText" id="{B56F3191-42D5-4547-AFA1-8DF9498EF5C9}">
            <xm:f>NOT(ISERROR(SEARCH("Not Required",C215)))</xm:f>
            <xm:f>"Not Required"</xm:f>
            <x14:dxf>
              <font>
                <color theme="0"/>
              </font>
              <fill>
                <patternFill>
                  <bgColor rgb="FF506069"/>
                </patternFill>
              </fill>
            </x14:dxf>
          </x14:cfRule>
          <x14:cfRule type="notContainsText" priority="42" operator="notContains" id="{5306F36E-1C79-1442-9798-85FAB0D35165}">
            <xm:f>ISERROR(SEARCH("Value Missing",C215))</xm:f>
            <xm:f>"Value Missing"</xm:f>
            <x14:dxf>
              <font>
                <color theme="1"/>
              </font>
              <fill>
                <patternFill>
                  <bgColor rgb="FFEFFDE3"/>
                </patternFill>
              </fill>
            </x14:dxf>
          </x14:cfRule>
          <x14:cfRule type="containsText" priority="40" operator="containsText" id="{90B129F5-3CE9-3E4E-9765-4AAF9F9B34C8}">
            <xm:f>NOT(ISERROR(SEARCH("Value Missing",C215)))</xm:f>
            <xm:f>"Value Missing"</xm:f>
            <x14:dxf>
              <font>
                <color theme="1"/>
              </font>
              <fill>
                <patternFill>
                  <bgColor rgb="FFFFBD29"/>
                </patternFill>
              </fill>
            </x14:dxf>
          </x14:cfRule>
          <xm:sqref>C215:E230</xm:sqref>
        </x14:conditionalFormatting>
        <x14:conditionalFormatting xmlns:xm="http://schemas.microsoft.com/office/excel/2006/main">
          <x14:cfRule type="containsText" priority="109" stopIfTrue="1" operator="containsText" id="{0EBE07C1-072B-6343-90B1-9C2E9B4702CB}">
            <xm:f>NOT(ISERROR(SEARCH("Value Missing",C11)))</xm:f>
            <xm:f>"Value Missing"</xm:f>
            <x14:dxf>
              <font>
                <color rgb="FF0E223A"/>
              </font>
              <fill>
                <patternFill>
                  <bgColor rgb="FFFFBE29"/>
                </patternFill>
              </fill>
            </x14:dxf>
          </x14:cfRule>
          <xm:sqref>C11:H20 C36:H45 C135:H144 C160:H169</xm:sqref>
        </x14:conditionalFormatting>
        <x14:conditionalFormatting xmlns:xm="http://schemas.microsoft.com/office/excel/2006/main">
          <x14:cfRule type="containsText" priority="9" stopIfTrue="1" operator="containsText" id="{333ADC62-B758-014B-8A72-A2F8E3FF5675}">
            <xm:f>NOT(ISERROR(SEARCH("Value Missing",C61)))</xm:f>
            <xm:f>"Value Missing"</xm:f>
            <x14:dxf>
              <font>
                <color rgb="FF0E223A"/>
              </font>
              <fill>
                <patternFill>
                  <bgColor rgb="FFFFBE29"/>
                </patternFill>
              </fill>
            </x14:dxf>
          </x14:cfRule>
          <x14:cfRule type="containsText" priority="8" operator="containsText" id="{A159D94C-199C-144B-AEC9-75590D7EE259}">
            <xm:f>NOT(ISERROR(SEARCH("Not Required",C61)))</xm:f>
            <xm:f>"Not Required"</xm:f>
            <x14:dxf>
              <font>
                <color theme="0"/>
              </font>
              <fill>
                <patternFill>
                  <bgColor rgb="FF505F69"/>
                </patternFill>
              </fill>
            </x14:dxf>
          </x14:cfRule>
          <xm:sqref>C61:H61</xm:sqref>
        </x14:conditionalFormatting>
        <x14:conditionalFormatting xmlns:xm="http://schemas.microsoft.com/office/excel/2006/main">
          <x14:cfRule type="containsText" priority="107" operator="containsText" id="{BEE524AA-4639-0940-A7BD-2B2FC3FF2709}">
            <xm:f>NOT(ISERROR(SEARCH("Not Required",C11)))</xm:f>
            <xm:f>"Not Required"</xm:f>
            <x14:dxf>
              <font>
                <color theme="0"/>
              </font>
              <fill>
                <patternFill>
                  <bgColor rgb="FF505F69"/>
                </patternFill>
              </fill>
            </x14:dxf>
          </x14:cfRule>
          <xm:sqref>C135:H144 C160:H169 C11:H20 C36:H45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9"/>
  <sheetViews>
    <sheetView showGridLines="0" workbookViewId="0">
      <pane ySplit="4" topLeftCell="A5" activePane="bottomLeft" state="frozen"/>
      <selection pane="bottomLeft" activeCell="D25" sqref="D25"/>
    </sheetView>
  </sheetViews>
  <sheetFormatPr baseColWidth="10" defaultColWidth="11" defaultRowHeight="16" x14ac:dyDescent="0.2"/>
  <cols>
    <col min="1" max="1" width="2.83203125" customWidth="1"/>
    <col min="2" max="2" width="14.1640625" customWidth="1"/>
    <col min="3" max="3" width="19.33203125" customWidth="1"/>
    <col min="4" max="4" width="75.83203125" customWidth="1"/>
    <col min="5" max="5" width="151.83203125" customWidth="1"/>
  </cols>
  <sheetData>
    <row r="1" spans="1:6" x14ac:dyDescent="0.2">
      <c r="A1" s="120"/>
      <c r="B1" s="120"/>
      <c r="C1" s="120"/>
      <c r="D1" s="120"/>
      <c r="E1" s="120"/>
      <c r="F1" s="120"/>
    </row>
    <row r="2" spans="1:6" ht="54" customHeight="1" x14ac:dyDescent="0.2">
      <c r="A2" s="248"/>
      <c r="B2" s="639" t="s">
        <v>3286</v>
      </c>
      <c r="C2" s="640"/>
      <c r="D2" s="640"/>
      <c r="E2" s="641"/>
      <c r="F2" s="120"/>
    </row>
    <row r="3" spans="1:6" x14ac:dyDescent="0.2">
      <c r="A3" s="249"/>
      <c r="B3" s="495" t="s">
        <v>1</v>
      </c>
      <c r="C3" s="496"/>
      <c r="D3" s="496"/>
      <c r="E3" s="638"/>
      <c r="F3" s="250"/>
    </row>
    <row r="4" spans="1:6" x14ac:dyDescent="0.2">
      <c r="A4" s="120"/>
      <c r="B4" s="120"/>
      <c r="C4" s="120"/>
      <c r="D4" s="120"/>
      <c r="E4" s="120"/>
      <c r="F4" s="120"/>
    </row>
    <row r="6" spans="1:6" ht="34" customHeight="1" x14ac:dyDescent="0.2">
      <c r="B6" s="425" t="s">
        <v>3338</v>
      </c>
      <c r="C6" s="426"/>
      <c r="D6" s="426"/>
      <c r="E6" s="427"/>
    </row>
    <row r="7" spans="1:6" ht="20" customHeight="1" x14ac:dyDescent="0.2">
      <c r="B7" s="353" t="s">
        <v>195</v>
      </c>
      <c r="C7" s="354" t="s">
        <v>3339</v>
      </c>
      <c r="D7" s="466" t="s">
        <v>3340</v>
      </c>
      <c r="E7" s="467"/>
    </row>
    <row r="8" spans="1:6" ht="39" customHeight="1" x14ac:dyDescent="0.2">
      <c r="B8" s="99" t="s">
        <v>4027</v>
      </c>
      <c r="C8" s="99" t="s">
        <v>4028</v>
      </c>
      <c r="D8" s="649" t="s">
        <v>4029</v>
      </c>
      <c r="E8" s="644"/>
    </row>
    <row r="9" spans="1:6" ht="103" customHeight="1" x14ac:dyDescent="0.2">
      <c r="B9" s="99" t="s">
        <v>3341</v>
      </c>
      <c r="C9" s="99" t="s">
        <v>3342</v>
      </c>
      <c r="D9" s="649" t="s">
        <v>3343</v>
      </c>
      <c r="E9" s="644"/>
    </row>
    <row r="10" spans="1:6" ht="103" customHeight="1" x14ac:dyDescent="0.2">
      <c r="B10" s="99" t="s">
        <v>3344</v>
      </c>
      <c r="C10" s="99" t="s">
        <v>3345</v>
      </c>
      <c r="D10" s="649" t="s">
        <v>3346</v>
      </c>
      <c r="E10" s="644"/>
    </row>
    <row r="11" spans="1:6" ht="25" customHeight="1" x14ac:dyDescent="0.2">
      <c r="B11" s="99" t="s">
        <v>3347</v>
      </c>
      <c r="C11" s="99" t="s">
        <v>3348</v>
      </c>
      <c r="D11" s="649" t="s">
        <v>3349</v>
      </c>
      <c r="E11" s="644"/>
    </row>
    <row r="12" spans="1:6" ht="20" customHeight="1" x14ac:dyDescent="0.2">
      <c r="B12" s="99" t="s">
        <v>3350</v>
      </c>
      <c r="C12" s="99" t="s">
        <v>3348</v>
      </c>
      <c r="D12" s="649" t="s">
        <v>3351</v>
      </c>
      <c r="E12" s="644"/>
    </row>
    <row r="13" spans="1:6" ht="68" customHeight="1" x14ac:dyDescent="0.2">
      <c r="B13" s="99" t="s">
        <v>3352</v>
      </c>
      <c r="C13" s="99" t="s">
        <v>3353</v>
      </c>
      <c r="D13" s="649" t="s">
        <v>3354</v>
      </c>
      <c r="E13" s="644"/>
    </row>
    <row r="14" spans="1:6" ht="81" customHeight="1" x14ac:dyDescent="0.2">
      <c r="B14" s="99" t="s">
        <v>3355</v>
      </c>
      <c r="C14" s="99" t="s">
        <v>3356</v>
      </c>
      <c r="D14" s="647" t="s">
        <v>3357</v>
      </c>
      <c r="E14" s="648"/>
    </row>
    <row r="15" spans="1:6" ht="20" customHeight="1" x14ac:dyDescent="0.2">
      <c r="B15" s="99" t="s">
        <v>3358</v>
      </c>
      <c r="C15" s="99" t="s">
        <v>3359</v>
      </c>
      <c r="D15" s="643" t="s">
        <v>3360</v>
      </c>
      <c r="E15" s="644"/>
    </row>
    <row r="17" spans="2:5" ht="34" customHeight="1" x14ac:dyDescent="0.2">
      <c r="B17" s="425" t="s">
        <v>20</v>
      </c>
      <c r="C17" s="426"/>
      <c r="D17" s="426"/>
      <c r="E17" s="427"/>
    </row>
    <row r="18" spans="2:5" ht="20" customHeight="1" x14ac:dyDescent="0.2">
      <c r="B18" s="465" t="s">
        <v>3361</v>
      </c>
      <c r="C18" s="466"/>
      <c r="D18" s="466"/>
      <c r="E18" s="467"/>
    </row>
    <row r="19" spans="2:5" ht="20" customHeight="1" x14ac:dyDescent="0.2">
      <c r="B19" s="645" t="s">
        <v>3362</v>
      </c>
      <c r="C19" s="646"/>
      <c r="D19" s="646"/>
      <c r="E19" s="644"/>
    </row>
  </sheetData>
  <sheetProtection algorithmName="SHA-512" hashValue="qBPsOcGrwY0sHRBio8V6onIBGydoj7lVP9sFEDK+9vfKqJLVVMqLeR5s0i5qDmTft693QqSmLm7f+rW+lZrp2w==" saltValue="wBbHkYLDhQRrvF/uwQEH3g==" spinCount="100000" sheet="1" scenarios="1" selectLockedCells="1" selectUnlockedCells="1"/>
  <mergeCells count="15">
    <mergeCell ref="D15:E15"/>
    <mergeCell ref="B17:E17"/>
    <mergeCell ref="B18:E18"/>
    <mergeCell ref="B19:E19"/>
    <mergeCell ref="B2:E2"/>
    <mergeCell ref="B3:E3"/>
    <mergeCell ref="B6:E6"/>
    <mergeCell ref="D7:E7"/>
    <mergeCell ref="D14:E14"/>
    <mergeCell ref="D13:E13"/>
    <mergeCell ref="D12:E12"/>
    <mergeCell ref="D11:E11"/>
    <mergeCell ref="D10:E10"/>
    <mergeCell ref="D9:E9"/>
    <mergeCell ref="D8:E8"/>
  </mergeCells>
  <pageMargins left="0.7" right="0.7" top="0.75" bottom="0.75" header="0.3" footer="0.3"/>
  <pageSetup paperSize="9" orientation="portrait" horizontalDpi="0"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937-C493-3C41-B7F5-E010B4442F4B}">
  <sheetPr codeName="Sheet36">
    <tabColor theme="4" tint="0.39997558519241921"/>
  </sheetPr>
  <dimension ref="A1:F112"/>
  <sheetViews>
    <sheetView showGridLines="0" zoomScaleNormal="100" workbookViewId="0">
      <pane ySplit="5" topLeftCell="A86" activePane="bottomLeft" state="frozen"/>
      <selection pane="bottomLeft" activeCell="D68" sqref="D68"/>
    </sheetView>
  </sheetViews>
  <sheetFormatPr baseColWidth="10" defaultColWidth="11" defaultRowHeight="16" x14ac:dyDescent="0.2"/>
  <cols>
    <col min="1" max="1" width="2.83203125" style="19" customWidth="1"/>
    <col min="2" max="2" width="63.83203125" style="19" customWidth="1"/>
    <col min="3" max="4" width="80.83203125" style="19" customWidth="1"/>
    <col min="5" max="5" width="60.83203125" style="19" customWidth="1"/>
    <col min="6" max="6" width="2.83203125" style="19" customWidth="1"/>
    <col min="7" max="14" width="11" style="19" customWidth="1"/>
    <col min="15" max="16384" width="11" style="19"/>
  </cols>
  <sheetData>
    <row r="1" spans="1:6" s="7" customFormat="1" ht="16" customHeight="1" x14ac:dyDescent="0.2">
      <c r="A1" s="39"/>
    </row>
    <row r="2" spans="1:6" s="7" customFormat="1" ht="54" customHeight="1" x14ac:dyDescent="0.2">
      <c r="B2" s="650" t="s">
        <v>3363</v>
      </c>
      <c r="C2" s="651"/>
      <c r="D2" s="651"/>
      <c r="E2" s="652"/>
    </row>
    <row r="3" spans="1:6" s="7" customFormat="1" ht="20" customHeight="1" x14ac:dyDescent="0.2">
      <c r="B3" s="628" t="s">
        <v>3364</v>
      </c>
      <c r="C3" s="629"/>
      <c r="D3" s="629"/>
      <c r="E3" s="630"/>
    </row>
    <row r="5" spans="1:6" s="7" customFormat="1" x14ac:dyDescent="0.2">
      <c r="D5" s="212"/>
      <c r="E5" s="40"/>
      <c r="F5" s="40"/>
    </row>
    <row r="7" spans="1:6" s="2" customFormat="1" ht="34" customHeight="1" x14ac:dyDescent="0.2">
      <c r="B7" s="522" t="s">
        <v>3365</v>
      </c>
      <c r="C7" s="523"/>
      <c r="D7" s="523"/>
      <c r="E7" s="524"/>
    </row>
    <row r="8" spans="1:6" s="2" customFormat="1" ht="20" customHeight="1" x14ac:dyDescent="0.2">
      <c r="B8" s="336" t="s">
        <v>261</v>
      </c>
      <c r="C8" s="336" t="s">
        <v>262</v>
      </c>
      <c r="D8" s="184" t="s">
        <v>19</v>
      </c>
      <c r="E8" s="336" t="s">
        <v>20</v>
      </c>
    </row>
    <row r="9" spans="1:6" s="2" customFormat="1" ht="20" customHeight="1" x14ac:dyDescent="0.2">
      <c r="B9" s="4" t="s">
        <v>1813</v>
      </c>
      <c r="C9" s="362" t="s">
        <v>3366</v>
      </c>
      <c r="D9" s="347"/>
      <c r="E9" s="337"/>
    </row>
    <row r="10" spans="1:6" s="2" customFormat="1" ht="20" customHeight="1" x14ac:dyDescent="0.2">
      <c r="B10" s="4" t="s">
        <v>1816</v>
      </c>
      <c r="E10" s="337"/>
    </row>
    <row r="11" spans="1:6" s="2" customFormat="1" ht="20" customHeight="1" x14ac:dyDescent="0.2">
      <c r="B11" s="4" t="s">
        <v>1821</v>
      </c>
      <c r="E11" s="337"/>
    </row>
    <row r="12" spans="1:6" s="2" customFormat="1" ht="20" customHeight="1" x14ac:dyDescent="0.2">
      <c r="B12" s="4" t="s">
        <v>1825</v>
      </c>
      <c r="E12" s="337"/>
    </row>
    <row r="13" spans="1:6" s="2" customFormat="1" ht="20" customHeight="1" x14ac:dyDescent="0.2">
      <c r="B13" s="621" t="s">
        <v>3367</v>
      </c>
      <c r="C13" s="622"/>
      <c r="D13" s="622"/>
      <c r="E13" s="623"/>
    </row>
    <row r="14" spans="1:6" s="2" customFormat="1" ht="20" customHeight="1" x14ac:dyDescent="0.2">
      <c r="B14" s="166" t="s">
        <v>261</v>
      </c>
      <c r="C14" s="166" t="s">
        <v>262</v>
      </c>
      <c r="D14" s="167" t="s">
        <v>19</v>
      </c>
      <c r="E14" s="166" t="s">
        <v>20</v>
      </c>
    </row>
    <row r="15" spans="1:6" s="2" customFormat="1" ht="20" customHeight="1" x14ac:dyDescent="0.2">
      <c r="B15" s="4" t="s">
        <v>2008</v>
      </c>
      <c r="C15" s="126" t="str">
        <f>CONCATENATE(this_instance,"-w0",wld_domain_number_chosen,"-ns01")</f>
        <v>sfo-w01-ns01</v>
      </c>
      <c r="D15" s="347"/>
      <c r="E15" s="337"/>
    </row>
    <row r="16" spans="1:6" s="2" customFormat="1" ht="20" customHeight="1" x14ac:dyDescent="0.2">
      <c r="B16" s="4" t="s">
        <v>3368</v>
      </c>
      <c r="E16" s="337"/>
    </row>
    <row r="17" spans="2:5" s="2" customFormat="1" ht="34" customHeight="1" x14ac:dyDescent="0.2">
      <c r="B17" s="522" t="s">
        <v>3369</v>
      </c>
      <c r="C17" s="523"/>
      <c r="D17" s="523"/>
      <c r="E17" s="524"/>
    </row>
    <row r="18" spans="2:5" s="2" customFormat="1" ht="20" customHeight="1" x14ac:dyDescent="0.2">
      <c r="B18" s="336" t="s">
        <v>261</v>
      </c>
      <c r="C18" s="336" t="s">
        <v>262</v>
      </c>
      <c r="D18" s="184" t="s">
        <v>19</v>
      </c>
      <c r="E18" s="336" t="s">
        <v>20</v>
      </c>
    </row>
    <row r="19" spans="2:5" s="2" customFormat="1" ht="20" customHeight="1" x14ac:dyDescent="0.2">
      <c r="B19" s="4" t="s">
        <v>3370</v>
      </c>
      <c r="C19" s="126" t="str">
        <f>CONCATENATE(this_instance,"-",workload_descriptor,"-seg01-tanzu")</f>
        <v>sfo-w01-seg01-tanzu</v>
      </c>
      <c r="D19" s="347"/>
      <c r="E19" s="337"/>
    </row>
    <row r="20" spans="2:5" s="2" customFormat="1" ht="20" customHeight="1" x14ac:dyDescent="0.2">
      <c r="B20" s="4" t="s">
        <v>1692</v>
      </c>
      <c r="C20" s="126" t="str">
        <f>IF(mgmt_consolidated_result="Included",CONCATENATE(sample_mgmt_tier0_name,"-prefixlist"),CONCATENATE(sample_wld_tier0_name,"-prefixlist"))</f>
        <v>sfo-w01-ec01-t0-gw01-prefixlist</v>
      </c>
      <c r="D20" s="347"/>
      <c r="E20" s="337"/>
    </row>
    <row r="21" spans="2:5" s="2" customFormat="1" ht="20" customHeight="1" x14ac:dyDescent="0.2">
      <c r="B21" s="4" t="s">
        <v>1698</v>
      </c>
      <c r="C21" s="126" t="str">
        <f>IF(mgmt_consolidated_result="Included",CONCATENATE(sample_mgmt_tier0_name,"-routemap"),CONCATENATE(sample_wld_tier0_name,"-routemap"))</f>
        <v>sfo-w01-ec01-t0-gw01-routemap</v>
      </c>
      <c r="D21" s="347"/>
      <c r="E21" s="337"/>
    </row>
    <row r="22" spans="2:5" s="2" customFormat="1" ht="20" customHeight="1" x14ac:dyDescent="0.2">
      <c r="B22" s="4" t="s">
        <v>1718</v>
      </c>
      <c r="C22" s="126" t="s">
        <v>3371</v>
      </c>
      <c r="D22" s="347"/>
      <c r="E22" s="337"/>
    </row>
    <row r="23" spans="2:5" s="2" customFormat="1" ht="20" customHeight="1" x14ac:dyDescent="0.2">
      <c r="B23" s="4" t="s">
        <v>1722</v>
      </c>
      <c r="C23" s="126" t="s">
        <v>3372</v>
      </c>
      <c r="D23" s="347"/>
      <c r="E23" s="337"/>
    </row>
    <row r="24" spans="2:5" s="2" customFormat="1" ht="20" customHeight="1" x14ac:dyDescent="0.2">
      <c r="B24" s="4" t="s">
        <v>1726</v>
      </c>
      <c r="C24" s="142"/>
      <c r="E24" s="337"/>
    </row>
    <row r="25" spans="2:5" s="2" customFormat="1" ht="20" customHeight="1" x14ac:dyDescent="0.2">
      <c r="B25" s="4" t="s">
        <v>1732</v>
      </c>
      <c r="C25" s="142"/>
      <c r="E25" s="337"/>
    </row>
    <row r="26" spans="2:5" s="2" customFormat="1" ht="20" customHeight="1" x14ac:dyDescent="0.2">
      <c r="B26" s="4" t="s">
        <v>3373</v>
      </c>
      <c r="C26" s="126" t="s">
        <v>3374</v>
      </c>
      <c r="D26" s="347"/>
      <c r="E26" s="337"/>
    </row>
    <row r="27" spans="2:5" s="2" customFormat="1" ht="20" customHeight="1" x14ac:dyDescent="0.2">
      <c r="B27" s="4" t="s">
        <v>3375</v>
      </c>
      <c r="C27" s="126" t="s">
        <v>3376</v>
      </c>
      <c r="D27" s="347"/>
      <c r="E27" s="337"/>
    </row>
    <row r="28" spans="2:5" s="2" customFormat="1" ht="20" customHeight="1" x14ac:dyDescent="0.2">
      <c r="B28" s="6"/>
    </row>
    <row r="29" spans="2:5" s="2" customFormat="1" ht="20" customHeight="1" x14ac:dyDescent="0.2">
      <c r="B29" s="6"/>
    </row>
    <row r="30" spans="2:5" s="2" customFormat="1" ht="20" customHeight="1" x14ac:dyDescent="0.2">
      <c r="B30" s="6"/>
    </row>
    <row r="31" spans="2:5" s="2" customFormat="1" ht="20" customHeight="1" x14ac:dyDescent="0.2">
      <c r="B31" s="6"/>
    </row>
    <row r="32" spans="2:5" ht="16" customHeight="1" x14ac:dyDescent="0.2"/>
    <row r="33" spans="2:5" ht="34" customHeight="1" x14ac:dyDescent="0.2">
      <c r="B33" s="522" t="s">
        <v>3377</v>
      </c>
      <c r="C33" s="523"/>
      <c r="D33" s="523"/>
      <c r="E33" s="524"/>
    </row>
    <row r="34" spans="2:5" ht="20" customHeight="1" x14ac:dyDescent="0.2">
      <c r="B34" s="336" t="s">
        <v>261</v>
      </c>
      <c r="C34" s="336" t="s">
        <v>262</v>
      </c>
      <c r="D34" s="184" t="s">
        <v>19</v>
      </c>
      <c r="E34" s="336" t="s">
        <v>20</v>
      </c>
    </row>
    <row r="35" spans="2:5" ht="20" customHeight="1" x14ac:dyDescent="0.2">
      <c r="B35" s="30" t="s">
        <v>368</v>
      </c>
      <c r="C35" s="362" t="str">
        <f>IF(mgmt_consolidated_result="Included",CONCATENATE(sample_mgmt_vc_fqdn),CONCATENATE(sample_wld_vc_fqdn))</f>
        <v>sfo-w01-vc01.sfo.rainpole.io</v>
      </c>
      <c r="D35" s="99" t="str">
        <f>dri_vcenter_fqdn</f>
        <v>Value Missing</v>
      </c>
      <c r="E35" s="204"/>
    </row>
    <row r="36" spans="2:5" ht="16" customHeight="1" x14ac:dyDescent="0.2"/>
    <row r="37" spans="2:5" ht="34" customHeight="1" x14ac:dyDescent="0.2">
      <c r="B37" s="522" t="s">
        <v>3378</v>
      </c>
      <c r="C37" s="523"/>
      <c r="D37" s="523"/>
      <c r="E37" s="524"/>
    </row>
    <row r="38" spans="2:5" ht="20" customHeight="1" x14ac:dyDescent="0.2">
      <c r="B38" s="336" t="s">
        <v>261</v>
      </c>
      <c r="C38" s="336" t="s">
        <v>262</v>
      </c>
      <c r="D38" s="184" t="s">
        <v>19</v>
      </c>
      <c r="E38" s="336" t="s">
        <v>20</v>
      </c>
    </row>
    <row r="39" spans="2:5" ht="20" customHeight="1" x14ac:dyDescent="0.2">
      <c r="B39" s="30" t="s">
        <v>368</v>
      </c>
      <c r="C39" s="362" t="str">
        <f>IF(mgmt_consolidated_result="Included",CONCATENATE(sample_mgmt_vc_fqdn),CONCATENATE(sample_wld_vc_fqdn))</f>
        <v>sfo-w01-vc01.sfo.rainpole.io</v>
      </c>
      <c r="D39" s="99" t="str">
        <f>dri_vcenter_fqdn</f>
        <v>Value Missing</v>
      </c>
      <c r="E39" s="204"/>
    </row>
    <row r="40" spans="2:5" ht="20" customHeight="1" x14ac:dyDescent="0.2">
      <c r="B40" s="30" t="s">
        <v>3379</v>
      </c>
      <c r="C40" s="362" t="str">
        <f>sample_sddc_mgr_fqdn</f>
        <v>sfo-vcf01.sfo.rainpole.io</v>
      </c>
      <c r="D40" s="99" t="str">
        <f>sddc_mgr_fqdn</f>
        <v>Value Missing</v>
      </c>
      <c r="E40" s="204"/>
    </row>
    <row r="41" spans="2:5" ht="16" customHeight="1" x14ac:dyDescent="0.2"/>
    <row r="42" spans="2:5" ht="34" customHeight="1" x14ac:dyDescent="0.2">
      <c r="B42" s="522" t="s">
        <v>3380</v>
      </c>
      <c r="C42" s="523"/>
      <c r="D42" s="523"/>
      <c r="E42" s="524"/>
    </row>
    <row r="43" spans="2:5" ht="20" customHeight="1" x14ac:dyDescent="0.2">
      <c r="B43" s="336" t="s">
        <v>261</v>
      </c>
      <c r="C43" s="336" t="s">
        <v>262</v>
      </c>
      <c r="D43" s="184" t="s">
        <v>19</v>
      </c>
      <c r="E43" s="336" t="s">
        <v>20</v>
      </c>
    </row>
    <row r="44" spans="2:5" ht="20" customHeight="1" x14ac:dyDescent="0.2">
      <c r="B44" s="30" t="s">
        <v>368</v>
      </c>
      <c r="C44" s="362" t="str">
        <f>IF(mgmt_consolidated_result="Included",CONCATENATE(sample_mgmt_vc_fqdn),CONCATENATE(sample_wld_vc_fqdn))</f>
        <v>sfo-w01-vc01.sfo.rainpole.io</v>
      </c>
      <c r="D44" s="99" t="str">
        <f>dri_vcenter_fqdn</f>
        <v>Value Missing</v>
      </c>
      <c r="E44" s="204"/>
    </row>
    <row r="45" spans="2:5" ht="20" customHeight="1" x14ac:dyDescent="0.2">
      <c r="B45" s="213" t="s">
        <v>732</v>
      </c>
      <c r="C45" s="362" t="str">
        <f>IF(mgmt_consolidated_result="Included",sample_mgmt_cl01_cluster,sample_mgmt_cl01_cluster)</f>
        <v>sfo-m01-cl01</v>
      </c>
      <c r="D45" s="99" t="str">
        <f>dri_vcenter_cluster</f>
        <v>Value Missing</v>
      </c>
      <c r="E45" s="204"/>
    </row>
    <row r="46" spans="2:5" ht="16" customHeight="1" x14ac:dyDescent="0.2">
      <c r="B46" s="213" t="s">
        <v>261</v>
      </c>
      <c r="C46" s="126" t="str">
        <f>CONCATENATE(this_instance,"-w0",wld_domain_number_chosen,"-tkc01")</f>
        <v>sfo-w01-tkc01</v>
      </c>
      <c r="D46" s="347"/>
      <c r="E46" s="204"/>
    </row>
    <row r="47" spans="2:5" ht="20" customHeight="1" x14ac:dyDescent="0.2">
      <c r="B47" s="213" t="s">
        <v>2048</v>
      </c>
      <c r="C47" s="126" t="s">
        <v>3381</v>
      </c>
      <c r="D47" s="347"/>
      <c r="E47" s="204"/>
    </row>
    <row r="48" spans="2:5" ht="16" customHeight="1" x14ac:dyDescent="0.2"/>
    <row r="49" spans="2:5" ht="34" customHeight="1" x14ac:dyDescent="0.2">
      <c r="B49" s="522" t="s">
        <v>3382</v>
      </c>
      <c r="C49" s="523"/>
      <c r="D49" s="523"/>
      <c r="E49" s="524"/>
    </row>
    <row r="50" spans="2:5" ht="20" customHeight="1" x14ac:dyDescent="0.2">
      <c r="B50" s="336" t="s">
        <v>261</v>
      </c>
      <c r="C50" s="336" t="s">
        <v>262</v>
      </c>
      <c r="D50" s="184" t="s">
        <v>19</v>
      </c>
      <c r="E50" s="336" t="s">
        <v>20</v>
      </c>
    </row>
    <row r="51" spans="2:5" ht="20" customHeight="1" x14ac:dyDescent="0.2">
      <c r="B51" s="30" t="s">
        <v>368</v>
      </c>
      <c r="C51" s="362" t="str">
        <f>IF(mgmt_consolidated_result="Included",CONCATENATE(sample_mgmt_vc_fqdn),CONCATENATE(sample_wld_vc_fqdn))</f>
        <v>sfo-w01-vc01.sfo.rainpole.io</v>
      </c>
      <c r="D51" s="99" t="str">
        <f>dri_vcenter_fqdn</f>
        <v>Value Missing</v>
      </c>
      <c r="E51" s="204"/>
    </row>
    <row r="52" spans="2:5" ht="20" customHeight="1" x14ac:dyDescent="0.2">
      <c r="B52" s="213" t="s">
        <v>3383</v>
      </c>
      <c r="C52" s="362" t="str">
        <f>sample_k8s_cluster_name</f>
        <v>sfo-w01-tkc01</v>
      </c>
      <c r="D52" s="99"/>
      <c r="E52" s="204"/>
    </row>
    <row r="53" spans="2:5" ht="20" customHeight="1" x14ac:dyDescent="0.2">
      <c r="B53" s="213" t="s">
        <v>3384</v>
      </c>
      <c r="C53" s="362" t="str">
        <f>sample_gg_kub_admins_group</f>
        <v>gg-kub-admins</v>
      </c>
      <c r="D53" s="99" t="str">
        <f>group_gg_kub_admins</f>
        <v>Value Missing</v>
      </c>
      <c r="E53" s="204"/>
    </row>
    <row r="54" spans="2:5" ht="20" customHeight="1" x14ac:dyDescent="0.2">
      <c r="B54" s="213" t="s">
        <v>3385</v>
      </c>
      <c r="C54" s="362" t="str">
        <f>sample_gg_kub_readonly_group</f>
        <v>gg-kub-readonly</v>
      </c>
      <c r="D54" s="99" t="str">
        <f>group_gg_kub_readonly</f>
        <v>Value Missing</v>
      </c>
      <c r="E54" s="204"/>
    </row>
    <row r="55" spans="2:5" ht="16" customHeight="1" x14ac:dyDescent="0.2"/>
    <row r="56" spans="2:5" ht="34" customHeight="1" x14ac:dyDescent="0.2">
      <c r="B56" s="522" t="s">
        <v>3386</v>
      </c>
      <c r="C56" s="523"/>
      <c r="D56" s="523"/>
      <c r="E56" s="524"/>
    </row>
    <row r="57" spans="2:5" ht="20" customHeight="1" x14ac:dyDescent="0.2">
      <c r="B57" s="336" t="s">
        <v>261</v>
      </c>
      <c r="C57" s="336" t="s">
        <v>262</v>
      </c>
      <c r="D57" s="184" t="s">
        <v>19</v>
      </c>
      <c r="E57" s="336" t="s">
        <v>20</v>
      </c>
    </row>
    <row r="58" spans="2:5" ht="20" customHeight="1" x14ac:dyDescent="0.2">
      <c r="B58" s="30" t="s">
        <v>368</v>
      </c>
      <c r="C58" s="362" t="str">
        <f>IF(mgmt_consolidated_result="Included",CONCATENATE(sample_mgmt_vc_fqdn),CONCATENATE(sample_wld_vc_fqdn))</f>
        <v>sfo-w01-vc01.sfo.rainpole.io</v>
      </c>
      <c r="D58" s="99" t="str">
        <f>dri_vcenter_fqdn</f>
        <v>Value Missing</v>
      </c>
      <c r="E58" s="204"/>
    </row>
    <row r="59" spans="2:5" ht="20" customHeight="1" x14ac:dyDescent="0.2">
      <c r="B59" s="213" t="s">
        <v>1816</v>
      </c>
      <c r="C59" s="362" t="s">
        <v>3387</v>
      </c>
      <c r="D59" s="347"/>
      <c r="E59" s="204"/>
    </row>
    <row r="60" spans="2:5" ht="20" customHeight="1" x14ac:dyDescent="0.2">
      <c r="B60" s="213" t="s">
        <v>3388</v>
      </c>
      <c r="C60" s="362">
        <v>16</v>
      </c>
      <c r="D60" s="99">
        <f>C60</f>
        <v>16</v>
      </c>
      <c r="E60" s="204"/>
    </row>
    <row r="61" spans="2:5" ht="20" customHeight="1" x14ac:dyDescent="0.2">
      <c r="B61" s="213" t="s">
        <v>3389</v>
      </c>
      <c r="C61" s="362">
        <v>64</v>
      </c>
      <c r="D61" s="99">
        <f>C61</f>
        <v>64</v>
      </c>
      <c r="E61" s="204"/>
    </row>
    <row r="62" spans="2:5" ht="16" customHeight="1" x14ac:dyDescent="0.2"/>
    <row r="63" spans="2:5" ht="34" customHeight="1" x14ac:dyDescent="0.2">
      <c r="B63" s="653" t="s">
        <v>3390</v>
      </c>
      <c r="C63" s="654"/>
      <c r="D63" s="654"/>
      <c r="E63" s="655"/>
    </row>
    <row r="64" spans="2:5" ht="20" customHeight="1" x14ac:dyDescent="0.2">
      <c r="B64" s="336" t="s">
        <v>261</v>
      </c>
      <c r="C64" s="336" t="s">
        <v>262</v>
      </c>
      <c r="D64" s="184" t="s">
        <v>19</v>
      </c>
      <c r="E64" s="336" t="s">
        <v>20</v>
      </c>
    </row>
    <row r="65" spans="2:5" ht="20" customHeight="1" x14ac:dyDescent="0.2">
      <c r="B65" s="30" t="s">
        <v>3391</v>
      </c>
      <c r="C65" s="362" t="str">
        <f>CONCATENATE(prefix_wld_k8s_cidr,1+(wld_domain_number_chosen -1)*3,".1")</f>
        <v>192.168.21.1</v>
      </c>
      <c r="D65" s="99">
        <f>dri_k8s_server_address</f>
        <v>0</v>
      </c>
      <c r="E65" s="214"/>
    </row>
    <row r="66" spans="2:5" ht="20" customHeight="1" x14ac:dyDescent="0.2">
      <c r="B66" s="30" t="s">
        <v>3383</v>
      </c>
      <c r="C66" s="362" t="str">
        <f>sample_k8s_cluster_name</f>
        <v>sfo-w01-tkc01</v>
      </c>
      <c r="D66" s="99"/>
      <c r="E66" s="204"/>
    </row>
    <row r="67" spans="2:5" ht="20" customHeight="1" x14ac:dyDescent="0.2">
      <c r="B67" s="213" t="s">
        <v>969</v>
      </c>
      <c r="C67" s="362" t="str">
        <f>sample_k8s_cluster_name</f>
        <v>sfo-w01-tkc01</v>
      </c>
      <c r="D67" s="99"/>
      <c r="E67" s="204"/>
    </row>
    <row r="68" spans="2:5" ht="20" customHeight="1" x14ac:dyDescent="0.2">
      <c r="B68" s="213" t="s">
        <v>3392</v>
      </c>
      <c r="C68" s="362" t="str">
        <f>sample_k8s_cluster_name</f>
        <v>sfo-w01-tkc01</v>
      </c>
      <c r="D68" s="99"/>
      <c r="E68" s="204"/>
    </row>
    <row r="69" spans="2:5" ht="20" customHeight="1" x14ac:dyDescent="0.2">
      <c r="B69" s="213" t="s">
        <v>3393</v>
      </c>
      <c r="C69" s="362" t="str">
        <f>sample_k8s_vcenter_storage_policy</f>
        <v>vsphere-with-tanzu-storage-policy</v>
      </c>
      <c r="D69" s="99" t="str">
        <f>k8s_vcenter_storage_policy</f>
        <v>Value Missing</v>
      </c>
      <c r="E69" s="204"/>
    </row>
    <row r="70" spans="2:5" ht="20" customHeight="1" x14ac:dyDescent="0.2">
      <c r="B70" s="213" t="s">
        <v>3394</v>
      </c>
      <c r="C70" s="362" t="str">
        <f>sample_k8s_vm_class</f>
        <v>guaranteed-small</v>
      </c>
      <c r="D70" s="99" t="str">
        <f>k8s_vm_class</f>
        <v>Value Missing</v>
      </c>
      <c r="E70" s="204"/>
    </row>
    <row r="71" spans="2:5" ht="20" customHeight="1" x14ac:dyDescent="0.2">
      <c r="B71" s="213" t="s">
        <v>3395</v>
      </c>
      <c r="C71" s="362" t="s">
        <v>3396</v>
      </c>
      <c r="D71" s="347"/>
      <c r="E71" s="214"/>
    </row>
    <row r="72" spans="2:5" ht="20" customHeight="1" x14ac:dyDescent="0.2">
      <c r="B72" s="213" t="s">
        <v>3397</v>
      </c>
      <c r="C72" s="362" t="s">
        <v>3398</v>
      </c>
      <c r="D72" s="347"/>
      <c r="E72" s="214"/>
    </row>
    <row r="73" spans="2:5" ht="16" customHeight="1" x14ac:dyDescent="0.2"/>
    <row r="74" spans="2:5" ht="34" customHeight="1" x14ac:dyDescent="0.2">
      <c r="B74" s="522" t="s">
        <v>3399</v>
      </c>
      <c r="C74" s="523"/>
      <c r="D74" s="523"/>
      <c r="E74" s="524"/>
    </row>
    <row r="75" spans="2:5" ht="20" customHeight="1" x14ac:dyDescent="0.2">
      <c r="B75" s="336" t="s">
        <v>261</v>
      </c>
      <c r="C75" s="336" t="s">
        <v>262</v>
      </c>
      <c r="D75" s="184" t="s">
        <v>19</v>
      </c>
      <c r="E75" s="336" t="s">
        <v>20</v>
      </c>
    </row>
    <row r="76" spans="2:5" ht="20" customHeight="1" x14ac:dyDescent="0.2">
      <c r="B76" s="30" t="s">
        <v>368</v>
      </c>
      <c r="C76" s="362" t="str">
        <f>IF(mgmt_consolidated_result="Included",CONCATENATE(sample_mgmt_vc_fqdn),CONCATENATE(sample_wld_vc_fqdn))</f>
        <v>sfo-w01-vc01.sfo.rainpole.io</v>
      </c>
      <c r="D76" s="99" t="str">
        <f>dri_vcenter_fqdn</f>
        <v>Value Missing</v>
      </c>
      <c r="E76" s="204"/>
    </row>
    <row r="77" spans="2:5" ht="20" customHeight="1" x14ac:dyDescent="0.2">
      <c r="B77" s="213" t="s">
        <v>1821</v>
      </c>
      <c r="C77" s="362" t="s">
        <v>3400</v>
      </c>
      <c r="D77" s="347"/>
      <c r="E77" s="204"/>
    </row>
    <row r="78" spans="2:5" ht="20" customHeight="1" x14ac:dyDescent="0.2"/>
    <row r="79" spans="2:5" ht="34" customHeight="1" x14ac:dyDescent="0.2">
      <c r="B79" s="522" t="s">
        <v>3401</v>
      </c>
      <c r="C79" s="523"/>
      <c r="D79" s="523"/>
      <c r="E79" s="524"/>
    </row>
    <row r="80" spans="2:5" ht="20" customHeight="1" x14ac:dyDescent="0.2">
      <c r="B80" s="336" t="s">
        <v>261</v>
      </c>
      <c r="C80" s="336" t="s">
        <v>262</v>
      </c>
      <c r="D80" s="184" t="s">
        <v>19</v>
      </c>
      <c r="E80" s="336" t="s">
        <v>20</v>
      </c>
    </row>
    <row r="81" spans="2:5" ht="20" customHeight="1" x14ac:dyDescent="0.2">
      <c r="B81" s="30" t="s">
        <v>368</v>
      </c>
      <c r="C81" s="362" t="str">
        <f>IF(mgmt_consolidated_result="Included",CONCATENATE(sample_mgmt_vc_fqdn),CONCATENATE(sample_wld_vc_fqdn))</f>
        <v>sfo-w01-vc01.sfo.rainpole.io</v>
      </c>
      <c r="D81" s="99" t="str">
        <f>dri_vcenter_fqdn</f>
        <v>Value Missing</v>
      </c>
      <c r="E81" s="204"/>
    </row>
    <row r="82" spans="2:5" ht="20" customHeight="1" x14ac:dyDescent="0.2">
      <c r="B82" s="213" t="s">
        <v>3402</v>
      </c>
      <c r="C82" s="362" t="s">
        <v>3403</v>
      </c>
      <c r="D82" s="347"/>
      <c r="E82" s="204"/>
    </row>
    <row r="83" spans="2:5" ht="16" customHeight="1" x14ac:dyDescent="0.2"/>
    <row r="84" spans="2:5" ht="34" customHeight="1" x14ac:dyDescent="0.2">
      <c r="B84" s="522" t="s">
        <v>3404</v>
      </c>
      <c r="C84" s="523"/>
      <c r="D84" s="523"/>
      <c r="E84" s="524"/>
    </row>
    <row r="85" spans="2:5" ht="20" customHeight="1" x14ac:dyDescent="0.2">
      <c r="B85" s="336" t="s">
        <v>261</v>
      </c>
      <c r="C85" s="336" t="s">
        <v>262</v>
      </c>
      <c r="D85" s="184" t="s">
        <v>19</v>
      </c>
      <c r="E85" s="336" t="s">
        <v>20</v>
      </c>
    </row>
    <row r="86" spans="2:5" ht="20" customHeight="1" x14ac:dyDescent="0.2">
      <c r="B86" s="30" t="s">
        <v>3405</v>
      </c>
      <c r="C86" s="362" t="e">
        <f>CONCATENATE(sample_xreg_vrslcm_hostname,".",sample_parent_dns_zone)</f>
        <v>#NAME?</v>
      </c>
      <c r="D86" s="99" t="str">
        <f>xreg_vrslcm_fqdn</f>
        <v>Value Missing</v>
      </c>
      <c r="E86" s="204"/>
    </row>
    <row r="87" spans="2:5" ht="16" customHeight="1" x14ac:dyDescent="0.2"/>
    <row r="88" spans="2:5" ht="34" customHeight="1" x14ac:dyDescent="0.2">
      <c r="B88" s="522" t="s">
        <v>3406</v>
      </c>
      <c r="C88" s="523"/>
      <c r="D88" s="523"/>
      <c r="E88" s="524"/>
    </row>
    <row r="89" spans="2:5" ht="20" customHeight="1" x14ac:dyDescent="0.2">
      <c r="B89" s="336" t="s">
        <v>261</v>
      </c>
      <c r="C89" s="336" t="s">
        <v>262</v>
      </c>
      <c r="D89" s="184" t="s">
        <v>19</v>
      </c>
      <c r="E89" s="336" t="s">
        <v>20</v>
      </c>
    </row>
    <row r="90" spans="2:5" ht="20" customHeight="1" x14ac:dyDescent="0.2">
      <c r="B90" s="30" t="s">
        <v>368</v>
      </c>
      <c r="C90" s="362" t="str">
        <f>IF(mgmt_consolidated_result="Included",CONCATENATE(sample_mgmt_vc_fqdn),CONCATENATE(sample_wld_vc_fqdn))</f>
        <v>sfo-w01-vc01.sfo.rainpole.io</v>
      </c>
      <c r="D90" s="99" t="str">
        <f>dri_vcenter_fqdn</f>
        <v>Value Missing</v>
      </c>
      <c r="E90" s="204"/>
    </row>
    <row r="91" spans="2:5" ht="16" customHeight="1" x14ac:dyDescent="0.2"/>
    <row r="92" spans="2:5" ht="34" customHeight="1" x14ac:dyDescent="0.2">
      <c r="B92" s="522" t="s">
        <v>3407</v>
      </c>
      <c r="C92" s="523"/>
      <c r="D92" s="523"/>
      <c r="E92" s="524"/>
    </row>
    <row r="93" spans="2:5" ht="20" customHeight="1" x14ac:dyDescent="0.2">
      <c r="B93" s="336" t="s">
        <v>261</v>
      </c>
      <c r="C93" s="336" t="s">
        <v>262</v>
      </c>
      <c r="D93" s="184" t="s">
        <v>19</v>
      </c>
      <c r="E93" s="336" t="s">
        <v>20</v>
      </c>
    </row>
    <row r="94" spans="2:5" ht="34" customHeight="1" x14ac:dyDescent="0.2">
      <c r="B94" s="30" t="s">
        <v>368</v>
      </c>
      <c r="C94" s="362" t="str">
        <f>IF(mgmt_consolidated_result="Included",CONCATENATE(sample_mgmt_vc_fqdn),CONCATENATE(sample_wld_vc_fqdn))</f>
        <v>sfo-w01-vc01.sfo.rainpole.io</v>
      </c>
      <c r="D94" s="99" t="str">
        <f>dri_vcenter_fqdn</f>
        <v>Value Missing</v>
      </c>
      <c r="E94" s="204"/>
    </row>
    <row r="95" spans="2:5" ht="20" customHeight="1" x14ac:dyDescent="0.2">
      <c r="B95" s="213" t="s">
        <v>3408</v>
      </c>
      <c r="C95" s="126" t="s">
        <v>3367</v>
      </c>
      <c r="D95" s="347"/>
      <c r="E95" s="204"/>
    </row>
    <row r="96" spans="2:5" ht="20" customHeight="1" x14ac:dyDescent="0.2">
      <c r="B96" s="213" t="s">
        <v>3409</v>
      </c>
      <c r="C96" s="362" t="str">
        <f>IF(mgmt_consolidated_result="Included",sample_mgmt_cl01_vsan_datastore,sample_wld_cl01_vsan_datastore)</f>
        <v>sfo-w01-sfo-w01-cl01-vsan01</v>
      </c>
      <c r="D96" s="99" t="str">
        <f>dri_vcenter_vsan_datastore</f>
        <v>Value Missing</v>
      </c>
      <c r="E96" s="204"/>
    </row>
    <row r="97" spans="2:5" ht="16" customHeight="1" x14ac:dyDescent="0.2"/>
    <row r="98" spans="2:5" ht="34" customHeight="1" x14ac:dyDescent="0.2">
      <c r="B98" s="522" t="s">
        <v>3410</v>
      </c>
      <c r="C98" s="523"/>
      <c r="D98" s="523"/>
      <c r="E98" s="524"/>
    </row>
    <row r="99" spans="2:5" ht="20" customHeight="1" x14ac:dyDescent="0.2">
      <c r="B99" s="336" t="s">
        <v>261</v>
      </c>
      <c r="C99" s="336" t="s">
        <v>262</v>
      </c>
      <c r="D99" s="184" t="s">
        <v>19</v>
      </c>
      <c r="E99" s="336" t="s">
        <v>20</v>
      </c>
    </row>
    <row r="100" spans="2:5" ht="20" customHeight="1" x14ac:dyDescent="0.2">
      <c r="B100" s="30" t="s">
        <v>3405</v>
      </c>
      <c r="C100" s="362" t="e">
        <f>CONCATENATE(sample_xreg_vrslcm_hostname,".",sample_parent_dns_zone)</f>
        <v>#NAME?</v>
      </c>
      <c r="D100" s="99" t="str">
        <f>xreg_vrslcm_fqdn</f>
        <v>Value Missing</v>
      </c>
      <c r="E100" s="204"/>
    </row>
    <row r="101" spans="2:5" ht="16" customHeight="1" x14ac:dyDescent="0.2"/>
    <row r="102" spans="2:5" ht="34" customHeight="1" x14ac:dyDescent="0.2">
      <c r="B102" s="522" t="s">
        <v>3411</v>
      </c>
      <c r="C102" s="523"/>
      <c r="D102" s="523"/>
      <c r="E102" s="524"/>
    </row>
    <row r="103" spans="2:5" ht="20" customHeight="1" x14ac:dyDescent="0.2">
      <c r="B103" s="336" t="s">
        <v>261</v>
      </c>
      <c r="C103" s="336" t="s">
        <v>262</v>
      </c>
      <c r="D103" s="184" t="s">
        <v>19</v>
      </c>
      <c r="E103" s="336" t="s">
        <v>20</v>
      </c>
    </row>
    <row r="104" spans="2:5" ht="20" customHeight="1" x14ac:dyDescent="0.2">
      <c r="B104" s="30" t="s">
        <v>3405</v>
      </c>
      <c r="C104" s="362" t="e">
        <f>CONCATENATE(sample_xreg_vrslcm_hostname,".",sample_parent_dns_zone)</f>
        <v>#NAME?</v>
      </c>
      <c r="D104" s="99" t="str">
        <f>xreg_vrslcm_fqdn</f>
        <v>Value Missing</v>
      </c>
      <c r="E104" s="204"/>
    </row>
    <row r="105" spans="2:5" ht="16" customHeight="1" x14ac:dyDescent="0.2"/>
    <row r="106" spans="2:5" ht="34" customHeight="1" x14ac:dyDescent="0.2">
      <c r="B106" s="522" t="s">
        <v>3412</v>
      </c>
      <c r="C106" s="523"/>
      <c r="D106" s="523"/>
      <c r="E106" s="524"/>
    </row>
    <row r="107" spans="2:5" ht="20" customHeight="1" x14ac:dyDescent="0.2">
      <c r="B107" s="336" t="s">
        <v>261</v>
      </c>
      <c r="C107" s="336" t="s">
        <v>262</v>
      </c>
      <c r="D107" s="184" t="s">
        <v>19</v>
      </c>
      <c r="E107" s="336" t="s">
        <v>20</v>
      </c>
    </row>
    <row r="108" spans="2:5" ht="20" customHeight="1" x14ac:dyDescent="0.2">
      <c r="B108" s="30" t="s">
        <v>3405</v>
      </c>
      <c r="C108" s="362" t="e">
        <f>CONCATENATE(sample_xreg_vrslcm_hostname,".",sample_parent_dns_zone)</f>
        <v>#NAME?</v>
      </c>
      <c r="D108" s="99" t="str">
        <f>xreg_vrslcm_fqdn</f>
        <v>Value Missing</v>
      </c>
      <c r="E108" s="204"/>
    </row>
    <row r="109" spans="2:5" ht="16" customHeight="1" x14ac:dyDescent="0.2"/>
    <row r="110" spans="2:5" ht="34" customHeight="1" x14ac:dyDescent="0.2">
      <c r="B110" s="522" t="s">
        <v>3413</v>
      </c>
      <c r="C110" s="523"/>
      <c r="D110" s="523"/>
      <c r="E110" s="524"/>
    </row>
    <row r="111" spans="2:5" ht="20" customHeight="1" x14ac:dyDescent="0.2">
      <c r="B111" s="336" t="s">
        <v>261</v>
      </c>
      <c r="C111" s="336" t="s">
        <v>262</v>
      </c>
      <c r="D111" s="184" t="s">
        <v>19</v>
      </c>
      <c r="E111" s="336" t="s">
        <v>20</v>
      </c>
    </row>
    <row r="112" spans="2:5" ht="20" customHeight="1" x14ac:dyDescent="0.2">
      <c r="B112" s="30" t="s">
        <v>3405</v>
      </c>
      <c r="C112" s="362" t="e">
        <f>CONCATENATE(sample_xreg_vrslcm_hostname,".",sample_parent_dns_zone)</f>
        <v>#NAME?</v>
      </c>
      <c r="D112" s="99" t="str">
        <f>xreg_vrslcm_fqdn</f>
        <v>Value Missing</v>
      </c>
      <c r="E112" s="204"/>
    </row>
  </sheetData>
  <sheetProtection algorithmName="SHA-512" hashValue="zVAjTA6/YUlUzwFwFvyvyuVVEYggzVFiJT9KV6Kvb/9C/uRVK6Us1y9dHClJnxRFNRoy9wcbtLtb08+gRBB1ew==" saltValue="ZzO8PP6wUwO3NKQpI+wyIw==" spinCount="100000" sheet="1" objects="1" scenarios="1"/>
  <mergeCells count="20">
    <mergeCell ref="B63:E63"/>
    <mergeCell ref="B74:E74"/>
    <mergeCell ref="B3:E3"/>
    <mergeCell ref="B56:E56"/>
    <mergeCell ref="B37:E37"/>
    <mergeCell ref="B106:E106"/>
    <mergeCell ref="B110:E110"/>
    <mergeCell ref="B98:E98"/>
    <mergeCell ref="B79:E79"/>
    <mergeCell ref="B84:E84"/>
    <mergeCell ref="B88:E88"/>
    <mergeCell ref="B92:E92"/>
    <mergeCell ref="B102:E102"/>
    <mergeCell ref="B42:E42"/>
    <mergeCell ref="B49:E49"/>
    <mergeCell ref="B7:E7"/>
    <mergeCell ref="B13:E13"/>
    <mergeCell ref="B2:E2"/>
    <mergeCell ref="B17:E17"/>
    <mergeCell ref="B33:E33"/>
  </mergeCells>
  <conditionalFormatting sqref="D35 D39:D40 D44:D47 D51:D54 D58:D61 D65:D72 D76:D77 D81:D82 D86 D90 D94:D96 D100 D104 D108 D112">
    <cfRule type="expression" dxfId="95" priority="1">
      <formula>air_result="Excluded"</formula>
    </cfRule>
    <cfRule type="containsBlanks" dxfId="94" priority="3">
      <formula>LEN(TRIM(D35))=0</formula>
    </cfRule>
    <cfRule type="notContainsBlanks" dxfId="93" priority="4">
      <formula>LEN(TRIM(D35))&gt;0</formula>
    </cfRule>
  </conditionalFormatting>
  <dataValidations disablePrompts="1" count="2">
    <dataValidation type="list" allowBlank="1" showInputMessage="1" showErrorMessage="1" sqref="C8:D8 C18:D18" xr:uid="{4BEA9190-F800-344C-9020-B8C55E48864B}">
      <formula1>"Standard,Consolidated"</formula1>
    </dataValidation>
    <dataValidation type="list" allowBlank="1" showInputMessage="1" showErrorMessage="1" sqref="D27" xr:uid="{C41A6D75-ACED-7649-8D2F-D0FEAFCAD24B}">
      <formula1>"guaranteed-small,guaranteed-medium,guaranteed-large"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C2D1782C-7C4D-834C-B233-40F9CA9203AE}">
            <xm:f>NOT(ISERROR(SEARCH("Value Missing",D35)))</xm:f>
            <xm:f>"Value Missing"</xm:f>
            <x14:dxf>
              <font>
                <color rgb="FF0E223A"/>
              </font>
              <fill>
                <patternFill>
                  <bgColor rgb="FFFFBE29"/>
                </patternFill>
              </fill>
            </x14:dxf>
          </x14:cfRule>
          <xm:sqref>D35 D39:D40 D44:D47 D51:D54 D58:D61 D65:D72 D76:D78 D81:D82 D86 D90 D94:D96 D100 D104 D108 D112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CE0-30AA-FF45-915D-04ED89BEAF8D}">
  <sheetPr codeName="Sheet26">
    <tabColor theme="4" tint="0.39997558519241921"/>
  </sheetPr>
  <dimension ref="A1:S937"/>
  <sheetViews>
    <sheetView zoomScale="91" zoomScaleNormal="10" workbookViewId="0">
      <pane ySplit="6" topLeftCell="A7" activePane="bottomLeft" state="frozen"/>
      <selection pane="bottomLeft" activeCell="K27" sqref="K27"/>
    </sheetView>
  </sheetViews>
  <sheetFormatPr baseColWidth="10" defaultColWidth="11" defaultRowHeight="16" x14ac:dyDescent="0.2"/>
  <cols>
    <col min="1" max="1" width="2.83203125" style="19" customWidth="1"/>
    <col min="2" max="2" width="63.83203125" style="8" customWidth="1"/>
    <col min="3" max="3" width="78.83203125" style="8" customWidth="1"/>
    <col min="4" max="4" width="84.83203125" style="8" customWidth="1"/>
    <col min="5" max="5" width="60.83203125" style="8" customWidth="1"/>
    <col min="6" max="19" width="11" style="19" customWidth="1"/>
    <col min="20" max="27" width="11" style="8" customWidth="1"/>
    <col min="28" max="16384" width="11" style="8"/>
  </cols>
  <sheetData>
    <row r="1" spans="1:19" s="19" customFormat="1" x14ac:dyDescent="0.2">
      <c r="A1" s="215"/>
      <c r="B1" s="203"/>
      <c r="C1" s="203"/>
      <c r="D1" s="203"/>
      <c r="E1" s="203"/>
      <c r="F1" s="203"/>
    </row>
    <row r="2" spans="1:19" ht="54" customHeight="1" x14ac:dyDescent="0.2">
      <c r="A2" s="203"/>
      <c r="B2" s="657" t="s">
        <v>3414</v>
      </c>
      <c r="C2" s="658"/>
      <c r="D2" s="658"/>
      <c r="E2" s="658"/>
      <c r="F2" s="203"/>
    </row>
    <row r="3" spans="1:19" x14ac:dyDescent="0.2">
      <c r="A3" s="203"/>
      <c r="B3" s="664" t="s">
        <v>3415</v>
      </c>
      <c r="C3" s="664"/>
      <c r="D3" s="664"/>
      <c r="E3" s="664"/>
      <c r="F3" s="203"/>
    </row>
    <row r="4" spans="1:19" x14ac:dyDescent="0.2">
      <c r="A4" s="216"/>
      <c r="B4" s="216"/>
      <c r="C4" s="216"/>
      <c r="D4" s="216"/>
      <c r="E4" s="216"/>
      <c r="F4" s="216"/>
    </row>
    <row r="5" spans="1:19" ht="34" customHeight="1" x14ac:dyDescent="0.2">
      <c r="A5" s="216"/>
      <c r="B5" s="217" t="s">
        <v>3416</v>
      </c>
      <c r="C5" s="217" t="s">
        <v>577</v>
      </c>
      <c r="D5" s="218" t="s">
        <v>2981</v>
      </c>
      <c r="E5" s="219"/>
      <c r="F5" s="220"/>
    </row>
    <row r="6" spans="1:19" ht="20" customHeight="1" x14ac:dyDescent="0.2">
      <c r="A6" s="203"/>
      <c r="B6" s="203"/>
      <c r="C6" s="203"/>
      <c r="D6" s="221"/>
      <c r="E6" s="222"/>
      <c r="F6" s="222"/>
    </row>
    <row r="7" spans="1:19" ht="34" customHeight="1" x14ac:dyDescent="0.2">
      <c r="A7" s="8"/>
      <c r="B7" s="425" t="s">
        <v>3417</v>
      </c>
      <c r="C7" s="426"/>
      <c r="D7" s="426"/>
      <c r="E7" s="426"/>
      <c r="F7" s="426"/>
      <c r="G7" s="426"/>
      <c r="H7" s="426"/>
      <c r="I7" s="426"/>
      <c r="J7" s="427"/>
      <c r="K7" s="8"/>
      <c r="L7" s="8"/>
      <c r="M7" s="8"/>
      <c r="N7" s="8"/>
      <c r="O7" s="8"/>
      <c r="P7" s="8"/>
      <c r="Q7" s="8"/>
      <c r="R7" s="8"/>
      <c r="S7" s="8"/>
    </row>
    <row r="8" spans="1:19" ht="20" customHeight="1" x14ac:dyDescent="0.2">
      <c r="A8" s="8"/>
      <c r="B8" s="346" t="s">
        <v>2725</v>
      </c>
      <c r="C8" s="346" t="s">
        <v>2726</v>
      </c>
      <c r="D8" s="346" t="s">
        <v>2727</v>
      </c>
      <c r="E8" s="97" t="s">
        <v>2728</v>
      </c>
      <c r="F8" s="346" t="s">
        <v>940</v>
      </c>
      <c r="G8" s="97" t="s">
        <v>941</v>
      </c>
      <c r="H8" s="447" t="s">
        <v>20</v>
      </c>
      <c r="I8" s="448"/>
      <c r="J8" s="449"/>
      <c r="K8" s="8"/>
      <c r="L8" s="8"/>
      <c r="M8" s="8"/>
      <c r="N8" s="8"/>
      <c r="O8" s="8"/>
      <c r="P8" s="8"/>
      <c r="Q8" s="8"/>
      <c r="R8" s="8"/>
      <c r="S8" s="8"/>
    </row>
    <row r="9" spans="1:19" ht="20" customHeight="1" x14ac:dyDescent="0.2">
      <c r="A9" s="8"/>
      <c r="B9" s="4" t="s">
        <v>3418</v>
      </c>
      <c r="C9" s="9" t="s">
        <v>1905</v>
      </c>
      <c r="D9" s="80" t="str">
        <f>CONCATENATE(this_instance,"-cbr-cdp01a")</f>
        <v>sfo-cbr-cdp01a</v>
      </c>
      <c r="E9" s="347"/>
      <c r="F9" s="80" t="str">
        <f>IF(mgmt_dpg_reuse_result="Included",CONCATENATE(prefix_mgmt_az1_cidr,"10.44"),CONCATENATE(prefix_mgmt_az1_cidr,"11.44"))</f>
        <v>10.11.10.44</v>
      </c>
      <c r="G9" s="347"/>
      <c r="H9" s="645"/>
      <c r="I9" s="646"/>
      <c r="J9" s="644"/>
      <c r="K9" s="8"/>
      <c r="L9" s="8"/>
      <c r="M9" s="8"/>
      <c r="N9" s="8"/>
      <c r="O9" s="8"/>
      <c r="P9" s="8"/>
      <c r="Q9" s="8"/>
      <c r="R9" s="8"/>
      <c r="S9" s="8"/>
    </row>
    <row r="10" spans="1:19" ht="20" customHeight="1" x14ac:dyDescent="0.2">
      <c r="A10" s="8"/>
      <c r="B10" s="4"/>
      <c r="C10" s="9" t="s">
        <v>3419</v>
      </c>
      <c r="D10" s="80" t="str">
        <f>CONCATENATE(this_instance,"-cbr-cdp01b")</f>
        <v>sfo-cbr-cdp01b</v>
      </c>
      <c r="E10" s="347"/>
      <c r="F10" s="80" t="str">
        <f>IF(mgmt_dpg_reuse_result="Included",CONCATENATE(prefix_mgmt_az1_cidr,"10.45"),CONCATENATE(prefix_mgmt_az1_cidr,"11.45"))</f>
        <v>10.11.10.45</v>
      </c>
      <c r="G10" s="347"/>
      <c r="H10" s="645"/>
      <c r="I10" s="646"/>
      <c r="J10" s="644"/>
      <c r="K10" s="8"/>
      <c r="L10" s="8"/>
      <c r="M10" s="8"/>
      <c r="N10" s="8"/>
      <c r="O10" s="8"/>
      <c r="P10" s="8"/>
      <c r="Q10" s="8"/>
      <c r="R10" s="8"/>
      <c r="S10" s="8"/>
    </row>
    <row r="11" spans="1:19" x14ac:dyDescent="0.2">
      <c r="A11" s="8"/>
      <c r="F11" s="8"/>
      <c r="G11" s="8"/>
      <c r="H11" s="8"/>
      <c r="I11" s="8"/>
      <c r="J11" s="8"/>
      <c r="K11" s="8"/>
      <c r="L11" s="8"/>
      <c r="M11" s="8"/>
      <c r="N11" s="8"/>
      <c r="O11" s="8"/>
      <c r="P11" s="8"/>
      <c r="Q11" s="8"/>
      <c r="R11" s="8"/>
      <c r="S11" s="8"/>
    </row>
    <row r="12" spans="1:19" s="202" customFormat="1" ht="30" customHeight="1" x14ac:dyDescent="0.2">
      <c r="B12" s="579" t="s">
        <v>3420</v>
      </c>
      <c r="C12" s="592"/>
      <c r="D12" s="592"/>
      <c r="E12" s="580"/>
    </row>
    <row r="13" spans="1:19" s="202" customFormat="1" ht="20" customHeight="1" x14ac:dyDescent="0.2">
      <c r="B13" s="166" t="s">
        <v>261</v>
      </c>
      <c r="C13" s="166" t="s">
        <v>262</v>
      </c>
      <c r="D13" s="167" t="s">
        <v>19</v>
      </c>
      <c r="E13" s="166" t="s">
        <v>20</v>
      </c>
    </row>
    <row r="14" spans="1:19" s="2" customFormat="1" ht="20" customHeight="1" x14ac:dyDescent="0.2">
      <c r="B14" s="4" t="s">
        <v>2136</v>
      </c>
      <c r="C14" s="9" t="s">
        <v>3421</v>
      </c>
      <c r="D14" s="113"/>
      <c r="E14" s="197"/>
    </row>
    <row r="15" spans="1:19" s="2" customFormat="1" ht="20" customHeight="1" x14ac:dyDescent="0.2">
      <c r="B15" s="4" t="s">
        <v>2140</v>
      </c>
      <c r="C15" s="9" t="s">
        <v>3422</v>
      </c>
      <c r="D15" s="113"/>
      <c r="E15" s="197"/>
    </row>
    <row r="16" spans="1:19" s="2" customFormat="1" ht="20" customHeight="1" x14ac:dyDescent="0.2">
      <c r="B16" s="4" t="s">
        <v>2144</v>
      </c>
      <c r="C16" s="9" t="s">
        <v>30</v>
      </c>
      <c r="D16" s="113"/>
      <c r="E16" s="197"/>
    </row>
    <row r="17" spans="2:5" s="2" customFormat="1" ht="20" customHeight="1" x14ac:dyDescent="0.2">
      <c r="B17" s="4" t="s">
        <v>3423</v>
      </c>
      <c r="C17" s="9" t="str">
        <f>CONCATENATE(this_instance,"-m01-fd-cbr")</f>
        <v>sfo-m01-fd-cbr</v>
      </c>
      <c r="D17" s="113"/>
      <c r="E17" s="197"/>
    </row>
    <row r="18" spans="2:5" s="2" customFormat="1" ht="20" customHeight="1" x14ac:dyDescent="0.2">
      <c r="B18" s="4" t="s">
        <v>2150</v>
      </c>
      <c r="C18" s="9" t="s">
        <v>3424</v>
      </c>
      <c r="D18" s="113"/>
      <c r="E18" s="197"/>
    </row>
    <row r="19" spans="2:5" s="2" customFormat="1" ht="20" customHeight="1" x14ac:dyDescent="0.2">
      <c r="B19" s="4" t="s">
        <v>2154</v>
      </c>
      <c r="C19" s="9" t="s">
        <v>2684</v>
      </c>
      <c r="D19" s="113"/>
      <c r="E19" s="197"/>
    </row>
    <row r="20" spans="2:5" s="2" customFormat="1" ht="20" customHeight="1" x14ac:dyDescent="0.2">
      <c r="B20" s="4" t="s">
        <v>2157</v>
      </c>
      <c r="C20" s="9" t="s">
        <v>3425</v>
      </c>
      <c r="D20" s="113"/>
      <c r="E20" s="197"/>
    </row>
    <row r="21" spans="2:5" s="2" customFormat="1" ht="20" customHeight="1" x14ac:dyDescent="0.2">
      <c r="B21" s="4" t="s">
        <v>2161</v>
      </c>
      <c r="C21" s="9">
        <v>2</v>
      </c>
      <c r="D21" s="113"/>
      <c r="E21" s="197"/>
    </row>
    <row r="22" spans="2:5" s="2" customFormat="1" ht="20" customHeight="1" x14ac:dyDescent="0.2">
      <c r="B22" s="4" t="s">
        <v>2166</v>
      </c>
      <c r="C22" s="9" t="s">
        <v>3426</v>
      </c>
      <c r="D22" s="113"/>
      <c r="E22" s="197"/>
    </row>
    <row r="23" spans="2:5" s="2" customFormat="1" ht="20" customHeight="1" x14ac:dyDescent="0.2">
      <c r="B23" s="4" t="s">
        <v>2170</v>
      </c>
      <c r="C23" s="9" t="s">
        <v>3426</v>
      </c>
      <c r="D23" s="113"/>
      <c r="E23" s="197"/>
    </row>
    <row r="24" spans="2:5" s="2" customFormat="1" ht="20" customHeight="1" x14ac:dyDescent="0.2">
      <c r="B24" s="4" t="s">
        <v>2175</v>
      </c>
      <c r="C24" s="9" t="s">
        <v>3427</v>
      </c>
      <c r="D24" s="113"/>
      <c r="E24" s="197"/>
    </row>
    <row r="25" spans="2:5" s="2" customFormat="1" ht="20" customHeight="1" x14ac:dyDescent="0.2">
      <c r="B25" s="4" t="s">
        <v>3428</v>
      </c>
      <c r="C25" s="9" t="s">
        <v>3429</v>
      </c>
      <c r="D25" s="113"/>
      <c r="E25" s="197"/>
    </row>
    <row r="26" spans="2:5" s="2" customFormat="1" ht="20" customHeight="1" x14ac:dyDescent="0.2">
      <c r="B26" s="4" t="s">
        <v>3430</v>
      </c>
      <c r="C26" s="9" t="s">
        <v>3431</v>
      </c>
      <c r="D26" s="113"/>
      <c r="E26" s="197"/>
    </row>
    <row r="27" spans="2:5" s="2" customFormat="1" ht="20" customHeight="1" x14ac:dyDescent="0.2">
      <c r="B27" s="4" t="s">
        <v>2301</v>
      </c>
      <c r="C27" s="9" t="s">
        <v>3432</v>
      </c>
      <c r="D27" s="113"/>
      <c r="E27" s="197"/>
    </row>
    <row r="28" spans="2:5" s="2" customFormat="1" ht="20" customHeight="1" x14ac:dyDescent="0.2">
      <c r="B28" s="4" t="s">
        <v>3433</v>
      </c>
      <c r="C28" s="9" t="s">
        <v>3434</v>
      </c>
      <c r="D28" s="113"/>
      <c r="E28" s="197"/>
    </row>
    <row r="29" spans="2:5" s="2" customFormat="1" ht="20" customHeight="1" x14ac:dyDescent="0.2">
      <c r="B29" s="4" t="s">
        <v>3435</v>
      </c>
      <c r="C29" s="9" t="str">
        <f>CONCATENATE(this_instance,"-vcf01-instance")</f>
        <v>sfo-vcf01-instance</v>
      </c>
      <c r="D29" s="113"/>
      <c r="E29" s="197"/>
    </row>
    <row r="30" spans="2:5" s="2" customFormat="1" ht="20" customHeight="1" x14ac:dyDescent="0.2">
      <c r="B30" s="4" t="s">
        <v>3436</v>
      </c>
      <c r="C30" s="9" t="s">
        <v>3437</v>
      </c>
      <c r="D30" s="113"/>
      <c r="E30" s="197"/>
    </row>
    <row r="31" spans="2:5" s="2" customFormat="1" ht="20" customHeight="1" x14ac:dyDescent="0.2">
      <c r="B31" s="4" t="s">
        <v>2204</v>
      </c>
      <c r="C31" s="9" t="s">
        <v>3438</v>
      </c>
      <c r="D31" s="113"/>
      <c r="E31" s="197"/>
    </row>
    <row r="32" spans="2:5" s="2" customFormat="1" ht="20" customHeight="1" x14ac:dyDescent="0.2">
      <c r="B32" s="4" t="s">
        <v>2208</v>
      </c>
      <c r="C32" s="9" t="s">
        <v>3439</v>
      </c>
      <c r="D32" s="113"/>
      <c r="E32" s="197"/>
    </row>
    <row r="33" spans="1:6" s="2" customFormat="1" ht="20" customHeight="1" x14ac:dyDescent="0.2">
      <c r="B33" s="4" t="s">
        <v>2212</v>
      </c>
      <c r="C33" s="9" t="s">
        <v>3426</v>
      </c>
      <c r="D33" s="113"/>
      <c r="E33" s="197"/>
    </row>
    <row r="34" spans="1:6" s="2" customFormat="1" ht="20" customHeight="1" x14ac:dyDescent="0.2">
      <c r="B34" s="4" t="s">
        <v>2216</v>
      </c>
      <c r="C34" s="9" t="str">
        <f>CONCATENATE(this_instance,"-cbr-cdp01")</f>
        <v>sfo-cbr-cdp01</v>
      </c>
      <c r="D34" s="113"/>
      <c r="E34" s="197"/>
    </row>
    <row r="35" spans="1:6" s="2" customFormat="1" ht="20" customHeight="1" x14ac:dyDescent="0.2">
      <c r="B35" s="4" t="s">
        <v>2219</v>
      </c>
      <c r="C35" s="9" t="str">
        <f>CONCATENATE(sample_mgmt_sddc_domain,"anti-affinity-rule-cbr")</f>
        <v>sfo-m01anti-affinity-rule-cbr</v>
      </c>
      <c r="D35" s="113"/>
      <c r="E35" s="197"/>
    </row>
    <row r="36" spans="1:6" s="2" customFormat="1" ht="20" customHeight="1" x14ac:dyDescent="0.2">
      <c r="B36" s="4" t="s">
        <v>2223</v>
      </c>
      <c r="C36" s="9" t="s">
        <v>3440</v>
      </c>
      <c r="D36" s="113"/>
      <c r="E36" s="197"/>
    </row>
    <row r="37" spans="1:6" s="2" customFormat="1" ht="20" customHeight="1" x14ac:dyDescent="0.2">
      <c r="B37" s="4" t="s">
        <v>2228</v>
      </c>
      <c r="C37" s="9" t="s">
        <v>69</v>
      </c>
      <c r="D37" s="113"/>
      <c r="E37" s="197"/>
    </row>
    <row r="38" spans="1:6" s="2" customFormat="1" ht="20" customHeight="1" x14ac:dyDescent="0.2">
      <c r="B38" s="4" t="s">
        <v>2232</v>
      </c>
      <c r="C38" s="9" t="s">
        <v>3426</v>
      </c>
      <c r="D38" s="113"/>
      <c r="E38" s="197"/>
    </row>
    <row r="39" spans="1:6" s="2" customFormat="1" ht="20" customHeight="1" x14ac:dyDescent="0.2">
      <c r="B39" s="4" t="s">
        <v>2236</v>
      </c>
      <c r="C39" s="9" t="s">
        <v>3426</v>
      </c>
      <c r="D39" s="113"/>
      <c r="E39" s="197"/>
    </row>
    <row r="40" spans="1:6" s="2" customFormat="1" ht="16" customHeight="1" x14ac:dyDescent="0.2"/>
    <row r="41" spans="1:6" x14ac:dyDescent="0.2">
      <c r="A41" s="216"/>
      <c r="B41" s="216"/>
      <c r="C41" s="216"/>
      <c r="D41" s="216"/>
      <c r="E41" s="216"/>
      <c r="F41" s="216"/>
    </row>
    <row r="42" spans="1:6" ht="34" customHeight="1" x14ac:dyDescent="0.2">
      <c r="A42" s="216"/>
      <c r="B42" s="665" t="s">
        <v>577</v>
      </c>
      <c r="C42" s="665"/>
      <c r="D42" s="665"/>
      <c r="E42" s="665"/>
      <c r="F42" s="216"/>
    </row>
    <row r="43" spans="1:6" s="19" customFormat="1" x14ac:dyDescent="0.2">
      <c r="A43" s="216"/>
      <c r="B43" s="216"/>
      <c r="C43" s="216"/>
      <c r="D43" s="216"/>
      <c r="E43" s="216"/>
      <c r="F43" s="216"/>
    </row>
    <row r="44" spans="1:6" s="19" customFormat="1" ht="34" customHeight="1" x14ac:dyDescent="0.2">
      <c r="A44" s="223"/>
      <c r="B44" s="656" t="s">
        <v>3441</v>
      </c>
      <c r="C44" s="656"/>
      <c r="D44" s="656"/>
      <c r="E44" s="656"/>
    </row>
    <row r="45" spans="1:6" s="19" customFormat="1" ht="20" customHeight="1" x14ac:dyDescent="0.2">
      <c r="A45" s="223"/>
      <c r="B45" s="224" t="s">
        <v>261</v>
      </c>
      <c r="C45" s="224" t="s">
        <v>262</v>
      </c>
      <c r="D45" s="225" t="s">
        <v>19</v>
      </c>
      <c r="E45" s="224" t="s">
        <v>20</v>
      </c>
    </row>
    <row r="46" spans="1:6" s="19" customFormat="1" ht="20" customHeight="1" x14ac:dyDescent="0.2">
      <c r="A46" s="223"/>
      <c r="B46" s="226" t="s">
        <v>2910</v>
      </c>
      <c r="C46" s="227" t="str">
        <f>sample_mgmt_vc_fqdn</f>
        <v>sfo-m01-vc01.sfo.rainpole.io</v>
      </c>
      <c r="D46" s="112" t="str">
        <f>mgmt_vc_fqdn</f>
        <v>Value Missing</v>
      </c>
      <c r="E46" s="228"/>
    </row>
    <row r="47" spans="1:6" s="19" customFormat="1" ht="20" customHeight="1" x14ac:dyDescent="0.2">
      <c r="A47" s="223"/>
      <c r="B47" s="226" t="s">
        <v>301</v>
      </c>
      <c r="C47" s="227" t="str">
        <f>sample_mgmt_datacenter</f>
        <v>sfo-m01-dc01</v>
      </c>
      <c r="D47" s="112" t="str">
        <f>mgmt_datacenter</f>
        <v>Value Missing</v>
      </c>
      <c r="E47" s="228"/>
    </row>
    <row r="48" spans="1:6" s="19" customFormat="1" ht="20" customHeight="1" x14ac:dyDescent="0.2">
      <c r="A48" s="223"/>
      <c r="B48" s="229" t="s">
        <v>3442</v>
      </c>
      <c r="C48" s="227" t="str">
        <f t="array" ref="C48">sample_cbr_vm_folder</f>
        <v>sfo-m01-fd-cbr</v>
      </c>
      <c r="D48" s="112" t="str">
        <f t="array" ref="D48">cbr_vm_folder</f>
        <v>Value Missing</v>
      </c>
      <c r="E48" s="228"/>
    </row>
    <row r="49" spans="2:5" s="19" customFormat="1" ht="20" customHeight="1" x14ac:dyDescent="0.2"/>
    <row r="50" spans="2:5" s="19" customFormat="1" ht="34" customHeight="1" x14ac:dyDescent="0.2">
      <c r="B50" s="656" t="s">
        <v>3443</v>
      </c>
      <c r="C50" s="656"/>
      <c r="D50" s="656"/>
      <c r="E50" s="656"/>
    </row>
    <row r="51" spans="2:5" s="19" customFormat="1" ht="20" customHeight="1" x14ac:dyDescent="0.2">
      <c r="B51" s="224" t="s">
        <v>261</v>
      </c>
      <c r="C51" s="224" t="s">
        <v>262</v>
      </c>
      <c r="D51" s="225" t="s">
        <v>19</v>
      </c>
      <c r="E51" s="224" t="s">
        <v>20</v>
      </c>
    </row>
    <row r="52" spans="2:5" s="19" customFormat="1" ht="20" customHeight="1" x14ac:dyDescent="0.2">
      <c r="B52" s="226" t="s">
        <v>3444</v>
      </c>
      <c r="C52" s="227" t="s">
        <v>3445</v>
      </c>
      <c r="D52" s="112" t="str">
        <f>C52</f>
        <v>console.cloud.vmware.com</v>
      </c>
      <c r="E52" s="228"/>
    </row>
    <row r="53" spans="2:5" s="19" customFormat="1" ht="20" customHeight="1" x14ac:dyDescent="0.2">
      <c r="B53" s="226" t="s">
        <v>3446</v>
      </c>
      <c r="C53" s="227" t="str">
        <f t="array" ref="C53">sample_cbr_recovery_sddc_name</f>
        <v>aws-recovery-sddc</v>
      </c>
      <c r="D53" s="112" t="str">
        <f>cbr_recovery_sddc_name</f>
        <v>Value Missing</v>
      </c>
      <c r="E53" s="228"/>
    </row>
    <row r="54" spans="2:5" s="19" customFormat="1" ht="20" customHeight="1" x14ac:dyDescent="0.2">
      <c r="B54" s="226" t="s">
        <v>2154</v>
      </c>
      <c r="C54" s="227" t="str">
        <f t="array" ref="C54">sample_cbr_recovery_region</f>
        <v>Europe (Ireland)</v>
      </c>
      <c r="D54" s="112" t="str">
        <f>cbr_recovery_region</f>
        <v>Value Missing</v>
      </c>
      <c r="E54" s="228"/>
    </row>
    <row r="55" spans="2:5" s="19" customFormat="1" ht="20" customHeight="1" x14ac:dyDescent="0.2">
      <c r="B55" s="226" t="s">
        <v>2157</v>
      </c>
      <c r="C55" s="227" t="str">
        <f t="array" ref="C55">sample_cbr_recovery_host_type</f>
        <v>I4i (Local SSD)</v>
      </c>
      <c r="D55" s="112" t="str">
        <f>cbr_recovery_host_type</f>
        <v>Value Missing</v>
      </c>
      <c r="E55" s="228"/>
    </row>
    <row r="56" spans="2:5" s="19" customFormat="1" ht="20" customHeight="1" x14ac:dyDescent="0.2">
      <c r="B56" s="226" t="s">
        <v>2161</v>
      </c>
      <c r="C56" s="227">
        <f t="array" ref="C56">sample_cbr_recovery_host_count</f>
        <v>2</v>
      </c>
      <c r="D56" s="112" t="str">
        <f>cbr_recovery_host_count</f>
        <v>Value Missing</v>
      </c>
      <c r="E56" s="228"/>
    </row>
    <row r="57" spans="2:5" s="19" customFormat="1" ht="20" customHeight="1" x14ac:dyDescent="0.2">
      <c r="B57" s="226" t="s">
        <v>2166</v>
      </c>
      <c r="C57" s="227" t="str">
        <f t="array" ref="C57">sample_cbr_recovery_vpc</f>
        <v>&lt;generated&gt;</v>
      </c>
      <c r="D57" s="112" t="str">
        <f>cbr_recovery_vpc</f>
        <v>Value Missing</v>
      </c>
      <c r="E57" s="228"/>
    </row>
    <row r="58" spans="2:5" s="19" customFormat="1" ht="20" customHeight="1" x14ac:dyDescent="0.2">
      <c r="B58" s="226" t="s">
        <v>2170</v>
      </c>
      <c r="C58" s="227" t="str">
        <f t="array" ref="C58">sample_cbr_recovery_subnet</f>
        <v>&lt;generated&gt;</v>
      </c>
      <c r="D58" s="112" t="str">
        <f t="array" ref="D58">cbr_recovery_subnet</f>
        <v>Value Missing</v>
      </c>
      <c r="E58" s="228"/>
    </row>
    <row r="59" spans="2:5" s="19" customFormat="1" ht="20" customHeight="1" x14ac:dyDescent="0.2">
      <c r="B59" s="226" t="s">
        <v>2175</v>
      </c>
      <c r="C59" s="227" t="str">
        <f t="array" ref="C59">sample_cbr_recovery_management_subnet</f>
        <v>10.2.0.0/16</v>
      </c>
      <c r="D59" s="112" t="str">
        <f>cbr_recovery_management_subnet</f>
        <v>Value Missing</v>
      </c>
      <c r="E59" s="228"/>
    </row>
    <row r="60" spans="2:5" s="19" customFormat="1" ht="20" customHeight="1" x14ac:dyDescent="0.2"/>
    <row r="61" spans="2:5" s="19" customFormat="1" ht="34" customHeight="1" x14ac:dyDescent="0.2">
      <c r="B61" s="656" t="s">
        <v>3447</v>
      </c>
      <c r="C61" s="656"/>
      <c r="D61" s="656"/>
      <c r="E61" s="656"/>
    </row>
    <row r="62" spans="2:5" s="19" customFormat="1" ht="20" customHeight="1" x14ac:dyDescent="0.2">
      <c r="B62" s="224" t="s">
        <v>261</v>
      </c>
      <c r="C62" s="224" t="s">
        <v>262</v>
      </c>
      <c r="D62" s="225" t="s">
        <v>19</v>
      </c>
      <c r="E62" s="224" t="s">
        <v>20</v>
      </c>
    </row>
    <row r="63" spans="2:5" s="19" customFormat="1" ht="20" customHeight="1" x14ac:dyDescent="0.2">
      <c r="B63" s="226" t="s">
        <v>3444</v>
      </c>
      <c r="C63" s="227" t="s">
        <v>3445</v>
      </c>
      <c r="D63" s="112" t="s">
        <v>3445</v>
      </c>
      <c r="E63" s="228"/>
    </row>
    <row r="64" spans="2:5" s="19" customFormat="1" ht="20" customHeight="1" x14ac:dyDescent="0.2">
      <c r="B64" s="226" t="s">
        <v>3448</v>
      </c>
      <c r="C64" s="227" t="str">
        <f t="array" ref="C64">sample_cbr_firewall_rule_vcenter</f>
        <v>vCenter Inbound Rule</v>
      </c>
      <c r="D64" s="112" t="str">
        <f t="array" ref="D64">cbr_firewall_rule_vcenter</f>
        <v>Value Missing</v>
      </c>
      <c r="E64" s="228"/>
    </row>
    <row r="65" spans="2:5" s="19" customFormat="1" ht="20" customHeight="1" x14ac:dyDescent="0.2">
      <c r="B65" s="226" t="s">
        <v>3449</v>
      </c>
      <c r="C65" s="227" t="str">
        <f t="array" ref="C65">sample_cbr_firewall_group</f>
        <v>External-Access</v>
      </c>
      <c r="D65" s="112"/>
      <c r="E65" s="228"/>
    </row>
    <row r="66" spans="2:5" s="19" customFormat="1" ht="20" customHeight="1" x14ac:dyDescent="0.2">
      <c r="B66" s="226" t="s">
        <v>3450</v>
      </c>
      <c r="C66" s="227" t="s">
        <v>814</v>
      </c>
      <c r="D66" s="112" t="str">
        <f>C66</f>
        <v>vCenter</v>
      </c>
      <c r="E66" s="228"/>
    </row>
    <row r="67" spans="2:5" s="19" customFormat="1" ht="20" customHeight="1" x14ac:dyDescent="0.2">
      <c r="B67" s="226" t="s">
        <v>3451</v>
      </c>
      <c r="C67" s="227" t="s">
        <v>3452</v>
      </c>
      <c r="D67" s="112" t="str">
        <f>C67</f>
        <v>HTTPS (TCP 443)</v>
      </c>
      <c r="E67" s="228"/>
    </row>
    <row r="68" spans="2:5" s="19" customFormat="1" ht="20" customHeight="1" x14ac:dyDescent="0.2">
      <c r="B68" s="226" t="s">
        <v>3451</v>
      </c>
      <c r="C68" s="227" t="s">
        <v>3453</v>
      </c>
      <c r="D68" s="112" t="str">
        <f>C68</f>
        <v>SSO (TCP 7444)</v>
      </c>
      <c r="E68" s="228"/>
    </row>
    <row r="69" spans="2:5" s="19" customFormat="1" ht="20" customHeight="1" x14ac:dyDescent="0.2">
      <c r="B69" s="226" t="s">
        <v>3454</v>
      </c>
      <c r="C69" s="227" t="str">
        <f t="array" ref="C69">sample_cbr_firewall_ip_addresses</f>
        <v>69.34.34.11</v>
      </c>
      <c r="D69" s="112"/>
      <c r="E69" s="228"/>
    </row>
    <row r="70" spans="2:5" s="19" customFormat="1" ht="20" customHeight="1" x14ac:dyDescent="0.2"/>
    <row r="71" spans="2:5" s="19" customFormat="1" ht="34" customHeight="1" x14ac:dyDescent="0.2">
      <c r="B71" s="656" t="s">
        <v>3455</v>
      </c>
      <c r="C71" s="656"/>
      <c r="D71" s="656"/>
      <c r="E71" s="656"/>
    </row>
    <row r="72" spans="2:5" s="19" customFormat="1" ht="20" customHeight="1" x14ac:dyDescent="0.2">
      <c r="B72" s="224" t="s">
        <v>261</v>
      </c>
      <c r="C72" s="224" t="s">
        <v>262</v>
      </c>
      <c r="D72" s="225" t="s">
        <v>19</v>
      </c>
      <c r="E72" s="224" t="s">
        <v>20</v>
      </c>
    </row>
    <row r="73" spans="2:5" s="19" customFormat="1" ht="20" customHeight="1" x14ac:dyDescent="0.2">
      <c r="B73" s="226" t="s">
        <v>3444</v>
      </c>
      <c r="C73" s="227" t="s">
        <v>3445</v>
      </c>
      <c r="D73" s="112" t="s">
        <v>3445</v>
      </c>
      <c r="E73" s="228"/>
    </row>
    <row r="74" spans="2:5" s="19" customFormat="1" ht="20" customHeight="1" x14ac:dyDescent="0.2">
      <c r="B74" s="226" t="s">
        <v>2154</v>
      </c>
      <c r="C74" s="227" t="str">
        <f>sample_cbr_recovery_region</f>
        <v>Europe (Ireland)</v>
      </c>
      <c r="D74" s="112" t="str">
        <f>cbr_recovery_region</f>
        <v>Value Missing</v>
      </c>
      <c r="E74" s="228"/>
    </row>
    <row r="75" spans="2:5" s="19" customFormat="1" ht="20" customHeight="1" x14ac:dyDescent="0.2"/>
    <row r="76" spans="2:5" s="19" customFormat="1" ht="34" customHeight="1" x14ac:dyDescent="0.2">
      <c r="B76" s="661" t="s">
        <v>3456</v>
      </c>
      <c r="C76" s="662"/>
      <c r="D76" s="662"/>
      <c r="E76" s="663"/>
    </row>
    <row r="77" spans="2:5" s="19" customFormat="1" ht="20" customHeight="1" x14ac:dyDescent="0.2">
      <c r="B77" s="224" t="s">
        <v>261</v>
      </c>
      <c r="C77" s="224" t="s">
        <v>262</v>
      </c>
      <c r="D77" s="225" t="s">
        <v>19</v>
      </c>
      <c r="E77" s="224" t="s">
        <v>20</v>
      </c>
    </row>
    <row r="78" spans="2:5" s="19" customFormat="1" ht="20" customHeight="1" x14ac:dyDescent="0.2">
      <c r="B78" s="226" t="s">
        <v>3444</v>
      </c>
      <c r="C78" s="227" t="s">
        <v>3445</v>
      </c>
      <c r="D78" s="112" t="s">
        <v>3445</v>
      </c>
      <c r="E78" s="228"/>
    </row>
    <row r="79" spans="2:5" s="19" customFormat="1" ht="20" customHeight="1" x14ac:dyDescent="0.2">
      <c r="B79" s="226" t="s">
        <v>3457</v>
      </c>
      <c r="C79" s="227" t="str">
        <f>sample_cbr_recovery_region</f>
        <v>Europe (Ireland)</v>
      </c>
      <c r="D79" s="112" t="str">
        <f>cbr_recovery_region</f>
        <v>Value Missing</v>
      </c>
      <c r="E79" s="228"/>
    </row>
    <row r="80" spans="2:5" s="19" customFormat="1" ht="20" customHeight="1" x14ac:dyDescent="0.2">
      <c r="B80" s="226" t="s">
        <v>3458</v>
      </c>
      <c r="C80" s="227" t="str">
        <f t="array" ref="C80">sample_cbr_vcdr_cloud_file_system</f>
        <v>usw2-az2-cfs01</v>
      </c>
      <c r="D80" s="112"/>
      <c r="E80" s="228"/>
    </row>
    <row r="81" spans="2:5" s="19" customFormat="1" ht="20" customHeight="1" x14ac:dyDescent="0.2"/>
    <row r="82" spans="2:5" s="19" customFormat="1" ht="34" customHeight="1" x14ac:dyDescent="0.2">
      <c r="B82" s="656" t="s">
        <v>3459</v>
      </c>
      <c r="C82" s="656"/>
      <c r="D82" s="656"/>
      <c r="E82" s="656"/>
    </row>
    <row r="83" spans="2:5" s="19" customFormat="1" ht="20" customHeight="1" x14ac:dyDescent="0.2">
      <c r="B83" s="224" t="s">
        <v>261</v>
      </c>
      <c r="C83" s="224" t="s">
        <v>262</v>
      </c>
      <c r="D83" s="225" t="s">
        <v>19</v>
      </c>
      <c r="E83" s="224" t="s">
        <v>20</v>
      </c>
    </row>
    <row r="84" spans="2:5" s="19" customFormat="1" ht="20" customHeight="1" x14ac:dyDescent="0.2">
      <c r="B84" s="226" t="s">
        <v>3444</v>
      </c>
      <c r="C84" s="227" t="s">
        <v>3445</v>
      </c>
      <c r="D84" s="112" t="s">
        <v>3445</v>
      </c>
      <c r="E84" s="228"/>
    </row>
    <row r="85" spans="2:5" s="19" customFormat="1" ht="20" customHeight="1" x14ac:dyDescent="0.2">
      <c r="B85" s="226" t="s">
        <v>3460</v>
      </c>
      <c r="C85" s="227" t="str">
        <f>sample_cbr_vcdr_cloud_file_system</f>
        <v>usw2-az2-cfs01</v>
      </c>
      <c r="D85" s="112"/>
      <c r="E85" s="228"/>
    </row>
    <row r="86" spans="2:5" s="19" customFormat="1" ht="20" customHeight="1" x14ac:dyDescent="0.2">
      <c r="B86" s="226" t="s">
        <v>3461</v>
      </c>
      <c r="C86" s="227" t="str">
        <f t="array" ref="C86">sample_cbr_vcdr_timezone</f>
        <v>UTC</v>
      </c>
      <c r="D86" s="112" t="str">
        <f t="array" ref="D86">cbr_vcdr_timezone</f>
        <v>Value Missing</v>
      </c>
      <c r="E86" s="228"/>
    </row>
    <row r="87" spans="2:5" s="19" customFormat="1" ht="20" customHeight="1" x14ac:dyDescent="0.2">
      <c r="B87" s="226" t="s">
        <v>3462</v>
      </c>
      <c r="C87" s="227" t="str">
        <f t="array" ref="C87">sample_cbr_vcdr_site_name</f>
        <v>sfo-vcf01-instance</v>
      </c>
      <c r="D87" s="112" t="str">
        <f t="array" ref="D87">cbr_vcdr_site_name</f>
        <v>Value Missing</v>
      </c>
      <c r="E87" s="228"/>
    </row>
    <row r="88" spans="2:5" s="19" customFormat="1" ht="20" customHeight="1" x14ac:dyDescent="0.2"/>
    <row r="89" spans="2:5" s="19" customFormat="1" ht="34" customHeight="1" x14ac:dyDescent="0.2">
      <c r="B89" s="656" t="s">
        <v>3463</v>
      </c>
      <c r="C89" s="656"/>
      <c r="D89" s="656"/>
      <c r="E89" s="656"/>
    </row>
    <row r="90" spans="2:5" s="19" customFormat="1" ht="20" customHeight="1" x14ac:dyDescent="0.2">
      <c r="B90" s="224" t="s">
        <v>261</v>
      </c>
      <c r="C90" s="224" t="s">
        <v>262</v>
      </c>
      <c r="D90" s="225" t="s">
        <v>19</v>
      </c>
      <c r="E90" s="224" t="s">
        <v>20</v>
      </c>
    </row>
    <row r="91" spans="2:5" s="19" customFormat="1" ht="20" customHeight="1" x14ac:dyDescent="0.2">
      <c r="B91" s="226" t="s">
        <v>3444</v>
      </c>
      <c r="C91" s="227" t="s">
        <v>3445</v>
      </c>
      <c r="D91" s="112" t="s">
        <v>3445</v>
      </c>
      <c r="E91" s="228"/>
    </row>
    <row r="92" spans="2:5" s="19" customFormat="1" ht="20" customHeight="1" x14ac:dyDescent="0.2">
      <c r="B92" s="226" t="s">
        <v>3464</v>
      </c>
      <c r="C92" s="227" t="str">
        <f>sample_cbr_vcdr_site_name</f>
        <v>sfo-vcf01-instance</v>
      </c>
      <c r="D92" s="112" t="str">
        <f>cbr_vcdr_site_name</f>
        <v>Value Missing</v>
      </c>
      <c r="E92" s="228"/>
    </row>
    <row r="93" spans="2:5" s="19" customFormat="1" ht="20" customHeight="1" x14ac:dyDescent="0.2">
      <c r="B93" s="226" t="s">
        <v>3465</v>
      </c>
      <c r="C93" s="227" t="str">
        <f t="array" ref="C93">sample_cbr_vcdr_ova</f>
        <v>https://vcdr-34-212-247-60.app.vcdr.vmware.com:443/vmware-cloud-connector.ova</v>
      </c>
      <c r="D93" s="112" t="str">
        <f t="array" ref="D93">cbr_vcdr_ova</f>
        <v>Value Missing</v>
      </c>
      <c r="E93" s="228"/>
    </row>
    <row r="94" spans="2:5" s="19" customFormat="1" ht="20" customHeight="1" x14ac:dyDescent="0.2">
      <c r="B94" s="226" t="s">
        <v>2910</v>
      </c>
      <c r="C94" s="227" t="str">
        <f>sample_mgmt_vc_fqdn</f>
        <v>sfo-m01-vc01.sfo.rainpole.io</v>
      </c>
      <c r="D94" s="112" t="str">
        <f>mgmt_vc_fqdn</f>
        <v>Value Missing</v>
      </c>
      <c r="E94" s="228"/>
    </row>
    <row r="95" spans="2:5" s="19" customFormat="1" ht="20" customHeight="1" x14ac:dyDescent="0.2">
      <c r="B95" s="226" t="s">
        <v>2764</v>
      </c>
      <c r="C95" s="227" t="str">
        <f>sample_cbr_vm_folder</f>
        <v>sfo-m01-fd-cbr</v>
      </c>
      <c r="D95" s="112" t="str">
        <f>cbr_vm_folder</f>
        <v>Value Missing</v>
      </c>
      <c r="E95" s="228"/>
    </row>
    <row r="96" spans="2:5" s="19" customFormat="1" ht="20" customHeight="1" x14ac:dyDescent="0.2">
      <c r="B96" s="226" t="s">
        <v>2845</v>
      </c>
      <c r="C96" s="227" t="str">
        <f t="array" ref="C96">sample_cbr_vcdr_cdp1_hostname</f>
        <v>sfo-cbr-cdp01a</v>
      </c>
      <c r="D96" s="112" t="str">
        <f t="array" ref="D96">cbr_vcdr_cdp1_hostname</f>
        <v>Value Missing</v>
      </c>
      <c r="E96" s="228"/>
    </row>
    <row r="97" spans="1:5" s="19" customFormat="1" ht="20" customHeight="1" x14ac:dyDescent="0.2">
      <c r="B97" s="226" t="s">
        <v>2847</v>
      </c>
      <c r="C97" s="227" t="str">
        <f>sample_mgmt_cl01_cluster</f>
        <v>sfo-m01-cl01</v>
      </c>
      <c r="D97" s="112" t="str">
        <f>mgmt_cl01_cluster</f>
        <v>Value Missing</v>
      </c>
      <c r="E97" s="228"/>
    </row>
    <row r="98" spans="1:5" s="19" customFormat="1" ht="20" customHeight="1" x14ac:dyDescent="0.2">
      <c r="B98" s="226" t="s">
        <v>3466</v>
      </c>
      <c r="C98" s="227" t="str">
        <f>sample_mgmt_cl01_vsan_datastore</f>
        <v>sfo-m01-cl01-ds-vsan01</v>
      </c>
      <c r="D98" s="112" t="str">
        <f>mgmt_cl01_vsan_datastore</f>
        <v>Value Missing</v>
      </c>
      <c r="E98" s="228"/>
    </row>
    <row r="99" spans="1:5" s="19" customFormat="1" ht="20" customHeight="1" x14ac:dyDescent="0.2">
      <c r="B99" s="226" t="s">
        <v>252</v>
      </c>
      <c r="C99" s="227" t="str">
        <f>sample_mgmt_cl01_az1_mgmt_pg</f>
        <v>sfo-m01-cl01-vds01-pg-mgmt</v>
      </c>
      <c r="D99" s="112" t="str">
        <f>mgmt_cl01_az1_mgmt_pg</f>
        <v>Value Missing</v>
      </c>
      <c r="E99" s="228"/>
    </row>
    <row r="100" spans="1:5" s="19" customFormat="1" ht="20" customHeight="1" x14ac:dyDescent="0.2">
      <c r="B100" s="226" t="s">
        <v>3467</v>
      </c>
      <c r="C100" s="227" t="s">
        <v>431</v>
      </c>
      <c r="D100" s="112" t="str">
        <f>C100</f>
        <v>admin</v>
      </c>
      <c r="E100" s="228"/>
    </row>
    <row r="101" spans="1:5" s="19" customFormat="1" ht="20" customHeight="1" x14ac:dyDescent="0.2">
      <c r="B101" s="226" t="s">
        <v>746</v>
      </c>
      <c r="C101" s="227"/>
      <c r="D101" s="112"/>
      <c r="E101" s="228"/>
    </row>
    <row r="102" spans="1:5" s="19" customFormat="1" ht="20" customHeight="1" x14ac:dyDescent="0.2">
      <c r="B102" s="226" t="s">
        <v>3468</v>
      </c>
      <c r="C102" s="227" t="s">
        <v>106</v>
      </c>
      <c r="D102" s="112" t="str">
        <f>C102</f>
        <v>Static</v>
      </c>
      <c r="E102" s="228"/>
    </row>
    <row r="103" spans="1:5" s="19" customFormat="1" ht="20" customHeight="1" x14ac:dyDescent="0.2">
      <c r="B103" s="226" t="s">
        <v>283</v>
      </c>
      <c r="C103" s="227" t="str">
        <f t="array" ref="C103">sample_cbr_vcdr_cdp1_ip</f>
        <v>10.11.10.44</v>
      </c>
      <c r="D103" s="112" t="str">
        <f t="array" ref="D103">cbr_vcdr_cdp1_ip</f>
        <v>Value Missing</v>
      </c>
      <c r="E103" s="228"/>
    </row>
    <row r="104" spans="1:5" s="19" customFormat="1" ht="20" customHeight="1" x14ac:dyDescent="0.2">
      <c r="B104" s="226" t="s">
        <v>3469</v>
      </c>
      <c r="C104" s="227" t="str">
        <f>VLOOKUP(INT(RIGHT(sample_mgmt_az1_mgmt_cidr,LEN(sample_mgmt_az1_mgmt_cidr)-FIND("/",sample_mgmt_az1_mgmt_cidr))),table_cidr_to_mask,2,FALSE)</f>
        <v>255.255.255.0</v>
      </c>
      <c r="D104" s="112" t="str">
        <f>mgmt_az1_mgmt_mask</f>
        <v>Value Missing</v>
      </c>
      <c r="E104" s="228"/>
    </row>
    <row r="105" spans="1:5" s="19" customFormat="1" ht="20" customHeight="1" x14ac:dyDescent="0.2">
      <c r="B105" s="226" t="s">
        <v>187</v>
      </c>
      <c r="C105" s="227" t="str">
        <f>sample_mgmt_az1_mgmt_gateway_ip</f>
        <v>10.11.11.1</v>
      </c>
      <c r="D105" s="112" t="str">
        <f>mgmt_az1_mgmt_gateway_ip</f>
        <v>Value Missing</v>
      </c>
      <c r="E105" s="228"/>
    </row>
    <row r="106" spans="1:5" s="19" customFormat="1" ht="20" customHeight="1" x14ac:dyDescent="0.2">
      <c r="B106" s="226" t="s">
        <v>608</v>
      </c>
      <c r="C106" s="227" t="str">
        <f>CONCATENATE(sample_region_dns1_ip," ",sample_region_dns2_ip)</f>
        <v>10.11.10.4 10.11.10.5</v>
      </c>
      <c r="D106" s="112" t="str">
        <f>CONCATENATE(region_dns1_ip," ",region_dns2_ip)</f>
        <v>Value Missing Value Missing</v>
      </c>
      <c r="E106" s="228"/>
    </row>
    <row r="107" spans="1:5" s="19" customFormat="1" ht="20" customHeight="1" x14ac:dyDescent="0.2">
      <c r="B107" s="226" t="s">
        <v>2208</v>
      </c>
      <c r="C107" s="227" t="str">
        <f t="array" ref="C107">sample_cbr_vcdr_orchestrator_fqdn</f>
        <v>vcdr-34-212-247-60.app.vcdr.vmware.com</v>
      </c>
      <c r="D107" s="112" t="str">
        <f t="array" ref="D107">cbr_vcdr_orchestrator_fqdn</f>
        <v>Value Missing</v>
      </c>
      <c r="E107" s="228"/>
    </row>
    <row r="108" spans="1:5" s="19" customFormat="1" ht="20" customHeight="1" x14ac:dyDescent="0.2">
      <c r="B108" s="226" t="s">
        <v>2212</v>
      </c>
      <c r="C108" s="227" t="str">
        <f t="array" ref="C108">sample_cbr_vcdr_passcode</f>
        <v>&lt;generated&gt;</v>
      </c>
      <c r="D108" s="112" t="str">
        <f t="array" ref="D108">cbr_vcdr_passcode</f>
        <v>Value Missing</v>
      </c>
      <c r="E108" s="228"/>
    </row>
    <row r="109" spans="1:5" s="19" customFormat="1" ht="20" customHeight="1" x14ac:dyDescent="0.2">
      <c r="B109" s="226" t="s">
        <v>2216</v>
      </c>
      <c r="C109" s="227" t="str">
        <f t="array" ref="C109">sample_cbr_vcdr_label</f>
        <v>sfo-cbr-cdp01</v>
      </c>
      <c r="D109" s="112" t="str">
        <f t="array" ref="D109">cbr_vcdr_label</f>
        <v>Value Missing</v>
      </c>
      <c r="E109" s="228"/>
    </row>
    <row r="110" spans="1:5" s="19" customFormat="1" ht="20" customHeight="1" x14ac:dyDescent="0.2"/>
    <row r="111" spans="1:5" ht="34.25" customHeight="1" x14ac:dyDescent="0.2">
      <c r="A111" s="223"/>
      <c r="B111" s="656" t="s">
        <v>3470</v>
      </c>
      <c r="C111" s="656"/>
      <c r="D111" s="656"/>
      <c r="E111" s="656"/>
    </row>
    <row r="112" spans="1:5" ht="20" customHeight="1" x14ac:dyDescent="0.2">
      <c r="A112" s="223"/>
      <c r="B112" s="224" t="s">
        <v>261</v>
      </c>
      <c r="C112" s="224" t="s">
        <v>262</v>
      </c>
      <c r="D112" s="225" t="s">
        <v>19</v>
      </c>
      <c r="E112" s="224" t="s">
        <v>20</v>
      </c>
    </row>
    <row r="113" spans="1:5" ht="20" customHeight="1" x14ac:dyDescent="0.2">
      <c r="A113" s="223"/>
      <c r="B113" s="226" t="s">
        <v>3444</v>
      </c>
      <c r="C113" s="227" t="s">
        <v>3445</v>
      </c>
      <c r="D113" s="112" t="str">
        <f>C113</f>
        <v>console.cloud.vmware.com</v>
      </c>
      <c r="E113" s="228"/>
    </row>
    <row r="114" spans="1:5" ht="20" customHeight="1" x14ac:dyDescent="0.2">
      <c r="A114" s="223"/>
      <c r="B114" s="226" t="s">
        <v>3464</v>
      </c>
      <c r="C114" s="227" t="str">
        <f>sample_cbr_vcdr_site_name</f>
        <v>sfo-vcf01-instance</v>
      </c>
      <c r="D114" s="112" t="str">
        <f>cbr_vcdr_site_name</f>
        <v>Value Missing</v>
      </c>
      <c r="E114" s="228"/>
    </row>
    <row r="115" spans="1:5" ht="20" customHeight="1" x14ac:dyDescent="0.2">
      <c r="A115" s="223"/>
      <c r="B115" s="226" t="s">
        <v>3471</v>
      </c>
      <c r="C115" s="227" t="str">
        <f>sample_wld_vc_ip</f>
        <v>10.11.10.130</v>
      </c>
      <c r="D115" s="112" t="str">
        <f>wld_vc_ip</f>
        <v>Value Missing</v>
      </c>
      <c r="E115" s="228"/>
    </row>
    <row r="116" spans="1:5" ht="20" customHeight="1" x14ac:dyDescent="0.2">
      <c r="A116" s="223"/>
      <c r="B116" s="226" t="s">
        <v>3472</v>
      </c>
      <c r="C116" s="227" t="str">
        <f>sso_default_admin</f>
        <v>administrator@vsphere.local</v>
      </c>
      <c r="D116" s="112" t="str">
        <f>sso_default_admin</f>
        <v>administrator@vsphere.local</v>
      </c>
      <c r="E116" s="228"/>
    </row>
    <row r="117" spans="1:5" ht="20" customHeight="1" x14ac:dyDescent="0.2">
      <c r="A117" s="223"/>
      <c r="B117" s="226" t="s">
        <v>3473</v>
      </c>
      <c r="C117" s="227" t="str">
        <f>sample_administrator_vsphere_local_password</f>
        <v>VMw@re1!VMw@re1!</v>
      </c>
      <c r="D117" s="112" t="str">
        <f>administrator_vsphere_local_password</f>
        <v>Value Missing</v>
      </c>
      <c r="E117" s="228"/>
    </row>
    <row r="118" spans="1:5" ht="20" customHeight="1" x14ac:dyDescent="0.2">
      <c r="A118" s="223"/>
      <c r="B118" s="226" t="s">
        <v>3474</v>
      </c>
      <c r="C118" s="227" t="str">
        <f>CONCATENATE(sample_svc_cbr_vcdr_vsphere_user,"@vsphere.local")</f>
        <v>svc-vlcr-vsphere@vsphere.local</v>
      </c>
      <c r="D118" s="112" t="str">
        <f>CONCATENATE(svc_cbr_vcdr_vsphere_user,"@vsphere.local")</f>
        <v>Value Missing@vsphere.local</v>
      </c>
      <c r="E118" s="228"/>
    </row>
    <row r="119" spans="1:5" ht="20" customHeight="1" x14ac:dyDescent="0.2">
      <c r="A119" s="223"/>
      <c r="B119" s="226" t="s">
        <v>3475</v>
      </c>
      <c r="C119" s="227" t="str">
        <f>sample_svc_cbr_vcdr_vsphere_password</f>
        <v>VMw@re1!</v>
      </c>
      <c r="D119" s="112" t="str">
        <f t="array" ref="D119">svc_cbr_vcdr_vsphere_password</f>
        <v>Value Missing</v>
      </c>
      <c r="E119" s="228"/>
    </row>
    <row r="120" spans="1:5" ht="20" customHeight="1" x14ac:dyDescent="0.2">
      <c r="A120" s="223"/>
      <c r="B120" s="230" t="s">
        <v>3476</v>
      </c>
      <c r="C120" s="227" t="str">
        <f>sample_cbr_vcdr_vsphere_role</f>
        <v>VMware Live Cyber Recovery to vSphere Integration</v>
      </c>
      <c r="D120" s="112" t="str">
        <f>cbr_vcdr_vsphere_role</f>
        <v>Value Missing</v>
      </c>
      <c r="E120" s="228"/>
    </row>
    <row r="121" spans="1:5" ht="20" customHeight="1" x14ac:dyDescent="0.2">
      <c r="A121" s="223"/>
      <c r="B121" s="231"/>
      <c r="C121" s="232"/>
      <c r="D121" s="232"/>
      <c r="E121" s="223"/>
    </row>
    <row r="122" spans="1:5" s="19" customFormat="1" ht="34" customHeight="1" x14ac:dyDescent="0.2">
      <c r="B122" s="656" t="s">
        <v>3477</v>
      </c>
      <c r="C122" s="656"/>
      <c r="D122" s="656"/>
      <c r="E122" s="656"/>
    </row>
    <row r="123" spans="1:5" s="19" customFormat="1" ht="20" customHeight="1" x14ac:dyDescent="0.2">
      <c r="B123" s="224" t="s">
        <v>261</v>
      </c>
      <c r="C123" s="224" t="s">
        <v>262</v>
      </c>
      <c r="D123" s="225" t="s">
        <v>19</v>
      </c>
      <c r="E123" s="224" t="s">
        <v>20</v>
      </c>
    </row>
    <row r="124" spans="1:5" s="19" customFormat="1" ht="20" customHeight="1" x14ac:dyDescent="0.2">
      <c r="B124" s="226" t="s">
        <v>2910</v>
      </c>
      <c r="C124" s="227" t="str">
        <f>sample_mgmt_vc_fqdn</f>
        <v>sfo-m01-vc01.sfo.rainpole.io</v>
      </c>
      <c r="D124" s="112" t="str">
        <f>mgmt_vc_fqdn</f>
        <v>Value Missing</v>
      </c>
      <c r="E124" s="228"/>
    </row>
    <row r="125" spans="1:5" s="19" customFormat="1" ht="20" customHeight="1" x14ac:dyDescent="0.2">
      <c r="B125" s="226" t="s">
        <v>301</v>
      </c>
      <c r="C125" s="227" t="str">
        <f>sample_mgmt_datacenter</f>
        <v>sfo-m01-dc01</v>
      </c>
      <c r="D125" s="112" t="str">
        <f>mgmt_datacenter</f>
        <v>Value Missing</v>
      </c>
      <c r="E125" s="228"/>
    </row>
    <row r="126" spans="1:5" s="19" customFormat="1" ht="20" customHeight="1" x14ac:dyDescent="0.2">
      <c r="B126" s="226" t="s">
        <v>732</v>
      </c>
      <c r="C126" s="227" t="str">
        <f>sample_mgmt_cl01_cluster</f>
        <v>sfo-m01-cl01</v>
      </c>
      <c r="D126" s="112" t="str">
        <f>mgmt_cl01_cluster</f>
        <v>Value Missing</v>
      </c>
      <c r="E126" s="228"/>
    </row>
    <row r="127" spans="1:5" s="19" customFormat="1" ht="20" customHeight="1" x14ac:dyDescent="0.2">
      <c r="B127" s="226" t="s">
        <v>261</v>
      </c>
      <c r="C127" s="227" t="str">
        <f>sample_cbr_vcdr_anti_affinity</f>
        <v>sfo-m01anti-affinity-rule-cbr</v>
      </c>
      <c r="D127" s="112" t="str">
        <f>cbr_vcdr_anti_affinity</f>
        <v>Value Missing</v>
      </c>
      <c r="E127" s="228"/>
    </row>
    <row r="128" spans="1:5" s="19" customFormat="1" ht="20" customHeight="1" x14ac:dyDescent="0.2">
      <c r="B128" s="226" t="s">
        <v>3478</v>
      </c>
      <c r="C128" s="227" t="str">
        <f>sample_cbr_vcdr_cdp1_hostname</f>
        <v>sfo-cbr-cdp01a</v>
      </c>
      <c r="D128" s="112" t="str">
        <f>cbr_vcdr_cdp1_hostname</f>
        <v>Value Missing</v>
      </c>
      <c r="E128" s="228"/>
    </row>
    <row r="129" spans="2:5" s="19" customFormat="1" ht="20" customHeight="1" x14ac:dyDescent="0.2">
      <c r="B129" s="233" t="s">
        <v>3479</v>
      </c>
      <c r="C129" s="234" t="str">
        <f>sample_cbr_vcdr_cdp2_hostname</f>
        <v>sfo-cbr-cdp01b</v>
      </c>
      <c r="D129" s="235" t="str">
        <f>cbr_vcdr_cdp2_hostname</f>
        <v>Value Missing</v>
      </c>
      <c r="E129" s="228"/>
    </row>
    <row r="130" spans="2:5" s="19" customFormat="1" ht="20" customHeight="1" x14ac:dyDescent="0.2"/>
    <row r="131" spans="2:5" s="19" customFormat="1" ht="34" customHeight="1" x14ac:dyDescent="0.2">
      <c r="B131" s="656" t="s">
        <v>3480</v>
      </c>
      <c r="C131" s="656"/>
      <c r="D131" s="656"/>
      <c r="E131" s="656"/>
    </row>
    <row r="132" spans="2:5" s="19" customFormat="1" ht="20" customHeight="1" x14ac:dyDescent="0.2">
      <c r="B132" s="224" t="s">
        <v>261</v>
      </c>
      <c r="C132" s="224" t="s">
        <v>262</v>
      </c>
      <c r="D132" s="225" t="s">
        <v>19</v>
      </c>
      <c r="E132" s="224" t="s">
        <v>20</v>
      </c>
    </row>
    <row r="133" spans="2:5" s="19" customFormat="1" ht="20" customHeight="1" x14ac:dyDescent="0.2">
      <c r="B133" s="226" t="s">
        <v>2910</v>
      </c>
      <c r="C133" s="227" t="str">
        <f>sample_mgmt_vc_fqdn</f>
        <v>sfo-m01-vc01.sfo.rainpole.io</v>
      </c>
      <c r="D133" s="112" t="str">
        <f>mgmt_vc_fqdn</f>
        <v>Value Missing</v>
      </c>
      <c r="E133" s="228"/>
    </row>
    <row r="134" spans="2:5" s="19" customFormat="1" ht="20" customHeight="1" x14ac:dyDescent="0.2">
      <c r="B134" s="226" t="s">
        <v>261</v>
      </c>
      <c r="C134" s="227" t="str">
        <f>CONCATENATE(sample_mgmt_cl01_cluster,"_primary-az-vmgroup")</f>
        <v>sfo-m01-cl01_primary-az-vmgroup</v>
      </c>
      <c r="D134" s="112" t="str">
        <f>CONCATENATE(mgmt_cl01_cluster,"_primary-az-vmgroup")</f>
        <v>Value Missing_primary-az-vmgroup</v>
      </c>
      <c r="E134" s="228"/>
    </row>
    <row r="135" spans="2:5" s="19" customFormat="1" ht="20" customHeight="1" x14ac:dyDescent="0.2">
      <c r="B135" s="226" t="s">
        <v>3478</v>
      </c>
      <c r="C135" s="227" t="str">
        <f>sample_cbr_vcdr_cdp1_hostname</f>
        <v>sfo-cbr-cdp01a</v>
      </c>
      <c r="D135" s="112" t="str">
        <f>cbr_vcdr_cdp1_hostname</f>
        <v>Value Missing</v>
      </c>
      <c r="E135" s="228"/>
    </row>
    <row r="136" spans="2:5" s="19" customFormat="1" ht="20" customHeight="1" x14ac:dyDescent="0.2">
      <c r="B136" s="233" t="s">
        <v>3479</v>
      </c>
      <c r="C136" s="234" t="str">
        <f>sample_cbr_vcdr_cdp2_hostname</f>
        <v>sfo-cbr-cdp01b</v>
      </c>
      <c r="D136" s="235" t="str">
        <f>cbr_vcdr_cdp2_hostname</f>
        <v>Value Missing</v>
      </c>
      <c r="E136" s="228"/>
    </row>
    <row r="137" spans="2:5" s="19" customFormat="1" ht="20" customHeight="1" x14ac:dyDescent="0.2"/>
    <row r="138" spans="2:5" s="19" customFormat="1" ht="34" customHeight="1" x14ac:dyDescent="0.2">
      <c r="B138" s="656" t="s">
        <v>3481</v>
      </c>
      <c r="C138" s="656"/>
      <c r="D138" s="656"/>
      <c r="E138" s="656"/>
    </row>
    <row r="139" spans="2:5" s="19" customFormat="1" ht="20" customHeight="1" x14ac:dyDescent="0.2">
      <c r="B139" s="224" t="s">
        <v>261</v>
      </c>
      <c r="C139" s="224" t="s">
        <v>262</v>
      </c>
      <c r="D139" s="225" t="s">
        <v>19</v>
      </c>
      <c r="E139" s="224" t="s">
        <v>20</v>
      </c>
    </row>
    <row r="140" spans="2:5" s="19" customFormat="1" ht="20" customHeight="1" x14ac:dyDescent="0.2">
      <c r="B140" s="226" t="s">
        <v>3444</v>
      </c>
      <c r="C140" s="227" t="s">
        <v>3445</v>
      </c>
      <c r="D140" s="112" t="str">
        <f>C140</f>
        <v>console.cloud.vmware.com</v>
      </c>
      <c r="E140" s="228"/>
    </row>
    <row r="141" spans="2:5" s="19" customFormat="1" ht="20" customHeight="1" x14ac:dyDescent="0.2">
      <c r="B141" s="226" t="s">
        <v>3464</v>
      </c>
      <c r="C141" s="227" t="str">
        <f>sample_cbr_vcdr_site_name</f>
        <v>sfo-vcf01-instance</v>
      </c>
      <c r="D141" s="112" t="str">
        <f>cbr_vcdr_site_name</f>
        <v>Value Missing</v>
      </c>
      <c r="E141" s="228"/>
    </row>
    <row r="142" spans="2:5" s="19" customFormat="1" ht="20" customHeight="1" x14ac:dyDescent="0.2">
      <c r="B142" s="226" t="s">
        <v>3482</v>
      </c>
      <c r="C142" s="227" t="str">
        <f>sample_wld_vc_ip</f>
        <v>10.11.10.130</v>
      </c>
      <c r="D142" s="112" t="str">
        <f>wld_vc_ip</f>
        <v>Value Missing</v>
      </c>
      <c r="E142" s="228"/>
    </row>
    <row r="143" spans="2:5" s="19" customFormat="1" ht="20" customHeight="1" x14ac:dyDescent="0.2">
      <c r="B143" s="226" t="s">
        <v>3483</v>
      </c>
      <c r="C143" s="227" t="str">
        <f>CONCATENATE(sample_svc_cbr_vcdr_vsphere_user,"@vsphere.local")</f>
        <v>svc-vlcr-vsphere@vsphere.local</v>
      </c>
      <c r="D143" s="112" t="str">
        <f>CONCATENATE(svc_cbr_vcdr_vsphere_user,"@vsphere.local")</f>
        <v>Value Missing@vsphere.local</v>
      </c>
      <c r="E143" s="228"/>
    </row>
    <row r="144" spans="2:5" s="19" customFormat="1" ht="20" customHeight="1" x14ac:dyDescent="0.2">
      <c r="B144" s="226" t="s">
        <v>29</v>
      </c>
      <c r="C144" s="227" t="str">
        <f>sample_svc_cbr_vcdr_vsphere_password</f>
        <v>VMw@re1!</v>
      </c>
      <c r="D144" s="112" t="str">
        <f>svc_cbr_vcdr_vsphere_password</f>
        <v>Value Missing</v>
      </c>
      <c r="E144" s="228"/>
    </row>
    <row r="145" spans="1:6" s="19" customFormat="1" ht="20" customHeight="1" x14ac:dyDescent="0.2"/>
    <row r="146" spans="1:6" s="19" customFormat="1" ht="34" customHeight="1" x14ac:dyDescent="0.2">
      <c r="B146" s="656" t="s">
        <v>3484</v>
      </c>
      <c r="C146" s="656"/>
      <c r="D146" s="656"/>
      <c r="E146" s="656"/>
    </row>
    <row r="147" spans="1:6" s="19" customFormat="1" ht="20" customHeight="1" x14ac:dyDescent="0.2">
      <c r="B147" s="224" t="s">
        <v>261</v>
      </c>
      <c r="C147" s="224" t="s">
        <v>262</v>
      </c>
      <c r="D147" s="225" t="s">
        <v>19</v>
      </c>
      <c r="E147" s="224" t="s">
        <v>20</v>
      </c>
    </row>
    <row r="148" spans="1:6" s="19" customFormat="1" ht="20" customHeight="1" x14ac:dyDescent="0.2">
      <c r="B148" s="226" t="s">
        <v>3444</v>
      </c>
      <c r="C148" s="227" t="s">
        <v>3445</v>
      </c>
      <c r="D148" s="112" t="str">
        <f>C148</f>
        <v>console.cloud.vmware.com</v>
      </c>
      <c r="E148" s="228"/>
    </row>
    <row r="149" spans="1:6" s="19" customFormat="1" ht="20" customHeight="1" x14ac:dyDescent="0.2">
      <c r="B149" s="226" t="s">
        <v>3464</v>
      </c>
      <c r="C149" s="227" t="str">
        <f>sample_cbr_vcdr_site_name</f>
        <v>sfo-vcf01-instance</v>
      </c>
      <c r="D149" s="112" t="str">
        <f>cbr_vcdr_site_name</f>
        <v>Value Missing</v>
      </c>
      <c r="E149" s="228"/>
    </row>
    <row r="150" spans="1:6" s="19" customFormat="1" ht="20" customHeight="1" x14ac:dyDescent="0.2"/>
    <row r="151" spans="1:6" s="19" customFormat="1" ht="34" customHeight="1" x14ac:dyDescent="0.2">
      <c r="B151" s="656" t="s">
        <v>3485</v>
      </c>
      <c r="C151" s="656"/>
      <c r="D151" s="656"/>
      <c r="E151" s="656"/>
    </row>
    <row r="152" spans="1:6" s="19" customFormat="1" ht="20" customHeight="1" x14ac:dyDescent="0.2">
      <c r="B152" s="224" t="s">
        <v>261</v>
      </c>
      <c r="C152" s="224" t="s">
        <v>262</v>
      </c>
      <c r="D152" s="225" t="s">
        <v>19</v>
      </c>
      <c r="E152" s="224" t="s">
        <v>20</v>
      </c>
    </row>
    <row r="153" spans="1:6" s="19" customFormat="1" ht="20" customHeight="1" x14ac:dyDescent="0.2">
      <c r="B153" s="226" t="s">
        <v>3444</v>
      </c>
      <c r="C153" s="227" t="s">
        <v>3445</v>
      </c>
      <c r="D153" s="112" t="str">
        <f>C153</f>
        <v>console.cloud.vmware.com</v>
      </c>
      <c r="E153" s="228"/>
    </row>
    <row r="154" spans="1:6" s="19" customFormat="1" ht="20" customHeight="1" x14ac:dyDescent="0.2">
      <c r="B154" s="226" t="s">
        <v>2223</v>
      </c>
      <c r="C154" s="227" t="str">
        <f>sample_cbr_vcdr_email_recipient</f>
        <v>cloudadmins@rainpole.io</v>
      </c>
      <c r="D154" s="112" t="str">
        <f>cbr_vcdr_email_recipient</f>
        <v>Value Missing</v>
      </c>
      <c r="E154" s="228"/>
    </row>
    <row r="155" spans="1:6" s="19" customFormat="1" ht="20" customHeight="1" x14ac:dyDescent="0.2">
      <c r="B155" s="226" t="s">
        <v>2228</v>
      </c>
      <c r="C155" s="227" t="str">
        <f>sample_cbr_vcdr_email_sender</f>
        <v>administrator@rainpole.io</v>
      </c>
      <c r="D155" s="112" t="str">
        <f>cbr_vcdr_email_sender</f>
        <v>Value Missing</v>
      </c>
      <c r="E155" s="228"/>
    </row>
    <row r="156" spans="1:6" s="19" customFormat="1" ht="20" customHeight="1" x14ac:dyDescent="0.2">
      <c r="B156" s="226" t="s">
        <v>3486</v>
      </c>
      <c r="C156" s="227" t="s">
        <v>3487</v>
      </c>
      <c r="D156" s="112" t="str">
        <f>C156</f>
        <v>no-reply-vlcr</v>
      </c>
      <c r="E156" s="228"/>
    </row>
    <row r="157" spans="1:6" s="19" customFormat="1" ht="20" customHeight="1" x14ac:dyDescent="0.2"/>
    <row r="158" spans="1:6" s="19" customFormat="1" ht="34" customHeight="1" x14ac:dyDescent="0.2">
      <c r="A158" s="216"/>
      <c r="B158" s="665" t="s">
        <v>2981</v>
      </c>
      <c r="C158" s="665"/>
      <c r="D158" s="665"/>
      <c r="E158" s="665"/>
      <c r="F158" s="216"/>
    </row>
    <row r="159" spans="1:6" s="19" customFormat="1" ht="20" customHeight="1" x14ac:dyDescent="0.2"/>
    <row r="160" spans="1:6" s="19" customFormat="1" ht="34" customHeight="1" x14ac:dyDescent="0.2">
      <c r="B160" s="659" t="s">
        <v>3488</v>
      </c>
      <c r="C160" s="660"/>
      <c r="D160" s="660"/>
      <c r="E160" s="660"/>
    </row>
    <row r="161" spans="2:5" s="19" customFormat="1" ht="20" customHeight="1" x14ac:dyDescent="0.2"/>
    <row r="162" spans="2:5" s="19" customFormat="1" ht="34" customHeight="1" x14ac:dyDescent="0.2">
      <c r="B162" s="656" t="s">
        <v>3489</v>
      </c>
      <c r="C162" s="656"/>
      <c r="D162" s="656"/>
      <c r="E162" s="656"/>
    </row>
    <row r="163" spans="2:5" s="19" customFormat="1" ht="20" customHeight="1" x14ac:dyDescent="0.2">
      <c r="B163" s="224" t="s">
        <v>261</v>
      </c>
      <c r="C163" s="224" t="s">
        <v>262</v>
      </c>
      <c r="D163" s="225" t="s">
        <v>19</v>
      </c>
      <c r="E163" s="224" t="s">
        <v>20</v>
      </c>
    </row>
    <row r="164" spans="2:5" s="19" customFormat="1" ht="20" customHeight="1" x14ac:dyDescent="0.2">
      <c r="B164" s="226" t="s">
        <v>3149</v>
      </c>
      <c r="C164" s="227" t="str">
        <f>sample_xreg_vrops_virtual_fqdn</f>
        <v>flt-ops01.rainpole.io</v>
      </c>
      <c r="D164" s="112" t="str">
        <f>xreg_vrops_virtual_fqdn</f>
        <v>Value Missing</v>
      </c>
      <c r="E164" s="228"/>
    </row>
    <row r="165" spans="2:5" s="19" customFormat="1" ht="20" customHeight="1" x14ac:dyDescent="0.2">
      <c r="B165" s="226" t="s">
        <v>261</v>
      </c>
      <c r="C165" s="227" t="str">
        <f>"ransomware-recovery-proxies"</f>
        <v>ransomware-recovery-proxies</v>
      </c>
      <c r="D165" s="112" t="str">
        <f>C165</f>
        <v>ransomware-recovery-proxies</v>
      </c>
      <c r="E165" s="228"/>
    </row>
    <row r="166" spans="2:5" s="19" customFormat="1" ht="20" customHeight="1" x14ac:dyDescent="0.2">
      <c r="B166" s="226" t="s">
        <v>3490</v>
      </c>
      <c r="C166" s="227" t="str">
        <f>C165</f>
        <v>ransomware-recovery-proxies</v>
      </c>
      <c r="D166" s="112" t="str">
        <f>C166</f>
        <v>ransomware-recovery-proxies</v>
      </c>
      <c r="E166" s="228"/>
    </row>
    <row r="167" spans="2:5" s="19" customFormat="1" ht="20" customHeight="1" x14ac:dyDescent="0.2">
      <c r="B167" s="226" t="s">
        <v>3491</v>
      </c>
      <c r="C167" s="227" t="str">
        <f>CONCATENATE(sample_cbr_vcdr_cdp1_ip,",",sample_cbr_vcdr_cdp2_ip)</f>
        <v>10.11.10.44,10.11.10.45</v>
      </c>
      <c r="D167" s="112" t="str">
        <f>CONCATENATE(cbr_vcdr_cdp1_ip,",",cbr_vcdr_cdp2_ip)</f>
        <v>Value Missing,Value Missing</v>
      </c>
      <c r="E167" s="228"/>
    </row>
    <row r="168" spans="2:5" s="19" customFormat="1" ht="20" customHeight="1" x14ac:dyDescent="0.2">
      <c r="B168" s="226" t="s">
        <v>3492</v>
      </c>
      <c r="C168" s="227" t="str">
        <f>CONCATENATE(sample_mgmt_sddc_domain,"-collector-group")</f>
        <v>sfo-m01-collector-group</v>
      </c>
      <c r="D168" s="112" t="str">
        <f>CONCATENATE(mgmt_sddc_domain,"-collector-group")</f>
        <v>Value Missing-collector-group</v>
      </c>
      <c r="E168" s="228"/>
    </row>
    <row r="169" spans="2:5" s="19" customFormat="1" ht="20" customHeight="1" x14ac:dyDescent="0.2"/>
    <row r="170" spans="2:5" s="19" customFormat="1" x14ac:dyDescent="0.2"/>
    <row r="171" spans="2:5" s="19" customFormat="1" x14ac:dyDescent="0.2"/>
    <row r="172" spans="2:5" s="19" customFormat="1" x14ac:dyDescent="0.2"/>
    <row r="173" spans="2:5" s="19" customFormat="1" x14ac:dyDescent="0.2"/>
    <row r="174" spans="2:5" s="19" customFormat="1" x14ac:dyDescent="0.2"/>
    <row r="175" spans="2:5" s="19" customFormat="1" x14ac:dyDescent="0.2"/>
    <row r="176" spans="2:5" s="19" customFormat="1" x14ac:dyDescent="0.2"/>
    <row r="177" s="19" customFormat="1" x14ac:dyDescent="0.2"/>
    <row r="178" s="19" customFormat="1" x14ac:dyDescent="0.2"/>
    <row r="179" s="19" customFormat="1" x14ac:dyDescent="0.2"/>
    <row r="180" s="19" customFormat="1" x14ac:dyDescent="0.2"/>
    <row r="181" s="19" customFormat="1" x14ac:dyDescent="0.2"/>
    <row r="182" s="19" customFormat="1" x14ac:dyDescent="0.2"/>
    <row r="183" s="19" customFormat="1" x14ac:dyDescent="0.2"/>
    <row r="184" s="19" customFormat="1" x14ac:dyDescent="0.2"/>
    <row r="185" s="19" customFormat="1" x14ac:dyDescent="0.2"/>
    <row r="186" s="19" customFormat="1" x14ac:dyDescent="0.2"/>
    <row r="187" s="19" customFormat="1" x14ac:dyDescent="0.2"/>
    <row r="188" s="19" customFormat="1" x14ac:dyDescent="0.2"/>
    <row r="189" s="19" customFormat="1" x14ac:dyDescent="0.2"/>
    <row r="190" s="19" customFormat="1" x14ac:dyDescent="0.2"/>
    <row r="191" s="19" customFormat="1" x14ac:dyDescent="0.2"/>
    <row r="192" s="19" customFormat="1" x14ac:dyDescent="0.2"/>
    <row r="193" s="19" customFormat="1" x14ac:dyDescent="0.2"/>
    <row r="194" s="19" customFormat="1" x14ac:dyDescent="0.2"/>
    <row r="195" s="19" customFormat="1" x14ac:dyDescent="0.2"/>
    <row r="196" s="19" customFormat="1" x14ac:dyDescent="0.2"/>
    <row r="197" s="19" customFormat="1" x14ac:dyDescent="0.2"/>
    <row r="198" s="19" customFormat="1" x14ac:dyDescent="0.2"/>
    <row r="199" s="19" customFormat="1" x14ac:dyDescent="0.2"/>
    <row r="200" s="19" customFormat="1" x14ac:dyDescent="0.2"/>
    <row r="201" s="19" customFormat="1" x14ac:dyDescent="0.2"/>
    <row r="202" s="19" customFormat="1" x14ac:dyDescent="0.2"/>
    <row r="203" s="19" customFormat="1" x14ac:dyDescent="0.2"/>
    <row r="204" s="19" customFormat="1" x14ac:dyDescent="0.2"/>
    <row r="205" s="19" customFormat="1" x14ac:dyDescent="0.2"/>
    <row r="206" s="19" customFormat="1" x14ac:dyDescent="0.2"/>
    <row r="207" s="19" customFormat="1" x14ac:dyDescent="0.2"/>
    <row r="208" s="19" customFormat="1" x14ac:dyDescent="0.2"/>
    <row r="209" s="19" customFormat="1" x14ac:dyDescent="0.2"/>
    <row r="210" s="19" customFormat="1" x14ac:dyDescent="0.2"/>
    <row r="211" s="19" customFormat="1" x14ac:dyDescent="0.2"/>
    <row r="212" s="19" customFormat="1" x14ac:dyDescent="0.2"/>
    <row r="213" s="19" customFormat="1" x14ac:dyDescent="0.2"/>
    <row r="214" s="19" customFormat="1" x14ac:dyDescent="0.2"/>
    <row r="215" s="19" customFormat="1" x14ac:dyDescent="0.2"/>
    <row r="216" s="19" customFormat="1" x14ac:dyDescent="0.2"/>
    <row r="217" s="19" customFormat="1" x14ac:dyDescent="0.2"/>
    <row r="218" s="19" customFormat="1" x14ac:dyDescent="0.2"/>
    <row r="219" s="19" customFormat="1" x14ac:dyDescent="0.2"/>
    <row r="220" s="19" customFormat="1" x14ac:dyDescent="0.2"/>
    <row r="221" s="19" customFormat="1" x14ac:dyDescent="0.2"/>
    <row r="222" s="19" customFormat="1" x14ac:dyDescent="0.2"/>
    <row r="223" s="19" customFormat="1" x14ac:dyDescent="0.2"/>
    <row r="224" s="19" customFormat="1" x14ac:dyDescent="0.2"/>
    <row r="225" s="19" customFormat="1" x14ac:dyDescent="0.2"/>
    <row r="226" s="19" customFormat="1" x14ac:dyDescent="0.2"/>
    <row r="227" s="19" customFormat="1" x14ac:dyDescent="0.2"/>
    <row r="228" s="19" customFormat="1" x14ac:dyDescent="0.2"/>
    <row r="229" s="19" customFormat="1" x14ac:dyDescent="0.2"/>
    <row r="230" s="19" customFormat="1" x14ac:dyDescent="0.2"/>
    <row r="231" s="19" customFormat="1" x14ac:dyDescent="0.2"/>
    <row r="232" s="19" customFormat="1" x14ac:dyDescent="0.2"/>
    <row r="233" s="19" customFormat="1" x14ac:dyDescent="0.2"/>
    <row r="234" s="19" customFormat="1" x14ac:dyDescent="0.2"/>
    <row r="235" s="19" customFormat="1" x14ac:dyDescent="0.2"/>
    <row r="236" s="19" customFormat="1" x14ac:dyDescent="0.2"/>
    <row r="237" s="19" customFormat="1" x14ac:dyDescent="0.2"/>
    <row r="238" s="19" customFormat="1" x14ac:dyDescent="0.2"/>
    <row r="239" s="19" customFormat="1" x14ac:dyDescent="0.2"/>
    <row r="240"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sheetData>
  <sheetProtection algorithmName="SHA-512" hashValue="yp+HtzXse4Z88nHS5JzEEQmfjxCp6PIOWm1QONMiPrbPUik2VK0aTwMAXXD0RbAg86Lc7WXIze6n6Se1mmhxrw==" saltValue="JMe/ZXSl4YO/bhCYmndyJg==" spinCount="100000" sheet="1" objects="1" scenarios="1"/>
  <mergeCells count="24">
    <mergeCell ref="H9:J9"/>
    <mergeCell ref="H10:J10"/>
    <mergeCell ref="B7:J7"/>
    <mergeCell ref="H8:J8"/>
    <mergeCell ref="B162:E162"/>
    <mergeCell ref="B131:E131"/>
    <mergeCell ref="B138:E138"/>
    <mergeCell ref="B122:E122"/>
    <mergeCell ref="B82:E82"/>
    <mergeCell ref="B89:E89"/>
    <mergeCell ref="B146:E146"/>
    <mergeCell ref="B151:E151"/>
    <mergeCell ref="B158:E158"/>
    <mergeCell ref="B111:E111"/>
    <mergeCell ref="B61:E61"/>
    <mergeCell ref="B44:E44"/>
    <mergeCell ref="B71:E71"/>
    <mergeCell ref="B2:E2"/>
    <mergeCell ref="B160:E160"/>
    <mergeCell ref="B76:E76"/>
    <mergeCell ref="B3:E3"/>
    <mergeCell ref="B42:E42"/>
    <mergeCell ref="B50:E50"/>
    <mergeCell ref="B12:E12"/>
  </mergeCells>
  <conditionalFormatting sqref="B12:E39">
    <cfRule type="expression" dxfId="91" priority="6">
      <formula>cbr_result="Excluded"</formula>
    </cfRule>
  </conditionalFormatting>
  <conditionalFormatting sqref="C7:J8 H9:J9 C9:G10 H10">
    <cfRule type="expression" dxfId="90" priority="1">
      <formula>cbr_result="Excluded"</formula>
    </cfRule>
  </conditionalFormatting>
  <conditionalFormatting sqref="D5">
    <cfRule type="expression" dxfId="89" priority="80">
      <formula>OR((cbr_result="Excluded"),AND((intelligent_operations_result="Excluded")))</formula>
    </cfRule>
  </conditionalFormatting>
  <conditionalFormatting sqref="D14:D39">
    <cfRule type="notContainsBlanks" dxfId="88" priority="7">
      <formula>LEN(TRIM(D14))&gt;0</formula>
    </cfRule>
    <cfRule type="containsBlanks" dxfId="87" priority="8">
      <formula>LEN(TRIM(D14))=0</formula>
    </cfRule>
  </conditionalFormatting>
  <conditionalFormatting sqref="D42">
    <cfRule type="expression" dxfId="86" priority="21">
      <formula>cbr_result="Excluded"</formula>
    </cfRule>
  </conditionalFormatting>
  <conditionalFormatting sqref="D44 D46:D48 D50 D52:D59 D61 D63:D69 D71 D73:D74 D76 D78:D80 D82 D84:D87 D89 D91:D109 D111 D113:D120 D122 D124:D129 D131 D133:D136 D138 D140:D144 D146 D148:D149 D151 D153:D156">
    <cfRule type="expression" dxfId="85" priority="9" stopIfTrue="1">
      <formula>cbr_result="Excluded"</formula>
    </cfRule>
    <cfRule type="notContainsBlanks" dxfId="84" priority="20">
      <formula>LEN(TRIM(D44))&gt;0</formula>
    </cfRule>
  </conditionalFormatting>
  <conditionalFormatting sqref="D160 D162 D164:D168">
    <cfRule type="expression" dxfId="81" priority="18" stopIfTrue="1">
      <formula>OR((cbr_result="Excluded"),AND((intelligent_operations_result="Excluded")))</formula>
    </cfRule>
  </conditionalFormatting>
  <conditionalFormatting sqref="E9:E10">
    <cfRule type="notContainsBlanks" dxfId="80" priority="4">
      <formula>LEN(TRIM(E9))&gt;0</formula>
    </cfRule>
    <cfRule type="containsBlanks" dxfId="79" priority="5">
      <formula>LEN(TRIM(E9))=0</formula>
    </cfRule>
  </conditionalFormatting>
  <conditionalFormatting sqref="G9:G10">
    <cfRule type="notContainsBlanks" dxfId="78" priority="2">
      <formula>LEN(TRIM(G9))&gt;0</formula>
    </cfRule>
    <cfRule type="containsBlanks" dxfId="77" priority="3">
      <formula>LEN(TRIM(G9))=0</formula>
    </cfRule>
  </conditionalFormatting>
  <dataValidations disablePrompts="1" count="2">
    <dataValidation type="list" allowBlank="1" showInputMessage="1" showErrorMessage="1" sqref="C19:D19" xr:uid="{D0291D4F-CAC3-8249-BB23-83660C8D63EF}">
      <formula1>aws_regions</formula1>
    </dataValidation>
    <dataValidation type="list" allowBlank="1" showInputMessage="1" showErrorMessage="1" sqref="C13:D13" xr:uid="{4BEA9190-F800-344C-9020-B8C55E48864B}">
      <formula1>"Standard,Consolidated"</formula1>
    </dataValidation>
  </dataValidations>
  <hyperlinks>
    <hyperlink ref="B5" location="'Deployment Options'!H50" display="Section Navigation (Click to Navigate)" xr:uid="{00000000-0004-0000-1700-000000000000}"/>
    <hyperlink ref="C5" location="'Cloud-Based Ransomware Recovery'!B8" display="Deployment" xr:uid="{00000000-0004-0000-1700-000001000000}"/>
    <hyperlink ref="D5" location="'Cloud-Based Ransomware Recovery'!B130" display="Solution Interoperability" xr:uid="{00000000-0004-0000-1700-000002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notContainsText" priority="23" operator="notContains" id="{478229EA-1160-4146-916B-9ECBD3E6FB0C}">
            <xm:f>ISERROR(SEARCH("Value Missing",D44))</xm:f>
            <xm:f>"Value Missing"</xm:f>
            <x14:dxf>
              <font>
                <color theme="1"/>
              </font>
              <fill>
                <patternFill>
                  <bgColor rgb="FFEFFDE3"/>
                </patternFill>
              </fill>
            </x14:dxf>
          </x14:cfRule>
          <x14:cfRule type="containsText" priority="24" operator="containsText" id="{D598269F-1849-5240-98C2-59F78A1732EB}">
            <xm:f>NOT(ISERROR(SEARCH("Value Missing",D44)))</xm:f>
            <xm:f>"Value Missing"</xm:f>
            <x14:dxf>
              <font>
                <color theme="1"/>
              </font>
              <fill>
                <patternFill>
                  <bgColor rgb="FFFFBE29"/>
                </patternFill>
              </fill>
            </x14:dxf>
          </x14:cfRule>
          <xm:sqref>D44 D46:D48 D50 D52:D59 D61 D63:D69 D71 D73:D74 D76 D78:D80 D82 D84:D87 D89 D91:D109 D111 D113:D120 D122 D124:D129 D131 D133:D136 D138 D140:D144 D146 D148:D149 D151 D153:D156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8AD5-C809-B944-B157-C2C0A514B93C}">
  <sheetPr codeName="Sheet27">
    <tabColor theme="4" tint="0.39997558519241921"/>
  </sheetPr>
  <dimension ref="A1:S983"/>
  <sheetViews>
    <sheetView workbookViewId="0">
      <pane ySplit="6" topLeftCell="A7" activePane="bottomLeft" state="frozen"/>
      <selection pane="bottomLeft" activeCell="L24" sqref="L24"/>
    </sheetView>
  </sheetViews>
  <sheetFormatPr baseColWidth="10" defaultColWidth="11" defaultRowHeight="16" x14ac:dyDescent="0.2"/>
  <cols>
    <col min="1" max="1" width="2.83203125" style="19" customWidth="1"/>
    <col min="2" max="2" width="63.83203125" style="8" customWidth="1"/>
    <col min="3" max="3" width="78.83203125" style="8" customWidth="1"/>
    <col min="4" max="4" width="84.83203125" style="8" customWidth="1"/>
    <col min="5" max="5" width="60.83203125" style="8" customWidth="1"/>
    <col min="6" max="19" width="11" style="19" customWidth="1"/>
    <col min="20" max="27" width="11" style="8" customWidth="1"/>
    <col min="28" max="16384" width="11" style="8"/>
  </cols>
  <sheetData>
    <row r="1" spans="1:19" s="19" customFormat="1" x14ac:dyDescent="0.2">
      <c r="A1" s="215"/>
      <c r="B1" s="203"/>
      <c r="C1" s="203"/>
      <c r="D1" s="203"/>
      <c r="E1" s="203"/>
      <c r="F1" s="203"/>
    </row>
    <row r="2" spans="1:19" ht="54" customHeight="1" x14ac:dyDescent="0.2">
      <c r="A2" s="203"/>
      <c r="B2" s="657" t="s">
        <v>3493</v>
      </c>
      <c r="C2" s="658"/>
      <c r="D2" s="658"/>
      <c r="E2" s="676"/>
      <c r="F2" s="203"/>
    </row>
    <row r="3" spans="1:19" x14ac:dyDescent="0.2">
      <c r="A3" s="203"/>
      <c r="B3" s="664" t="s">
        <v>3494</v>
      </c>
      <c r="C3" s="664"/>
      <c r="D3" s="664"/>
      <c r="E3" s="674"/>
      <c r="F3" s="203"/>
    </row>
    <row r="4" spans="1:19" x14ac:dyDescent="0.2">
      <c r="A4" s="216"/>
      <c r="B4" s="216"/>
      <c r="C4" s="216"/>
      <c r="D4" s="216"/>
      <c r="E4" s="216"/>
      <c r="F4" s="216"/>
    </row>
    <row r="5" spans="1:19" ht="34" customHeight="1" x14ac:dyDescent="0.2">
      <c r="A5" s="216"/>
      <c r="B5" s="217" t="s">
        <v>3416</v>
      </c>
      <c r="C5" s="217" t="s">
        <v>577</v>
      </c>
      <c r="D5" s="236" t="s">
        <v>2981</v>
      </c>
      <c r="E5" s="237"/>
      <c r="F5" s="220"/>
    </row>
    <row r="6" spans="1:19" ht="20" customHeight="1" x14ac:dyDescent="0.2">
      <c r="A6" s="203"/>
      <c r="B6" s="203"/>
      <c r="C6" s="203"/>
      <c r="D6" s="221"/>
      <c r="E6" s="222"/>
      <c r="F6" s="222"/>
    </row>
    <row r="7" spans="1:19" ht="34" customHeight="1" x14ac:dyDescent="0.2">
      <c r="A7" s="8"/>
      <c r="B7" s="425" t="s">
        <v>3495</v>
      </c>
      <c r="C7" s="426"/>
      <c r="D7" s="426"/>
      <c r="E7" s="426"/>
      <c r="F7" s="426"/>
      <c r="G7" s="426"/>
      <c r="H7" s="426"/>
      <c r="I7" s="426"/>
      <c r="J7" s="427"/>
      <c r="K7" s="8"/>
      <c r="L7" s="8"/>
      <c r="M7" s="8"/>
      <c r="N7" s="8"/>
      <c r="O7" s="8"/>
      <c r="P7" s="8"/>
      <c r="Q7" s="8"/>
      <c r="R7" s="8"/>
      <c r="S7" s="8"/>
    </row>
    <row r="8" spans="1:19" ht="20" customHeight="1" x14ac:dyDescent="0.2">
      <c r="A8" s="8"/>
      <c r="B8" s="346" t="s">
        <v>2725</v>
      </c>
      <c r="C8" s="346" t="s">
        <v>2726</v>
      </c>
      <c r="D8" s="346" t="s">
        <v>2727</v>
      </c>
      <c r="E8" s="97" t="s">
        <v>2728</v>
      </c>
      <c r="F8" s="346" t="s">
        <v>940</v>
      </c>
      <c r="G8" s="97" t="s">
        <v>941</v>
      </c>
      <c r="H8" s="447" t="s">
        <v>20</v>
      </c>
      <c r="I8" s="448"/>
      <c r="J8" s="449"/>
      <c r="K8" s="8"/>
      <c r="L8" s="8"/>
      <c r="M8" s="8"/>
      <c r="N8" s="8"/>
      <c r="O8" s="8"/>
      <c r="P8" s="8"/>
      <c r="Q8" s="8"/>
      <c r="R8" s="8"/>
      <c r="S8" s="8"/>
    </row>
    <row r="9" spans="1:19" ht="20" customHeight="1" x14ac:dyDescent="0.2">
      <c r="A9" s="8"/>
      <c r="B9" s="4" t="s">
        <v>3496</v>
      </c>
      <c r="C9" s="9" t="s">
        <v>1905</v>
      </c>
      <c r="D9" s="80" t="str">
        <f>CONCATENATE(this_instance,"-ccm-hcx01")</f>
        <v>sfo-ccm-hcx01</v>
      </c>
      <c r="E9" s="347"/>
      <c r="F9" s="80" t="str">
        <f>IF(mgmt_dpg_reuse_result="Included",CONCATENATE(prefix_mgmt_az1_cidr,"10.46"),CONCATENATE(prefix_mgmt_az1_cidr,"11.46"))</f>
        <v>10.11.10.46</v>
      </c>
      <c r="G9" s="347"/>
      <c r="H9" s="645" t="s">
        <v>3496</v>
      </c>
      <c r="I9" s="646"/>
      <c r="J9" s="644"/>
      <c r="K9" s="8"/>
      <c r="L9" s="8"/>
      <c r="M9" s="8"/>
      <c r="N9" s="8"/>
      <c r="O9" s="8"/>
      <c r="P9" s="8"/>
      <c r="Q9" s="8"/>
      <c r="R9" s="8"/>
      <c r="S9" s="8"/>
    </row>
    <row r="10" spans="1:19" ht="20" customHeight="1" x14ac:dyDescent="0.2">
      <c r="A10" s="8"/>
      <c r="B10" s="670" t="s">
        <v>3497</v>
      </c>
      <c r="C10" s="673"/>
      <c r="D10" s="670" t="s">
        <v>3498</v>
      </c>
      <c r="E10" s="671"/>
      <c r="F10" s="672" t="s">
        <v>3499</v>
      </c>
      <c r="G10" s="673"/>
      <c r="H10" s="677"/>
      <c r="I10" s="678"/>
      <c r="J10" s="679"/>
      <c r="K10" s="8"/>
      <c r="L10" s="8"/>
      <c r="M10" s="8"/>
      <c r="N10" s="8"/>
      <c r="O10" s="8"/>
      <c r="P10" s="8"/>
      <c r="Q10" s="8"/>
      <c r="R10" s="8"/>
      <c r="S10" s="8"/>
    </row>
    <row r="11" spans="1:19" ht="20" customHeight="1" x14ac:dyDescent="0.2">
      <c r="A11" s="8"/>
      <c r="B11" s="463" t="s">
        <v>2131</v>
      </c>
      <c r="C11" s="464"/>
      <c r="D11" s="668" t="str">
        <f>IF(mgmt_dpg_reuse_result="Included",CONCATENATE(prefix_wld_az1_cidr,"10.221-",prefix_wld_az1_cidr,"10.225"),CONCATENATE(prefix_wld_az1_cidr,"11.221-",prefix_wld_az1_cidr,"11.225"))</f>
        <v>10.13.10.221-10.13.10.225</v>
      </c>
      <c r="E11" s="669"/>
      <c r="F11" s="680"/>
      <c r="G11" s="681"/>
      <c r="H11" s="645"/>
      <c r="I11" s="646"/>
      <c r="J11" s="644"/>
      <c r="K11" s="8"/>
      <c r="L11" s="8"/>
      <c r="M11" s="8"/>
      <c r="N11" s="8"/>
      <c r="O11" s="8"/>
      <c r="P11" s="8"/>
      <c r="Q11" s="8"/>
      <c r="R11" s="8"/>
      <c r="S11" s="8"/>
    </row>
    <row r="12" spans="1:19" ht="20" customHeight="1" x14ac:dyDescent="0.2">
      <c r="A12" s="8"/>
      <c r="B12" s="463" t="s">
        <v>1672</v>
      </c>
      <c r="C12" s="464"/>
      <c r="D12" s="668" t="str">
        <f>CONCATENATE(prefix_wld_az1_cidr,"12.221-",prefix_wld_az1_cidr,"12.225")</f>
        <v>10.13.12.221-10.13.12.225</v>
      </c>
      <c r="E12" s="669"/>
      <c r="F12" s="680"/>
      <c r="G12" s="681"/>
      <c r="H12" s="645"/>
      <c r="I12" s="646"/>
      <c r="J12" s="644"/>
      <c r="K12" s="8"/>
      <c r="L12" s="8"/>
      <c r="M12" s="8"/>
      <c r="N12" s="8"/>
      <c r="O12" s="8"/>
      <c r="P12" s="8"/>
      <c r="Q12" s="8"/>
      <c r="R12" s="8"/>
      <c r="S12" s="8"/>
    </row>
    <row r="13" spans="1:19" x14ac:dyDescent="0.2">
      <c r="A13" s="8"/>
      <c r="B13" s="2"/>
      <c r="C13" s="2"/>
      <c r="D13" s="2"/>
      <c r="E13" s="2"/>
      <c r="F13" s="2"/>
      <c r="G13" s="2"/>
      <c r="H13" s="2"/>
      <c r="I13" s="2"/>
      <c r="J13" s="3"/>
      <c r="K13" s="8"/>
      <c r="L13" s="8"/>
      <c r="M13" s="8"/>
      <c r="N13" s="8"/>
      <c r="O13" s="8"/>
      <c r="P13" s="8"/>
      <c r="Q13" s="8"/>
      <c r="R13" s="8"/>
      <c r="S13" s="8"/>
    </row>
    <row r="14" spans="1:19" s="2" customFormat="1" ht="30" customHeight="1" x14ac:dyDescent="0.2">
      <c r="B14" s="579" t="s">
        <v>3495</v>
      </c>
      <c r="C14" s="592"/>
      <c r="D14" s="592"/>
      <c r="E14" s="580"/>
    </row>
    <row r="15" spans="1:19" s="2" customFormat="1" ht="20" customHeight="1" x14ac:dyDescent="0.2">
      <c r="B15" s="166" t="s">
        <v>261</v>
      </c>
      <c r="C15" s="166" t="s">
        <v>262</v>
      </c>
      <c r="D15" s="167" t="s">
        <v>19</v>
      </c>
      <c r="E15" s="166" t="s">
        <v>20</v>
      </c>
    </row>
    <row r="16" spans="1:19" s="2" customFormat="1" ht="20" customHeight="1" x14ac:dyDescent="0.2">
      <c r="B16" s="4" t="s">
        <v>2250</v>
      </c>
      <c r="C16" s="9" t="s">
        <v>3500</v>
      </c>
      <c r="D16" s="113"/>
      <c r="E16" s="197"/>
    </row>
    <row r="17" spans="2:5" s="2" customFormat="1" ht="20" customHeight="1" x14ac:dyDescent="0.2">
      <c r="B17" s="4" t="s">
        <v>3501</v>
      </c>
      <c r="C17" s="9" t="str">
        <f>CONCATENATE(this_instance,"-m01-fd-ccm")</f>
        <v>sfo-m01-fd-ccm</v>
      </c>
      <c r="D17" s="113"/>
      <c r="E17" s="197"/>
    </row>
    <row r="18" spans="2:5" s="2" customFormat="1" ht="20" customHeight="1" x14ac:dyDescent="0.2">
      <c r="B18" s="4" t="s">
        <v>2261</v>
      </c>
      <c r="C18" s="9" t="str">
        <f>CONCATENATE(this_instance,"-w0",wld_domain_number_chosen,"-fd-hcx")</f>
        <v>sfo-w01-fd-hcx</v>
      </c>
      <c r="D18" s="113"/>
      <c r="E18" s="197"/>
    </row>
    <row r="19" spans="2:5" s="2" customFormat="1" ht="20" customHeight="1" x14ac:dyDescent="0.2">
      <c r="B19" s="4" t="s">
        <v>2264</v>
      </c>
      <c r="C19" s="9" t="str">
        <f>CONCATENATE(this_instance,"-w0",wld_domain_number_chosen,"-cl01-rp-hcx")</f>
        <v>sfo-w01-cl01-rp-hcx</v>
      </c>
      <c r="D19" s="113"/>
      <c r="E19" s="197"/>
    </row>
    <row r="20" spans="2:5" s="2" customFormat="1" ht="20" customHeight="1" x14ac:dyDescent="0.2">
      <c r="B20" s="4" t="s">
        <v>2272</v>
      </c>
      <c r="C20" s="9" t="s">
        <v>3502</v>
      </c>
      <c r="D20" s="113"/>
      <c r="E20" s="197"/>
    </row>
    <row r="21" spans="2:5" s="2" customFormat="1" ht="20" customHeight="1" x14ac:dyDescent="0.2">
      <c r="B21" s="4" t="s">
        <v>2154</v>
      </c>
      <c r="C21" s="9" t="s">
        <v>2684</v>
      </c>
      <c r="D21" s="113"/>
      <c r="E21" s="197"/>
    </row>
    <row r="22" spans="2:5" s="2" customFormat="1" ht="20" customHeight="1" x14ac:dyDescent="0.2">
      <c r="B22" s="4" t="s">
        <v>2157</v>
      </c>
      <c r="C22" s="9" t="s">
        <v>3503</v>
      </c>
      <c r="D22" s="113"/>
      <c r="E22" s="197"/>
    </row>
    <row r="23" spans="2:5" s="2" customFormat="1" ht="20" customHeight="1" x14ac:dyDescent="0.2">
      <c r="B23" s="4" t="s">
        <v>2161</v>
      </c>
      <c r="C23" s="9">
        <v>2</v>
      </c>
      <c r="D23" s="113"/>
      <c r="E23" s="197"/>
    </row>
    <row r="24" spans="2:5" s="2" customFormat="1" ht="20" customHeight="1" x14ac:dyDescent="0.2">
      <c r="B24" s="4" t="s">
        <v>2166</v>
      </c>
      <c r="C24" s="9" t="s">
        <v>3426</v>
      </c>
      <c r="D24" s="113"/>
      <c r="E24" s="197"/>
    </row>
    <row r="25" spans="2:5" s="2" customFormat="1" ht="20" customHeight="1" x14ac:dyDescent="0.2">
      <c r="B25" s="4" t="s">
        <v>2170</v>
      </c>
      <c r="C25" s="9" t="s">
        <v>3426</v>
      </c>
      <c r="D25" s="113"/>
      <c r="E25" s="197"/>
    </row>
    <row r="26" spans="2:5" s="2" customFormat="1" ht="20" customHeight="1" x14ac:dyDescent="0.2">
      <c r="B26" s="4" t="s">
        <v>2175</v>
      </c>
      <c r="C26" s="9" t="s">
        <v>3427</v>
      </c>
      <c r="D26" s="113"/>
      <c r="E26" s="197"/>
    </row>
    <row r="27" spans="2:5" s="2" customFormat="1" ht="20" customHeight="1" x14ac:dyDescent="0.2">
      <c r="B27" s="4" t="s">
        <v>3428</v>
      </c>
      <c r="C27" s="9" t="s">
        <v>3429</v>
      </c>
      <c r="D27" s="113"/>
      <c r="E27" s="197"/>
    </row>
    <row r="28" spans="2:5" s="2" customFormat="1" ht="20" customHeight="1" x14ac:dyDescent="0.2">
      <c r="B28" s="4" t="s">
        <v>2296</v>
      </c>
      <c r="C28" s="9" t="s">
        <v>3504</v>
      </c>
      <c r="D28" s="113"/>
      <c r="E28" s="197"/>
    </row>
    <row r="29" spans="2:5" s="2" customFormat="1" ht="20" customHeight="1" x14ac:dyDescent="0.2">
      <c r="B29" s="4" t="s">
        <v>3430</v>
      </c>
      <c r="C29" s="9" t="s">
        <v>3431</v>
      </c>
      <c r="D29" s="113"/>
      <c r="E29" s="197"/>
    </row>
    <row r="30" spans="2:5" s="2" customFormat="1" ht="20" customHeight="1" x14ac:dyDescent="0.2">
      <c r="B30" s="4" t="s">
        <v>2301</v>
      </c>
      <c r="C30" s="9" t="s">
        <v>3432</v>
      </c>
      <c r="D30" s="113"/>
      <c r="E30" s="197"/>
    </row>
    <row r="31" spans="2:5" s="2" customFormat="1" ht="20" customHeight="1" x14ac:dyDescent="0.2">
      <c r="B31" s="4" t="s">
        <v>2306</v>
      </c>
      <c r="C31" s="9" t="s">
        <v>3366</v>
      </c>
      <c r="D31" s="113"/>
      <c r="E31" s="197"/>
    </row>
    <row r="32" spans="2:5" s="2" customFormat="1" ht="20" customHeight="1" x14ac:dyDescent="0.2">
      <c r="B32" s="4" t="s">
        <v>2310</v>
      </c>
      <c r="C32" s="9" t="s">
        <v>3505</v>
      </c>
      <c r="D32" s="113"/>
      <c r="E32" s="197"/>
    </row>
    <row r="33" spans="1:6" s="2" customFormat="1" ht="20" customHeight="1" x14ac:dyDescent="0.2">
      <c r="B33" s="4" t="s">
        <v>2317</v>
      </c>
      <c r="C33" s="9" t="s">
        <v>30</v>
      </c>
      <c r="D33" s="113"/>
      <c r="E33" s="197"/>
    </row>
    <row r="34" spans="1:6" s="2" customFormat="1" ht="20" customHeight="1" x14ac:dyDescent="0.2">
      <c r="B34" s="4" t="s">
        <v>2319</v>
      </c>
      <c r="C34" s="9" t="s">
        <v>30</v>
      </c>
      <c r="D34" s="113"/>
      <c r="E34" s="197"/>
    </row>
    <row r="35" spans="1:6" s="2" customFormat="1" ht="20" customHeight="1" x14ac:dyDescent="0.2">
      <c r="B35" s="4" t="s">
        <v>2324</v>
      </c>
      <c r="C35" s="9" t="s">
        <v>3506</v>
      </c>
      <c r="D35" s="113"/>
      <c r="E35" s="197"/>
    </row>
    <row r="36" spans="1:6" s="2" customFormat="1" ht="20" customHeight="1" x14ac:dyDescent="0.2">
      <c r="B36" s="4" t="s">
        <v>2326</v>
      </c>
      <c r="C36" s="9" t="s">
        <v>3507</v>
      </c>
      <c r="D36" s="113"/>
      <c r="E36" s="197"/>
    </row>
    <row r="37" spans="1:6" s="2" customFormat="1" ht="20" customHeight="1" x14ac:dyDescent="0.2">
      <c r="B37" s="4" t="s">
        <v>2328</v>
      </c>
      <c r="C37" s="9" t="s">
        <v>3508</v>
      </c>
      <c r="D37" s="113"/>
      <c r="E37" s="197"/>
    </row>
    <row r="38" spans="1:6" s="2" customFormat="1" ht="20" customHeight="1" x14ac:dyDescent="0.2">
      <c r="B38" s="4" t="s">
        <v>2334</v>
      </c>
      <c r="C38" s="9" t="str">
        <f>CONCATENATE(this_instance,"-w0",wld_domain_number_chosen,"-compute-profile")</f>
        <v>sfo-w01-compute-profile</v>
      </c>
      <c r="D38" s="113"/>
      <c r="E38" s="197"/>
    </row>
    <row r="39" spans="1:6" s="2" customFormat="1" ht="20" customHeight="1" x14ac:dyDescent="0.2">
      <c r="B39" s="4" t="s">
        <v>2336</v>
      </c>
      <c r="C39" s="9" t="str">
        <f>CONCATENATE(this_instance,"-w0",wld_domain_number_chosen,"-service-mesh")</f>
        <v>sfo-w01-service-mesh</v>
      </c>
      <c r="D39" s="113"/>
      <c r="E39" s="197"/>
    </row>
    <row r="40" spans="1:6" x14ac:dyDescent="0.2">
      <c r="A40" s="216"/>
      <c r="B40" s="216"/>
      <c r="C40" s="216"/>
      <c r="D40" s="216"/>
      <c r="E40" s="216"/>
      <c r="F40" s="216"/>
    </row>
    <row r="41" spans="1:6" ht="34" customHeight="1" x14ac:dyDescent="0.2">
      <c r="A41" s="216"/>
      <c r="B41" s="665" t="s">
        <v>577</v>
      </c>
      <c r="C41" s="665"/>
      <c r="D41" s="665"/>
      <c r="E41" s="675"/>
      <c r="F41" s="216"/>
    </row>
    <row r="42" spans="1:6" s="19" customFormat="1" x14ac:dyDescent="0.2">
      <c r="A42" s="216"/>
      <c r="B42" s="216"/>
      <c r="C42" s="216"/>
      <c r="D42" s="216"/>
      <c r="E42" s="216"/>
      <c r="F42" s="216"/>
    </row>
    <row r="43" spans="1:6" ht="34" customHeight="1" x14ac:dyDescent="0.2">
      <c r="A43" s="223"/>
      <c r="B43" s="656" t="s">
        <v>3509</v>
      </c>
      <c r="C43" s="656"/>
      <c r="D43" s="656"/>
      <c r="E43" s="656"/>
    </row>
    <row r="44" spans="1:6" ht="20" customHeight="1" x14ac:dyDescent="0.2">
      <c r="A44" s="223"/>
      <c r="B44" s="224" t="s">
        <v>261</v>
      </c>
      <c r="C44" s="224" t="s">
        <v>262</v>
      </c>
      <c r="D44" s="225" t="s">
        <v>19</v>
      </c>
      <c r="E44" s="224" t="s">
        <v>20</v>
      </c>
    </row>
    <row r="45" spans="1:6" ht="20" customHeight="1" x14ac:dyDescent="0.2">
      <c r="A45" s="223"/>
      <c r="B45" s="226" t="s">
        <v>2910</v>
      </c>
      <c r="C45" s="227" t="str">
        <f>sample_mgmt_vc_fqdn</f>
        <v>sfo-m01-vc01.sfo.rainpole.io</v>
      </c>
      <c r="D45" s="112" t="str">
        <f>mgmt_vc_fqdn</f>
        <v>Value Missing</v>
      </c>
      <c r="E45" s="228"/>
    </row>
    <row r="46" spans="1:6" s="19" customFormat="1" ht="20" customHeight="1" x14ac:dyDescent="0.2">
      <c r="A46" s="223"/>
      <c r="B46" s="233" t="s">
        <v>3510</v>
      </c>
      <c r="C46" s="234" t="str">
        <f>sample_ccm_hcx_vsphere_role</f>
        <v>VMware HCX to vSphere Integration</v>
      </c>
      <c r="D46" s="235" t="str">
        <f t="array" ref="D46">ccm_hcx_vsphere_role</f>
        <v>Value Missing</v>
      </c>
      <c r="E46" s="228"/>
    </row>
    <row r="47" spans="1:6" s="19" customFormat="1" ht="20" customHeight="1" x14ac:dyDescent="0.2"/>
    <row r="48" spans="1:6" s="19" customFormat="1" ht="34" customHeight="1" x14ac:dyDescent="0.2">
      <c r="B48" s="656" t="s">
        <v>3511</v>
      </c>
      <c r="C48" s="656"/>
      <c r="D48" s="656"/>
      <c r="E48" s="656"/>
    </row>
    <row r="49" spans="1:5" s="19" customFormat="1" ht="20" customHeight="1" x14ac:dyDescent="0.2">
      <c r="B49" s="224" t="s">
        <v>261</v>
      </c>
      <c r="C49" s="224" t="s">
        <v>262</v>
      </c>
      <c r="D49" s="225" t="s">
        <v>19</v>
      </c>
      <c r="E49" s="224" t="s">
        <v>20</v>
      </c>
    </row>
    <row r="50" spans="1:5" s="19" customFormat="1" ht="20" customHeight="1" x14ac:dyDescent="0.2">
      <c r="B50" s="226" t="s">
        <v>2910</v>
      </c>
      <c r="C50" s="227" t="str">
        <f>sample_mgmt_vc_fqdn</f>
        <v>sfo-m01-vc01.sfo.rainpole.io</v>
      </c>
      <c r="D50" s="112" t="str">
        <f>mgmt_vc_fqdn</f>
        <v>Value Missing</v>
      </c>
      <c r="E50" s="228"/>
    </row>
    <row r="51" spans="1:5" s="19" customFormat="1" ht="20" customHeight="1" x14ac:dyDescent="0.2">
      <c r="B51" s="226" t="s">
        <v>3512</v>
      </c>
      <c r="C51" s="227" t="str">
        <f>sample_child_dns_zone</f>
        <v>sfo.rainpole.io</v>
      </c>
      <c r="D51" s="112" t="str">
        <f>child_dns_zone</f>
        <v>Value Missing</v>
      </c>
      <c r="E51" s="228"/>
    </row>
    <row r="52" spans="1:5" s="19" customFormat="1" ht="20" customHeight="1" x14ac:dyDescent="0.2">
      <c r="B52" s="226" t="s">
        <v>3513</v>
      </c>
      <c r="C52" s="227" t="str">
        <f>sample_svc_ccm_hcx_vsphere_user</f>
        <v>svc-hcx-vsphere</v>
      </c>
      <c r="D52" s="112" t="str">
        <f>ccm_hcx_vsphere_svc_user</f>
        <v>Value Missing</v>
      </c>
      <c r="E52" s="228"/>
    </row>
    <row r="53" spans="1:5" s="19" customFormat="1" ht="20" customHeight="1" x14ac:dyDescent="0.2">
      <c r="B53" s="238" t="s">
        <v>3514</v>
      </c>
      <c r="C53" s="227" t="str">
        <f>sample_ccm_hcx_vsphere_role</f>
        <v>VMware HCX to vSphere Integration</v>
      </c>
      <c r="D53" s="112" t="str">
        <f>ccm_hcx_vsphere_role</f>
        <v>Value Missing</v>
      </c>
      <c r="E53" s="228"/>
    </row>
    <row r="54" spans="1:5" s="19" customFormat="1" ht="20" customHeight="1" x14ac:dyDescent="0.2"/>
    <row r="55" spans="1:5" s="19" customFormat="1" ht="34" customHeight="1" x14ac:dyDescent="0.2">
      <c r="A55" s="223"/>
      <c r="B55" s="656" t="s">
        <v>3515</v>
      </c>
      <c r="C55" s="656"/>
      <c r="D55" s="656"/>
      <c r="E55" s="656"/>
    </row>
    <row r="56" spans="1:5" s="19" customFormat="1" ht="20" customHeight="1" x14ac:dyDescent="0.2">
      <c r="A56" s="223"/>
      <c r="B56" s="224" t="s">
        <v>261</v>
      </c>
      <c r="C56" s="224" t="s">
        <v>262</v>
      </c>
      <c r="D56" s="225" t="s">
        <v>19</v>
      </c>
      <c r="E56" s="224" t="s">
        <v>20</v>
      </c>
    </row>
    <row r="57" spans="1:5" s="19" customFormat="1" ht="20" customHeight="1" x14ac:dyDescent="0.2">
      <c r="A57" s="223"/>
      <c r="B57" s="226" t="s">
        <v>2910</v>
      </c>
      <c r="C57" s="227" t="str">
        <f>sample_mgmt_vc_fqdn</f>
        <v>sfo-m01-vc01.sfo.rainpole.io</v>
      </c>
      <c r="D57" s="112" t="str">
        <f>mgmt_vc_fqdn</f>
        <v>Value Missing</v>
      </c>
      <c r="E57" s="228"/>
    </row>
    <row r="58" spans="1:5" s="19" customFormat="1" ht="20" customHeight="1" x14ac:dyDescent="0.2">
      <c r="A58" s="223"/>
      <c r="B58" s="226" t="s">
        <v>301</v>
      </c>
      <c r="C58" s="227" t="str">
        <f>sample_mgmt_datacenter</f>
        <v>sfo-m01-dc01</v>
      </c>
      <c r="D58" s="112" t="str">
        <f>mgmt_datacenter</f>
        <v>Value Missing</v>
      </c>
      <c r="E58" s="228"/>
    </row>
    <row r="59" spans="1:5" s="19" customFormat="1" ht="20" customHeight="1" x14ac:dyDescent="0.2">
      <c r="A59" s="223"/>
      <c r="B59" s="229" t="s">
        <v>3516</v>
      </c>
      <c r="C59" s="227" t="str">
        <f>sample_ccm_vm_folder</f>
        <v>sfo-m01-fd-ccm</v>
      </c>
      <c r="D59" s="112" t="str">
        <f>ccm_vm_folder</f>
        <v>Value Missing</v>
      </c>
      <c r="E59" s="228"/>
    </row>
    <row r="60" spans="1:5" s="19" customFormat="1" ht="20" customHeight="1" x14ac:dyDescent="0.2"/>
    <row r="61" spans="1:5" s="19" customFormat="1" ht="34" customHeight="1" x14ac:dyDescent="0.2">
      <c r="B61" s="656" t="s">
        <v>3517</v>
      </c>
      <c r="C61" s="656"/>
      <c r="D61" s="656"/>
      <c r="E61" s="656"/>
    </row>
    <row r="62" spans="1:5" s="19" customFormat="1" ht="20" customHeight="1" x14ac:dyDescent="0.2">
      <c r="B62" s="224" t="s">
        <v>261</v>
      </c>
      <c r="C62" s="224" t="s">
        <v>262</v>
      </c>
      <c r="D62" s="225" t="s">
        <v>19</v>
      </c>
      <c r="E62" s="224" t="s">
        <v>20</v>
      </c>
    </row>
    <row r="63" spans="1:5" s="19" customFormat="1" ht="20" customHeight="1" x14ac:dyDescent="0.2">
      <c r="B63" s="226" t="s">
        <v>3518</v>
      </c>
      <c r="C63" s="227" t="str">
        <f>sample_wld_vc_fqdn</f>
        <v>sfo-w01-vc01.sfo.rainpole.io</v>
      </c>
      <c r="D63" s="112" t="str">
        <f>wld_vc_fqdn</f>
        <v>Value Missing</v>
      </c>
      <c r="E63" s="228"/>
    </row>
    <row r="64" spans="1:5" s="19" customFormat="1" ht="20" customHeight="1" x14ac:dyDescent="0.2">
      <c r="B64" s="226" t="s">
        <v>301</v>
      </c>
      <c r="C64" s="227" t="str">
        <f>sample_wld_datacenter</f>
        <v>sfo-w01-dc</v>
      </c>
      <c r="D64" s="112" t="str">
        <f>wld_datacenter</f>
        <v>Value Missing</v>
      </c>
      <c r="E64" s="228"/>
    </row>
    <row r="65" spans="2:5" s="19" customFormat="1" ht="20" customHeight="1" x14ac:dyDescent="0.2">
      <c r="B65" s="226" t="s">
        <v>3519</v>
      </c>
      <c r="C65" s="227" t="str">
        <f>sample_ccm_hcx_vm_folder</f>
        <v>sfo-w01-fd-hcx</v>
      </c>
      <c r="D65" s="112"/>
      <c r="E65" s="228"/>
    </row>
    <row r="66" spans="2:5" s="19" customFormat="1" ht="20" customHeight="1" x14ac:dyDescent="0.2">
      <c r="B66" s="226" t="s">
        <v>2264</v>
      </c>
      <c r="C66" s="227" t="str">
        <f>sample_ccm_hcx_resource_pool</f>
        <v>sfo-w01-cl01-rp-hcx</v>
      </c>
      <c r="D66" s="112"/>
      <c r="E66" s="228"/>
    </row>
    <row r="67" spans="2:5" s="19" customFormat="1" ht="20" customHeight="1" x14ac:dyDescent="0.2"/>
    <row r="68" spans="2:5" s="19" customFormat="1" ht="34" customHeight="1" x14ac:dyDescent="0.2">
      <c r="B68" s="656" t="s">
        <v>3520</v>
      </c>
      <c r="C68" s="656"/>
      <c r="D68" s="656"/>
      <c r="E68" s="656"/>
    </row>
    <row r="69" spans="2:5" s="19" customFormat="1" ht="20" customHeight="1" x14ac:dyDescent="0.2">
      <c r="B69" s="224" t="s">
        <v>261</v>
      </c>
      <c r="C69" s="224" t="s">
        <v>262</v>
      </c>
      <c r="D69" s="225" t="s">
        <v>19</v>
      </c>
      <c r="E69" s="224" t="s">
        <v>20</v>
      </c>
    </row>
    <row r="70" spans="2:5" s="19" customFormat="1" ht="20" customHeight="1" x14ac:dyDescent="0.2">
      <c r="B70" s="226" t="s">
        <v>3521</v>
      </c>
      <c r="C70" s="227" t="str">
        <f>sample_mgmt_vc_fqdn</f>
        <v>sfo-m01-vc01.sfo.rainpole.io</v>
      </c>
      <c r="D70" s="112" t="str">
        <f>wld_nsxt_hostname&amp;"."&amp;child_dns_zone</f>
        <v>Value Missing.Value Missing</v>
      </c>
      <c r="E70" s="228"/>
    </row>
    <row r="71" spans="2:5" s="19" customFormat="1" ht="20" customHeight="1" x14ac:dyDescent="0.2">
      <c r="B71" s="226" t="s">
        <v>46</v>
      </c>
      <c r="C71" s="227" t="str">
        <f>sample_svc_ccm_hcx_nsx_user&amp;"@"&amp;sample_child_dns_zone</f>
        <v>svc-hcx-nsx@sfo.rainpole.io</v>
      </c>
      <c r="D71" s="112" t="str">
        <f>ccm_hcx_nsx_svc_user&amp;"@"&amp;child_dns_zone</f>
        <v>Value Missing@Value Missing</v>
      </c>
      <c r="E71" s="228"/>
    </row>
    <row r="72" spans="2:5" s="19" customFormat="1" ht="20" customHeight="1" x14ac:dyDescent="0.2"/>
    <row r="73" spans="2:5" s="19" customFormat="1" ht="34" customHeight="1" x14ac:dyDescent="0.2">
      <c r="B73" s="656" t="s">
        <v>3522</v>
      </c>
      <c r="C73" s="656"/>
      <c r="D73" s="656"/>
      <c r="E73" s="656"/>
    </row>
    <row r="74" spans="2:5" s="19" customFormat="1" ht="20" customHeight="1" x14ac:dyDescent="0.2">
      <c r="B74" s="224" t="s">
        <v>261</v>
      </c>
      <c r="C74" s="224" t="s">
        <v>262</v>
      </c>
      <c r="D74" s="225" t="s">
        <v>19</v>
      </c>
      <c r="E74" s="224" t="s">
        <v>20</v>
      </c>
    </row>
    <row r="75" spans="2:5" s="19" customFormat="1" ht="20" customHeight="1" x14ac:dyDescent="0.2">
      <c r="B75" s="226" t="s">
        <v>3444</v>
      </c>
      <c r="C75" s="227" t="s">
        <v>3445</v>
      </c>
      <c r="D75" s="112" t="str">
        <f>C75</f>
        <v>console.cloud.vmware.com</v>
      </c>
      <c r="E75" s="228"/>
    </row>
    <row r="76" spans="2:5" s="19" customFormat="1" ht="20" customHeight="1" x14ac:dyDescent="0.2">
      <c r="B76" s="226" t="s">
        <v>3446</v>
      </c>
      <c r="C76" s="227" t="str">
        <f>sample_ccm_aws_sddc_name</f>
        <v>mobility-sddc</v>
      </c>
      <c r="D76" s="112" t="str">
        <f>ccm_aws_sddc_name</f>
        <v>Value Missing</v>
      </c>
      <c r="E76" s="228"/>
    </row>
    <row r="77" spans="2:5" s="19" customFormat="1" ht="20" customHeight="1" x14ac:dyDescent="0.2">
      <c r="B77" s="226" t="s">
        <v>2154</v>
      </c>
      <c r="C77" s="227" t="str">
        <f>sample_ccm_aws_region</f>
        <v>Europe (Ireland)</v>
      </c>
      <c r="D77" s="112" t="str">
        <f>ccm_aws_region</f>
        <v>Value Missing</v>
      </c>
      <c r="E77" s="228"/>
    </row>
    <row r="78" spans="2:5" s="19" customFormat="1" ht="20" customHeight="1" x14ac:dyDescent="0.2">
      <c r="B78" s="226" t="s">
        <v>2157</v>
      </c>
      <c r="C78" s="227" t="str">
        <f>sample_ccm_aws_host_type</f>
        <v>I3 (Local SSD)</v>
      </c>
      <c r="D78" s="112" t="str">
        <f>ccm_aws_host_type</f>
        <v>Value Missing</v>
      </c>
      <c r="E78" s="228"/>
    </row>
    <row r="79" spans="2:5" s="19" customFormat="1" ht="20" customHeight="1" x14ac:dyDescent="0.2">
      <c r="B79" s="226" t="s">
        <v>2161</v>
      </c>
      <c r="C79" s="227">
        <f>sample_ccm_aws_host_count</f>
        <v>2</v>
      </c>
      <c r="D79" s="112" t="str">
        <f>ccm_aws_host_count</f>
        <v>Value Missing</v>
      </c>
      <c r="E79" s="228"/>
    </row>
    <row r="80" spans="2:5" s="19" customFormat="1" ht="20" customHeight="1" x14ac:dyDescent="0.2">
      <c r="B80" s="226" t="s">
        <v>2166</v>
      </c>
      <c r="C80" s="227" t="str">
        <f>sample_ccm_aws_vpc</f>
        <v>&lt;generated&gt;</v>
      </c>
      <c r="D80" s="112" t="str">
        <f>ccm_aws_vpc</f>
        <v>Value Missing</v>
      </c>
      <c r="E80" s="228"/>
    </row>
    <row r="81" spans="2:5" s="19" customFormat="1" ht="20" customHeight="1" x14ac:dyDescent="0.2">
      <c r="B81" s="226" t="s">
        <v>2170</v>
      </c>
      <c r="C81" s="227" t="str">
        <f>sample_ccm_aws_subnet</f>
        <v>&lt;generated&gt;</v>
      </c>
      <c r="D81" s="112" t="str">
        <f>ccm_aws_subnet</f>
        <v>Value Missing</v>
      </c>
      <c r="E81" s="228"/>
    </row>
    <row r="82" spans="2:5" s="19" customFormat="1" ht="20" customHeight="1" x14ac:dyDescent="0.2">
      <c r="B82" s="226" t="s">
        <v>2175</v>
      </c>
      <c r="C82" s="227" t="str">
        <f>sample_ccm_aws_management_subnet</f>
        <v>10.2.0.0/16</v>
      </c>
      <c r="D82" s="112" t="str">
        <f>ccm_aws_management_subnet</f>
        <v>Value Missing</v>
      </c>
      <c r="E82" s="228"/>
    </row>
    <row r="83" spans="2:5" s="19" customFormat="1" ht="20" customHeight="1" x14ac:dyDescent="0.2"/>
    <row r="84" spans="2:5" s="19" customFormat="1" ht="34" customHeight="1" x14ac:dyDescent="0.2">
      <c r="B84" s="656" t="s">
        <v>3523</v>
      </c>
      <c r="C84" s="656"/>
      <c r="D84" s="656"/>
      <c r="E84" s="656"/>
    </row>
    <row r="85" spans="2:5" s="19" customFormat="1" ht="20" customHeight="1" x14ac:dyDescent="0.2">
      <c r="B85" s="224" t="s">
        <v>261</v>
      </c>
      <c r="C85" s="224" t="s">
        <v>262</v>
      </c>
      <c r="D85" s="225" t="s">
        <v>19</v>
      </c>
      <c r="E85" s="224" t="s">
        <v>20</v>
      </c>
    </row>
    <row r="86" spans="2:5" s="19" customFormat="1" ht="20" customHeight="1" x14ac:dyDescent="0.2">
      <c r="B86" s="226" t="s">
        <v>3444</v>
      </c>
      <c r="C86" s="227" t="s">
        <v>3445</v>
      </c>
      <c r="D86" s="112" t="s">
        <v>3445</v>
      </c>
      <c r="E86" s="228"/>
    </row>
    <row r="87" spans="2:5" s="19" customFormat="1" ht="20" customHeight="1" x14ac:dyDescent="0.2">
      <c r="B87" s="226" t="s">
        <v>3448</v>
      </c>
      <c r="C87" s="227" t="str">
        <f>sample_ccm_firewall_rule_vcenter</f>
        <v>vCenter Inbound Rule</v>
      </c>
      <c r="D87" s="112" t="str">
        <f>ccm_firewall_rule_vcenter</f>
        <v>Value Missing</v>
      </c>
      <c r="E87" s="228"/>
    </row>
    <row r="88" spans="2:5" s="19" customFormat="1" ht="20" customHeight="1" x14ac:dyDescent="0.2">
      <c r="B88" s="226" t="s">
        <v>3449</v>
      </c>
      <c r="C88" s="227" t="str">
        <f>sample_ccm_firewall_group</f>
        <v>External-Access</v>
      </c>
      <c r="D88" s="112" t="str">
        <f>ccm_firewall_group</f>
        <v>Value Missing</v>
      </c>
      <c r="E88" s="228"/>
    </row>
    <row r="89" spans="2:5" s="19" customFormat="1" ht="20" customHeight="1" x14ac:dyDescent="0.2">
      <c r="B89" s="226" t="s">
        <v>3450</v>
      </c>
      <c r="C89" s="227" t="s">
        <v>814</v>
      </c>
      <c r="D89" s="112" t="str">
        <f>C89</f>
        <v>vCenter</v>
      </c>
      <c r="E89" s="228"/>
    </row>
    <row r="90" spans="2:5" s="19" customFormat="1" ht="20" customHeight="1" x14ac:dyDescent="0.2">
      <c r="B90" s="226" t="s">
        <v>3451</v>
      </c>
      <c r="C90" s="227" t="s">
        <v>3452</v>
      </c>
      <c r="D90" s="112" t="str">
        <f>C90</f>
        <v>HTTPS (TCP 443)</v>
      </c>
      <c r="E90" s="228"/>
    </row>
    <row r="91" spans="2:5" s="19" customFormat="1" ht="20" customHeight="1" x14ac:dyDescent="0.2">
      <c r="B91" s="226" t="s">
        <v>3451</v>
      </c>
      <c r="C91" s="227" t="s">
        <v>3453</v>
      </c>
      <c r="D91" s="112" t="str">
        <f>C91</f>
        <v>SSO (TCP 7444)</v>
      </c>
      <c r="E91" s="228"/>
    </row>
    <row r="92" spans="2:5" s="19" customFormat="1" ht="20" customHeight="1" x14ac:dyDescent="0.2">
      <c r="B92" s="226" t="s">
        <v>3454</v>
      </c>
      <c r="C92" s="227" t="str">
        <f>sample_ccm_firewall_ip_addresses</f>
        <v>69.34.34.11</v>
      </c>
      <c r="D92" s="112" t="str">
        <f>ccm_firewall_ip_addresses</f>
        <v>Value Missing</v>
      </c>
      <c r="E92" s="228"/>
    </row>
    <row r="93" spans="2:5" s="19" customFormat="1" ht="20" customHeight="1" x14ac:dyDescent="0.2"/>
    <row r="94" spans="2:5" s="19" customFormat="1" ht="34" customHeight="1" x14ac:dyDescent="0.2">
      <c r="B94" s="656" t="s">
        <v>3524</v>
      </c>
      <c r="C94" s="656"/>
      <c r="D94" s="656"/>
      <c r="E94" s="656"/>
    </row>
    <row r="95" spans="2:5" s="19" customFormat="1" ht="20" customHeight="1" x14ac:dyDescent="0.2">
      <c r="B95" s="224" t="s">
        <v>261</v>
      </c>
      <c r="C95" s="224" t="s">
        <v>262</v>
      </c>
      <c r="D95" s="225" t="s">
        <v>19</v>
      </c>
      <c r="E95" s="224" t="s">
        <v>20</v>
      </c>
    </row>
    <row r="96" spans="2:5" s="19" customFormat="1" ht="20" customHeight="1" x14ac:dyDescent="0.2">
      <c r="B96" s="226" t="s">
        <v>3444</v>
      </c>
      <c r="C96" s="227" t="s">
        <v>3445</v>
      </c>
      <c r="D96" s="112" t="s">
        <v>3445</v>
      </c>
      <c r="E96" s="228"/>
    </row>
    <row r="97" spans="2:5" s="19" customFormat="1" ht="20" customHeight="1" x14ac:dyDescent="0.2">
      <c r="B97" s="226" t="s">
        <v>2272</v>
      </c>
      <c r="C97" s="227" t="str">
        <f>sample_ccm_aws_sddc_name</f>
        <v>mobility-sddc</v>
      </c>
      <c r="D97" s="112" t="str">
        <f>ccm_aws_sddc_name</f>
        <v>Value Missing</v>
      </c>
      <c r="E97" s="228"/>
    </row>
    <row r="98" spans="2:5" s="19" customFormat="1" ht="20" customHeight="1" x14ac:dyDescent="0.2"/>
    <row r="99" spans="2:5" s="19" customFormat="1" ht="34" customHeight="1" x14ac:dyDescent="0.2">
      <c r="B99" s="656" t="s">
        <v>3525</v>
      </c>
      <c r="C99" s="656"/>
      <c r="D99" s="656"/>
      <c r="E99" s="656"/>
    </row>
    <row r="100" spans="2:5" s="19" customFormat="1" ht="20" customHeight="1" x14ac:dyDescent="0.2">
      <c r="B100" s="224" t="s">
        <v>261</v>
      </c>
      <c r="C100" s="224" t="s">
        <v>262</v>
      </c>
      <c r="D100" s="225" t="s">
        <v>19</v>
      </c>
      <c r="E100" s="224" t="s">
        <v>20</v>
      </c>
    </row>
    <row r="101" spans="2:5" s="19" customFormat="1" ht="20" customHeight="1" x14ac:dyDescent="0.2">
      <c r="B101" s="226" t="s">
        <v>3444</v>
      </c>
      <c r="C101" s="227" t="s">
        <v>3445</v>
      </c>
      <c r="D101" s="112" t="str">
        <f>C101</f>
        <v>console.cloud.vmware.com</v>
      </c>
      <c r="E101" s="228"/>
    </row>
    <row r="102" spans="2:5" s="19" customFormat="1" ht="20" customHeight="1" x14ac:dyDescent="0.2">
      <c r="B102" s="233" t="s">
        <v>2272</v>
      </c>
      <c r="C102" s="234" t="str">
        <f>sample_ccm_aws_sddc_name</f>
        <v>mobility-sddc</v>
      </c>
      <c r="D102" s="235" t="str">
        <f>ccm_aws_sddc_name</f>
        <v>Value Missing</v>
      </c>
      <c r="E102" s="228"/>
    </row>
    <row r="103" spans="2:5" s="19" customFormat="1" ht="20" customHeight="1" x14ac:dyDescent="0.2">
      <c r="B103" s="666" t="s">
        <v>3526</v>
      </c>
      <c r="C103" s="666"/>
      <c r="D103" s="666"/>
      <c r="E103" s="667"/>
    </row>
    <row r="104" spans="2:5" s="19" customFormat="1" ht="20" customHeight="1" x14ac:dyDescent="0.2">
      <c r="B104" s="226" t="s">
        <v>2910</v>
      </c>
      <c r="C104" s="227" t="str">
        <f>sample_mgmt_vc_fqdn</f>
        <v>sfo-m01-vc01.sfo.rainpole.io</v>
      </c>
      <c r="D104" s="112" t="str">
        <f>mgmt_vc_fqdn</f>
        <v>Value Missing</v>
      </c>
      <c r="E104" s="228"/>
    </row>
    <row r="105" spans="2:5" s="19" customFormat="1" ht="20" customHeight="1" x14ac:dyDescent="0.2">
      <c r="B105" s="226" t="s">
        <v>3527</v>
      </c>
      <c r="C105" s="227" t="str">
        <f>sample_ccm_vm_folder</f>
        <v>sfo-m01-fd-ccm</v>
      </c>
      <c r="D105" s="112" t="str">
        <f>ccm_vm_folder</f>
        <v>Value Missing</v>
      </c>
      <c r="E105" s="228"/>
    </row>
    <row r="106" spans="2:5" s="19" customFormat="1" ht="20" customHeight="1" x14ac:dyDescent="0.2">
      <c r="B106" s="226" t="s">
        <v>2845</v>
      </c>
      <c r="C106" s="227" t="str">
        <f>sample_ccm_hcx_cdp_hostname</f>
        <v>sfo-ccm-hcx01</v>
      </c>
      <c r="D106" s="112" t="str">
        <f>ccm_hcx_cdp_hostname</f>
        <v>Value Missing</v>
      </c>
      <c r="E106" s="228"/>
    </row>
    <row r="107" spans="2:5" s="19" customFormat="1" ht="20" customHeight="1" x14ac:dyDescent="0.2">
      <c r="B107" s="226" t="s">
        <v>2847</v>
      </c>
      <c r="C107" s="227" t="str">
        <f>sample_mgmt_cl01_cluster</f>
        <v>sfo-m01-cl01</v>
      </c>
      <c r="D107" s="112" t="str">
        <f>mgmt_cl01_cluster</f>
        <v>Value Missing</v>
      </c>
      <c r="E107" s="228"/>
    </row>
    <row r="108" spans="2:5" s="19" customFormat="1" ht="20" customHeight="1" x14ac:dyDescent="0.2">
      <c r="B108" s="226" t="s">
        <v>3466</v>
      </c>
      <c r="C108" s="227" t="str">
        <f>sample_mgmt_cl01_vsan_datastore</f>
        <v>sfo-m01-cl01-ds-vsan01</v>
      </c>
      <c r="D108" s="112" t="str">
        <f>mgmt_cl01_vsan_datastore</f>
        <v>Value Missing</v>
      </c>
      <c r="E108" s="228"/>
    </row>
    <row r="109" spans="2:5" s="19" customFormat="1" ht="20" customHeight="1" x14ac:dyDescent="0.2">
      <c r="B109" s="226" t="s">
        <v>252</v>
      </c>
      <c r="C109" s="227" t="str">
        <f>sample_mgmt_cl01_az1_mgmt_pg</f>
        <v>sfo-m01-cl01-vds01-pg-mgmt</v>
      </c>
      <c r="D109" s="112" t="str">
        <f>mgmt_cl01_az1_mgmt_pg</f>
        <v>Value Missing</v>
      </c>
      <c r="E109" s="228"/>
    </row>
    <row r="110" spans="2:5" s="19" customFormat="1" ht="20" customHeight="1" x14ac:dyDescent="0.2">
      <c r="B110" s="226" t="s">
        <v>3528</v>
      </c>
      <c r="C110" s="227" t="str">
        <f>sample_ccm_hcx_admin_password</f>
        <v>VMw@re1!</v>
      </c>
      <c r="D110" s="112" t="str">
        <f>ccm_hcx_admin_password</f>
        <v>Value Missing</v>
      </c>
      <c r="E110" s="228"/>
    </row>
    <row r="111" spans="2:5" s="19" customFormat="1" ht="20" customHeight="1" x14ac:dyDescent="0.2">
      <c r="B111" s="226" t="s">
        <v>3529</v>
      </c>
      <c r="C111" s="227" t="str">
        <f>sample_ccm_hcx_root_password</f>
        <v>VMw@re1!</v>
      </c>
      <c r="D111" s="112" t="str">
        <f>ccm_hcx_root_password</f>
        <v>Value Missing</v>
      </c>
      <c r="E111" s="228"/>
    </row>
    <row r="112" spans="2:5" s="19" customFormat="1" ht="20" customHeight="1" x14ac:dyDescent="0.2">
      <c r="B112" s="226" t="s">
        <v>302</v>
      </c>
      <c r="C112" s="227"/>
      <c r="D112" s="112" t="str">
        <f>ccm_hcx_cdp_hostname&amp;"."&amp;child_dns_zone</f>
        <v>Value Missing.Value Missing</v>
      </c>
      <c r="E112" s="228"/>
    </row>
    <row r="113" spans="2:5" s="19" customFormat="1" ht="20" customHeight="1" x14ac:dyDescent="0.2">
      <c r="B113" s="226" t="s">
        <v>3530</v>
      </c>
      <c r="C113" s="227" t="str">
        <f>sample_ccm_hcx_cdp_ip</f>
        <v>10.11.10.46</v>
      </c>
      <c r="D113" s="112" t="str">
        <f>ccm_hcx_cdp_ip</f>
        <v>Value Missing</v>
      </c>
      <c r="E113" s="228"/>
    </row>
    <row r="114" spans="2:5" s="19" customFormat="1" ht="20" customHeight="1" x14ac:dyDescent="0.2">
      <c r="B114" s="226" t="s">
        <v>3531</v>
      </c>
      <c r="C114" s="227">
        <f>INT(RIGHT(sample_mgmt_az1_mgmt_cidr,LEN(sample_mgmt_az1_mgmt_cidr)-FIND("/",sample_mgmt_az1_mgmt_cidr)))</f>
        <v>24</v>
      </c>
      <c r="D114" s="112"/>
      <c r="E114" s="228"/>
    </row>
    <row r="115" spans="2:5" s="19" customFormat="1" ht="20" customHeight="1" x14ac:dyDescent="0.2">
      <c r="B115" s="226" t="s">
        <v>611</v>
      </c>
      <c r="C115" s="227" t="str">
        <f>sample_mgmt_az1_mgmt_gateway_ip</f>
        <v>10.11.11.1</v>
      </c>
      <c r="D115" s="112" t="str">
        <f>mgmt_az1_mgmt_gateway_ip</f>
        <v>Value Missing</v>
      </c>
      <c r="E115" s="228"/>
    </row>
    <row r="116" spans="2:5" s="19" customFormat="1" ht="20" customHeight="1" x14ac:dyDescent="0.2">
      <c r="B116" s="226" t="s">
        <v>3532</v>
      </c>
      <c r="C116" s="227" t="str">
        <f>CONCATENATE(sample_region_dns1_ip," ",sample_region_dns2_ip)</f>
        <v>10.11.10.4 10.11.10.5</v>
      </c>
      <c r="D116" s="112" t="str">
        <f>CONCATENATE(region_dns1_ip," ",region_dns2_ip)</f>
        <v>Value Missing Value Missing</v>
      </c>
      <c r="E116" s="228"/>
    </row>
    <row r="117" spans="2:5" s="19" customFormat="1" ht="20" customHeight="1" x14ac:dyDescent="0.2">
      <c r="B117" s="226" t="s">
        <v>3533</v>
      </c>
      <c r="C117" s="227" t="str">
        <f>sample_child_dns_zone</f>
        <v>sfo.rainpole.io</v>
      </c>
      <c r="D117" s="112" t="str">
        <f>child_dns_zone</f>
        <v>Value Missing</v>
      </c>
      <c r="E117" s="228"/>
    </row>
    <row r="118" spans="2:5" s="19" customFormat="1" ht="20" customHeight="1" x14ac:dyDescent="0.2">
      <c r="B118" s="226" t="s">
        <v>3534</v>
      </c>
      <c r="C118" s="227" t="str">
        <f>sample_region_ntp1_server</f>
        <v>ntp0.sfo.rainpole.io</v>
      </c>
      <c r="D118" s="112" t="str">
        <f>region_ntp1_server</f>
        <v>Value Missing</v>
      </c>
      <c r="E118" s="228"/>
    </row>
    <row r="119" spans="2:5" s="19" customFormat="1" ht="20" customHeight="1" x14ac:dyDescent="0.2">
      <c r="B119" s="666" t="s">
        <v>3535</v>
      </c>
      <c r="C119" s="666"/>
      <c r="D119" s="666"/>
      <c r="E119" s="667"/>
    </row>
    <row r="120" spans="2:5" s="19" customFormat="1" ht="20" customHeight="1" x14ac:dyDescent="0.2">
      <c r="B120" s="226" t="s">
        <v>2306</v>
      </c>
      <c r="C120" s="227" t="str">
        <f>sample_ccm_hcx_license</f>
        <v>xxxxx-xxxxx-xxxxx-xxxxx-xxxxx</v>
      </c>
      <c r="D120" s="112" t="str">
        <f>ccm_hcx_license</f>
        <v>Value Missing</v>
      </c>
      <c r="E120" s="228"/>
    </row>
    <row r="121" spans="2:5" s="19" customFormat="1" ht="20" customHeight="1" x14ac:dyDescent="0.2">
      <c r="B121" s="226" t="s">
        <v>3536</v>
      </c>
      <c r="C121" s="227" t="str">
        <f>sample_ccm_hcx_dc_location</f>
        <v>San Francisco, United States of America</v>
      </c>
      <c r="D121" s="112" t="str">
        <f>ccm_hcx_dc_location</f>
        <v>Value Missing</v>
      </c>
      <c r="E121" s="228"/>
    </row>
    <row r="122" spans="2:5" s="19" customFormat="1" ht="20" customHeight="1" x14ac:dyDescent="0.2">
      <c r="B122" s="226" t="s">
        <v>3537</v>
      </c>
      <c r="C122" s="227" t="str">
        <f>CONCATENATE(sample_ccm_hcx_cdp_hostname,".",sample_child_dns_zone)</f>
        <v>sfo-ccm-hcx01.sfo.rainpole.io</v>
      </c>
      <c r="D122" s="112" t="str">
        <f>CONCATENATE(ccm_hcx_cdp_hostname,".",child_dns_zone)</f>
        <v>Value Missing.Value Missing</v>
      </c>
      <c r="E122" s="228"/>
    </row>
    <row r="123" spans="2:5" s="19" customFormat="1" ht="20" customHeight="1" x14ac:dyDescent="0.2">
      <c r="B123" s="226" t="s">
        <v>1657</v>
      </c>
      <c r="C123" s="227" t="str">
        <f>sample_wld_vc_fqdn</f>
        <v>sfo-w01-vc01.sfo.rainpole.io</v>
      </c>
      <c r="D123" s="112" t="str">
        <f>wld_vc_fqdn</f>
        <v>Value Missing</v>
      </c>
      <c r="E123" s="228"/>
    </row>
    <row r="124" spans="2:5" s="19" customFormat="1" ht="20" customHeight="1" x14ac:dyDescent="0.2">
      <c r="B124" s="226" t="s">
        <v>27</v>
      </c>
      <c r="C124" s="227" t="str">
        <f>sample_svc_ccm_hcx_vsphere_user&amp;"@"&amp;sample_child_dns_zone</f>
        <v>svc-hcx-vsphere@sfo.rainpole.io</v>
      </c>
      <c r="D124" s="112" t="str">
        <f>ccm_hcx_vsphere_svc_user&amp;"@"&amp;child_dns_zone</f>
        <v>Value Missing@Value Missing</v>
      </c>
      <c r="E124" s="228"/>
    </row>
    <row r="125" spans="2:5" s="19" customFormat="1" ht="20" customHeight="1" x14ac:dyDescent="0.2">
      <c r="B125" s="226" t="s">
        <v>29</v>
      </c>
      <c r="C125" s="227" t="str">
        <f>sample_svc_ccm_hcx_vsphere_password</f>
        <v>VMw@re1!</v>
      </c>
      <c r="D125" s="112" t="str">
        <f>ccm_hcx_vsphere_svc_password</f>
        <v>Value Missing</v>
      </c>
      <c r="E125" s="228"/>
    </row>
    <row r="126" spans="2:5" s="19" customFormat="1" ht="20" customHeight="1" x14ac:dyDescent="0.2">
      <c r="B126" s="226" t="s">
        <v>778</v>
      </c>
      <c r="C126" s="227" t="str">
        <f>sample_wld_nsxt_vip_fqdn</f>
        <v>sfo-w01-nsx01.sfo.rainpole.io</v>
      </c>
      <c r="D126" s="112" t="str">
        <f>wld_nsxt_mgra_fqdn</f>
        <v>Value Missing</v>
      </c>
      <c r="E126" s="228"/>
    </row>
    <row r="127" spans="2:5" s="19" customFormat="1" ht="20" customHeight="1" x14ac:dyDescent="0.2">
      <c r="B127" s="226" t="s">
        <v>27</v>
      </c>
      <c r="C127" s="227" t="str">
        <f>sample_svc_ccm_hcx_nsx_user&amp;"@"&amp;sample_child_dns_zone</f>
        <v>svc-hcx-nsx@sfo.rainpole.io</v>
      </c>
      <c r="D127" s="112" t="str">
        <f>ccm_hcx_nsx_svc_user&amp;"@"&amp;child_dns_zone</f>
        <v>Value Missing@Value Missing</v>
      </c>
      <c r="E127" s="228"/>
    </row>
    <row r="128" spans="2:5" s="19" customFormat="1" ht="20" customHeight="1" x14ac:dyDescent="0.2">
      <c r="B128" s="226" t="s">
        <v>29</v>
      </c>
      <c r="C128" s="227" t="str">
        <f>sample_svc_ccm_hcx_nsx_password</f>
        <v>VMw@re1!</v>
      </c>
      <c r="D128" s="112" t="str">
        <f>ccm_hcx_nsx_svc_password</f>
        <v>Value Missing</v>
      </c>
      <c r="E128" s="228"/>
    </row>
    <row r="129" spans="2:5" s="19" customFormat="1" ht="20" customHeight="1" x14ac:dyDescent="0.2">
      <c r="B129" s="226" t="s">
        <v>3538</v>
      </c>
      <c r="C129" s="227" t="str">
        <f>sample_wld_vc_fqdn</f>
        <v>sfo-w01-vc01.sfo.rainpole.io</v>
      </c>
      <c r="D129" s="112" t="str">
        <f>wld_vc_fqdn</f>
        <v>Value Missing</v>
      </c>
      <c r="E129" s="228"/>
    </row>
    <row r="130" spans="2:5" s="19" customFormat="1" ht="20" customHeight="1" x14ac:dyDescent="0.2"/>
    <row r="131" spans="2:5" s="19" customFormat="1" ht="34" customHeight="1" x14ac:dyDescent="0.2">
      <c r="B131" s="656" t="s">
        <v>3539</v>
      </c>
      <c r="C131" s="656"/>
      <c r="D131" s="656"/>
      <c r="E131" s="656"/>
    </row>
    <row r="132" spans="2:5" s="19" customFormat="1" ht="20" customHeight="1" x14ac:dyDescent="0.2">
      <c r="B132" s="224" t="s">
        <v>261</v>
      </c>
      <c r="C132" s="224" t="s">
        <v>262</v>
      </c>
      <c r="D132" s="225" t="s">
        <v>19</v>
      </c>
      <c r="E132" s="224" t="s">
        <v>20</v>
      </c>
    </row>
    <row r="133" spans="2:5" s="19" customFormat="1" ht="20" customHeight="1" x14ac:dyDescent="0.2">
      <c r="B133" s="226" t="s">
        <v>3540</v>
      </c>
      <c r="C133" s="227" t="str">
        <f>CONCATENATE(sample_ccm_hcx_cdp_hostname,".",sample_child_dns_zone)</f>
        <v>sfo-ccm-hcx01.sfo.rainpole.io</v>
      </c>
      <c r="D133" s="112" t="str">
        <f>CONCATENATE(ccm_hcx_cdp_hostname,".",child_dns_zone)</f>
        <v>Value Missing.Value Missing</v>
      </c>
      <c r="E133" s="228"/>
    </row>
    <row r="134" spans="2:5" s="19" customFormat="1" ht="20" customHeight="1" x14ac:dyDescent="0.2">
      <c r="B134" s="226" t="s">
        <v>3528</v>
      </c>
      <c r="C134" s="227" t="str">
        <f>sample_ccm_hcx_admin_password</f>
        <v>VMw@re1!</v>
      </c>
      <c r="D134" s="112" t="str">
        <f>ccm_hcx_admin_password</f>
        <v>Value Missing</v>
      </c>
      <c r="E134" s="228"/>
    </row>
    <row r="135" spans="2:5" s="19" customFormat="1" ht="20" customHeight="1" x14ac:dyDescent="0.2"/>
    <row r="136" spans="2:5" s="19" customFormat="1" ht="34" customHeight="1" x14ac:dyDescent="0.2">
      <c r="B136" s="656" t="s">
        <v>3541</v>
      </c>
      <c r="C136" s="656"/>
      <c r="D136" s="656"/>
      <c r="E136" s="656"/>
    </row>
    <row r="137" spans="2:5" s="19" customFormat="1" ht="20" customHeight="1" x14ac:dyDescent="0.2">
      <c r="B137" s="224" t="s">
        <v>261</v>
      </c>
      <c r="C137" s="224" t="s">
        <v>262</v>
      </c>
      <c r="D137" s="225" t="s">
        <v>19</v>
      </c>
      <c r="E137" s="224" t="s">
        <v>20</v>
      </c>
    </row>
    <row r="138" spans="2:5" s="19" customFormat="1" ht="20" customHeight="1" x14ac:dyDescent="0.2">
      <c r="B138" s="226" t="s">
        <v>2910</v>
      </c>
      <c r="C138" s="227" t="str">
        <f>sample_mgmt_vc_fqdn</f>
        <v>sfo-m01-vc01.sfo.rainpole.io</v>
      </c>
      <c r="D138" s="112" t="str">
        <f>mgmt_vc_fqdn</f>
        <v>Value Missing</v>
      </c>
      <c r="E138" s="228"/>
    </row>
    <row r="139" spans="2:5" s="19" customFormat="1" ht="20" customHeight="1" x14ac:dyDescent="0.2">
      <c r="B139" s="226" t="s">
        <v>261</v>
      </c>
      <c r="C139" s="227" t="str">
        <f>CONCATENATE(sample_mgmt_cl01_cluster,"_primary-az-vmgroup")</f>
        <v>sfo-m01-cl01_primary-az-vmgroup</v>
      </c>
      <c r="D139" s="112" t="str">
        <f>CONCATENATE(mgmt_cl01_cluster,"_primary-az-vmgroup")</f>
        <v>Value Missing_primary-az-vmgroup</v>
      </c>
      <c r="E139" s="228"/>
    </row>
    <row r="140" spans="2:5" s="19" customFormat="1" ht="20" customHeight="1" x14ac:dyDescent="0.2">
      <c r="B140" s="233" t="s">
        <v>3542</v>
      </c>
      <c r="C140" s="234" t="str">
        <f>sample_ccm_hcx_cdp_hostname</f>
        <v>sfo-ccm-hcx01</v>
      </c>
      <c r="D140" s="235" t="str">
        <f>ccm_hcx_cdp_hostname</f>
        <v>Value Missing</v>
      </c>
      <c r="E140" s="228"/>
    </row>
    <row r="141" spans="2:5" s="19" customFormat="1" ht="20" customHeight="1" x14ac:dyDescent="0.2"/>
    <row r="142" spans="2:5" s="19" customFormat="1" ht="34" customHeight="1" x14ac:dyDescent="0.2">
      <c r="B142" s="656" t="s">
        <v>3543</v>
      </c>
      <c r="C142" s="656"/>
      <c r="D142" s="656"/>
      <c r="E142" s="656"/>
    </row>
    <row r="143" spans="2:5" s="19" customFormat="1" ht="20" customHeight="1" x14ac:dyDescent="0.2">
      <c r="B143" s="224" t="s">
        <v>261</v>
      </c>
      <c r="C143" s="224" t="s">
        <v>262</v>
      </c>
      <c r="D143" s="225" t="s">
        <v>19</v>
      </c>
      <c r="E143" s="224" t="s">
        <v>20</v>
      </c>
    </row>
    <row r="144" spans="2:5" s="19" customFormat="1" ht="20" customHeight="1" x14ac:dyDescent="0.2">
      <c r="B144" s="226" t="s">
        <v>3444</v>
      </c>
      <c r="C144" s="227" t="s">
        <v>3445</v>
      </c>
      <c r="D144" s="112" t="s">
        <v>3445</v>
      </c>
      <c r="E144" s="228"/>
    </row>
    <row r="145" spans="2:5" s="19" customFormat="1" ht="20" customHeight="1" x14ac:dyDescent="0.2">
      <c r="B145" s="226" t="s">
        <v>3448</v>
      </c>
      <c r="C145" s="227" t="str">
        <f>sample_ccm_firewall_rule_hcx</f>
        <v>HCX Inbound Rule</v>
      </c>
      <c r="D145" s="112" t="str">
        <f>ccm_firewall_rule_hcx</f>
        <v>Value Missing</v>
      </c>
      <c r="E145" s="228"/>
    </row>
    <row r="146" spans="2:5" s="19" customFormat="1" ht="20" customHeight="1" x14ac:dyDescent="0.2">
      <c r="B146" s="226" t="s">
        <v>3449</v>
      </c>
      <c r="C146" s="227" t="str">
        <f>sample_ccm_firewall_group</f>
        <v>External-Access</v>
      </c>
      <c r="D146" s="112" t="str">
        <f>ccm_firewall_group</f>
        <v>Value Missing</v>
      </c>
      <c r="E146" s="228"/>
    </row>
    <row r="147" spans="2:5" s="19" customFormat="1" ht="20" customHeight="1" x14ac:dyDescent="0.2">
      <c r="B147" s="226" t="s">
        <v>3450</v>
      </c>
      <c r="C147" s="227" t="s">
        <v>3544</v>
      </c>
      <c r="D147" s="112" t="str">
        <f>C147</f>
        <v>HCX</v>
      </c>
      <c r="E147" s="228"/>
    </row>
    <row r="148" spans="2:5" s="19" customFormat="1" ht="20" customHeight="1" x14ac:dyDescent="0.2">
      <c r="B148" s="226" t="s">
        <v>3451</v>
      </c>
      <c r="C148" s="227" t="s">
        <v>3545</v>
      </c>
      <c r="D148" s="112" t="str">
        <f>C148</f>
        <v>Appliance Management (TCP 9443)</v>
      </c>
      <c r="E148" s="228"/>
    </row>
    <row r="149" spans="2:5" s="19" customFormat="1" ht="20" customHeight="1" x14ac:dyDescent="0.2">
      <c r="B149" s="226" t="s">
        <v>3451</v>
      </c>
      <c r="C149" s="227" t="s">
        <v>3452</v>
      </c>
      <c r="D149" s="112" t="str">
        <f>C149</f>
        <v>HTTPS (TCP 443)</v>
      </c>
      <c r="E149" s="228"/>
    </row>
    <row r="150" spans="2:5" s="19" customFormat="1" ht="20" customHeight="1" x14ac:dyDescent="0.2">
      <c r="B150" s="226" t="s">
        <v>3454</v>
      </c>
      <c r="C150" s="227" t="str">
        <f>sample_ccm_firewall_ip_addresses</f>
        <v>69.34.34.11</v>
      </c>
      <c r="D150" s="112" t="str">
        <f>ccm_firewall_ip_addresses</f>
        <v>Value Missing</v>
      </c>
      <c r="E150" s="228"/>
    </row>
    <row r="151" spans="2:5" s="19" customFormat="1" ht="20" customHeight="1" x14ac:dyDescent="0.2"/>
    <row r="152" spans="2:5" s="19" customFormat="1" ht="34" customHeight="1" x14ac:dyDescent="0.2">
      <c r="B152" s="656" t="s">
        <v>3546</v>
      </c>
      <c r="C152" s="656"/>
      <c r="D152" s="656"/>
      <c r="E152" s="656"/>
    </row>
    <row r="153" spans="2:5" s="19" customFormat="1" ht="20" customHeight="1" x14ac:dyDescent="0.2">
      <c r="B153" s="224" t="s">
        <v>261</v>
      </c>
      <c r="C153" s="224" t="s">
        <v>262</v>
      </c>
      <c r="D153" s="225" t="s">
        <v>19</v>
      </c>
      <c r="E153" s="224" t="s">
        <v>20</v>
      </c>
    </row>
    <row r="154" spans="2:5" s="19" customFormat="1" ht="20" customHeight="1" x14ac:dyDescent="0.2">
      <c r="B154" s="226" t="s">
        <v>3518</v>
      </c>
      <c r="C154" s="227" t="str">
        <f>sample_wld_vc_fqdn</f>
        <v>sfo-w01-vc01.sfo.rainpole.io</v>
      </c>
      <c r="D154" s="112" t="str">
        <f>wld_vc_fqdn</f>
        <v>Value Missing</v>
      </c>
      <c r="E154" s="228"/>
    </row>
    <row r="155" spans="2:5" s="19" customFormat="1" ht="20" customHeight="1" x14ac:dyDescent="0.2">
      <c r="B155" s="226" t="s">
        <v>2324</v>
      </c>
      <c r="C155" s="227" t="str">
        <f>sample_ccm_hcx_remote_url</f>
        <v>https://hcx.sddc-44-231-98-23.vmwarevmc.com/</v>
      </c>
      <c r="D155" s="112" t="str">
        <f>ccm_hcx_remote_url</f>
        <v>Value Missing</v>
      </c>
      <c r="E155" s="228"/>
    </row>
    <row r="156" spans="2:5" s="19" customFormat="1" ht="20" customHeight="1" x14ac:dyDescent="0.2">
      <c r="B156" s="226" t="s">
        <v>27</v>
      </c>
      <c r="C156" s="227" t="str">
        <f>sample_ccm_aws_admin_ssouser</f>
        <v>cloudadmin@vmc.local</v>
      </c>
      <c r="D156" s="112" t="str">
        <f>ccm_aws_admin_ssouser</f>
        <v>Value Missing</v>
      </c>
      <c r="E156" s="228"/>
    </row>
    <row r="157" spans="2:5" s="19" customFormat="1" ht="20" customHeight="1" x14ac:dyDescent="0.2">
      <c r="B157" s="226" t="s">
        <v>29</v>
      </c>
      <c r="C157" s="227" t="str">
        <f>sample_ccm_aws_admin_password</f>
        <v>TBvAZf-Aj*1ap6T</v>
      </c>
      <c r="D157" s="112" t="str">
        <f>ccm_aws_admin_password</f>
        <v>Value Missing</v>
      </c>
      <c r="E157" s="228"/>
    </row>
    <row r="158" spans="2:5" s="19" customFormat="1" ht="20" customHeight="1" x14ac:dyDescent="0.2"/>
    <row r="159" spans="2:5" s="19" customFormat="1" ht="34" customHeight="1" x14ac:dyDescent="0.2">
      <c r="B159" s="656" t="s">
        <v>3547</v>
      </c>
      <c r="C159" s="656"/>
      <c r="D159" s="656"/>
      <c r="E159" s="656"/>
    </row>
    <row r="160" spans="2:5" s="19" customFormat="1" ht="20" customHeight="1" x14ac:dyDescent="0.2">
      <c r="B160" s="224" t="s">
        <v>261</v>
      </c>
      <c r="C160" s="224" t="s">
        <v>262</v>
      </c>
      <c r="D160" s="225" t="s">
        <v>19</v>
      </c>
      <c r="E160" s="224" t="s">
        <v>20</v>
      </c>
    </row>
    <row r="161" spans="2:5" s="19" customFormat="1" ht="20" customHeight="1" x14ac:dyDescent="0.2">
      <c r="B161" s="226" t="s">
        <v>3518</v>
      </c>
      <c r="C161" s="227" t="str">
        <f>sample_wld_vc_fqdn</f>
        <v>sfo-w01-vc01.sfo.rainpole.io</v>
      </c>
      <c r="D161" s="112" t="str">
        <f>wld_vc_fqdn</f>
        <v>Value Missing</v>
      </c>
      <c r="E161" s="228"/>
    </row>
    <row r="162" spans="2:5" s="19" customFormat="1" ht="20" customHeight="1" x14ac:dyDescent="0.2">
      <c r="B162" s="666" t="s">
        <v>3548</v>
      </c>
      <c r="C162" s="666"/>
      <c r="D162" s="666"/>
      <c r="E162" s="667"/>
    </row>
    <row r="163" spans="2:5" s="19" customFormat="1" ht="20" customHeight="1" x14ac:dyDescent="0.2">
      <c r="B163" s="226" t="s">
        <v>814</v>
      </c>
      <c r="C163" s="227" t="str">
        <f>sample_wld_vc_fqdn</f>
        <v>sfo-w01-vc01.sfo.rainpole.io</v>
      </c>
      <c r="D163" s="112" t="str">
        <f>wld_vc_fqdn</f>
        <v>Value Missing</v>
      </c>
      <c r="E163" s="228"/>
    </row>
    <row r="164" spans="2:5" s="19" customFormat="1" ht="20" customHeight="1" x14ac:dyDescent="0.2">
      <c r="B164" s="226" t="s">
        <v>252</v>
      </c>
      <c r="C164" s="227" t="str">
        <f>sample_wld_cl01_az1_mgmt_pg</f>
        <v>sfo-w01-cl01-vds01-pg-esxi-mgmt</v>
      </c>
      <c r="D164" s="112" t="str">
        <f>wld_cl01_az1_mgmt_pg</f>
        <v>Value Missing</v>
      </c>
      <c r="E164" s="228"/>
    </row>
    <row r="165" spans="2:5" s="19" customFormat="1" ht="20" customHeight="1" x14ac:dyDescent="0.2">
      <c r="B165" s="226" t="s">
        <v>261</v>
      </c>
      <c r="C165" s="227" t="str">
        <f>sample_wld_cl01_az1_mgmt_pg</f>
        <v>sfo-w01-cl01-vds01-pg-esxi-mgmt</v>
      </c>
      <c r="D165" s="112" t="str">
        <f>wld_cl01_az1_mgmt_pg</f>
        <v>Value Missing</v>
      </c>
      <c r="E165" s="228"/>
    </row>
    <row r="166" spans="2:5" s="19" customFormat="1" ht="20" customHeight="1" x14ac:dyDescent="0.2">
      <c r="B166" s="226" t="s">
        <v>3549</v>
      </c>
      <c r="C166" s="227" t="str">
        <f>sample_ccm_hcx_mgmt_network_ip_range</f>
        <v>10.13.10.221-10.13.10.225</v>
      </c>
      <c r="D166" s="112" t="str">
        <f>ccm_hcx_mgmt_network_ip_range</f>
        <v>Value Missing</v>
      </c>
      <c r="E166" s="228"/>
    </row>
    <row r="167" spans="2:5" s="19" customFormat="1" ht="20" customHeight="1" x14ac:dyDescent="0.2">
      <c r="B167" s="226" t="s">
        <v>3550</v>
      </c>
      <c r="C167" s="227">
        <f>INT(RIGHT(sample_mgmt_az1_mgmt_cidr,LEN(sample_mgmt_az1_mgmt_cidr)-FIND("/",sample_mgmt_az1_mgmt_cidr)))</f>
        <v>24</v>
      </c>
      <c r="D167" s="112" t="str">
        <f>IF(ISBLANK(input_mgmt_az1_mgmt_cidr),"Value Missing",INT(RIGHT(mgmt_az1_mgmt_cidr,LEN(mgmt_az1_mgmt_cidr)-FIND("/",mgmt_az1_mgmt_cidr))))</f>
        <v>Value Missing</v>
      </c>
      <c r="E167" s="228"/>
    </row>
    <row r="168" spans="2:5" s="19" customFormat="1" ht="20" customHeight="1" x14ac:dyDescent="0.2">
      <c r="B168" s="226" t="s">
        <v>187</v>
      </c>
      <c r="C168" s="227" t="str">
        <f>sample_wld_az1_mgmt_gateway_ip</f>
        <v>10.13.11.1</v>
      </c>
      <c r="D168" s="112" t="str">
        <f>wld_az1_mgmt_gateway_ip</f>
        <v>Value Missing</v>
      </c>
      <c r="E168" s="228"/>
    </row>
    <row r="169" spans="2:5" s="19" customFormat="1" ht="20" customHeight="1" x14ac:dyDescent="0.2">
      <c r="B169" s="226" t="s">
        <v>3551</v>
      </c>
      <c r="C169" s="227" t="str">
        <f>sample_region_dns1_ip</f>
        <v>10.11.10.4</v>
      </c>
      <c r="D169" s="112" t="str">
        <f>region_dns1_ip</f>
        <v>Value Missing</v>
      </c>
      <c r="E169" s="228"/>
    </row>
    <row r="170" spans="2:5" s="19" customFormat="1" ht="20" customHeight="1" x14ac:dyDescent="0.2">
      <c r="B170" s="226" t="s">
        <v>3552</v>
      </c>
      <c r="C170" s="227" t="str">
        <f>sample_region_dns2_ip</f>
        <v>10.11.10.5</v>
      </c>
      <c r="D170" s="112" t="str">
        <f>region_dns2_ip</f>
        <v>Value Missing</v>
      </c>
      <c r="E170" s="228"/>
    </row>
    <row r="171" spans="2:5" s="19" customFormat="1" ht="20" customHeight="1" x14ac:dyDescent="0.2">
      <c r="B171" s="226" t="s">
        <v>3553</v>
      </c>
      <c r="C171" s="227" t="str">
        <f>sample_child_dns_zone</f>
        <v>sfo.rainpole.io</v>
      </c>
      <c r="D171" s="112" t="str">
        <f>child_dns_zone</f>
        <v>Value Missing</v>
      </c>
      <c r="E171" s="228"/>
    </row>
    <row r="172" spans="2:5" s="19" customFormat="1" ht="20" customHeight="1" x14ac:dyDescent="0.2">
      <c r="B172" s="666" t="s">
        <v>3554</v>
      </c>
      <c r="C172" s="666"/>
      <c r="D172" s="666"/>
      <c r="E172" s="667"/>
    </row>
    <row r="173" spans="2:5" s="19" customFormat="1" ht="20" customHeight="1" x14ac:dyDescent="0.2">
      <c r="B173" s="226" t="s">
        <v>814</v>
      </c>
      <c r="C173" s="227" t="str">
        <f>sample_wld_vc_fqdn</f>
        <v>sfo-w01-vc01.sfo.rainpole.io</v>
      </c>
      <c r="D173" s="112" t="str">
        <f>wld_vc_fqdn</f>
        <v>Value Missing</v>
      </c>
      <c r="E173" s="228"/>
    </row>
    <row r="174" spans="2:5" s="19" customFormat="1" ht="20" customHeight="1" x14ac:dyDescent="0.2">
      <c r="B174" s="226" t="s">
        <v>252</v>
      </c>
      <c r="C174" s="227" t="str">
        <f>sample_wld_cl01_az1_vmotion_pg</f>
        <v>sfo-w01-cl01-vds01-pg-vmotion</v>
      </c>
      <c r="D174" s="112" t="str">
        <f>wld_cl01_az1_vmotion_pg</f>
        <v>Value Missing</v>
      </c>
      <c r="E174" s="228"/>
    </row>
    <row r="175" spans="2:5" s="19" customFormat="1" ht="20" customHeight="1" x14ac:dyDescent="0.2">
      <c r="B175" s="226" t="s">
        <v>261</v>
      </c>
      <c r="C175" s="227" t="str">
        <f>sample_wld_cl01_az1_vmotion_pg</f>
        <v>sfo-w01-cl01-vds01-pg-vmotion</v>
      </c>
      <c r="D175" s="112" t="str">
        <f>wld_cl01_az1_vmotion_pg</f>
        <v>Value Missing</v>
      </c>
      <c r="E175" s="228"/>
    </row>
    <row r="176" spans="2:5" s="19" customFormat="1" ht="20" customHeight="1" x14ac:dyDescent="0.2">
      <c r="B176" s="226" t="s">
        <v>3549</v>
      </c>
      <c r="C176" s="227" t="str">
        <f>sample_ccm_hcx_vmotion_network_ip_range</f>
        <v>10.13.12.221-10.13.12.225</v>
      </c>
      <c r="D176" s="112" t="str">
        <f>ccm_hcx_vmotion_network_ip_range</f>
        <v>Value Missing</v>
      </c>
      <c r="E176" s="228"/>
    </row>
    <row r="177" spans="2:5" s="19" customFormat="1" ht="20" customHeight="1" x14ac:dyDescent="0.2">
      <c r="B177" s="226" t="s">
        <v>3550</v>
      </c>
      <c r="C177" s="227">
        <f>INT(RIGHT(sample_wld_az1_vmotion_cidr,LEN(sample_wld_az1_vmotion_cidr)-FIND("/",sample_wld_az1_vmotion_cidr)))</f>
        <v>24</v>
      </c>
      <c r="D177" s="112" t="str">
        <f>IF(ISBLANK(input_mgmt_az1_mgmt_cidr),"Value Missing",INT(RIGHT(mgmt_az1_mgmt_cidr,LEN(mgmt_az1_mgmt_cidr)-FIND("/",mgmt_az1_mgmt_cidr))))</f>
        <v>Value Missing</v>
      </c>
      <c r="E177" s="228"/>
    </row>
    <row r="178" spans="2:5" s="19" customFormat="1" ht="20" customHeight="1" x14ac:dyDescent="0.2">
      <c r="B178" s="226" t="s">
        <v>187</v>
      </c>
      <c r="C178" s="227" t="str">
        <f>sample_wld_az1_vmotion_gateway_ip</f>
        <v>10.13.12.1</v>
      </c>
      <c r="D178" s="112" t="str">
        <f>wld_az1_vmotion_gateway_ip</f>
        <v>Value Missing</v>
      </c>
      <c r="E178" s="228"/>
    </row>
    <row r="179" spans="2:5" s="19" customFormat="1" ht="20" customHeight="1" x14ac:dyDescent="0.2">
      <c r="B179" s="226" t="s">
        <v>160</v>
      </c>
      <c r="C179" s="227">
        <f>sample_wld_az1_vmotion_mtu</f>
        <v>9000</v>
      </c>
      <c r="D179" s="112" t="str">
        <f>wld_az1_vmotion_mtu</f>
        <v>Value Missing</v>
      </c>
      <c r="E179" s="228"/>
    </row>
    <row r="180" spans="2:5" s="19" customFormat="1" ht="20" customHeight="1" x14ac:dyDescent="0.2"/>
    <row r="181" spans="2:5" s="19" customFormat="1" ht="34" customHeight="1" x14ac:dyDescent="0.2">
      <c r="B181" s="656" t="s">
        <v>3555</v>
      </c>
      <c r="C181" s="656"/>
      <c r="D181" s="656"/>
      <c r="E181" s="656"/>
    </row>
    <row r="182" spans="2:5" s="19" customFormat="1" ht="20" customHeight="1" x14ac:dyDescent="0.2">
      <c r="B182" s="224" t="s">
        <v>261</v>
      </c>
      <c r="C182" s="224" t="s">
        <v>262</v>
      </c>
      <c r="D182" s="225" t="s">
        <v>19</v>
      </c>
      <c r="E182" s="224" t="s">
        <v>20</v>
      </c>
    </row>
    <row r="183" spans="2:5" s="19" customFormat="1" ht="20" customHeight="1" x14ac:dyDescent="0.2">
      <c r="B183" s="226" t="s">
        <v>3518</v>
      </c>
      <c r="C183" s="227" t="str">
        <f>sample_wld_vc_fqdn</f>
        <v>sfo-w01-vc01.sfo.rainpole.io</v>
      </c>
      <c r="D183" s="112" t="str">
        <f>wld_vc_fqdn</f>
        <v>Value Missing</v>
      </c>
      <c r="E183" s="228"/>
    </row>
    <row r="184" spans="2:5" s="19" customFormat="1" ht="20" customHeight="1" x14ac:dyDescent="0.2">
      <c r="B184" s="226" t="s">
        <v>3556</v>
      </c>
      <c r="C184" s="227" t="str">
        <f>sample_ccm_hcx_compute_profile</f>
        <v>sfo-w01-compute-profile</v>
      </c>
      <c r="D184" s="112" t="str">
        <f>ccm_hcx_compute_profile</f>
        <v>Value Missing</v>
      </c>
      <c r="E184" s="228"/>
    </row>
    <row r="185" spans="2:5" s="19" customFormat="1" ht="20" customHeight="1" x14ac:dyDescent="0.2">
      <c r="B185" s="226" t="s">
        <v>3557</v>
      </c>
      <c r="C185" s="227" t="str">
        <f>sample_wld_datacenter</f>
        <v>sfo-w01-dc</v>
      </c>
      <c r="D185" s="112" t="str">
        <f>wld_datacenter</f>
        <v>Value Missing</v>
      </c>
      <c r="E185" s="228"/>
    </row>
    <row r="186" spans="2:5" s="19" customFormat="1" ht="20" customHeight="1" x14ac:dyDescent="0.2">
      <c r="B186" s="226" t="s">
        <v>3558</v>
      </c>
      <c r="C186" s="227" t="str">
        <f>sample_ccm_hcx_resource_pool</f>
        <v>sfo-w01-cl01-rp-hcx</v>
      </c>
      <c r="D186" s="112" t="str">
        <f>ccm_hcx_resource_pool</f>
        <v>Value Missing</v>
      </c>
      <c r="E186" s="228"/>
    </row>
    <row r="187" spans="2:5" s="19" customFormat="1" ht="20" customHeight="1" x14ac:dyDescent="0.2">
      <c r="B187" s="226" t="s">
        <v>605</v>
      </c>
      <c r="C187" s="227" t="str">
        <f>sample_wld_cl01_vsan_datastore</f>
        <v>sfo-w01-sfo-w01-cl01-vsan01</v>
      </c>
      <c r="D187" s="112" t="str">
        <f>wld_cl01_vsan_datastore</f>
        <v>Value Missing</v>
      </c>
      <c r="E187" s="228"/>
    </row>
    <row r="188" spans="2:5" s="19" customFormat="1" ht="20" customHeight="1" x14ac:dyDescent="0.2">
      <c r="B188" s="226" t="s">
        <v>601</v>
      </c>
      <c r="C188" s="227" t="str">
        <f>sample_ccm_hcx_vm_folder</f>
        <v>sfo-w01-fd-hcx</v>
      </c>
      <c r="D188" s="112" t="str">
        <f>ccm_hcx_vm_folder</f>
        <v>Value Missing</v>
      </c>
      <c r="E188" s="228"/>
    </row>
    <row r="189" spans="2:5" s="19" customFormat="1" ht="20" customHeight="1" x14ac:dyDescent="0.2">
      <c r="B189" s="226" t="s">
        <v>3559</v>
      </c>
      <c r="C189" s="227" t="str">
        <f>sample_wld_cl01_az1_mgmt_pg</f>
        <v>sfo-w01-cl01-vds01-pg-esxi-mgmt</v>
      </c>
      <c r="D189" s="112" t="str">
        <f>wld_cl01_az1_mgmt_pg</f>
        <v>Value Missing</v>
      </c>
      <c r="E189" s="228"/>
    </row>
    <row r="190" spans="2:5" s="19" customFormat="1" ht="20" customHeight="1" x14ac:dyDescent="0.2">
      <c r="B190" s="226" t="s">
        <v>3560</v>
      </c>
      <c r="C190" s="227" t="str">
        <f>sample_wld_cl01_az1_mgmt_pg</f>
        <v>sfo-w01-cl01-vds01-pg-esxi-mgmt</v>
      </c>
      <c r="D190" s="112" t="str">
        <f>wld_cl01_az1_mgmt_pg</f>
        <v>Value Missing</v>
      </c>
      <c r="E190" s="228"/>
    </row>
    <row r="191" spans="2:5" s="19" customFormat="1" ht="20" customHeight="1" x14ac:dyDescent="0.2">
      <c r="B191" s="226" t="s">
        <v>3561</v>
      </c>
      <c r="C191" s="227" t="str">
        <f>sample_wld_cl01_az1_vmotion_pg</f>
        <v>sfo-w01-cl01-vds01-pg-vmotion</v>
      </c>
      <c r="D191" s="112" t="str">
        <f>wld_cl01_az1_vmotion_pg</f>
        <v>Value Missing</v>
      </c>
      <c r="E191" s="228"/>
    </row>
    <row r="192" spans="2:5" s="19" customFormat="1" ht="20" customHeight="1" x14ac:dyDescent="0.2">
      <c r="B192" s="226" t="s">
        <v>3562</v>
      </c>
      <c r="C192" s="227" t="str">
        <f>sample_wld_cl01_az1_mgmt_pg</f>
        <v>sfo-w01-cl01-vds01-pg-esxi-mgmt</v>
      </c>
      <c r="D192" s="112" t="str">
        <f>wld_cl01_az1_mgmt_pg</f>
        <v>Value Missing</v>
      </c>
      <c r="E192" s="228"/>
    </row>
    <row r="193" spans="1:6" s="19" customFormat="1" ht="20" customHeight="1" x14ac:dyDescent="0.2">
      <c r="B193" s="226" t="s">
        <v>3563</v>
      </c>
      <c r="C193" s="227" t="str">
        <f>IF(mgmt_consolidated_result="Included",CONCATENATE("overlay-tz-",sample_mgmt_nsxt_vip_fqdn),CONCATENATE("overlay-tz-",sample_wld_nsxt_vip_fqdn))</f>
        <v>overlay-tz-sfo-w01-nsx01.sfo.rainpole.io</v>
      </c>
      <c r="D193" s="112" t="str">
        <f>IF(mgmt_consolidated_result="Included","overlay-tz-"&amp;mgmt_nsxt_vip_fqdn,"overlay-tz-"&amp;wld_nsxt_vip_fqdn)</f>
        <v>overlay-tz-Value Missing</v>
      </c>
      <c r="E193" s="228"/>
    </row>
    <row r="194" spans="1:6" s="19" customFormat="1" ht="20" customHeight="1" x14ac:dyDescent="0.2"/>
    <row r="195" spans="1:6" s="19" customFormat="1" ht="34" customHeight="1" x14ac:dyDescent="0.2">
      <c r="B195" s="656" t="s">
        <v>3564</v>
      </c>
      <c r="C195" s="656"/>
      <c r="D195" s="656"/>
      <c r="E195" s="656"/>
    </row>
    <row r="196" spans="1:6" s="19" customFormat="1" ht="20" customHeight="1" x14ac:dyDescent="0.2">
      <c r="B196" s="224" t="s">
        <v>261</v>
      </c>
      <c r="C196" s="224" t="s">
        <v>262</v>
      </c>
      <c r="D196" s="225" t="s">
        <v>19</v>
      </c>
      <c r="E196" s="224" t="s">
        <v>20</v>
      </c>
    </row>
    <row r="197" spans="1:6" s="19" customFormat="1" ht="20" customHeight="1" x14ac:dyDescent="0.2">
      <c r="B197" s="226" t="s">
        <v>3518</v>
      </c>
      <c r="C197" s="227" t="str">
        <f>sample_wld_vc_fqdn</f>
        <v>sfo-w01-vc01.sfo.rainpole.io</v>
      </c>
      <c r="D197" s="112" t="str">
        <f>wld_vc_fqdn</f>
        <v>Value Missing</v>
      </c>
      <c r="E197" s="228"/>
    </row>
    <row r="198" spans="1:6" s="19" customFormat="1" ht="20" customHeight="1" x14ac:dyDescent="0.2">
      <c r="B198" s="226" t="s">
        <v>3565</v>
      </c>
      <c r="C198" s="227" t="str">
        <f>sample_ccm_hcx_compute_profile</f>
        <v>sfo-w01-compute-profile</v>
      </c>
      <c r="D198" s="112" t="str">
        <f>ccm_hcx_compute_profile</f>
        <v>Value Missing</v>
      </c>
      <c r="E198" s="228"/>
    </row>
    <row r="199" spans="1:6" s="19" customFormat="1" ht="20" customHeight="1" x14ac:dyDescent="0.2">
      <c r="B199" s="226" t="s">
        <v>3566</v>
      </c>
      <c r="C199" s="227" t="s">
        <v>3567</v>
      </c>
      <c r="D199" s="112" t="str">
        <f>C199</f>
        <v>ComputeProfile(vcenter)</v>
      </c>
      <c r="E199" s="228"/>
    </row>
    <row r="200" spans="1:6" s="19" customFormat="1" ht="20" customHeight="1" x14ac:dyDescent="0.2">
      <c r="B200" s="226" t="s">
        <v>3568</v>
      </c>
      <c r="C200" s="227" t="str">
        <f>sample_ccm_hcx_service_mesh</f>
        <v>sfo-w01-service-mesh</v>
      </c>
      <c r="D200" s="112" t="str">
        <f>ccm_hcx_service_mesh</f>
        <v>Value Missing</v>
      </c>
      <c r="E200" s="228"/>
    </row>
    <row r="201" spans="1:6" s="19" customFormat="1" ht="20" customHeight="1" x14ac:dyDescent="0.2"/>
    <row r="202" spans="1:6" s="19" customFormat="1" ht="34" customHeight="1" x14ac:dyDescent="0.2">
      <c r="A202" s="216"/>
      <c r="B202" s="665" t="s">
        <v>2981</v>
      </c>
      <c r="C202" s="665"/>
      <c r="D202" s="665"/>
      <c r="E202" s="665"/>
      <c r="F202" s="216"/>
    </row>
    <row r="203" spans="1:6" s="19" customFormat="1" ht="20" customHeight="1" x14ac:dyDescent="0.2"/>
    <row r="204" spans="1:6" s="19" customFormat="1" ht="34" customHeight="1" x14ac:dyDescent="0.2">
      <c r="B204" s="659" t="s">
        <v>3488</v>
      </c>
      <c r="C204" s="660"/>
      <c r="D204" s="660"/>
      <c r="E204" s="660"/>
    </row>
    <row r="205" spans="1:6" s="19" customFormat="1" ht="20" customHeight="1" x14ac:dyDescent="0.2"/>
    <row r="206" spans="1:6" s="19" customFormat="1" ht="34" customHeight="1" x14ac:dyDescent="0.2">
      <c r="B206" s="656" t="s">
        <v>3569</v>
      </c>
      <c r="C206" s="656"/>
      <c r="D206" s="656"/>
      <c r="E206" s="656"/>
    </row>
    <row r="207" spans="1:6" s="19" customFormat="1" ht="20" customHeight="1" x14ac:dyDescent="0.2">
      <c r="B207" s="224" t="s">
        <v>261</v>
      </c>
      <c r="C207" s="224" t="s">
        <v>262</v>
      </c>
      <c r="D207" s="225" t="s">
        <v>19</v>
      </c>
      <c r="E207" s="224" t="s">
        <v>20</v>
      </c>
    </row>
    <row r="208" spans="1:6" s="19" customFormat="1" ht="20" customHeight="1" x14ac:dyDescent="0.2">
      <c r="B208" s="226" t="s">
        <v>3149</v>
      </c>
      <c r="C208" s="227" t="str">
        <f>sample_xreg_vrops_virtual_fqdn</f>
        <v>flt-ops01.rainpole.io</v>
      </c>
      <c r="D208" s="112" t="str">
        <f>xreg_vrops_virtual_fqdn</f>
        <v>Value Missing</v>
      </c>
      <c r="E208" s="228"/>
    </row>
    <row r="209" spans="2:5" s="19" customFormat="1" ht="20" customHeight="1" x14ac:dyDescent="0.2">
      <c r="B209" s="226" t="s">
        <v>261</v>
      </c>
      <c r="C209" s="227" t="str">
        <f>"cross-cloud-proxies"</f>
        <v>cross-cloud-proxies</v>
      </c>
      <c r="D209" s="112" t="str">
        <f>C209</f>
        <v>cross-cloud-proxies</v>
      </c>
      <c r="E209" s="228"/>
    </row>
    <row r="210" spans="2:5" s="19" customFormat="1" ht="20" customHeight="1" x14ac:dyDescent="0.2">
      <c r="B210" s="226" t="s">
        <v>3490</v>
      </c>
      <c r="C210" s="227" t="str">
        <f>C209</f>
        <v>cross-cloud-proxies</v>
      </c>
      <c r="D210" s="112" t="str">
        <f>C210</f>
        <v>cross-cloud-proxies</v>
      </c>
      <c r="E210" s="228"/>
    </row>
    <row r="211" spans="2:5" s="19" customFormat="1" ht="20" customHeight="1" x14ac:dyDescent="0.2">
      <c r="B211" s="226" t="s">
        <v>3491</v>
      </c>
      <c r="C211" s="227" t="str">
        <f>sample_ccm_hcx_cdp_ip</f>
        <v>10.11.10.46</v>
      </c>
      <c r="D211" s="112" t="str">
        <f>ccm_hcx_cdp_ip</f>
        <v>Value Missing</v>
      </c>
      <c r="E211" s="228"/>
    </row>
    <row r="212" spans="2:5" s="19" customFormat="1" ht="20" customHeight="1" x14ac:dyDescent="0.2">
      <c r="B212" s="226" t="s">
        <v>3492</v>
      </c>
      <c r="C212" s="227" t="str">
        <f>CONCATENATE(sample_mgmt_sddc_domain,"-collector-group")</f>
        <v>sfo-m01-collector-group</v>
      </c>
      <c r="D212" s="112" t="str">
        <f>CONCATENATE(mgmt_sddc_domain,"-collector-group")</f>
        <v>Value Missing-collector-group</v>
      </c>
      <c r="E212" s="228"/>
    </row>
    <row r="213" spans="2:5" s="19" customFormat="1" ht="20" customHeight="1" x14ac:dyDescent="0.2"/>
    <row r="214" spans="2:5" s="19" customFormat="1" ht="34" customHeight="1" x14ac:dyDescent="0.2">
      <c r="B214" s="659" t="s">
        <v>3570</v>
      </c>
      <c r="C214" s="660"/>
      <c r="D214" s="660"/>
      <c r="E214" s="660"/>
    </row>
    <row r="215" spans="2:5" s="19" customFormat="1" ht="20" customHeight="1" x14ac:dyDescent="0.2"/>
    <row r="216" spans="2:5" s="19" customFormat="1" ht="34" customHeight="1" x14ac:dyDescent="0.2">
      <c r="B216" s="656" t="s">
        <v>3571</v>
      </c>
      <c r="C216" s="656"/>
      <c r="D216" s="656"/>
      <c r="E216" s="656"/>
    </row>
    <row r="217" spans="2:5" s="19" customFormat="1" ht="20" customHeight="1" x14ac:dyDescent="0.2">
      <c r="B217" s="224" t="s">
        <v>261</v>
      </c>
      <c r="C217" s="224" t="s">
        <v>262</v>
      </c>
      <c r="D217" s="225" t="s">
        <v>19</v>
      </c>
      <c r="E217" s="224" t="s">
        <v>20</v>
      </c>
    </row>
    <row r="218" spans="2:5" s="19" customFormat="1" ht="20" customHeight="1" x14ac:dyDescent="0.2">
      <c r="B218" s="226" t="s">
        <v>3572</v>
      </c>
      <c r="C218" s="227" t="str">
        <f>sample_sftp_server</f>
        <v>20.10.5.10</v>
      </c>
      <c r="D218" s="112" t="str">
        <f>sftp_server_ip</f>
        <v>Value Missing</v>
      </c>
      <c r="E218" s="228"/>
    </row>
    <row r="219" spans="2:5" s="19" customFormat="1" ht="20" customHeight="1" x14ac:dyDescent="0.2">
      <c r="B219" s="226" t="s">
        <v>3573</v>
      </c>
      <c r="C219" s="227">
        <f>sample_sftp_server_port</f>
        <v>22</v>
      </c>
      <c r="D219" s="112" t="str">
        <f>sftp_server_port</f>
        <v>Value Missing</v>
      </c>
      <c r="E219" s="228"/>
    </row>
    <row r="220" spans="2:5" s="19" customFormat="1" ht="20" customHeight="1" x14ac:dyDescent="0.2">
      <c r="B220" s="226" t="s">
        <v>24</v>
      </c>
      <c r="C220" s="227" t="str">
        <f>sample_sftp_server_protocol</f>
        <v>SFTP</v>
      </c>
      <c r="D220" s="112" t="str">
        <f>sftp_server_protocol</f>
        <v>Value Missing</v>
      </c>
      <c r="E220" s="228"/>
    </row>
    <row r="221" spans="2:5" s="19" customFormat="1" ht="20" customHeight="1" x14ac:dyDescent="0.2">
      <c r="B221" s="226" t="s">
        <v>27</v>
      </c>
      <c r="C221" s="227" t="str">
        <f>sample_svc_vcf_bck_user</f>
        <v>svc-vcf-bck</v>
      </c>
      <c r="D221" s="112" t="str">
        <f>user_svc_vcf_bck</f>
        <v>Value Missing</v>
      </c>
      <c r="E221" s="228"/>
    </row>
    <row r="222" spans="2:5" s="19" customFormat="1" ht="20" customHeight="1" x14ac:dyDescent="0.2">
      <c r="B222" s="226" t="s">
        <v>29</v>
      </c>
      <c r="C222" s="227" t="str">
        <f>sample_svc_vcf_bck_password</f>
        <v>VMw@re1!</v>
      </c>
      <c r="D222" s="112" t="str">
        <f>svc_vcf_bck_password</f>
        <v>Value Missing</v>
      </c>
      <c r="E222" s="228"/>
    </row>
    <row r="223" spans="2:5" s="19" customFormat="1" ht="20" customHeight="1" x14ac:dyDescent="0.2">
      <c r="B223" s="226" t="s">
        <v>3574</v>
      </c>
      <c r="C223" s="227" t="str">
        <f>sample_sftp_server_backup_dir</f>
        <v>/backups/</v>
      </c>
      <c r="D223" s="112" t="str">
        <f>sftp_server_backup_dir</f>
        <v>Value Missing</v>
      </c>
      <c r="E223" s="228"/>
    </row>
    <row r="224" spans="2:5" s="19" customFormat="1" ht="20" customHeight="1" x14ac:dyDescent="0.2"/>
    <row r="225" spans="2:5" s="19" customFormat="1" ht="34" customHeight="1" x14ac:dyDescent="0.2">
      <c r="B225" s="656" t="s">
        <v>3575</v>
      </c>
      <c r="C225" s="656"/>
      <c r="D225" s="656"/>
      <c r="E225" s="656"/>
    </row>
    <row r="226" spans="2:5" s="19" customFormat="1" ht="20" customHeight="1" x14ac:dyDescent="0.2">
      <c r="B226" s="224" t="s">
        <v>261</v>
      </c>
      <c r="C226" s="224" t="s">
        <v>262</v>
      </c>
      <c r="D226" s="225" t="s">
        <v>19</v>
      </c>
      <c r="E226" s="224" t="s">
        <v>20</v>
      </c>
    </row>
    <row r="227" spans="2:5" s="19" customFormat="1" ht="20" customHeight="1" x14ac:dyDescent="0.2">
      <c r="B227" s="226" t="s">
        <v>3576</v>
      </c>
      <c r="C227" s="227" t="s">
        <v>3577</v>
      </c>
      <c r="D227" s="112" t="str">
        <f>C227</f>
        <v>DAILY</v>
      </c>
      <c r="E227" s="228"/>
    </row>
    <row r="228" spans="2:5" s="19" customFormat="1" ht="20" customHeight="1" x14ac:dyDescent="0.2">
      <c r="B228" s="226" t="s">
        <v>3578</v>
      </c>
      <c r="C228" s="227">
        <v>3</v>
      </c>
      <c r="D228" s="112">
        <f>C228</f>
        <v>3</v>
      </c>
      <c r="E228" s="228"/>
    </row>
    <row r="229" spans="2:5" s="19" customFormat="1" ht="20" customHeight="1" x14ac:dyDescent="0.2">
      <c r="B229" s="226" t="s">
        <v>3579</v>
      </c>
      <c r="C229" s="227">
        <v>30</v>
      </c>
      <c r="D229" s="112">
        <f>C229</f>
        <v>30</v>
      </c>
      <c r="E229" s="228"/>
    </row>
    <row r="230" spans="2:5" s="19" customFormat="1" x14ac:dyDescent="0.2"/>
    <row r="231" spans="2:5" s="19" customFormat="1" x14ac:dyDescent="0.2"/>
    <row r="232" spans="2:5" s="19" customFormat="1" x14ac:dyDescent="0.2"/>
    <row r="233" spans="2:5" s="19" customFormat="1" x14ac:dyDescent="0.2"/>
    <row r="234" spans="2:5" s="19" customFormat="1" x14ac:dyDescent="0.2"/>
    <row r="235" spans="2:5" s="19" customFormat="1" x14ac:dyDescent="0.2"/>
    <row r="236" spans="2:5" s="19" customFormat="1" x14ac:dyDescent="0.2"/>
    <row r="237" spans="2:5" s="19" customFormat="1" x14ac:dyDescent="0.2"/>
    <row r="238" spans="2:5" s="19" customFormat="1" x14ac:dyDescent="0.2"/>
    <row r="239" spans="2:5" s="19" customFormat="1" x14ac:dyDescent="0.2"/>
    <row r="240" spans="2:5"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row r="938" s="19" customFormat="1" x14ac:dyDescent="0.2"/>
    <row r="939" s="19" customFormat="1" x14ac:dyDescent="0.2"/>
    <row r="940" s="19" customFormat="1" x14ac:dyDescent="0.2"/>
    <row r="941" s="19" customFormat="1" x14ac:dyDescent="0.2"/>
    <row r="942" s="19" customFormat="1" x14ac:dyDescent="0.2"/>
    <row r="943" s="19" customFormat="1" x14ac:dyDescent="0.2"/>
    <row r="944" s="19" customFormat="1" x14ac:dyDescent="0.2"/>
    <row r="945" s="19" customFormat="1" x14ac:dyDescent="0.2"/>
    <row r="946" s="19" customFormat="1" x14ac:dyDescent="0.2"/>
    <row r="947" s="19" customFormat="1" x14ac:dyDescent="0.2"/>
    <row r="948" s="19" customFormat="1" x14ac:dyDescent="0.2"/>
    <row r="949" s="19" customFormat="1" x14ac:dyDescent="0.2"/>
    <row r="950" s="19" customFormat="1" x14ac:dyDescent="0.2"/>
    <row r="951" s="19" customFormat="1" x14ac:dyDescent="0.2"/>
    <row r="952" s="19" customFormat="1" x14ac:dyDescent="0.2"/>
    <row r="953" s="19" customFormat="1" x14ac:dyDescent="0.2"/>
    <row r="954" s="19" customFormat="1" x14ac:dyDescent="0.2"/>
    <row r="955" s="19" customFormat="1" x14ac:dyDescent="0.2"/>
    <row r="956" s="19" customFormat="1" x14ac:dyDescent="0.2"/>
    <row r="957" s="19" customFormat="1" x14ac:dyDescent="0.2"/>
    <row r="958" s="19" customFormat="1" x14ac:dyDescent="0.2"/>
    <row r="959" s="19" customFormat="1" x14ac:dyDescent="0.2"/>
    <row r="960" s="19" customFormat="1" x14ac:dyDescent="0.2"/>
    <row r="961" s="19" customFormat="1" x14ac:dyDescent="0.2"/>
    <row r="962" s="19" customFormat="1" x14ac:dyDescent="0.2"/>
    <row r="963" s="19" customFormat="1" x14ac:dyDescent="0.2"/>
    <row r="964" s="19" customFormat="1" x14ac:dyDescent="0.2"/>
    <row r="965" s="19" customFormat="1" x14ac:dyDescent="0.2"/>
    <row r="966" s="19" customFormat="1" x14ac:dyDescent="0.2"/>
    <row r="967" s="19" customFormat="1" x14ac:dyDescent="0.2"/>
    <row r="968" s="19" customFormat="1" x14ac:dyDescent="0.2"/>
    <row r="969" s="19" customFormat="1" x14ac:dyDescent="0.2"/>
    <row r="970" s="19" customFormat="1" x14ac:dyDescent="0.2"/>
    <row r="971" s="19" customFormat="1" x14ac:dyDescent="0.2"/>
    <row r="972" s="19" customFormat="1" x14ac:dyDescent="0.2"/>
    <row r="973" s="19" customFormat="1" x14ac:dyDescent="0.2"/>
    <row r="974" s="19" customFormat="1" x14ac:dyDescent="0.2"/>
    <row r="975" s="19" customFormat="1" x14ac:dyDescent="0.2"/>
    <row r="976" s="19" customFormat="1" x14ac:dyDescent="0.2"/>
    <row r="977" s="19" customFormat="1" x14ac:dyDescent="0.2"/>
    <row r="978" s="19" customFormat="1" x14ac:dyDescent="0.2"/>
    <row r="979" s="19" customFormat="1" x14ac:dyDescent="0.2"/>
    <row r="980" s="19" customFormat="1" x14ac:dyDescent="0.2"/>
    <row r="981" s="19" customFormat="1" x14ac:dyDescent="0.2"/>
    <row r="982" s="19" customFormat="1" x14ac:dyDescent="0.2"/>
    <row r="983" s="19" customFormat="1" x14ac:dyDescent="0.2"/>
  </sheetData>
  <sheetProtection algorithmName="SHA-512" hashValue="NMt94iLVwxbiZBI+ettZKFeIR73zSbwY8esWZTv0wm4RD6SE4Ka6HVQAbLdPEup8QAH01D0pRYc6TO+VgjlQFQ==" saltValue="OeAV147YNXjnQzFCksLvAw==" spinCount="100000" sheet="1" objects="1" scenarios="1"/>
  <mergeCells count="45">
    <mergeCell ref="H8:J8"/>
    <mergeCell ref="B3:E3"/>
    <mergeCell ref="B41:E41"/>
    <mergeCell ref="B43:E43"/>
    <mergeCell ref="B2:E2"/>
    <mergeCell ref="B14:E14"/>
    <mergeCell ref="B7:J7"/>
    <mergeCell ref="H10:J10"/>
    <mergeCell ref="F11:G11"/>
    <mergeCell ref="H12:J12"/>
    <mergeCell ref="H11:J11"/>
    <mergeCell ref="H9:J9"/>
    <mergeCell ref="D12:E12"/>
    <mergeCell ref="F12:G12"/>
    <mergeCell ref="B10:C10"/>
    <mergeCell ref="B12:C12"/>
    <mergeCell ref="B11:C11"/>
    <mergeCell ref="D11:E11"/>
    <mergeCell ref="D10:E10"/>
    <mergeCell ref="F10:G10"/>
    <mergeCell ref="B136:E136"/>
    <mergeCell ref="B195:E195"/>
    <mergeCell ref="B159:E159"/>
    <mergeCell ref="B204:E204"/>
    <mergeCell ref="B206:E206"/>
    <mergeCell ref="B202:E202"/>
    <mergeCell ref="B162:E162"/>
    <mergeCell ref="B172:E172"/>
    <mergeCell ref="B181:E181"/>
    <mergeCell ref="B216:E216"/>
    <mergeCell ref="B225:E225"/>
    <mergeCell ref="B48:E48"/>
    <mergeCell ref="B55:E55"/>
    <mergeCell ref="B61:E61"/>
    <mergeCell ref="B68:E68"/>
    <mergeCell ref="B131:E131"/>
    <mergeCell ref="B73:E73"/>
    <mergeCell ref="B84:E84"/>
    <mergeCell ref="B94:E94"/>
    <mergeCell ref="B99:E99"/>
    <mergeCell ref="B103:E103"/>
    <mergeCell ref="B119:E119"/>
    <mergeCell ref="B142:E142"/>
    <mergeCell ref="B152:E152"/>
    <mergeCell ref="B214:E214"/>
  </mergeCells>
  <conditionalFormatting sqref="B14:E39">
    <cfRule type="expression" dxfId="76" priority="6">
      <formula>ccm_result="Excluded"</formula>
    </cfRule>
  </conditionalFormatting>
  <conditionalFormatting sqref="C7:J10 D11:D12 F11:J12">
    <cfRule type="expression" dxfId="75" priority="1">
      <formula>ccm_result="Excluded"</formula>
    </cfRule>
  </conditionalFormatting>
  <conditionalFormatting sqref="D5 D202">
    <cfRule type="expression" dxfId="74" priority="22">
      <formula>OR((ccm_result="Excluded"),AND((intelligent_operations_result="Excluded")))</formula>
    </cfRule>
  </conditionalFormatting>
  <conditionalFormatting sqref="D16:D39">
    <cfRule type="notContainsBlanks" dxfId="73" priority="7">
      <formula>LEN(TRIM(D16))&gt;0</formula>
    </cfRule>
    <cfRule type="containsBlanks" dxfId="72" priority="8">
      <formula>LEN(TRIM(D16))=0</formula>
    </cfRule>
  </conditionalFormatting>
  <conditionalFormatting sqref="D41">
    <cfRule type="expression" dxfId="71" priority="10">
      <formula>ccm_result="Excluded"</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expression" dxfId="70" priority="9" stopIfTrue="1">
      <formula>ccm_result="Excluded"</formula>
    </cfRule>
    <cfRule type="containsBlanks" dxfId="68" priority="119">
      <formula>LEN(TRIM(D43))=0</formula>
    </cfRule>
    <cfRule type="notContainsBlanks" dxfId="67" priority="120">
      <formula>LEN(TRIM(D43))&gt;0</formula>
    </cfRule>
  </conditionalFormatting>
  <conditionalFormatting sqref="D204 D206 D208:D212">
    <cfRule type="expression" dxfId="66" priority="14" stopIfTrue="1">
      <formula>OR((ccm_result="Excluded"),AND((intelligent_operations_result="Excluded")))</formula>
    </cfRule>
  </conditionalFormatting>
  <conditionalFormatting sqref="D214">
    <cfRule type="expression" dxfId="65" priority="13" stopIfTrue="1">
      <formula>ccm_result="Excluded"</formula>
    </cfRule>
  </conditionalFormatting>
  <conditionalFormatting sqref="E9 G9">
    <cfRule type="notContainsBlanks" dxfId="64" priority="4">
      <formula>LEN(TRIM(E9))&gt;0</formula>
    </cfRule>
    <cfRule type="containsBlanks" dxfId="63" priority="5">
      <formula>LEN(TRIM(E9))=0</formula>
    </cfRule>
  </conditionalFormatting>
  <conditionalFormatting sqref="F11:G12">
    <cfRule type="notContainsBlanks" dxfId="62" priority="2">
      <formula>LEN(TRIM(F11))&gt;0</formula>
    </cfRule>
    <cfRule type="containsBlanks" dxfId="61" priority="3">
      <formula>LEN(TRIM(F11))=0</formula>
    </cfRule>
  </conditionalFormatting>
  <dataValidations count="2">
    <dataValidation type="list" allowBlank="1" showInputMessage="1" showErrorMessage="1" sqref="C21:D21" xr:uid="{D0291D4F-CAC3-8249-BB23-83660C8D63EF}">
      <formula1>aws_regions</formula1>
    </dataValidation>
    <dataValidation type="list" allowBlank="1" showInputMessage="1" showErrorMessage="1" sqref="C15:D15" xr:uid="{4BEA9190-F800-344C-9020-B8C55E48864B}">
      <formula1>"Standard,Consolidated"</formula1>
    </dataValidation>
  </dataValidations>
  <hyperlinks>
    <hyperlink ref="B5" location="'Deployment Options'!H50" display="Section Navigation (Click to Navigate)" xr:uid="{00000000-0004-0000-1800-000000000000}"/>
    <hyperlink ref="C5" location="'Cross Cloud Mobility'!B8" display="Deployment" xr:uid="{00000000-0004-0000-1800-000001000000}"/>
    <hyperlink ref="D5" location="'Cross Cloud Mobility'!B169" display="Solution Interoperability" xr:uid="{00000000-0004-0000-1800-000002000000}"/>
    <hyperlink ref="C52" r:id="rId1" display="mailto:svc-cbo-vsphere@sfo.rainpole.io" xr:uid="{00000000-0004-0000-1800-000003000000}"/>
  </hyperlinks>
  <pageMargins left="0.7" right="0.7" top="0.75" bottom="0.75" header="0.3" footer="0.3"/>
  <ignoredErrors>
    <ignoredError sqref="C191:D191"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46" operator="containsText" id="{473708CE-319C-4445-90AC-CEDFF3CEA615}">
            <xm:f>NOT(ISERROR(SEARCH("Value Missing",D43)))</xm:f>
            <xm:f>"Value Missing"</xm:f>
            <x14:dxf>
              <font>
                <color theme="1"/>
              </font>
              <fill>
                <patternFill>
                  <bgColor rgb="FFFFBE29"/>
                </patternFill>
              </fill>
            </x14:dxf>
          </x14:cfRule>
          <xm:sqref>D43 D45:D46 D48 D50:D53 D55 D57:D59 D61 D63:D66 D68 D70:D71 D73 D75:D82 D84 D86:D92 D94 D96:D97 D99 D101:D129 D131 D133:D134 D136 D138:D140 D142 D144:D150 D152 D154:D157 D159 D161:D179 D181 D183:D193 D195 D197:D200 D216 D218:D223 D225 D227:D229</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54A8-D8D4-7945-8EB2-EE7D4CA78AF4}">
  <sheetPr codeName="Sheet17">
    <tabColor theme="5" tint="0.39997558519241921"/>
  </sheetPr>
  <dimension ref="A1:K112"/>
  <sheetViews>
    <sheetView showGridLines="0" zoomScaleNormal="100" workbookViewId="0">
      <pane ySplit="4" topLeftCell="A5" activePane="bottomLeft" state="frozen"/>
      <selection pane="bottomLeft" activeCell="E41" sqref="E41"/>
    </sheetView>
  </sheetViews>
  <sheetFormatPr baseColWidth="10" defaultColWidth="10.83203125" defaultRowHeight="16" x14ac:dyDescent="0.2"/>
  <cols>
    <col min="1" max="1" width="2.83203125" style="2" customWidth="1"/>
    <col min="2" max="2" width="65.83203125" style="2" customWidth="1"/>
    <col min="3" max="3" width="23.83203125" style="2" bestFit="1" customWidth="1"/>
    <col min="4" max="4" width="50.1640625" style="2" customWidth="1"/>
    <col min="5" max="5" width="44.33203125" style="2" bestFit="1" customWidth="1"/>
    <col min="6" max="6" width="49.5" style="2" customWidth="1"/>
    <col min="7" max="7" width="52.6640625" style="2" bestFit="1" customWidth="1"/>
    <col min="8" max="8" width="61.1640625" style="2" bestFit="1" customWidth="1"/>
    <col min="9" max="9" width="66.5" style="2" bestFit="1" customWidth="1"/>
    <col min="10" max="10" width="10.83203125" style="3" customWidth="1"/>
    <col min="11" max="19" width="10.83203125" style="2" customWidth="1"/>
    <col min="20" max="16384" width="10.83203125" style="2"/>
  </cols>
  <sheetData>
    <row r="1" spans="1:11" x14ac:dyDescent="0.2">
      <c r="A1" s="1"/>
      <c r="J1" s="2"/>
    </row>
    <row r="2" spans="1:11" ht="54" customHeight="1" x14ac:dyDescent="0.2">
      <c r="B2" s="419" t="s">
        <v>3580</v>
      </c>
      <c r="C2" s="419"/>
      <c r="D2" s="419"/>
      <c r="E2" s="419"/>
      <c r="F2" s="419"/>
      <c r="G2" s="419"/>
      <c r="H2" s="200"/>
      <c r="I2" s="200"/>
      <c r="J2" s="200"/>
      <c r="K2" s="200"/>
    </row>
    <row r="3" spans="1:11" ht="20" customHeight="1" x14ac:dyDescent="0.2">
      <c r="B3" s="339" t="s">
        <v>3581</v>
      </c>
      <c r="C3" s="339"/>
      <c r="D3" s="339"/>
      <c r="E3" s="339"/>
      <c r="F3" s="339"/>
      <c r="G3" s="339"/>
      <c r="H3" s="15"/>
      <c r="I3" s="15"/>
      <c r="J3" s="15"/>
      <c r="K3" s="15"/>
    </row>
    <row r="5" spans="1:11" ht="16" customHeight="1" x14ac:dyDescent="0.2"/>
    <row r="6" spans="1:11" s="104" customFormat="1" ht="34" customHeight="1" x14ac:dyDescent="0.2">
      <c r="B6" s="414" t="s">
        <v>3582</v>
      </c>
      <c r="C6" s="414"/>
      <c r="D6" s="414"/>
      <c r="E6" s="414"/>
      <c r="F6" s="414"/>
      <c r="G6" s="414"/>
      <c r="H6" s="2"/>
      <c r="J6" s="242"/>
    </row>
    <row r="7" spans="1:11" ht="20" customHeight="1" x14ac:dyDescent="0.2">
      <c r="B7" s="346" t="s">
        <v>3583</v>
      </c>
      <c r="C7" s="346" t="s">
        <v>2726</v>
      </c>
      <c r="D7" s="346" t="s">
        <v>3584</v>
      </c>
      <c r="E7" s="97" t="s">
        <v>3585</v>
      </c>
      <c r="F7" s="346" t="s">
        <v>3586</v>
      </c>
      <c r="G7" s="243"/>
    </row>
    <row r="8" spans="1:11" ht="20" customHeight="1" x14ac:dyDescent="0.2">
      <c r="B8" s="4" t="s">
        <v>3587</v>
      </c>
      <c r="C8" s="80" t="s">
        <v>1899</v>
      </c>
      <c r="E8" s="347"/>
      <c r="F8" s="80" t="s">
        <v>3588</v>
      </c>
      <c r="G8" s="347"/>
    </row>
    <row r="9" spans="1:11" s="205" customFormat="1" ht="20" customHeight="1" x14ac:dyDescent="0.2">
      <c r="B9" s="4" t="s">
        <v>3589</v>
      </c>
      <c r="C9" s="80" t="s">
        <v>1905</v>
      </c>
      <c r="E9" s="245"/>
      <c r="F9" s="244" t="str">
        <f>(UPPER(this_instance))</f>
        <v>SFO</v>
      </c>
      <c r="G9" s="245"/>
      <c r="J9" s="191"/>
    </row>
    <row r="10" spans="1:11" ht="20" customHeight="1" x14ac:dyDescent="0.2">
      <c r="B10" s="4" t="s">
        <v>3590</v>
      </c>
      <c r="C10" s="80" t="s">
        <v>1899</v>
      </c>
      <c r="D10" s="80" t="s">
        <v>3591</v>
      </c>
      <c r="E10" s="129"/>
      <c r="F10" s="80" t="s">
        <v>3592</v>
      </c>
      <c r="G10" s="129"/>
    </row>
    <row r="11" spans="1:11" ht="20" customHeight="1" x14ac:dyDescent="0.2">
      <c r="B11" s="4" t="s">
        <v>3593</v>
      </c>
      <c r="C11" s="80" t="s">
        <v>1905</v>
      </c>
      <c r="D11" s="80" t="str">
        <f>CONCATENATE("ou=Security Groups,dc=",this_instance,",dc=rainpole,dc=io")</f>
        <v>ou=Security Groups,dc=sfo,dc=rainpole,dc=io</v>
      </c>
      <c r="E11" s="347"/>
      <c r="F11" s="80" t="str">
        <f>CONCATENATE("ou=Security Users,dc=",this_instance,",dc=rainpole,dc=io")</f>
        <v>ou=Security Users,dc=sfo,dc=rainpole,dc=io</v>
      </c>
      <c r="G11" s="347"/>
    </row>
    <row r="12" spans="1:11" ht="16" customHeight="1" x14ac:dyDescent="0.2"/>
    <row r="13" spans="1:11" ht="34" customHeight="1" x14ac:dyDescent="0.2">
      <c r="B13" s="425" t="s">
        <v>3594</v>
      </c>
      <c r="C13" s="426"/>
      <c r="D13" s="426"/>
      <c r="E13" s="426"/>
      <c r="F13" s="426"/>
      <c r="G13" s="427"/>
    </row>
    <row r="14" spans="1:11" ht="20" customHeight="1" x14ac:dyDescent="0.2">
      <c r="B14" s="468" t="s">
        <v>2724</v>
      </c>
      <c r="C14" s="469"/>
      <c r="D14" s="469"/>
      <c r="E14" s="469"/>
      <c r="F14" s="469"/>
      <c r="G14" s="470"/>
      <c r="J14" s="2"/>
    </row>
    <row r="15" spans="1:11" ht="20" customHeight="1" x14ac:dyDescent="0.2">
      <c r="B15" s="346" t="s">
        <v>3583</v>
      </c>
      <c r="C15" s="346" t="s">
        <v>2726</v>
      </c>
      <c r="D15" s="346" t="s">
        <v>3595</v>
      </c>
      <c r="E15" s="97" t="s">
        <v>3596</v>
      </c>
      <c r="F15" s="346" t="s">
        <v>3597</v>
      </c>
      <c r="G15" s="97" t="s">
        <v>3598</v>
      </c>
    </row>
    <row r="16" spans="1:11" ht="20" customHeight="1" x14ac:dyDescent="0.2">
      <c r="B16" s="468" t="s">
        <v>3599</v>
      </c>
      <c r="C16" s="469"/>
      <c r="D16" s="469"/>
      <c r="E16" s="469"/>
      <c r="F16" s="469"/>
      <c r="G16" s="470"/>
      <c r="J16" s="2"/>
    </row>
    <row r="17" spans="2:10" ht="20" customHeight="1" x14ac:dyDescent="0.2">
      <c r="B17" s="346" t="s">
        <v>3583</v>
      </c>
      <c r="C17" s="346" t="s">
        <v>2726</v>
      </c>
      <c r="D17" s="346" t="s">
        <v>3595</v>
      </c>
      <c r="E17" s="97" t="s">
        <v>3596</v>
      </c>
      <c r="F17" s="346" t="s">
        <v>3597</v>
      </c>
      <c r="G17" s="97" t="s">
        <v>3598</v>
      </c>
    </row>
    <row r="18" spans="2:10" ht="20" customHeight="1" x14ac:dyDescent="0.2">
      <c r="B18" s="4" t="s">
        <v>3600</v>
      </c>
      <c r="C18" s="80" t="s">
        <v>1905</v>
      </c>
      <c r="D18" s="80" t="s">
        <v>2095</v>
      </c>
      <c r="E18" s="129"/>
      <c r="F18" s="135" t="s">
        <v>30</v>
      </c>
      <c r="G18" s="347"/>
      <c r="J18" s="2"/>
    </row>
    <row r="19" spans="2:10" ht="20" customHeight="1" x14ac:dyDescent="0.2">
      <c r="B19" s="4" t="s">
        <v>3601</v>
      </c>
      <c r="C19" s="80" t="s">
        <v>1905</v>
      </c>
      <c r="D19" s="80" t="s">
        <v>3602</v>
      </c>
      <c r="E19" s="129"/>
      <c r="F19" s="135" t="s">
        <v>30</v>
      </c>
      <c r="G19" s="347"/>
      <c r="J19" s="2"/>
    </row>
    <row r="20" spans="2:10" ht="16" customHeight="1" x14ac:dyDescent="0.2"/>
    <row r="21" spans="2:10" ht="34" customHeight="1" x14ac:dyDescent="0.2">
      <c r="B21" s="425" t="s">
        <v>3603</v>
      </c>
      <c r="C21" s="426"/>
      <c r="D21" s="426"/>
      <c r="E21" s="426"/>
      <c r="F21" s="426"/>
      <c r="G21" s="427"/>
    </row>
    <row r="22" spans="2:10" ht="20" customHeight="1" x14ac:dyDescent="0.2">
      <c r="B22" s="468" t="s">
        <v>3604</v>
      </c>
      <c r="C22" s="469"/>
      <c r="D22" s="469"/>
      <c r="E22" s="469"/>
      <c r="F22" s="469"/>
      <c r="G22" s="470"/>
      <c r="J22" s="2"/>
    </row>
    <row r="23" spans="2:10" ht="20" customHeight="1" x14ac:dyDescent="0.2">
      <c r="B23" s="346" t="s">
        <v>3583</v>
      </c>
      <c r="C23" s="346" t="s">
        <v>2726</v>
      </c>
      <c r="D23" s="346" t="s">
        <v>3595</v>
      </c>
      <c r="E23" s="97" t="s">
        <v>3596</v>
      </c>
      <c r="F23" s="346" t="s">
        <v>3597</v>
      </c>
      <c r="G23" s="97" t="s">
        <v>3598</v>
      </c>
    </row>
    <row r="24" spans="2:10" ht="20" customHeight="1" x14ac:dyDescent="0.2">
      <c r="B24" s="4" t="s">
        <v>3605</v>
      </c>
      <c r="C24" s="80" t="s">
        <v>1905</v>
      </c>
      <c r="D24" s="80" t="s">
        <v>3606</v>
      </c>
      <c r="E24" s="347"/>
      <c r="F24" s="135" t="s">
        <v>30</v>
      </c>
      <c r="G24" s="347"/>
    </row>
    <row r="25" spans="2:10" ht="20" customHeight="1" x14ac:dyDescent="0.2">
      <c r="B25" s="468" t="s">
        <v>3607</v>
      </c>
      <c r="C25" s="469"/>
      <c r="D25" s="469"/>
      <c r="E25" s="469"/>
      <c r="F25" s="469"/>
      <c r="G25" s="470"/>
    </row>
    <row r="26" spans="2:10" ht="20" customHeight="1" x14ac:dyDescent="0.2">
      <c r="B26" s="346" t="s">
        <v>3583</v>
      </c>
      <c r="C26" s="346" t="s">
        <v>2726</v>
      </c>
      <c r="D26" s="346" t="s">
        <v>3595</v>
      </c>
      <c r="E26" s="97" t="s">
        <v>3596</v>
      </c>
      <c r="F26" s="346" t="s">
        <v>3597</v>
      </c>
      <c r="G26" s="97" t="s">
        <v>3598</v>
      </c>
    </row>
    <row r="27" spans="2:10" ht="20" customHeight="1" x14ac:dyDescent="0.2">
      <c r="B27" s="4" t="s">
        <v>3608</v>
      </c>
      <c r="C27" s="80" t="s">
        <v>1905</v>
      </c>
      <c r="D27" s="80" t="s">
        <v>3609</v>
      </c>
      <c r="E27" s="347"/>
      <c r="F27" s="135" t="s">
        <v>30</v>
      </c>
      <c r="G27" s="347"/>
      <c r="H27" s="2" t="s">
        <v>3610</v>
      </c>
      <c r="J27" s="2"/>
    </row>
    <row r="28" spans="2:10" ht="20" customHeight="1" x14ac:dyDescent="0.2">
      <c r="B28" s="4" t="s">
        <v>3611</v>
      </c>
      <c r="C28" s="80" t="s">
        <v>1905</v>
      </c>
      <c r="D28" s="80" t="s">
        <v>3612</v>
      </c>
      <c r="E28" s="347"/>
      <c r="F28" s="135" t="s">
        <v>30</v>
      </c>
      <c r="G28" s="347"/>
      <c r="H28" s="2" t="s">
        <v>3610</v>
      </c>
      <c r="J28" s="2"/>
    </row>
    <row r="29" spans="2:10" ht="20" customHeight="1" x14ac:dyDescent="0.2">
      <c r="B29" s="4" t="s">
        <v>3613</v>
      </c>
      <c r="C29" s="80" t="s">
        <v>1905</v>
      </c>
      <c r="D29" s="80" t="s">
        <v>3614</v>
      </c>
      <c r="E29" s="347"/>
      <c r="F29" s="135" t="s">
        <v>30</v>
      </c>
      <c r="G29" s="347"/>
      <c r="H29" s="2" t="s">
        <v>3610</v>
      </c>
      <c r="J29" s="2"/>
    </row>
    <row r="30" spans="2:10" ht="20" customHeight="1" x14ac:dyDescent="0.2">
      <c r="B30" s="468" t="s">
        <v>3615</v>
      </c>
      <c r="C30" s="469"/>
      <c r="D30" s="469"/>
      <c r="E30" s="469"/>
      <c r="F30" s="469"/>
      <c r="G30" s="470"/>
      <c r="J30" s="2"/>
    </row>
    <row r="31" spans="2:10" ht="20" customHeight="1" x14ac:dyDescent="0.2">
      <c r="B31" s="346" t="s">
        <v>3583</v>
      </c>
      <c r="C31" s="346" t="s">
        <v>2726</v>
      </c>
      <c r="D31" s="346" t="s">
        <v>3595</v>
      </c>
      <c r="E31" s="97" t="s">
        <v>3596</v>
      </c>
      <c r="F31" s="346" t="s">
        <v>3597</v>
      </c>
      <c r="G31" s="97" t="s">
        <v>3598</v>
      </c>
    </row>
    <row r="32" spans="2:10" ht="20" customHeight="1" x14ac:dyDescent="0.2">
      <c r="B32" s="4" t="s">
        <v>3616</v>
      </c>
      <c r="C32" s="80" t="s">
        <v>1905</v>
      </c>
      <c r="D32" s="80" t="s">
        <v>3617</v>
      </c>
      <c r="E32" s="129"/>
      <c r="F32" s="135" t="s">
        <v>30</v>
      </c>
      <c r="G32" s="347"/>
    </row>
    <row r="33" spans="2:10" ht="20" customHeight="1" x14ac:dyDescent="0.2">
      <c r="B33" s="4" t="s">
        <v>3618</v>
      </c>
      <c r="C33" s="80" t="s">
        <v>1905</v>
      </c>
      <c r="D33" s="80" t="s">
        <v>3619</v>
      </c>
      <c r="E33" s="129"/>
      <c r="F33" s="135" t="s">
        <v>30</v>
      </c>
      <c r="G33" s="347"/>
      <c r="J33" s="2"/>
    </row>
    <row r="34" spans="2:10" ht="20" customHeight="1" x14ac:dyDescent="0.2">
      <c r="B34" s="4" t="s">
        <v>3620</v>
      </c>
      <c r="C34" s="80" t="s">
        <v>1905</v>
      </c>
      <c r="D34" s="80" t="s">
        <v>3621</v>
      </c>
      <c r="E34" s="129"/>
      <c r="F34" s="135" t="s">
        <v>30</v>
      </c>
      <c r="G34" s="347"/>
      <c r="J34" s="2"/>
    </row>
    <row r="35" spans="2:10" ht="20" customHeight="1" x14ac:dyDescent="0.2">
      <c r="B35" s="468" t="s">
        <v>3622</v>
      </c>
      <c r="C35" s="469"/>
      <c r="D35" s="469"/>
      <c r="E35" s="469"/>
      <c r="F35" s="469"/>
      <c r="G35" s="470"/>
      <c r="J35" s="2"/>
    </row>
    <row r="36" spans="2:10" ht="20" customHeight="1" x14ac:dyDescent="0.2">
      <c r="B36" s="346" t="s">
        <v>3583</v>
      </c>
      <c r="C36" s="346" t="s">
        <v>2726</v>
      </c>
      <c r="D36" s="346" t="s">
        <v>3595</v>
      </c>
      <c r="E36" s="97" t="s">
        <v>3596</v>
      </c>
      <c r="F36" s="346" t="s">
        <v>3597</v>
      </c>
      <c r="G36" s="97" t="s">
        <v>3598</v>
      </c>
      <c r="J36" s="2"/>
    </row>
    <row r="37" spans="2:10" ht="20" customHeight="1" x14ac:dyDescent="0.2">
      <c r="B37" s="4"/>
      <c r="C37" s="80" t="s">
        <v>1905</v>
      </c>
      <c r="D37" s="80" t="s">
        <v>3623</v>
      </c>
      <c r="E37" s="129"/>
      <c r="F37" s="135" t="s">
        <v>30</v>
      </c>
      <c r="G37" s="347"/>
      <c r="J37" s="2"/>
    </row>
    <row r="38" spans="2:10" ht="20" customHeight="1" x14ac:dyDescent="0.2">
      <c r="B38" s="4"/>
      <c r="C38" s="80" t="s">
        <v>1905</v>
      </c>
      <c r="D38" s="80" t="s">
        <v>3624</v>
      </c>
      <c r="E38" s="129"/>
      <c r="F38" s="135" t="s">
        <v>30</v>
      </c>
      <c r="G38" s="347"/>
      <c r="J38" s="2"/>
    </row>
    <row r="39" spans="2:10" ht="20" customHeight="1" x14ac:dyDescent="0.2">
      <c r="B39" s="4"/>
      <c r="C39" s="80" t="s">
        <v>1905</v>
      </c>
      <c r="D39" s="80" t="s">
        <v>3625</v>
      </c>
      <c r="E39" s="129"/>
      <c r="F39" s="135" t="s">
        <v>30</v>
      </c>
      <c r="G39" s="347"/>
    </row>
    <row r="40" spans="2:10" ht="20" customHeight="1" x14ac:dyDescent="0.2">
      <c r="B40" s="4"/>
      <c r="C40" s="135" t="s">
        <v>1905</v>
      </c>
      <c r="D40" s="80" t="s">
        <v>3626</v>
      </c>
      <c r="E40" s="129"/>
      <c r="F40" s="135" t="s">
        <v>30</v>
      </c>
      <c r="G40" s="347"/>
    </row>
    <row r="41" spans="2:10" ht="20" customHeight="1" x14ac:dyDescent="0.2">
      <c r="B41" s="4"/>
      <c r="C41" s="135" t="s">
        <v>1905</v>
      </c>
      <c r="D41" s="80" t="s">
        <v>3627</v>
      </c>
      <c r="E41" s="129"/>
      <c r="F41" s="135" t="s">
        <v>30</v>
      </c>
      <c r="G41" s="347"/>
    </row>
    <row r="42" spans="2:10" ht="20" customHeight="1" x14ac:dyDescent="0.2">
      <c r="B42" s="468" t="s">
        <v>3628</v>
      </c>
      <c r="C42" s="469"/>
      <c r="D42" s="469"/>
      <c r="E42" s="469"/>
      <c r="F42" s="469"/>
      <c r="G42" s="470"/>
    </row>
    <row r="43" spans="2:10" ht="20" customHeight="1" x14ac:dyDescent="0.2">
      <c r="B43" s="346" t="s">
        <v>3583</v>
      </c>
      <c r="C43" s="346" t="s">
        <v>2726</v>
      </c>
      <c r="D43" s="346" t="s">
        <v>3595</v>
      </c>
      <c r="E43" s="97" t="s">
        <v>3596</v>
      </c>
      <c r="F43" s="346" t="s">
        <v>3597</v>
      </c>
      <c r="G43" s="97" t="s">
        <v>3598</v>
      </c>
    </row>
    <row r="44" spans="2:10" ht="20" customHeight="1" x14ac:dyDescent="0.2">
      <c r="B44" s="4" t="s">
        <v>3629</v>
      </c>
      <c r="C44" s="80" t="s">
        <v>1905</v>
      </c>
      <c r="D44" s="80" t="s">
        <v>3630</v>
      </c>
      <c r="E44" s="129"/>
      <c r="F44" s="135" t="s">
        <v>30</v>
      </c>
      <c r="G44" s="347"/>
    </row>
    <row r="45" spans="2:10" ht="20" customHeight="1" x14ac:dyDescent="0.2">
      <c r="B45" s="4" t="s">
        <v>3631</v>
      </c>
      <c r="C45" s="80" t="s">
        <v>1905</v>
      </c>
      <c r="D45" s="80" t="s">
        <v>3632</v>
      </c>
      <c r="E45" s="129"/>
      <c r="F45" s="135" t="s">
        <v>30</v>
      </c>
      <c r="G45" s="347"/>
    </row>
    <row r="46" spans="2:10" ht="20" customHeight="1" x14ac:dyDescent="0.2">
      <c r="B46" s="468" t="s">
        <v>3495</v>
      </c>
      <c r="C46" s="469"/>
      <c r="D46" s="469"/>
      <c r="E46" s="469"/>
      <c r="F46" s="469"/>
      <c r="G46" s="470"/>
    </row>
    <row r="47" spans="2:10" ht="20" customHeight="1" x14ac:dyDescent="0.2">
      <c r="B47" s="346" t="s">
        <v>3583</v>
      </c>
      <c r="C47" s="346" t="s">
        <v>2726</v>
      </c>
      <c r="D47" s="346" t="s">
        <v>3595</v>
      </c>
      <c r="E47" s="97" t="s">
        <v>3596</v>
      </c>
      <c r="F47" s="346" t="s">
        <v>3597</v>
      </c>
      <c r="G47" s="97" t="s">
        <v>3598</v>
      </c>
    </row>
    <row r="48" spans="2:10" ht="20" customHeight="1" x14ac:dyDescent="0.2">
      <c r="B48" s="4" t="s">
        <v>3633</v>
      </c>
      <c r="C48" s="80" t="s">
        <v>1905</v>
      </c>
      <c r="D48" s="80" t="s">
        <v>3634</v>
      </c>
      <c r="E48" s="129"/>
      <c r="F48" s="135" t="s">
        <v>30</v>
      </c>
      <c r="G48" s="347"/>
    </row>
    <row r="49" spans="2:10" ht="20" customHeight="1" x14ac:dyDescent="0.2">
      <c r="B49" s="4" t="s">
        <v>3635</v>
      </c>
      <c r="C49" s="80" t="s">
        <v>1905</v>
      </c>
      <c r="D49" s="80" t="s">
        <v>3636</v>
      </c>
      <c r="E49" s="129"/>
      <c r="F49" s="135" t="s">
        <v>30</v>
      </c>
      <c r="G49" s="347"/>
    </row>
    <row r="50" spans="2:10" ht="20" customHeight="1" x14ac:dyDescent="0.2"/>
    <row r="51" spans="2:10" ht="34" customHeight="1" x14ac:dyDescent="0.2">
      <c r="B51" s="414" t="s">
        <v>2142</v>
      </c>
      <c r="C51" s="414"/>
      <c r="D51" s="414"/>
      <c r="E51" s="414"/>
      <c r="J51" s="2"/>
    </row>
    <row r="52" spans="2:10" ht="20" customHeight="1" x14ac:dyDescent="0.2">
      <c r="B52" s="682" t="s">
        <v>3637</v>
      </c>
      <c r="C52" s="682"/>
      <c r="D52" s="682"/>
      <c r="E52" s="682"/>
      <c r="J52" s="2"/>
    </row>
    <row r="53" spans="2:10" ht="20" customHeight="1" x14ac:dyDescent="0.2">
      <c r="B53" s="346" t="s">
        <v>3638</v>
      </c>
      <c r="C53" s="346" t="s">
        <v>2726</v>
      </c>
      <c r="D53" s="346" t="s">
        <v>3639</v>
      </c>
      <c r="E53" s="97" t="s">
        <v>3640</v>
      </c>
      <c r="J53" s="2"/>
    </row>
    <row r="54" spans="2:10" ht="20" customHeight="1" x14ac:dyDescent="0.2">
      <c r="B54" s="4" t="s">
        <v>3637</v>
      </c>
      <c r="C54" s="80" t="s">
        <v>1905</v>
      </c>
      <c r="D54" s="80" t="s">
        <v>3641</v>
      </c>
      <c r="E54" s="347"/>
      <c r="J54" s="2"/>
    </row>
    <row r="55" spans="2:10" ht="20" customHeight="1" x14ac:dyDescent="0.2">
      <c r="B55" s="4"/>
      <c r="C55" s="80" t="s">
        <v>1905</v>
      </c>
      <c r="D55" s="80" t="s">
        <v>3642</v>
      </c>
      <c r="E55" s="347"/>
    </row>
    <row r="56" spans="2:10" ht="20" customHeight="1" x14ac:dyDescent="0.2">
      <c r="B56" s="4"/>
      <c r="C56" s="80" t="s">
        <v>1905</v>
      </c>
      <c r="D56" s="80" t="s">
        <v>3643</v>
      </c>
      <c r="E56" s="347"/>
    </row>
    <row r="57" spans="2:10" ht="20" customHeight="1" x14ac:dyDescent="0.2">
      <c r="B57" s="682" t="s">
        <v>3644</v>
      </c>
      <c r="C57" s="682"/>
      <c r="D57" s="682"/>
      <c r="E57" s="682"/>
    </row>
    <row r="58" spans="2:10" ht="20" customHeight="1" x14ac:dyDescent="0.2">
      <c r="B58" s="346" t="s">
        <v>3638</v>
      </c>
      <c r="C58" s="346" t="s">
        <v>2726</v>
      </c>
      <c r="D58" s="346" t="s">
        <v>3639</v>
      </c>
      <c r="E58" s="97" t="s">
        <v>3640</v>
      </c>
    </row>
    <row r="59" spans="2:10" ht="20" customHeight="1" x14ac:dyDescent="0.2">
      <c r="B59" s="4" t="s">
        <v>3645</v>
      </c>
      <c r="C59" s="80" t="s">
        <v>1905</v>
      </c>
      <c r="D59" s="80" t="s">
        <v>3646</v>
      </c>
      <c r="E59" s="347"/>
      <c r="J59" s="2"/>
    </row>
    <row r="60" spans="2:10" ht="20" customHeight="1" x14ac:dyDescent="0.2">
      <c r="B60" s="4"/>
      <c r="C60" s="80" t="s">
        <v>1905</v>
      </c>
      <c r="D60" s="80" t="s">
        <v>3647</v>
      </c>
      <c r="E60" s="347"/>
    </row>
    <row r="61" spans="2:10" ht="20" customHeight="1" x14ac:dyDescent="0.2">
      <c r="B61" s="4"/>
      <c r="C61" s="80" t="s">
        <v>1905</v>
      </c>
      <c r="D61" s="80" t="s">
        <v>3648</v>
      </c>
      <c r="E61" s="347"/>
    </row>
    <row r="62" spans="2:10" ht="20" customHeight="1" x14ac:dyDescent="0.2">
      <c r="B62" s="682" t="s">
        <v>3649</v>
      </c>
      <c r="C62" s="682"/>
      <c r="D62" s="682"/>
      <c r="E62" s="682"/>
    </row>
    <row r="63" spans="2:10" ht="20" customHeight="1" x14ac:dyDescent="0.2">
      <c r="B63" s="346" t="s">
        <v>3638</v>
      </c>
      <c r="C63" s="346" t="s">
        <v>2726</v>
      </c>
      <c r="D63" s="346" t="s">
        <v>3639</v>
      </c>
      <c r="E63" s="97" t="s">
        <v>3640</v>
      </c>
    </row>
    <row r="64" spans="2:10" ht="20" customHeight="1" x14ac:dyDescent="0.2">
      <c r="B64" s="4" t="s">
        <v>1664</v>
      </c>
      <c r="C64" s="80" t="s">
        <v>1905</v>
      </c>
      <c r="D64" s="80" t="s">
        <v>2231</v>
      </c>
      <c r="E64" s="347"/>
      <c r="J64" s="2"/>
    </row>
    <row r="65" spans="2:10" ht="20" customHeight="1" x14ac:dyDescent="0.2">
      <c r="B65" s="4"/>
      <c r="C65" s="80" t="s">
        <v>1905</v>
      </c>
      <c r="D65" s="80" t="s">
        <v>2235</v>
      </c>
      <c r="E65" s="347"/>
    </row>
    <row r="66" spans="2:10" ht="20" customHeight="1" x14ac:dyDescent="0.2">
      <c r="B66" s="4"/>
      <c r="C66" s="80" t="s">
        <v>1905</v>
      </c>
      <c r="D66" s="80" t="s">
        <v>2239</v>
      </c>
      <c r="E66" s="347"/>
    </row>
    <row r="67" spans="2:10" ht="20" customHeight="1" x14ac:dyDescent="0.2">
      <c r="B67" s="4" t="s">
        <v>1657</v>
      </c>
      <c r="C67" s="80" t="s">
        <v>1905</v>
      </c>
      <c r="D67" s="80" t="s">
        <v>2242</v>
      </c>
      <c r="E67" s="347"/>
    </row>
    <row r="68" spans="2:10" ht="20" customHeight="1" x14ac:dyDescent="0.2">
      <c r="B68" s="4"/>
      <c r="C68" s="80" t="s">
        <v>1905</v>
      </c>
      <c r="D68" s="80" t="s">
        <v>2246</v>
      </c>
      <c r="E68" s="347"/>
    </row>
    <row r="69" spans="2:10" ht="20" customHeight="1" x14ac:dyDescent="0.2">
      <c r="B69" s="4"/>
      <c r="C69" s="80" t="s">
        <v>1905</v>
      </c>
      <c r="D69" s="80" t="s">
        <v>2249</v>
      </c>
      <c r="E69" s="347"/>
    </row>
    <row r="70" spans="2:10" ht="20" customHeight="1" x14ac:dyDescent="0.2">
      <c r="B70" s="4" t="s">
        <v>2226</v>
      </c>
      <c r="C70" s="80" t="s">
        <v>1905</v>
      </c>
      <c r="D70" s="80" t="s">
        <v>2252</v>
      </c>
      <c r="E70" s="347"/>
    </row>
    <row r="71" spans="2:10" ht="20" customHeight="1" x14ac:dyDescent="0.2">
      <c r="B71" s="4"/>
      <c r="C71" s="80" t="s">
        <v>1905</v>
      </c>
      <c r="D71" s="80" t="s">
        <v>2255</v>
      </c>
      <c r="E71" s="347"/>
    </row>
    <row r="72" spans="2:10" ht="20" customHeight="1" x14ac:dyDescent="0.2">
      <c r="B72" s="4"/>
      <c r="C72" s="80" t="s">
        <v>1905</v>
      </c>
      <c r="D72" s="80" t="s">
        <v>2258</v>
      </c>
      <c r="E72" s="347"/>
    </row>
    <row r="73" spans="2:10" ht="20" customHeight="1" x14ac:dyDescent="0.2">
      <c r="B73" s="468" t="s">
        <v>3650</v>
      </c>
      <c r="C73" s="429"/>
      <c r="D73" s="429"/>
      <c r="E73" s="429"/>
    </row>
    <row r="74" spans="2:10" ht="20" customHeight="1" x14ac:dyDescent="0.2">
      <c r="B74" s="346" t="s">
        <v>3638</v>
      </c>
      <c r="C74" s="346" t="s">
        <v>2726</v>
      </c>
      <c r="D74" s="346" t="s">
        <v>3639</v>
      </c>
      <c r="E74" s="97" t="s">
        <v>3640</v>
      </c>
    </row>
    <row r="75" spans="2:10" ht="20" customHeight="1" x14ac:dyDescent="0.2">
      <c r="B75" s="4" t="s">
        <v>3651</v>
      </c>
      <c r="C75" s="80" t="s">
        <v>1905</v>
      </c>
      <c r="D75" s="80" t="s">
        <v>3652</v>
      </c>
      <c r="E75" s="129"/>
    </row>
    <row r="76" spans="2:10" ht="20" customHeight="1" x14ac:dyDescent="0.2">
      <c r="B76" s="337"/>
      <c r="C76" s="80" t="s">
        <v>1905</v>
      </c>
      <c r="D76" s="80" t="s">
        <v>3653</v>
      </c>
      <c r="E76" s="129"/>
      <c r="G76" s="3"/>
    </row>
    <row r="77" spans="2:10" ht="20" customHeight="1" x14ac:dyDescent="0.2">
      <c r="B77" s="468" t="s">
        <v>3604</v>
      </c>
      <c r="C77" s="429"/>
      <c r="D77" s="429"/>
      <c r="E77" s="430"/>
      <c r="G77" s="3"/>
      <c r="J77" s="2"/>
    </row>
    <row r="78" spans="2:10" ht="20" customHeight="1" x14ac:dyDescent="0.2">
      <c r="B78" s="346" t="s">
        <v>3638</v>
      </c>
      <c r="C78" s="346" t="s">
        <v>2726</v>
      </c>
      <c r="D78" s="346" t="s">
        <v>3639</v>
      </c>
      <c r="E78" s="97" t="s">
        <v>3640</v>
      </c>
      <c r="G78" s="3"/>
    </row>
    <row r="79" spans="2:10" ht="20" customHeight="1" x14ac:dyDescent="0.2">
      <c r="B79" s="4" t="s">
        <v>3654</v>
      </c>
      <c r="C79" s="80" t="s">
        <v>1905</v>
      </c>
      <c r="D79" s="80" t="s">
        <v>3655</v>
      </c>
      <c r="E79" s="347"/>
    </row>
    <row r="80" spans="2:10" ht="20" customHeight="1" x14ac:dyDescent="0.2">
      <c r="B80" s="4"/>
      <c r="C80" s="80" t="s">
        <v>1905</v>
      </c>
      <c r="D80" s="80" t="s">
        <v>3656</v>
      </c>
      <c r="E80" s="347"/>
    </row>
    <row r="81" spans="2:10" ht="20" customHeight="1" x14ac:dyDescent="0.2">
      <c r="B81" s="4"/>
      <c r="C81" s="80" t="s">
        <v>1905</v>
      </c>
      <c r="D81" s="80" t="s">
        <v>3657</v>
      </c>
      <c r="E81" s="347"/>
    </row>
    <row r="82" spans="2:10" ht="20" customHeight="1" x14ac:dyDescent="0.2">
      <c r="B82" s="468" t="s">
        <v>3607</v>
      </c>
      <c r="C82" s="429"/>
      <c r="D82" s="429"/>
      <c r="E82" s="430"/>
    </row>
    <row r="83" spans="2:10" ht="20" customHeight="1" x14ac:dyDescent="0.2">
      <c r="B83" s="346" t="s">
        <v>3638</v>
      </c>
      <c r="C83" s="346" t="s">
        <v>2726</v>
      </c>
      <c r="D83" s="346" t="s">
        <v>3639</v>
      </c>
      <c r="E83" s="97" t="s">
        <v>3640</v>
      </c>
    </row>
    <row r="84" spans="2:10" ht="20" customHeight="1" x14ac:dyDescent="0.2">
      <c r="B84" s="4" t="s">
        <v>3658</v>
      </c>
      <c r="C84" s="80" t="s">
        <v>1905</v>
      </c>
      <c r="D84" s="80" t="s">
        <v>3659</v>
      </c>
      <c r="E84" s="347"/>
    </row>
    <row r="85" spans="2:10" ht="20" customHeight="1" x14ac:dyDescent="0.2">
      <c r="B85" s="4"/>
      <c r="C85" s="80" t="s">
        <v>1905</v>
      </c>
      <c r="D85" s="80" t="s">
        <v>3660</v>
      </c>
      <c r="E85" s="347"/>
    </row>
    <row r="86" spans="2:10" ht="20" customHeight="1" x14ac:dyDescent="0.2">
      <c r="B86" s="4"/>
      <c r="C86" s="80" t="s">
        <v>1905</v>
      </c>
      <c r="D86" s="80" t="s">
        <v>3661</v>
      </c>
      <c r="E86" s="347"/>
      <c r="J86" s="2"/>
    </row>
    <row r="87" spans="2:10" ht="20" customHeight="1" x14ac:dyDescent="0.2">
      <c r="B87" s="468" t="s">
        <v>3615</v>
      </c>
      <c r="C87" s="429"/>
      <c r="D87" s="429"/>
      <c r="E87" s="430"/>
    </row>
    <row r="88" spans="2:10" ht="20" customHeight="1" x14ac:dyDescent="0.2">
      <c r="B88" s="346" t="s">
        <v>3638</v>
      </c>
      <c r="C88" s="346" t="s">
        <v>2726</v>
      </c>
      <c r="D88" s="346" t="s">
        <v>3639</v>
      </c>
      <c r="E88" s="97" t="s">
        <v>3640</v>
      </c>
      <c r="I88" s="3"/>
    </row>
    <row r="89" spans="2:10" ht="20" customHeight="1" x14ac:dyDescent="0.2">
      <c r="B89" s="4" t="s">
        <v>3662</v>
      </c>
      <c r="C89" s="80" t="s">
        <v>1905</v>
      </c>
      <c r="D89" s="80" t="s">
        <v>3663</v>
      </c>
      <c r="E89" s="347"/>
    </row>
    <row r="90" spans="2:10" ht="20" customHeight="1" x14ac:dyDescent="0.2">
      <c r="B90" s="4"/>
      <c r="C90" s="80" t="s">
        <v>1905</v>
      </c>
      <c r="D90" s="80" t="s">
        <v>3664</v>
      </c>
      <c r="E90" s="347"/>
    </row>
    <row r="91" spans="2:10" ht="20" customHeight="1" x14ac:dyDescent="0.2">
      <c r="B91" s="4"/>
      <c r="C91" s="80" t="s">
        <v>1905</v>
      </c>
      <c r="D91" s="80" t="s">
        <v>3665</v>
      </c>
      <c r="E91" s="347"/>
      <c r="J91" s="2"/>
    </row>
    <row r="92" spans="2:10" ht="20" customHeight="1" x14ac:dyDescent="0.2">
      <c r="B92" s="468" t="s">
        <v>3622</v>
      </c>
      <c r="C92" s="429"/>
      <c r="D92" s="429"/>
      <c r="E92" s="430"/>
    </row>
    <row r="93" spans="2:10" ht="20" customHeight="1" x14ac:dyDescent="0.2">
      <c r="B93" s="346" t="s">
        <v>3638</v>
      </c>
      <c r="C93" s="346" t="s">
        <v>2726</v>
      </c>
      <c r="D93" s="346" t="s">
        <v>3639</v>
      </c>
      <c r="E93" s="97" t="s">
        <v>3640</v>
      </c>
    </row>
    <row r="94" spans="2:10" ht="20" customHeight="1" x14ac:dyDescent="0.2">
      <c r="B94" s="4" t="s">
        <v>3666</v>
      </c>
      <c r="C94" s="80" t="s">
        <v>1905</v>
      </c>
      <c r="D94" s="80" t="s">
        <v>3667</v>
      </c>
      <c r="E94" s="347"/>
    </row>
    <row r="95" spans="2:10" ht="20" customHeight="1" x14ac:dyDescent="0.2">
      <c r="B95" s="4"/>
      <c r="C95" s="80" t="s">
        <v>1905</v>
      </c>
      <c r="D95" s="80" t="s">
        <v>3668</v>
      </c>
      <c r="E95" s="347"/>
    </row>
    <row r="96" spans="2:10" ht="20" customHeight="1" x14ac:dyDescent="0.2">
      <c r="B96" s="4"/>
      <c r="C96" s="80" t="s">
        <v>1905</v>
      </c>
      <c r="D96" s="80" t="s">
        <v>3669</v>
      </c>
      <c r="E96" s="347"/>
      <c r="G96" s="3"/>
      <c r="J96" s="2"/>
    </row>
    <row r="97" spans="2:9" ht="20" customHeight="1" x14ac:dyDescent="0.2">
      <c r="B97" s="4"/>
      <c r="C97" s="80" t="s">
        <v>1905</v>
      </c>
      <c r="D97" s="80" t="s">
        <v>3670</v>
      </c>
      <c r="E97" s="347"/>
      <c r="G97" s="3"/>
    </row>
    <row r="98" spans="2:9" ht="20" customHeight="1" x14ac:dyDescent="0.2">
      <c r="B98" s="4"/>
      <c r="C98" s="80" t="s">
        <v>1905</v>
      </c>
      <c r="D98" s="80" t="s">
        <v>3671</v>
      </c>
      <c r="E98" s="347"/>
      <c r="G98" s="3"/>
    </row>
    <row r="99" spans="2:9" ht="20" customHeight="1" x14ac:dyDescent="0.2">
      <c r="B99" s="4"/>
      <c r="C99" s="80" t="s">
        <v>1905</v>
      </c>
      <c r="D99" s="80" t="s">
        <v>3672</v>
      </c>
      <c r="E99" s="347"/>
      <c r="G99" s="3"/>
      <c r="I99" s="3"/>
    </row>
    <row r="100" spans="2:9" ht="20" customHeight="1" x14ac:dyDescent="0.2">
      <c r="B100" s="4"/>
      <c r="C100" s="80" t="s">
        <v>1905</v>
      </c>
      <c r="D100" s="80" t="s">
        <v>3673</v>
      </c>
      <c r="E100" s="347"/>
      <c r="G100" s="3"/>
      <c r="I100" s="3"/>
    </row>
    <row r="101" spans="2:9" ht="20" customHeight="1" x14ac:dyDescent="0.2">
      <c r="B101" s="4"/>
      <c r="C101" s="80" t="s">
        <v>1905</v>
      </c>
      <c r="D101" s="80" t="s">
        <v>3674</v>
      </c>
      <c r="E101" s="347"/>
      <c r="G101" s="3"/>
      <c r="I101" s="3"/>
    </row>
    <row r="102" spans="2:9" ht="20" customHeight="1" x14ac:dyDescent="0.2">
      <c r="B102" s="4"/>
      <c r="C102" s="80" t="s">
        <v>1905</v>
      </c>
      <c r="D102" s="80" t="s">
        <v>3675</v>
      </c>
      <c r="E102" s="347"/>
      <c r="G102" s="3"/>
      <c r="I102" s="3"/>
    </row>
    <row r="103" spans="2:9" ht="20" customHeight="1" x14ac:dyDescent="0.2">
      <c r="B103" s="4"/>
      <c r="C103" s="80" t="s">
        <v>1905</v>
      </c>
      <c r="D103" s="80" t="s">
        <v>3676</v>
      </c>
      <c r="E103" s="347"/>
      <c r="G103" s="3"/>
      <c r="I103" s="3"/>
    </row>
    <row r="104" spans="2:9" ht="20" customHeight="1" x14ac:dyDescent="0.2">
      <c r="B104" s="4"/>
      <c r="C104" s="80" t="s">
        <v>1905</v>
      </c>
      <c r="D104" s="80" t="s">
        <v>3677</v>
      </c>
      <c r="E104" s="347"/>
      <c r="G104" s="3"/>
      <c r="I104" s="3"/>
    </row>
    <row r="105" spans="2:9" ht="20" customHeight="1" x14ac:dyDescent="0.2">
      <c r="B105" s="4"/>
      <c r="C105" s="80" t="s">
        <v>1905</v>
      </c>
      <c r="D105" s="80" t="s">
        <v>3678</v>
      </c>
      <c r="E105" s="347"/>
      <c r="G105" s="3"/>
      <c r="I105" s="3"/>
    </row>
    <row r="106" spans="2:9" ht="20" customHeight="1" x14ac:dyDescent="0.2">
      <c r="G106" s="3"/>
      <c r="I106" s="3"/>
    </row>
    <row r="107" spans="2:9" ht="20" customHeight="1" x14ac:dyDescent="0.2">
      <c r="G107" s="3"/>
      <c r="I107" s="3"/>
    </row>
    <row r="108" spans="2:9" ht="20" customHeight="1" x14ac:dyDescent="0.2">
      <c r="I108" s="3"/>
    </row>
    <row r="109" spans="2:9" ht="20" customHeight="1" x14ac:dyDescent="0.2">
      <c r="I109" s="3"/>
    </row>
    <row r="110" spans="2:9" ht="20" customHeight="1" x14ac:dyDescent="0.2">
      <c r="I110" s="3"/>
    </row>
    <row r="111" spans="2:9" ht="20" customHeight="1" x14ac:dyDescent="0.2"/>
    <row r="112" spans="2:9" ht="20" customHeight="1" x14ac:dyDescent="0.2"/>
  </sheetData>
  <sheetProtection algorithmName="SHA-512" hashValue="vw8/rZfNaIx4JaWyR2NDUPT1fIRbVB5mLS96TIwZ7ZhTXRIkQLis8+cQZ4LXEN3Y0hUI/5joq4beo8v9Atlruw==" saltValue="UKyAEfjXgAjB83I7loQLEQ==" spinCount="100000" sheet="1" selectLockedCells="1"/>
  <mergeCells count="21">
    <mergeCell ref="B2:G2"/>
    <mergeCell ref="B6:G6"/>
    <mergeCell ref="B51:E51"/>
    <mergeCell ref="B52:E52"/>
    <mergeCell ref="B13:G13"/>
    <mergeCell ref="B14:G14"/>
    <mergeCell ref="B16:G16"/>
    <mergeCell ref="B35:G35"/>
    <mergeCell ref="B21:G21"/>
    <mergeCell ref="B25:G25"/>
    <mergeCell ref="B46:G46"/>
    <mergeCell ref="B22:G22"/>
    <mergeCell ref="B82:E82"/>
    <mergeCell ref="B92:E92"/>
    <mergeCell ref="B42:G42"/>
    <mergeCell ref="B30:G30"/>
    <mergeCell ref="B73:E73"/>
    <mergeCell ref="B62:E62"/>
    <mergeCell ref="B57:E57"/>
    <mergeCell ref="B77:E77"/>
    <mergeCell ref="B87:E87"/>
  </mergeCells>
  <conditionalFormatting sqref="B77 B78:E81">
    <cfRule type="expression" dxfId="60" priority="23">
      <formula>intelligent_logging_result="Excluded"</formula>
    </cfRule>
  </conditionalFormatting>
  <conditionalFormatting sqref="B92 B93:E105">
    <cfRule type="expression" dxfId="59" priority="20">
      <formula>private_cloud_result="Excluded"</formula>
    </cfRule>
  </conditionalFormatting>
  <conditionalFormatting sqref="B8:C8 E8:G8">
    <cfRule type="expression" dxfId="58" priority="83">
      <formula>vcf_aware_wsa_result="Excluded"</formula>
    </cfRule>
  </conditionalFormatting>
  <conditionalFormatting sqref="B9:C9 E9:G9">
    <cfRule type="expression" dxfId="57" priority="81">
      <formula>iam_result="Excluded"</formula>
    </cfRule>
  </conditionalFormatting>
  <conditionalFormatting sqref="B51:E51">
    <cfRule type="expression" dxfId="56" priority="71">
      <formula>AND((vrslcm_result="Excluded"),(vcf_aware_wsa_result="Excluded"),(iam_result="Excluded"),(intelligent_operations_result="Excluded"),(intelligent_logging_result="Excluded"),(private_cloud_result="Excluded"),(developer_ready_result="Excluded"))</formula>
    </cfRule>
  </conditionalFormatting>
  <conditionalFormatting sqref="B52:E56">
    <cfRule type="expression" dxfId="55" priority="33">
      <formula>vrslcm_result="Excluded"</formula>
    </cfRule>
  </conditionalFormatting>
  <conditionalFormatting sqref="B57:E61">
    <cfRule type="expression" dxfId="54" priority="31" stopIfTrue="1">
      <formula>vcf_aware_wsa_result="Excluded"</formula>
    </cfRule>
  </conditionalFormatting>
  <conditionalFormatting sqref="B73:E76">
    <cfRule type="expression" dxfId="53" priority="64">
      <formula>developer_ready_result="Excluded"</formula>
    </cfRule>
  </conditionalFormatting>
  <conditionalFormatting sqref="B78:E81 B62:E72 B73 B77">
    <cfRule type="expression" dxfId="52" priority="29">
      <formula>iam_result="Excluded"</formula>
    </cfRule>
  </conditionalFormatting>
  <conditionalFormatting sqref="B82:E86">
    <cfRule type="expression" dxfId="51" priority="7">
      <formula>intelligent_operations_result="Excluded"</formula>
    </cfRule>
  </conditionalFormatting>
  <conditionalFormatting sqref="B87:E91">
    <cfRule type="expression" dxfId="50" priority="8" stopIfTrue="1">
      <formula>inv_result="Excluded"</formula>
    </cfRule>
  </conditionalFormatting>
  <conditionalFormatting sqref="B6:G7">
    <cfRule type="expression" dxfId="49" priority="82">
      <formula>AND((vcf_aware_wsa_result="Excluded"),(iam_result="Excluded"))</formula>
    </cfRule>
  </conditionalFormatting>
  <conditionalFormatting sqref="B10:G10">
    <cfRule type="expression" dxfId="48" priority="80">
      <formula>vcf_aware_wsa_result="Excluded"</formula>
    </cfRule>
  </conditionalFormatting>
  <conditionalFormatting sqref="B11:G11">
    <cfRule type="expression" dxfId="47" priority="79">
      <formula>iam_result="Excluded"</formula>
    </cfRule>
  </conditionalFormatting>
  <conditionalFormatting sqref="B13:G13">
    <cfRule type="expression" dxfId="46" priority="78">
      <formula>AND((mgmt_signed_certs_result="Excluded"),(vcf_aware_wsa_result="Excluded"),(iam_result="Excluded"))</formula>
    </cfRule>
  </conditionalFormatting>
  <conditionalFormatting sqref="B16:G19">
    <cfRule type="expression" dxfId="45" priority="46">
      <formula>iam_result="Excluded"</formula>
    </cfRule>
  </conditionalFormatting>
  <conditionalFormatting sqref="B21:G21">
    <cfRule type="expression" dxfId="44" priority="74">
      <formula>AND((private_cloud_result="Excluded"),(intelligent_operations_result="Excluded"))</formula>
    </cfRule>
  </conditionalFormatting>
  <conditionalFormatting sqref="B22:G24">
    <cfRule type="expression" dxfId="43" priority="9">
      <formula>(intelligent_logging_result="Excluded")</formula>
    </cfRule>
  </conditionalFormatting>
  <conditionalFormatting sqref="B25:G28">
    <cfRule type="expression" dxfId="42" priority="15">
      <formula>(intelligent_operations_result="Excluded")</formula>
    </cfRule>
  </conditionalFormatting>
  <conditionalFormatting sqref="B29:G29">
    <cfRule type="expression" dxfId="41" priority="59">
      <formula>OR((private_cloud_result="Excluded"),(intelligent_operations_result="Excluded"))</formula>
    </cfRule>
  </conditionalFormatting>
  <conditionalFormatting sqref="B30:G34">
    <cfRule type="expression" dxfId="40" priority="16">
      <formula>inv_result="Excluded"</formula>
    </cfRule>
  </conditionalFormatting>
  <conditionalFormatting sqref="B35:G41">
    <cfRule type="expression" dxfId="39" priority="73">
      <formula>private_cloud_result="Excluded"</formula>
    </cfRule>
  </conditionalFormatting>
  <conditionalFormatting sqref="B42:G45">
    <cfRule type="expression" dxfId="38" priority="35" stopIfTrue="1">
      <formula>hrm_result="Excluded"</formula>
    </cfRule>
  </conditionalFormatting>
  <conditionalFormatting sqref="B46:G49">
    <cfRule type="expression" dxfId="37" priority="17">
      <formula>ccm_result="Excluded"</formula>
    </cfRule>
  </conditionalFormatting>
  <conditionalFormatting sqref="C41">
    <cfRule type="expression" dxfId="36" priority="6">
      <formula>private_cloud_result="Excluded"</formula>
    </cfRule>
  </conditionalFormatting>
  <conditionalFormatting sqref="E8:E11">
    <cfRule type="containsBlanks" dxfId="35" priority="105">
      <formula>LEN(TRIM(E8))=0</formula>
    </cfRule>
    <cfRule type="notContainsBlanks" dxfId="34" priority="244">
      <formula>LEN(TRIM(E8))&gt;0</formula>
    </cfRule>
  </conditionalFormatting>
  <conditionalFormatting sqref="E18:E19">
    <cfRule type="notContainsBlanks" dxfId="33" priority="247">
      <formula>LEN(TRIM(E18))&gt;0</formula>
    </cfRule>
  </conditionalFormatting>
  <conditionalFormatting sqref="E21:E29 E35:E45 G37:G42 E75:E76 E16:E19 G44:G46 E48:E49 G48:G49 G32:G34">
    <cfRule type="containsBlanks" dxfId="32" priority="243">
      <formula>LEN(TRIM(E16))=0</formula>
    </cfRule>
  </conditionalFormatting>
  <conditionalFormatting sqref="E24">
    <cfRule type="notContainsBlanks" dxfId="31" priority="248">
      <formula>LEN(TRIM(E24))&gt;0</formula>
    </cfRule>
    <cfRule type="containsBlanks" dxfId="30" priority="13">
      <formula>LEN(TRIM(E24))=0</formula>
    </cfRule>
  </conditionalFormatting>
  <conditionalFormatting sqref="E27:E29">
    <cfRule type="containsBlanks" dxfId="29" priority="63">
      <formula>LEN(TRIM(E27))=0</formula>
    </cfRule>
    <cfRule type="notContainsBlanks" dxfId="28" priority="249">
      <formula>LEN(TRIM(E27))&gt;0</formula>
    </cfRule>
  </conditionalFormatting>
  <conditionalFormatting sqref="E31">
    <cfRule type="containsBlanks" dxfId="27" priority="2">
      <formula>LEN(TRIM(E31))=0</formula>
    </cfRule>
  </conditionalFormatting>
  <conditionalFormatting sqref="E32:E34">
    <cfRule type="notContainsBlanks" dxfId="26" priority="250">
      <formula>LEN(TRIM(E32))&gt;0</formula>
    </cfRule>
    <cfRule type="containsBlanks" dxfId="25" priority="19">
      <formula>LEN(TRIM(E32))=0</formula>
    </cfRule>
  </conditionalFormatting>
  <conditionalFormatting sqref="E37:E42">
    <cfRule type="notContainsBlanks" dxfId="24" priority="251">
      <formula>LEN(TRIM(E37))&gt;0</formula>
    </cfRule>
  </conditionalFormatting>
  <conditionalFormatting sqref="E44:E45">
    <cfRule type="containsBlanks" dxfId="23" priority="36">
      <formula>LEN(TRIM(E44))=0</formula>
    </cfRule>
    <cfRule type="notContainsBlanks" dxfId="22" priority="252">
      <formula>LEN(TRIM(E44))&gt;0</formula>
    </cfRule>
  </conditionalFormatting>
  <conditionalFormatting sqref="E47">
    <cfRule type="containsBlanks" dxfId="21" priority="5">
      <formula>LEN(TRIM(E47))=0</formula>
    </cfRule>
  </conditionalFormatting>
  <conditionalFormatting sqref="E48:E49">
    <cfRule type="notContainsBlanks" dxfId="20" priority="246">
      <formula>LEN(TRIM(E48))&gt;0</formula>
    </cfRule>
  </conditionalFormatting>
  <conditionalFormatting sqref="E54:E56">
    <cfRule type="containsBlanks" dxfId="19" priority="70">
      <formula>LEN(TRIM(E54))=0</formula>
    </cfRule>
    <cfRule type="notContainsBlanks" dxfId="18" priority="253">
      <formula>LEN(TRIM(E54))&gt;0</formula>
    </cfRule>
  </conditionalFormatting>
  <conditionalFormatting sqref="E59:E61">
    <cfRule type="containsBlanks" dxfId="17" priority="69">
      <formula>LEN(TRIM(E59))=0</formula>
    </cfRule>
    <cfRule type="notContainsBlanks" dxfId="16" priority="254">
      <formula>LEN(TRIM(E59))&gt;0</formula>
    </cfRule>
  </conditionalFormatting>
  <conditionalFormatting sqref="E64:E72 E79:E81">
    <cfRule type="containsBlanks" dxfId="15" priority="68">
      <formula>LEN(TRIM(E64))=0</formula>
    </cfRule>
    <cfRule type="notContainsBlanks" dxfId="14" priority="255">
      <formula>LEN(TRIM(E64))&gt;0</formula>
    </cfRule>
  </conditionalFormatting>
  <conditionalFormatting sqref="E79:E81">
    <cfRule type="containsBlanks" dxfId="13" priority="25" stopIfTrue="1">
      <formula>LEN(TRIM(E79))=0</formula>
    </cfRule>
  </conditionalFormatting>
  <conditionalFormatting sqref="E84:E86 E89:E91">
    <cfRule type="notContainsBlanks" dxfId="12" priority="257">
      <formula>LEN(TRIM(E84))&gt;0</formula>
    </cfRule>
  </conditionalFormatting>
  <conditionalFormatting sqref="E89:E91 E84:E86">
    <cfRule type="containsBlanks" dxfId="11" priority="28" stopIfTrue="1">
      <formula>LEN(TRIM(E84))=0</formula>
    </cfRule>
  </conditionalFormatting>
  <conditionalFormatting sqref="E94:E105">
    <cfRule type="containsBlanks" dxfId="10" priority="22" stopIfTrue="1">
      <formula>LEN(TRIM(E94))=0</formula>
    </cfRule>
    <cfRule type="notContainsBlanks" dxfId="9" priority="258">
      <formula>LEN(TRIM(E94))&gt;0</formula>
    </cfRule>
  </conditionalFormatting>
  <conditionalFormatting sqref="G8:G11">
    <cfRule type="containsBlanks" dxfId="8" priority="103">
      <formula>LEN(TRIM(G8))=0</formula>
    </cfRule>
    <cfRule type="notContainsBlanks" dxfId="7" priority="259">
      <formula>LEN(TRIM(G8))&gt;0</formula>
    </cfRule>
  </conditionalFormatting>
  <conditionalFormatting sqref="G18:G19">
    <cfRule type="containsBlanks" dxfId="6" priority="49">
      <formula>LEN(TRIM(G18))=0</formula>
    </cfRule>
    <cfRule type="notContainsBlanks" dxfId="5" priority="262">
      <formula>LEN(TRIM(G18))&gt;0</formula>
    </cfRule>
  </conditionalFormatting>
  <conditionalFormatting sqref="G24">
    <cfRule type="containsBlanks" dxfId="4" priority="11">
      <formula>LEN(TRIM(G24))=0</formula>
    </cfRule>
    <cfRule type="notContainsBlanks" dxfId="3" priority="263">
      <formula>LEN(TRIM(G24))&gt;0</formula>
    </cfRule>
  </conditionalFormatting>
  <conditionalFormatting sqref="G27:G30">
    <cfRule type="containsBlanks" dxfId="2" priority="61">
      <formula>LEN(TRIM(G27))=0</formula>
    </cfRule>
    <cfRule type="notContainsBlanks" dxfId="1" priority="264">
      <formula>LEN(TRIM(G27))&gt;0</formula>
    </cfRule>
  </conditionalFormatting>
  <conditionalFormatting sqref="G32:G34 G37:G42 G44:G46 G48:G49 E75:E76">
    <cfRule type="notContainsBlanks" dxfId="0" priority="245">
      <formula>LEN(TRIM(E32))&gt;0</formula>
    </cfRule>
  </conditionalFormatting>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EF44E0227C24E85294C0D2197735E" ma:contentTypeVersion="16" ma:contentTypeDescription="Create a new document." ma:contentTypeScope="" ma:versionID="0762e96695b87e50645077735b0a3394">
  <xsd:schema xmlns:xsd="http://www.w3.org/2001/XMLSchema" xmlns:xs="http://www.w3.org/2001/XMLSchema" xmlns:p="http://schemas.microsoft.com/office/2006/metadata/properties" xmlns:ns2="7dc73e9a-a2c7-410e-a6a7-fe1b70e2a0b9" xmlns:ns3="daa80f42-9ae5-4835-be60-e49709dd5722" xmlns:ns4="eb3a237d-4129-4a2a-8fb3-b20be8ca4bd3" targetNamespace="http://schemas.microsoft.com/office/2006/metadata/properties" ma:root="true" ma:fieldsID="277ebc50a8058a9c036e40c5cb4292f8" ns2:_="" ns3:_="" ns4:_="">
    <xsd:import namespace="7dc73e9a-a2c7-410e-a6a7-fe1b70e2a0b9"/>
    <xsd:import namespace="daa80f42-9ae5-4835-be60-e49709dd5722"/>
    <xsd:import namespace="eb3a237d-4129-4a2a-8fb3-b20be8ca4bd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73e9a-a2c7-410e-a6a7-fe1b70e2a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a80f42-9ae5-4835-be60-e49709dd57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cf06e5e-f23f-4c2a-8b0f-6461e8fdd81c}" ma:internalName="TaxCatchAll" ma:showField="CatchAllData" ma:web="daa80f42-9ae5-4835-be60-e49709dd57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b3a237d-4129-4a2a-8fb3-b20be8ca4bd3" xsi:nil="true"/>
    <lcf76f155ced4ddcb4097134ff3c332f xmlns="7dc73e9a-a2c7-410e-a6a7-fe1b70e2a0b9">
      <Terms xmlns="http://schemas.microsoft.com/office/infopath/2007/PartnerControls"/>
    </lcf76f155ced4ddcb4097134ff3c332f>
    <SharedWithUsers xmlns="daa80f42-9ae5-4835-be60-e49709dd5722">
      <UserInfo>
        <DisplayName>Andy Beltz</DisplayName>
        <AccountId>525</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027453-C8FB-4CB4-AFBB-858BEA466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73e9a-a2c7-410e-a6a7-fe1b70e2a0b9"/>
    <ds:schemaRef ds:uri="daa80f42-9ae5-4835-be60-e49709dd5722"/>
    <ds:schemaRef ds:uri="eb3a237d-4129-4a2a-8fb3-b20be8ca4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38FDAF-6C1D-43F6-B941-6E104C721C9F}">
  <ds:schemaRefs>
    <ds:schemaRef ds:uri="http://schemas.microsoft.com/office/2006/metadata/properties"/>
    <ds:schemaRef ds:uri="http://schemas.microsoft.com/office/infopath/2007/PartnerControls"/>
    <ds:schemaRef ds:uri="eb3a237d-4129-4a2a-8fb3-b20be8ca4bd3"/>
    <ds:schemaRef ds:uri="7dc73e9a-a2c7-410e-a6a7-fe1b70e2a0b9"/>
    <ds:schemaRef ds:uri="daa80f42-9ae5-4835-be60-e49709dd5722"/>
  </ds:schemaRefs>
</ds:datastoreItem>
</file>

<file path=customXml/itemProps3.xml><?xml version="1.0" encoding="utf-8"?>
<ds:datastoreItem xmlns:ds="http://schemas.openxmlformats.org/officeDocument/2006/customXml" ds:itemID="{9AA35F94-42D7-4DE9-8B50-E0DB83B46D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8314</vt:i4>
      </vt:variant>
    </vt:vector>
  </HeadingPairs>
  <TitlesOfParts>
    <vt:vector size="8340" baseType="lpstr">
      <vt:lpstr>Prerequisite Checklist</vt:lpstr>
      <vt:lpstr>VCF &amp; VVF Planning</vt:lpstr>
      <vt:lpstr>Management Domain Sizing</vt:lpstr>
      <vt:lpstr>Deploy Management Domain</vt:lpstr>
      <vt:lpstr>Configure Management Domain</vt:lpstr>
      <vt:lpstr>Deploy Fleet Management Day-N</vt:lpstr>
      <vt:lpstr>Deploy Workload Domain</vt:lpstr>
      <vt:lpstr>Arkham</vt:lpstr>
      <vt:lpstr>Configure Workload Domain</vt:lpstr>
      <vt:lpstr>Deploy Cluster</vt:lpstr>
      <vt:lpstr>Change Control</vt:lpstr>
      <vt:lpstr>Value Reference Tables - MR</vt:lpstr>
      <vt:lpstr>Value Reference Tables</vt:lpstr>
      <vt:lpstr>Static Reference Tables</vt:lpstr>
      <vt:lpstr>Dumping Ground</vt:lpstr>
      <vt:lpstr>Additional Racks</vt:lpstr>
      <vt:lpstr>Site Protection &amp; DR</vt:lpstr>
      <vt:lpstr>On-Premises Ransomware Recovery</vt:lpstr>
      <vt:lpstr>Management Domain As Built</vt:lpstr>
      <vt:lpstr>Workload Domain As Built</vt:lpstr>
      <vt:lpstr>Public Reference Sheet</vt:lpstr>
      <vt:lpstr>Version History</vt:lpstr>
      <vt:lpstr>Private AI Ready Infrastructure</vt:lpstr>
      <vt:lpstr>Cloud-Based Ransomware Recovery</vt:lpstr>
      <vt:lpstr>Cross Cloud Mobility</vt:lpstr>
      <vt:lpstr>Active Directory Inputs</vt:lpstr>
      <vt:lpstr>Additional_Instance</vt:lpstr>
      <vt:lpstr>administrator_vsphere_local_password</vt:lpstr>
      <vt:lpstr>air_GPU_network_operator_namespace</vt:lpstr>
      <vt:lpstr>air_GPU_operator_namespace</vt:lpstr>
      <vt:lpstr>air_GPU_VM_class</vt:lpstr>
      <vt:lpstr>air_license</vt:lpstr>
      <vt:lpstr>asn_instance</vt:lpstr>
      <vt:lpstr>asn_mgmt_az1</vt:lpstr>
      <vt:lpstr>asn_mgmt_az2</vt:lpstr>
      <vt:lpstr>asn_start</vt:lpstr>
      <vt:lpstr>asn_wld_az1</vt:lpstr>
      <vt:lpstr>asn_wld_az2</vt:lpstr>
      <vt:lpstr>avilb_root_password</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cbr_aria_logs_key</vt:lpstr>
      <vt:lpstr>cbr_aria_logs_url</vt:lpstr>
      <vt:lpstr>cbr_chosen</vt:lpstr>
      <vt:lpstr>cbr_firewall_rule_vcenter</vt:lpstr>
      <vt:lpstr>cbr_recovery_host_count</vt:lpstr>
      <vt:lpstr>cbr_recovery_host_type</vt:lpstr>
      <vt:lpstr>cbr_recovery_management_subnet</vt:lpstr>
      <vt:lpstr>cbr_recovery_region</vt:lpstr>
      <vt:lpstr>cbr_recovery_sddc_name</vt:lpstr>
      <vt:lpstr>cbr_recovery_subnet</vt:lpstr>
      <vt:lpstr>cbr_recovery_vpc</vt:lpstr>
      <vt:lpstr>cbr_result</vt:lpstr>
      <vt:lpstr>cbr_vcdr_anti_affinity</vt:lpstr>
      <vt:lpstr>cbr_vcdr_cdp1_hostname</vt:lpstr>
      <vt:lpstr>cbr_vcdr_cdp1_ip</vt:lpstr>
      <vt:lpstr>cbr_vcdr_cdp2_hostname</vt:lpstr>
      <vt:lpstr>cbr_vcdr_cdp2_ip</vt:lpstr>
      <vt:lpstr>cbr_vcdr_email_recipient</vt:lpstr>
      <vt:lpstr>cbr_vcdr_email_sender</vt:lpstr>
      <vt:lpstr>cbr_vcdr_label</vt:lpstr>
      <vt:lpstr>cbr_vcdr_orchestrator_fqdn</vt:lpstr>
      <vt:lpstr>cbr_vcdr_ova</vt:lpstr>
      <vt:lpstr>cbr_vcdr_passcode</vt:lpstr>
      <vt:lpstr>cbr_vcdr_site_name</vt:lpstr>
      <vt:lpstr>cbr_vcdr_timezone</vt:lpstr>
      <vt:lpstr>cbr_vcdr_vsphere_role</vt:lpstr>
      <vt:lpstr>cbr_vm_folder</vt:lpstr>
      <vt:lpstr>ccm_aws_admin_password</vt:lpstr>
      <vt:lpstr>ccm_aws_admin_ssouser</vt:lpstr>
      <vt:lpstr>ccm_aws_host_count</vt:lpstr>
      <vt:lpstr>ccm_aws_host_type</vt:lpstr>
      <vt:lpstr>ccm_aws_management_subnet</vt:lpstr>
      <vt:lpstr>ccm_aws_region</vt:lpstr>
      <vt:lpstr>ccm_aws_sddc_name</vt:lpstr>
      <vt:lpstr>ccm_aws_subnet</vt:lpstr>
      <vt:lpstr>ccm_aws_vpc</vt:lpstr>
      <vt:lpstr>ccm_chosen</vt:lpstr>
      <vt:lpstr>ccm_firewall_group</vt:lpstr>
      <vt:lpstr>ccm_firewall_ip_addresses</vt:lpstr>
      <vt:lpstr>ccm_firewall_rule_hcx</vt:lpstr>
      <vt:lpstr>ccm_firewall_rule_vcenter</vt:lpstr>
      <vt:lpstr>ccm_hcx_admin_password</vt:lpstr>
      <vt:lpstr>ccm_hcx_cdp_hostname</vt:lpstr>
      <vt:lpstr>ccm_hcx_cdp_ip</vt:lpstr>
      <vt:lpstr>ccm_hcx_compute_profile</vt:lpstr>
      <vt:lpstr>ccm_hcx_dc_location</vt:lpstr>
      <vt:lpstr>ccm_hcx_license</vt:lpstr>
      <vt:lpstr>ccm_hcx_mgmt_network_ip_range</vt:lpstr>
      <vt:lpstr>ccm_hcx_nsx_svc_password</vt:lpstr>
      <vt:lpstr>ccm_hcx_nsx_svc_user</vt:lpstr>
      <vt:lpstr>ccm_hcx_remote_url</vt:lpstr>
      <vt:lpstr>ccm_hcx_resource_pool</vt:lpstr>
      <vt:lpstr>ccm_hcx_root_password</vt:lpstr>
      <vt:lpstr>ccm_hcx_service_mesh</vt:lpstr>
      <vt:lpstr>ccm_hcx_vm_folder</vt:lpstr>
      <vt:lpstr>ccm_hcx_vmotion_network_ip_range</vt:lpstr>
      <vt:lpstr>ccm_hcx_vsphere_role</vt:lpstr>
      <vt:lpstr>ccm_hcx_vsphere_svc_password</vt:lpstr>
      <vt:lpstr>ccm_hcx_vsphere_svc_user</vt:lpstr>
      <vt:lpstr>ccm_result</vt:lpstr>
      <vt:lpstr>ccm_vm_folder</vt:lpstr>
      <vt:lpstr>certificate_authority_fqdn</vt:lpstr>
      <vt:lpstr>certificate_authority_model</vt:lpstr>
      <vt:lpstr>certificate_authority_name</vt:lpstr>
      <vt:lpstr>change_control_new</vt:lpstr>
      <vt:lpstr>change_control_old</vt:lpstr>
      <vt:lpstr>child_ad_groups_ou</vt:lpstr>
      <vt:lpstr>child_ad_users_ou</vt:lpstr>
      <vt:lpstr>child_dns_zone</vt:lpstr>
      <vt:lpstr>child_svc_nsx_ad_password</vt:lpstr>
      <vt:lpstr>child_svc_nsx_ad_user</vt:lpstr>
      <vt:lpstr>child_svc_vsphere_ad_password</vt:lpstr>
      <vt:lpstr>child_svc_vsphere_ad_user</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cluster_az1_principal_storage_gateway_ip</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cluster_az1_secondary_storage_gateway_ip</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cluster_az1_storage_cluster_gateway_ip</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cluster_az1_vmotion_gateway_ip</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cluster_az2_storage_cluster_cidr</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cluster_vds01_lacp_mode_chosen</vt:lpstr>
      <vt:lpstr>cluster_vds01_lacp_timeout_chosen</vt:lpstr>
      <vt:lpstr>cluster_vds01_lag_lbt_chosen</vt:lpstr>
      <vt:lpstr>cluster_vds01_lag_name</vt:lpstr>
      <vt:lpstr>cluster_vds01_link_type_chosen</vt:lpstr>
      <vt:lpstr>cluster_vds01_mtu</vt:lpstr>
      <vt:lpstr>cluster_vds01_name</vt:lpstr>
      <vt:lpstr>cluster_vds01_pnics</vt:lpstr>
      <vt:lpstr>cluster_vds01_traffic_type</vt:lpstr>
      <vt:lpstr>cluster_vds01_uplink_count</vt:lpstr>
      <vt:lpstr>cluster_vds02_lacp_mode_chosen</vt:lpstr>
      <vt:lpstr>cluster_vds02_lacp_timeout_chosen</vt:lpstr>
      <vt:lpstr>cluster_vds02_lag_lbt_chosen</vt:lpstr>
      <vt:lpstr>cluster_vds02_lag_name</vt:lpstr>
      <vt:lpstr>cluster_vds02_link_type_chosen</vt:lpstr>
      <vt:lpstr>cluster_vds02_mtu</vt:lpstr>
      <vt:lpstr>cluster_vds02_name</vt:lpstr>
      <vt:lpstr>cluster_vds02_pnics</vt:lpstr>
      <vt:lpstr>cluster_vds02_traffic_type</vt:lpstr>
      <vt:lpstr>cluster_vds02_uplink_count</vt:lpstr>
      <vt:lpstr>cluster_vds03_lacp_mode_chosen</vt:lpstr>
      <vt:lpstr>cluster_vds03_lacp_timeout_chosen</vt:lpstr>
      <vt:lpstr>cluster_vds03_lag_lbt_chosen</vt:lpstr>
      <vt:lpstr>cluster_vds03_lag_name</vt:lpstr>
      <vt:lpstr>cluster_vds03_link_type_chosen</vt:lpstr>
      <vt:lpstr>cluster_vds03_mtu</vt:lpstr>
      <vt:lpstr>cluster_vds03_name</vt:lpstr>
      <vt:lpstr>cluster_vds03_pnics</vt:lpstr>
      <vt:lpstr>cluster_vds03_traffic_type</vt:lpstr>
      <vt:lpstr>cluster_vds03_uplink_count</vt:lpstr>
      <vt:lpstr>cluster_vmfs_datastore_name</vt:lpstr>
      <vt:lpstr>cluster_vsan_client_network</vt:lpstr>
      <vt:lpstr>cluster_vsan_compute_fault_domain_mapping_chosen</vt:lpstr>
      <vt:lpstr>cluster_vsan_compute_network_topology_chosen</vt:lpstr>
      <vt:lpstr>cluster_vsan_datastore</vt:lpstr>
      <vt:lpstr>cluster_vsan_dedupe_compression_chosen</vt:lpstr>
      <vt:lpstr>cluster_vsan_ftt_chosen</vt:lpstr>
      <vt:lpstr>cluster_vsan_type</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cluster_witnessaz_mgmt_cidr</vt:lpstr>
      <vt:lpstr>cluster_witnessaz_mgmt_gateway_ip</vt:lpstr>
      <vt:lpstr>cluster_witnessaz_mgmt_mask</vt:lpstr>
      <vt:lpstr>cluster_witnessaz_mgmt_mtu</vt:lpstr>
      <vt:lpstr>cluster_witnessaz_mgmt_vlan</vt:lpstr>
      <vt:lpstr>cluster_wld_domain_chosen</vt:lpstr>
      <vt:lpstr>deployment_type_vcf</vt:lpstr>
      <vt:lpstr>deployment_type_vvf</vt:lpstr>
      <vt:lpstr>domain_controller_hostname</vt:lpstr>
      <vt:lpstr>dri_dns_servers</vt:lpstr>
      <vt:lpstr>dri_ec_name</vt:lpstr>
      <vt:lpstr>dri_k8s_server_address</vt:lpstr>
      <vt:lpstr>dri_k8s_size_hint</vt:lpstr>
      <vt:lpstr>dri_load_balancer_ge</vt:lpstr>
      <vt:lpstr>dri_load_balancer_le</vt:lpstr>
      <vt:lpstr>dri_network_address_range_size</vt:lpstr>
      <vt:lpstr>dri_network_mode</vt:lpstr>
      <vt:lpstr>dri_nsxt_vip_fqdn</vt:lpstr>
      <vt:lpstr>dri_ntp_servers</vt:lpstr>
      <vt:lpstr>dri_overlay_transport_zone</vt:lpstr>
      <vt:lpstr>dri_sddc_domain</vt:lpstr>
      <vt:lpstr>dri_tier0_name</vt:lpstr>
      <vt:lpstr>dri_vcenter_cluster</vt:lpstr>
      <vt:lpstr>dri_vcenter_datacenter</vt:lpstr>
      <vt:lpstr>dri_vcenter_fqdn</vt:lpstr>
      <vt:lpstr>dri_vcenter_vds_name</vt:lpstr>
      <vt:lpstr>dri_vcenter_vsan_datastore</vt:lpstr>
      <vt:lpstr>esxi_root_password</vt:lpstr>
      <vt:lpstr>first_domain_mgmt_only_viable</vt:lpstr>
      <vt:lpstr>first_domain_mgmt_vi_viable</vt:lpstr>
      <vt:lpstr>First_Instance</vt:lpstr>
      <vt:lpstr>flt_auto_node_pool_end_ip</vt:lpstr>
      <vt:lpstr>flt_auto_node_pool_start_ip</vt:lpstr>
      <vt:lpstr>flt_auto_sr_fqdn</vt:lpstr>
      <vt:lpstr>flt_auto_sr_ip</vt:lpstr>
      <vt:lpstr>flt_custom_management_cidr</vt:lpstr>
      <vt:lpstr>flt_custom_management_gateway_ip</vt:lpstr>
      <vt:lpstr>flt_custom_management_mask</vt:lpstr>
      <vt:lpstr>flt_custom_management_mtu</vt:lpstr>
      <vt:lpstr>flt_custom_management_network</vt:lpstr>
      <vt:lpstr>flt_custom_management_vlan</vt:lpstr>
      <vt:lpstr>flt_custom_network_auto_admin_password</vt:lpstr>
      <vt:lpstr>flt_custom_network_auto_cluster_cidr_chosen</vt:lpstr>
      <vt:lpstr>flt_custom_network_auto_nodea_ip</vt:lpstr>
      <vt:lpstr>flt_custom_network_auto_nodeb_ip</vt:lpstr>
      <vt:lpstr>flt_custom_network_auto_nodec_ip</vt:lpstr>
      <vt:lpstr>flt_custom_network_auto_noded_ip</vt:lpstr>
      <vt:lpstr>flt_custom_network_auto_nodee_ip</vt:lpstr>
      <vt:lpstr>flt_custom_network_auto_nodef_ip</vt:lpstr>
      <vt:lpstr>flt_custom_network_auto_prefix</vt:lpstr>
      <vt:lpstr>flt_custom_network_auto_vip_fqdn</vt:lpstr>
      <vt:lpstr>flt_custom_network_auto_vip_ip</vt:lpstr>
      <vt:lpstr>flt_custom_network_chosen</vt:lpstr>
      <vt:lpstr>flt_custom_network_flt_admin_password</vt:lpstr>
      <vt:lpstr>flt_custom_network_flt_existing_chosen</vt:lpstr>
      <vt:lpstr>flt_custom_network_flt_fqdn</vt:lpstr>
      <vt:lpstr>flt_custom_network_flt_ip</vt:lpstr>
      <vt:lpstr>flt_custom_network_flt_root_password</vt:lpstr>
      <vt:lpstr>flt_custom_network_ha_mode_chosen</vt:lpstr>
      <vt:lpstr>flt_custom_network_local_reg_gateway_ip</vt:lpstr>
      <vt:lpstr>flt_custom_network_local_reg_mask</vt:lpstr>
      <vt:lpstr>flt_custom_network_local_reg_pg</vt:lpstr>
      <vt:lpstr>flt_custom_network_ops_admin_password</vt:lpstr>
      <vt:lpstr>flt_custom_network_ops_collector_fqdn</vt:lpstr>
      <vt:lpstr>flt_custom_network_ops_collector_ip</vt:lpstr>
      <vt:lpstr>flt_custom_network_ops_collector_root_password</vt:lpstr>
      <vt:lpstr>flt_custom_network_ops_collector_size_chosen</vt:lpstr>
      <vt:lpstr>flt_custom_network_ops_collector_version</vt:lpstr>
      <vt:lpstr>flt_custom_network_ops_existing_chosen</vt:lpstr>
      <vt:lpstr>flt_custom_network_ops_nodea_fqdn</vt:lpstr>
      <vt:lpstr>flt_custom_network_ops_nodea_ip</vt:lpstr>
      <vt:lpstr>flt_custom_network_ops_nodeb_fqdn</vt:lpstr>
      <vt:lpstr>flt_custom_network_ops_nodeb_ip</vt:lpstr>
      <vt:lpstr>flt_custom_network_ops_nodec_fqdn</vt:lpstr>
      <vt:lpstr>flt_custom_network_ops_nodec_ip</vt:lpstr>
      <vt:lpstr>flt_custom_network_ops_root_password</vt:lpstr>
      <vt:lpstr>flt_custom_network_ops_size_chosen</vt:lpstr>
      <vt:lpstr>flt_custom_network_ops_vip_ip</vt:lpstr>
      <vt:lpstr>flt_custom_network_result</vt:lpstr>
      <vt:lpstr>flt_custom_network_vcf_ops_automation_chosen</vt:lpstr>
      <vt:lpstr>flt_custom_network_vcf_ops_automation_result</vt:lpstr>
      <vt:lpstr>flt_custom_network_x_reg_gateway_ip</vt:lpstr>
      <vt:lpstr>flt_custom_network_x_reg_mask</vt:lpstr>
      <vt:lpstr>flt_custom_network_x_reg_pg</vt:lpstr>
      <vt:lpstr>flt_fc_fqdn</vt:lpstr>
      <vt:lpstr>flt_fc_ip</vt:lpstr>
      <vt:lpstr>flt_ic_fqdn</vt:lpstr>
      <vt:lpstr>flt_ic_ip</vt:lpstr>
      <vt:lpstr>flt_lc_fqdn</vt:lpstr>
      <vt:lpstr>flt_lc_ip</vt:lpstr>
      <vt:lpstr>flt_logs_admin_email</vt:lpstr>
      <vt:lpstr>flt_logs_admin_password</vt:lpstr>
      <vt:lpstr>flt_logs_admin_password_alias</vt:lpstr>
      <vt:lpstr>flt_logs_admin_password_description</vt:lpstr>
      <vt:lpstr>flt_logs_admin_username</vt:lpstr>
      <vt:lpstr>flt_logs_affinty_rule_chosen</vt:lpstr>
      <vt:lpstr>flt_logs_cert_alias</vt:lpstr>
      <vt:lpstr>flt_logs_cert_country_code</vt:lpstr>
      <vt:lpstr>flt_logs_cert_ip_addresses</vt:lpstr>
      <vt:lpstr>flt_logs_cert_key_length_chosen</vt:lpstr>
      <vt:lpstr>flt_logs_cert_locality</vt:lpstr>
      <vt:lpstr>flt_logs_cert_organisation</vt:lpstr>
      <vt:lpstr>flt_logs_cert_state</vt:lpstr>
      <vt:lpstr>flt_logs_cert_type_chosen</vt:lpstr>
      <vt:lpstr>flt_logs_chosen</vt:lpstr>
      <vt:lpstr>flt_logs_cluster</vt:lpstr>
      <vt:lpstr>flt_logs_common_name</vt:lpstr>
      <vt:lpstr>flt_logs_configure_vip_chosen</vt:lpstr>
      <vt:lpstr>flt_logs_datastore</vt:lpstr>
      <vt:lpstr>flt_logs_disk_mode_chosen</vt:lpstr>
      <vt:lpstr>flt_logs_fips_mode_chosen</vt:lpstr>
      <vt:lpstr>flt_logs_folder</vt:lpstr>
      <vt:lpstr>flt_logs_gateway_ip</vt:lpstr>
      <vt:lpstr>flt_logs_ha_mode_chosen</vt:lpstr>
      <vt:lpstr>flt_logs_install_type_chosen</vt:lpstr>
      <vt:lpstr>flt_logs_install_version</vt:lpstr>
      <vt:lpstr>flt_logs_mask</vt:lpstr>
      <vt:lpstr>flt_logs_node_size_chosen</vt:lpstr>
      <vt:lpstr>flt_logs_nodea_fqdn</vt:lpstr>
      <vt:lpstr>flt_logs_nodea_hostname</vt:lpstr>
      <vt:lpstr>flt_logs_nodea_ip</vt:lpstr>
      <vt:lpstr>flt_logs_nodeb_fqdn</vt:lpstr>
      <vt:lpstr>flt_logs_nodeb_hostname</vt:lpstr>
      <vt:lpstr>flt_logs_nodeb_ip</vt:lpstr>
      <vt:lpstr>flt_logs_nodec_fqdn</vt:lpstr>
      <vt:lpstr>flt_logs_nodec_hostname</vt:lpstr>
      <vt:lpstr>flt_logs_nodec_ip</vt:lpstr>
      <vt:lpstr>flt_logs_ou_cert</vt:lpstr>
      <vt:lpstr>flt_logs_portgroup</vt:lpstr>
      <vt:lpstr>flt_logs_resource_pool</vt:lpstr>
      <vt:lpstr>flt_logs_result</vt:lpstr>
      <vt:lpstr>flt_logs_root_password</vt:lpstr>
      <vt:lpstr>flt_logs_root_password_alias</vt:lpstr>
      <vt:lpstr>flt_logs_root_password_description</vt:lpstr>
      <vt:lpstr>flt_logs_root_username</vt:lpstr>
      <vt:lpstr>flt_logs_time_sync_mode</vt:lpstr>
      <vt:lpstr>flt_logs_time_sync_mode_chosen</vt:lpstr>
      <vt:lpstr>flt_logs_upgrade_vm_compatabilty_chosen</vt:lpstr>
      <vt:lpstr>flt_logs_use_english_chosen</vt:lpstr>
      <vt:lpstr>flt_logs_vcenter_fqdn</vt:lpstr>
      <vt:lpstr>flt_logs_vip_fqdn</vt:lpstr>
      <vt:lpstr>flt_logs_vip_ip</vt:lpstr>
      <vt:lpstr>flt_net_admin_password</vt:lpstr>
      <vt:lpstr>flt_net_admin_password_alias</vt:lpstr>
      <vt:lpstr>flt_net_admin_password_description</vt:lpstr>
      <vt:lpstr>flt_net_admin_username</vt:lpstr>
      <vt:lpstr>flt_net_affinty_rule_chosen</vt:lpstr>
      <vt:lpstr>flt_net_cert_alias</vt:lpstr>
      <vt:lpstr>flt_net_cert_country_code</vt:lpstr>
      <vt:lpstr>flt_net_cert_key_length_chosen</vt:lpstr>
      <vt:lpstr>flt_net_cert_locality</vt:lpstr>
      <vt:lpstr>flt_net_cert_organisation</vt:lpstr>
      <vt:lpstr>flt_net_cert_state</vt:lpstr>
      <vt:lpstr>flt_net_cert_type_chosen</vt:lpstr>
      <vt:lpstr>flt_net_chosen</vt:lpstr>
      <vt:lpstr>flt_net_cluster</vt:lpstr>
      <vt:lpstr>flt_net_common_name</vt:lpstr>
      <vt:lpstr>flt_net_console_password</vt:lpstr>
      <vt:lpstr>flt_net_datastore</vt:lpstr>
      <vt:lpstr>flt_net_disk_mode_chosen</vt:lpstr>
      <vt:lpstr>flt_net_fips_mode_chosen</vt:lpstr>
      <vt:lpstr>flt_net_folder</vt:lpstr>
      <vt:lpstr>flt_net_ha_mode_chosen</vt:lpstr>
      <vt:lpstr>flt_net_install_type_chosen</vt:lpstr>
      <vt:lpstr>flt_net_install_version</vt:lpstr>
      <vt:lpstr>flt_net_integrate_auth_chosen</vt:lpstr>
      <vt:lpstr>flt_net_node_gateway_ip</vt:lpstr>
      <vt:lpstr>flt_net_node_mask</vt:lpstr>
      <vt:lpstr>flt_net_node_portgroup</vt:lpstr>
      <vt:lpstr>flt_net_nodea_fqdn</vt:lpstr>
      <vt:lpstr>flt_net_nodea_hostname</vt:lpstr>
      <vt:lpstr>flt_net_nodea_ip</vt:lpstr>
      <vt:lpstr>flt_net_nodea_size_chosen</vt:lpstr>
      <vt:lpstr>flt_net_nodeb_fqdn</vt:lpstr>
      <vt:lpstr>flt_net_nodeb_hostname</vt:lpstr>
      <vt:lpstr>flt_net_nodeb_ip</vt:lpstr>
      <vt:lpstr>flt_net_nodeb_size_chosen</vt:lpstr>
      <vt:lpstr>flt_net_nodec_fqdn</vt:lpstr>
      <vt:lpstr>flt_net_nodec_hostname</vt:lpstr>
      <vt:lpstr>flt_net_nodec_ip</vt:lpstr>
      <vt:lpstr>flt_net_nodec_size_chosen</vt:lpstr>
      <vt:lpstr>flt_net_ou_cert</vt:lpstr>
      <vt:lpstr>flt_net_platform_password</vt:lpstr>
      <vt:lpstr>flt_net_prxy_fqdn</vt:lpstr>
      <vt:lpstr>flt_net_prxy_gateway_ip</vt:lpstr>
      <vt:lpstr>flt_net_prxy_hostname</vt:lpstr>
      <vt:lpstr>flt_net_prxy_ip</vt:lpstr>
      <vt:lpstr>flt_net_prxy_mask</vt:lpstr>
      <vt:lpstr>flt_net_prxy_portgroup</vt:lpstr>
      <vt:lpstr>flt_net_prxy_size_chosen</vt:lpstr>
      <vt:lpstr>flt_net_resource_pool</vt:lpstr>
      <vt:lpstr>flt_net_result</vt:lpstr>
      <vt:lpstr>flt_net_support_password</vt:lpstr>
      <vt:lpstr>flt_net_time_sync_mode_chosen</vt:lpstr>
      <vt:lpstr>flt_net_vcenter_fqdn</vt:lpstr>
      <vt:lpstr>flt_net_vcenter_list</vt:lpstr>
      <vt:lpstr>flt_sr_fqdn</vt:lpstr>
      <vt:lpstr>flt_sr_ip</vt:lpstr>
      <vt:lpstr>flt_vcfms_node_pool_end_ip</vt:lpstr>
      <vt:lpstr>flt_vcfms_node_pool_start_ip</vt:lpstr>
      <vt:lpstr>flt_vidb_additional_vips</vt:lpstr>
      <vt:lpstr>flt_vidb_base_dn</vt:lpstr>
      <vt:lpstr>flt_vidb_bind_password</vt:lpstr>
      <vt:lpstr>flt_vidb_bind_username</vt:lpstr>
      <vt:lpstr>flt_vidb_cert_alias</vt:lpstr>
      <vt:lpstr>flt_vidb_cert_common_name</vt:lpstr>
      <vt:lpstr>flt_vidb_cert_country_code</vt:lpstr>
      <vt:lpstr>flt_vidb_cert_key_length_chosen</vt:lpstr>
      <vt:lpstr>flt_vidb_cert_locality</vt:lpstr>
      <vt:lpstr>flt_vidb_cert_organisation</vt:lpstr>
      <vt:lpstr>flt_vidb_cert_state</vt:lpstr>
      <vt:lpstr>flt_vidb_cert_type_chosen</vt:lpstr>
      <vt:lpstr>flt_vidb_chosen</vt:lpstr>
      <vt:lpstr>flt_vidb_cluster</vt:lpstr>
      <vt:lpstr>flt_vidb_datastore</vt:lpstr>
      <vt:lpstr>flt_vidb_deployment_mode</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flt_vidb_folder</vt:lpstr>
      <vt:lpstr>flt_vidb_gateway_ip</vt:lpstr>
      <vt:lpstr>flt_vidb_global_catalog_chosen</vt:lpstr>
      <vt:lpstr>flt_vidb_group_base_dn</vt:lpstr>
      <vt:lpstr>flt_vidb_hostname</vt:lpstr>
      <vt:lpstr>flt_vidb_identity_provider_chosen</vt:lpstr>
      <vt:lpstr>flt_vidb_internal_cidr_chosen</vt:lpstr>
      <vt:lpstr>flt_vidb_last_name</vt:lpstr>
      <vt:lpstr>flt_vidb_mail</vt:lpstr>
      <vt:lpstr>flt_vidb_mask</vt:lpstr>
      <vt:lpstr>flt_vidb_node_prefix</vt:lpstr>
      <vt:lpstr>flt_vidb_nodea_ip</vt:lpstr>
      <vt:lpstr>flt_vidb_nodeb_ip</vt:lpstr>
      <vt:lpstr>flt_vidb_nodec_ip</vt:lpstr>
      <vt:lpstr>flt_vidb_noded_ip</vt:lpstr>
      <vt:lpstr>flt_vidb_ou_cert</vt:lpstr>
      <vt:lpstr>flt_vidb_password</vt:lpstr>
      <vt:lpstr>flt_vidb_password_alias</vt:lpstr>
      <vt:lpstr>flt_vidb_password_description</vt:lpstr>
      <vt:lpstr>flt_vidb_pg</vt:lpstr>
      <vt:lpstr>flt_vidb_primary_domain_controller</vt:lpstr>
      <vt:lpstr>flt_vidb_primary_domain_controller_port</vt:lpstr>
      <vt:lpstr>flt_vidb_resource_pool</vt:lpstr>
      <vt:lpstr>flt_vidb_result</vt:lpstr>
      <vt:lpstr>flt_vidb_root_username</vt:lpstr>
      <vt:lpstr>flt_vidb_secondary_domain_controller</vt:lpstr>
      <vt:lpstr>flt_vidb_secondary_domain_controller_port</vt:lpstr>
      <vt:lpstr>flt_vidb_server_location_chosen</vt:lpstr>
      <vt:lpstr>flt_vidb_size_chosen</vt:lpstr>
      <vt:lpstr>flt_vidb_system_user_alias</vt:lpstr>
      <vt:lpstr>flt_vidb_system_user_description</vt:lpstr>
      <vt:lpstr>flt_vidb_system_user_password</vt:lpstr>
      <vt:lpstr>flt_vidb_time_sync_mode_chosen</vt:lpstr>
      <vt:lpstr>flt_vidb_type_chosen</vt:lpstr>
      <vt:lpstr>flt_vidb_user_base_dn</vt:lpstr>
      <vt:lpstr>flt_vidb_user_name</vt:lpstr>
      <vt:lpstr>flt_vidb_user_principal_name</vt:lpstr>
      <vt:lpstr>flt_vidb_vcenter_fqdn</vt:lpstr>
      <vt:lpstr>flt_vidb_version</vt:lpstr>
      <vt:lpstr>flt_vidb_vip_fqdn</vt:lpstr>
      <vt:lpstr>flt_vidb_vip_ip</vt:lpstr>
      <vt:lpstr>global_env_admin_password</vt:lpstr>
      <vt:lpstr>global_env_admin_password_alias</vt:lpstr>
      <vt:lpstr>global_env_admin_username</vt:lpstr>
      <vt:lpstr>group_gg_kub_admins</vt:lpstr>
      <vt:lpstr>group_gg_kub_readonly</vt:lpstr>
      <vt:lpstr>group_gg_nsx_auditors</vt:lpstr>
      <vt:lpstr>group_gg_nsx_enterprise_admins</vt:lpstr>
      <vt:lpstr>group_gg_nsx_network_admins</vt:lpstr>
      <vt:lpstr>group_gg_sso_admins</vt:lpstr>
      <vt:lpstr>group_gg_vc_admins</vt:lpstr>
      <vt:lpstr>group_gg_vc_read_only</vt:lpstr>
      <vt:lpstr>group_gg_vcf_admins</vt:lpstr>
      <vt:lpstr>group_gg_vcf_operators</vt:lpstr>
      <vt:lpstr>group_gg_vcf_viewers</vt:lpstr>
      <vt:lpstr>group_gg_vra_cloud_assembly_admins</vt:lpstr>
      <vt:lpstr>group_gg_vra_cloud_assembly_users</vt:lpstr>
      <vt:lpstr>group_gg_vra_cloud_assembly_viewers</vt:lpstr>
      <vt:lpstr>group_gg_vra_orchestrator_viewers</vt:lpstr>
      <vt:lpstr>group_gg_vra_org_owners</vt:lpstr>
      <vt:lpstr>group_gg_vra_project_admins_sample</vt:lpstr>
      <vt:lpstr>group_gg_vra_project_users_sample</vt:lpstr>
      <vt:lpstr>group_gg_vrli_admins</vt:lpstr>
      <vt:lpstr>group_gg_vrli_users</vt:lpstr>
      <vt:lpstr>group_gg_vrli_viewers</vt:lpstr>
      <vt:lpstr>group_gg_vrops_admins</vt:lpstr>
      <vt:lpstr>group_gg_vrops_content_admins</vt:lpstr>
      <vt:lpstr>group_gg_vrops_read_only</vt:lpstr>
      <vt:lpstr>group_gg_vrslcm_admins</vt:lpstr>
      <vt:lpstr>group_gg_vrslcm_content_developers</vt:lpstr>
      <vt:lpstr>group_gg_vrslcm_release_managers</vt:lpstr>
      <vt:lpstr>group_parent_gg_wsa_admins</vt:lpstr>
      <vt:lpstr>group_parent_gg_wsa_directory_admins</vt:lpstr>
      <vt:lpstr>group_parent_gg_wsa_read_only</vt:lpstr>
      <vt:lpstr>input_administrator_vsphere_local_password</vt:lpstr>
      <vt:lpstr>input_air_GPU_network_operator_namespace</vt:lpstr>
      <vt:lpstr>input_air_GPU_operator_namespace</vt:lpstr>
      <vt:lpstr>input_air_GPU_VM_class</vt:lpstr>
      <vt:lpstr>input_air_license</vt:lpstr>
      <vt:lpstr>input_avilb_root_password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input_cbr_aria_logs_key</vt:lpstr>
      <vt:lpstr>input_cbr_aria_logs_url</vt:lpstr>
      <vt:lpstr>input_cbr_firewall_group</vt:lpstr>
      <vt:lpstr>input_cbr_firewall_ip_addresses</vt:lpstr>
      <vt:lpstr>input_cbr_firewall_rule_vcenter</vt:lpstr>
      <vt:lpstr>input_cbr_recovery_host_count</vt:lpstr>
      <vt:lpstr>input_cbr_recovery_host_type</vt:lpstr>
      <vt:lpstr>input_cbr_recovery_management_subnet</vt:lpstr>
      <vt:lpstr>input_cbr_recovery_region</vt:lpstr>
      <vt:lpstr>input_cbr_recovery_sddc_name</vt:lpstr>
      <vt:lpstr>input_cbr_recovery_subnet</vt:lpstr>
      <vt:lpstr>input_cbr_recovery_vpc</vt:lpstr>
      <vt:lpstr>input_cbr_vcdr_anti_affinity</vt:lpstr>
      <vt:lpstr>input_cbr_vcdr_cdp1_hostname</vt:lpstr>
      <vt:lpstr>input_cbr_vcdr_cdp1_ip</vt:lpstr>
      <vt:lpstr>input_cbr_vcdr_cdp2_hostname</vt:lpstr>
      <vt:lpstr>input_cbr_vcdr_cdp2_ip</vt:lpstr>
      <vt:lpstr>input_cbr_vcdr_cloud_file_system</vt:lpstr>
      <vt:lpstr>input_cbr_vcdr_email_recipient</vt:lpstr>
      <vt:lpstr>input_cbr_vcdr_email_sender</vt:lpstr>
      <vt:lpstr>input_cbr_vcdr_label</vt:lpstr>
      <vt:lpstr>input_cbr_vcdr_orchestrator_fqdn</vt:lpstr>
      <vt:lpstr>input_cbr_vcdr_ova</vt:lpstr>
      <vt:lpstr>input_cbr_vcdr_passcode</vt:lpstr>
      <vt:lpstr>input_cbr_vcdr_site_name</vt:lpstr>
      <vt:lpstr>input_cbr_vcdr_timezone</vt:lpstr>
      <vt:lpstr>input_cbr_vcdr_vsphere_role</vt:lpstr>
      <vt:lpstr>input_cbr_vm_folder</vt:lpstr>
      <vt:lpstr>input_cbw_hcx_cdp_fqdn</vt:lpstr>
      <vt:lpstr>input_ccm_aws_admin_password</vt:lpstr>
      <vt:lpstr>input_ccm_aws_admin_ssouser</vt:lpstr>
      <vt:lpstr>input_ccm_aws_host_count</vt:lpstr>
      <vt:lpstr>input_ccm_aws_host_type</vt:lpstr>
      <vt:lpstr>input_ccm_aws_management_subnet</vt:lpstr>
      <vt:lpstr>input_ccm_aws_region</vt:lpstr>
      <vt:lpstr>input_ccm_aws_sddc_name</vt:lpstr>
      <vt:lpstr>input_ccm_aws_subnet</vt:lpstr>
      <vt:lpstr>input_ccm_aws_vpc</vt:lpstr>
      <vt:lpstr>input_ccm_firewall_group</vt:lpstr>
      <vt:lpstr>input_ccm_firewall_ip_addresses</vt:lpstr>
      <vt:lpstr>input_ccm_firewall_rule_hcx</vt:lpstr>
      <vt:lpstr>input_ccm_firewall_rule_vcenter</vt:lpstr>
      <vt:lpstr>input_ccm_hcx_admin_password</vt:lpstr>
      <vt:lpstr>input_ccm_hcx_cdp_hostname</vt:lpstr>
      <vt:lpstr>input_ccm_hcx_cdp_ip</vt:lpstr>
      <vt:lpstr>input_ccm_hcx_compute_profile</vt:lpstr>
      <vt:lpstr>input_ccm_hcx_dc_location</vt:lpstr>
      <vt:lpstr>input_ccm_hcx_license</vt:lpstr>
      <vt:lpstr>input_ccm_hcx_mgmt_network_ip_range</vt:lpstr>
      <vt:lpstr>input_ccm_hcx_remote_url</vt:lpstr>
      <vt:lpstr>input_ccm_hcx_resource_pool</vt:lpstr>
      <vt:lpstr>input_ccm_hcx_root_password</vt:lpstr>
      <vt:lpstr>input_ccm_hcx_service_mesh</vt:lpstr>
      <vt:lpstr>input_ccm_hcx_vm_folder</vt:lpstr>
      <vt:lpstr>input_ccm_hcx_vmotion_network_ip_range</vt:lpstr>
      <vt:lpstr>input_ccm_hcx_vsphere_role</vt:lpstr>
      <vt:lpstr>input_ccm_vm_folder</vt:lpstr>
      <vt:lpstr>input_certificate_authority_fqdn</vt:lpstr>
      <vt:lpstr>input_certificate_authority_name</vt:lpstr>
      <vt:lpstr>input_child_ad_groups_ou</vt:lpstr>
      <vt:lpstr>input_child_ad_users_ou</vt:lpstr>
      <vt:lpstr>input_child_dns_zone</vt:lpstr>
      <vt:lpstr>input_child_svc_nsx_ad_password</vt:lpstr>
      <vt:lpstr>input_child_svc_nsx_ad_user</vt:lpstr>
      <vt:lpstr>input_child_svc_vsphere_ad_password</vt:lpstr>
      <vt:lpstr>input_child_svc_vsphere_ad_user</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input_cluster_az1_principal_storage_gateway_ip</vt:lpstr>
      <vt:lpstr>input_cluster_az1_principal_storage_mask</vt:lpstr>
      <vt:lpstr>input_cluster_az1_principal_storage_mtu</vt:lpstr>
      <vt:lpstr>input_cluster_az1_principal_storage_network</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input_cluster_az1_secondary_storage_gateway_ip</vt:lpstr>
      <vt:lpstr>input_cluster_az1_secondary_storage_mask</vt:lpstr>
      <vt:lpstr>input_cluster_az1_secondary_storage_mtu</vt:lpstr>
      <vt:lpstr>input_cluster_az1_secondary_storage_network</vt:lpstr>
      <vt:lpstr>input_cluster_az1_secondary_storage_pool_end_ip</vt:lpstr>
      <vt:lpstr>input_cluster_az1_secondary_storage_pool_start_ip</vt:lpstr>
      <vt:lpstr>input_cluster_az1_secondary_storage_vlan</vt:lpstr>
      <vt:lpstr>input_cluster_az1_storage_cluster_gateway_ip</vt:lpstr>
      <vt:lpstr>input_cluster_az1_storage_cluster_mask</vt:lpstr>
      <vt:lpstr>input_cluster_az1_storage_cluster_mtu</vt:lpstr>
      <vt:lpstr>input_cluster_az1_storage_cluster_network</vt:lpstr>
      <vt:lpstr>input_cluster_az1_storage_cluster_pool_end_ip</vt:lpstr>
      <vt:lpstr>input_cluster_az1_storage_cluster_pool_start_ip</vt:lpstr>
      <vt:lpstr>input_cluster_az1_storage_cluster_vlan</vt:lpstr>
      <vt:lpstr>input_cluster_az1_vmotion_gateway_ip</vt:lpstr>
      <vt:lpstr>input_cluster_az1_vmotion_mask</vt:lpstr>
      <vt:lpstr>input_cluster_az1_vmotion_mtu</vt:lpstr>
      <vt:lpstr>input_cluster_az1_vmotion_network</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input_cluster_vds01_lag_name</vt:lpstr>
      <vt:lpstr>input_cluster_vds01_mtu</vt:lpstr>
      <vt:lpstr>input_cluster_vds01_name</vt:lpstr>
      <vt:lpstr>input_cluster_vds01_pnics</vt:lpstr>
      <vt:lpstr>input_cluster_vds01_uplink_count</vt:lpstr>
      <vt:lpstr>input_cluster_vds02_lag_name</vt:lpstr>
      <vt:lpstr>input_cluster_vds02_mtu</vt:lpstr>
      <vt:lpstr>input_cluster_vds02_name</vt:lpstr>
      <vt:lpstr>input_cluster_vds02_pnics</vt:lpstr>
      <vt:lpstr>input_cluster_vds02_uplink_count</vt:lpstr>
      <vt:lpstr>input_cluster_vds03_lag_name</vt:lpstr>
      <vt:lpstr>input_cluster_vds03_mtu</vt:lpstr>
      <vt:lpstr>input_cluster_vds03_name</vt:lpstr>
      <vt:lpstr>input_cluster_vds03_pnics</vt:lpstr>
      <vt:lpstr>input_cluster_vds03_uplink_count</vt:lpstr>
      <vt:lpstr>input_cluster_vmfs_datastore_name</vt:lpstr>
      <vt:lpstr>input_cluster_vsan_datastore</vt:lpstr>
      <vt:lpstr>input_cluster_vsan_type_non_vsan_storage</vt:lpstr>
      <vt:lpstr>input_cluster_vsan_type_with_client_network</vt:lpstr>
      <vt:lpstr>input_cluster_vsan_type_without_client_network</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input_domain_controller_hostname</vt:lpstr>
      <vt:lpstr>input_esxi_root_password</vt:lpstr>
      <vt:lpstr>input_flt_auto_node_pool_end_ip</vt:lpstr>
      <vt:lpstr>input_flt_auto_node_pool_start_ip</vt:lpstr>
      <vt:lpstr>input_flt_auto_sr_fqdn</vt:lpstr>
      <vt:lpstr>input_flt_auto_sr_ip</vt:lpstr>
      <vt:lpstr>input_flt_custom_network_auto_admin_password</vt:lpstr>
      <vt:lpstr>input_flt_custom_network_auto_nodea_ip</vt:lpstr>
      <vt:lpstr>input_flt_custom_network_auto_nodeb_ip</vt:lpstr>
      <vt:lpstr>input_flt_custom_network_auto_nodec_ip</vt:lpstr>
      <vt:lpstr>input_flt_custom_network_auto_noded_ip</vt:lpstr>
      <vt:lpstr>input_flt_custom_network_auto_nodee_ip</vt:lpstr>
      <vt:lpstr>input_flt_custom_network_auto_nodef_ip</vt:lpstr>
      <vt:lpstr>input_flt_custom_network_auto_prefix</vt:lpstr>
      <vt:lpstr>input_flt_custom_network_auto_vip_fqdn</vt:lpstr>
      <vt:lpstr>input_flt_custom_network_auto_vip_ip</vt:lpstr>
      <vt:lpstr>input_flt_custom_network_flt_admin_password</vt:lpstr>
      <vt:lpstr>input_flt_custom_network_flt_fqdn</vt:lpstr>
      <vt:lpstr>input_flt_custom_network_flt_ip</vt:lpstr>
      <vt:lpstr>input_flt_custom_network_flt_root_password</vt:lpstr>
      <vt:lpstr>input_flt_custom_network_flt_use_existing</vt:lpstr>
      <vt:lpstr>input_flt_custom_network_local_reg_gateway_ip</vt:lpstr>
      <vt:lpstr>input_flt_custom_network_local_reg_mask</vt:lpstr>
      <vt:lpstr>input_flt_custom_network_local_reg_pg</vt:lpstr>
      <vt:lpstr>input_flt_custom_network_ops_admin_password</vt:lpstr>
      <vt:lpstr>input_flt_custom_network_ops_collector_fqdn</vt:lpstr>
      <vt:lpstr>input_flt_custom_network_ops_collector_ip</vt:lpstr>
      <vt:lpstr>input_flt_custom_network_ops_collector_root_password</vt:lpstr>
      <vt:lpstr>input_flt_custom_network_ops_collector_version</vt:lpstr>
      <vt:lpstr>input_flt_custom_network_ops_nodea_fqdn</vt:lpstr>
      <vt:lpstr>input_flt_custom_network_ops_nodea_ip</vt:lpstr>
      <vt:lpstr>input_flt_custom_network_ops_nodeb_fqdn</vt:lpstr>
      <vt:lpstr>input_flt_custom_network_ops_nodeb_ip</vt:lpstr>
      <vt:lpstr>input_flt_custom_network_ops_nodec_fqdn</vt:lpstr>
      <vt:lpstr>input_flt_custom_network_ops_nodec_ip</vt:lpstr>
      <vt:lpstr>input_flt_custom_network_ops_root_password</vt:lpstr>
      <vt:lpstr>input_flt_custom_network_ops_use_existing</vt:lpstr>
      <vt:lpstr>input_flt_custom_network_ops_vip_fqdn</vt:lpstr>
      <vt:lpstr>input_flt_custom_network_ops_vip_ip</vt:lpstr>
      <vt:lpstr>input_flt_custom_network_x_reg_gateway_ip</vt:lpstr>
      <vt:lpstr>input_flt_custom_network_x_reg_mask</vt:lpstr>
      <vt:lpstr>input_flt_custom_network_x_reg_pg</vt:lpstr>
      <vt:lpstr>input_flt_fc_fqdn</vt:lpstr>
      <vt:lpstr>input_flt_fc_ip</vt:lpstr>
      <vt:lpstr>input_flt_ic_fqdn</vt:lpstr>
      <vt:lpstr>input_flt_ic_ip</vt:lpstr>
      <vt:lpstr>input_flt_lc_fqdn</vt:lpstr>
      <vt:lpstr>input_flt_lc_ip</vt:lpstr>
      <vt:lpstr>input_flt_logs_admin_email</vt:lpstr>
      <vt:lpstr>input_flt_logs_admin_password</vt:lpstr>
      <vt:lpstr>input_flt_logs_admin_password_alias</vt:lpstr>
      <vt:lpstr>input_flt_logs_admin_password_description</vt:lpstr>
      <vt:lpstr>input_flt_logs_admin_username</vt:lpstr>
      <vt:lpstr>input_flt_logs_cert_alias</vt:lpstr>
      <vt:lpstr>input_flt_logs_cert_country_code</vt:lpstr>
      <vt:lpstr>input_flt_logs_cert_locality</vt:lpstr>
      <vt:lpstr>input_flt_logs_cert_organisation</vt:lpstr>
      <vt:lpstr>input_flt_logs_cert_state</vt:lpstr>
      <vt:lpstr>input_flt_logs_cluster</vt:lpstr>
      <vt:lpstr>input_flt_logs_common_name</vt:lpstr>
      <vt:lpstr>input_flt_logs_datastore</vt:lpstr>
      <vt:lpstr>input_flt_logs_folder</vt:lpstr>
      <vt:lpstr>input_flt_logs_gateway_ip</vt:lpstr>
      <vt:lpstr>input_flt_logs_mask</vt:lpstr>
      <vt:lpstr>input_flt_logs_nodea_fqdn</vt:lpstr>
      <vt:lpstr>input_flt_logs_nodea_hostname</vt:lpstr>
      <vt:lpstr>input_flt_logs_nodea_ip</vt:lpstr>
      <vt:lpstr>input_flt_logs_nodeb_fqdn</vt:lpstr>
      <vt:lpstr>input_flt_logs_nodeb_hostname</vt:lpstr>
      <vt:lpstr>input_flt_logs_nodeb_ip</vt:lpstr>
      <vt:lpstr>input_flt_logs_nodec_fqdn</vt:lpstr>
      <vt:lpstr>input_flt_logs_nodec_hostname</vt:lpstr>
      <vt:lpstr>input_flt_logs_nodec_ip</vt:lpstr>
      <vt:lpstr>input_flt_logs_ou_cert</vt:lpstr>
      <vt:lpstr>input_flt_logs_portgroup</vt:lpstr>
      <vt:lpstr>input_flt_logs_resource_pool</vt:lpstr>
      <vt:lpstr>input_flt_logs_root_password</vt:lpstr>
      <vt:lpstr>input_flt_logs_root_password_alias</vt:lpstr>
      <vt:lpstr>input_flt_logs_root_password_description</vt:lpstr>
      <vt:lpstr>input_flt_logs_root_username</vt:lpstr>
      <vt:lpstr>input_flt_logs_vcenter_fqdn</vt:lpstr>
      <vt:lpstr>input_flt_logs_vip_fqdn</vt:lpstr>
      <vt:lpstr>input_flt_logs_vip_ip</vt:lpstr>
      <vt:lpstr>input_flt_net_admin_password</vt:lpstr>
      <vt:lpstr>input_flt_net_admin_password_alias</vt:lpstr>
      <vt:lpstr>input_flt_net_admin_password_description</vt:lpstr>
      <vt:lpstr>input_flt_net_admin_username</vt:lpstr>
      <vt:lpstr>input_flt_net_cert_alias</vt:lpstr>
      <vt:lpstr>input_flt_net_cert_country_code</vt:lpstr>
      <vt:lpstr>input_flt_net_cert_locality</vt:lpstr>
      <vt:lpstr>input_flt_net_cert_organisation</vt:lpstr>
      <vt:lpstr>input_flt_net_cert_state</vt:lpstr>
      <vt:lpstr>input_flt_net_cluster</vt:lpstr>
      <vt:lpstr>input_flt_net_common_name</vt:lpstr>
      <vt:lpstr>input_flt_net_console_password</vt:lpstr>
      <vt:lpstr>input_flt_net_datastore</vt:lpstr>
      <vt:lpstr>input_flt_net_folder</vt:lpstr>
      <vt:lpstr>input_flt_net_node_gateway_ip</vt:lpstr>
      <vt:lpstr>input_flt_net_node_mask</vt:lpstr>
      <vt:lpstr>input_flt_net_node_portgroup</vt:lpstr>
      <vt:lpstr>input_flt_net_nodea_fqdn</vt:lpstr>
      <vt:lpstr>input_flt_net_nodea_ip</vt:lpstr>
      <vt:lpstr>input_flt_net_nodeb_fqdn</vt:lpstr>
      <vt:lpstr>input_flt_net_nodeb_ip</vt:lpstr>
      <vt:lpstr>input_flt_net_nodec_fqdn</vt:lpstr>
      <vt:lpstr>input_flt_net_nodec_ip</vt:lpstr>
      <vt:lpstr>input_flt_net_ou_cert</vt:lpstr>
      <vt:lpstr>input_flt_net_platform_password</vt:lpstr>
      <vt:lpstr>input_flt_net_prxy_fqdn</vt:lpstr>
      <vt:lpstr>input_flt_net_prxy_gateway_ip</vt:lpstr>
      <vt:lpstr>input_flt_net_prxy_ip</vt:lpstr>
      <vt:lpstr>input_flt_net_prxy_mask</vt:lpstr>
      <vt:lpstr>input_flt_net_prxy_portgroup</vt:lpstr>
      <vt:lpstr>input_flt_net_resource_pool</vt:lpstr>
      <vt:lpstr>input_flt_net_support_password</vt:lpstr>
      <vt:lpstr>input_flt_net_vcenter_fqdn</vt:lpstr>
      <vt:lpstr>input_flt_net_vcenter_list</vt:lpstr>
      <vt:lpstr>input_flt_sr_fqdn</vt:lpstr>
      <vt:lpstr>input_flt_sr_ip</vt:lpstr>
      <vt:lpstr>input_flt_vcfms_node_pool_end_ip</vt:lpstr>
      <vt:lpstr>input_flt_vcfms_node_pool_start_ip</vt:lpstr>
      <vt:lpstr>input_flt_vidb_additional_vips</vt:lpstr>
      <vt:lpstr>input_flt_vidb_base_dn</vt:lpstr>
      <vt:lpstr>input_flt_vidb_bind_password</vt:lpstr>
      <vt:lpstr>input_flt_vidb_bind_username</vt:lpstr>
      <vt:lpstr>input_flt_vidb_cert_alias</vt:lpstr>
      <vt:lpstr>input_flt_vidb_cert_common_name</vt:lpstr>
      <vt:lpstr>input_flt_vidb_cert_country_code</vt:lpstr>
      <vt:lpstr>input_flt_vidb_cert_locality</vt:lpstr>
      <vt:lpstr>input_flt_vidb_cert_organisation</vt:lpstr>
      <vt:lpstr>input_flt_vidb_cert_state</vt:lpstr>
      <vt:lpstr>input_flt_vidb_cluster</vt:lpstr>
      <vt:lpstr>input_flt_vidb_datastore</vt:lpstr>
      <vt:lpstr>input_flt_vidb_directory_name</vt:lpstr>
      <vt:lpstr>input_flt_vidb_distinguished_name</vt:lpstr>
      <vt:lpstr>input_flt_vidb_employeeID</vt:lpstr>
      <vt:lpstr>input_flt_vidb_encrypted_cert</vt:lpstr>
      <vt:lpstr>input_flt_vidb_first_name</vt:lpstr>
      <vt:lpstr>input_flt_vidb_folder</vt:lpstr>
      <vt:lpstr>input_flt_vidb_gateway_ip</vt:lpstr>
      <vt:lpstr>input_flt_vidb_group_base_dn</vt:lpstr>
      <vt:lpstr>input_flt_vidb_last_name</vt:lpstr>
      <vt:lpstr>input_flt_vidb_mail</vt:lpstr>
      <vt:lpstr>input_flt_vidb_mask</vt:lpstr>
      <vt:lpstr>input_flt_vidb_node_prefix</vt:lpstr>
      <vt:lpstr>input_flt_vidb_nodea_ip</vt:lpstr>
      <vt:lpstr>input_flt_vidb_nodeb_ip</vt:lpstr>
      <vt:lpstr>input_flt_vidb_nodec_ip</vt:lpstr>
      <vt:lpstr>input_flt_vidb_noded_ip</vt:lpstr>
      <vt:lpstr>input_flt_vidb_ou_cert</vt:lpstr>
      <vt:lpstr>input_flt_vidb_password</vt:lpstr>
      <vt:lpstr>input_flt_vidb_password_alias</vt:lpstr>
      <vt:lpstr>input_flt_vidb_password_description</vt:lpstr>
      <vt:lpstr>input_flt_vidb_pg</vt:lpstr>
      <vt:lpstr>input_flt_vidb_primary_domain_controller</vt:lpstr>
      <vt:lpstr>input_flt_vidb_primary_domain_controller_port</vt:lpstr>
      <vt:lpstr>input_flt_vidb_resource_pool</vt:lpstr>
      <vt:lpstr>input_flt_vidb_root_username</vt:lpstr>
      <vt:lpstr>input_flt_vidb_secondary_domain_controller</vt:lpstr>
      <vt:lpstr>input_flt_vidb_secondary_domain_controller_port</vt:lpstr>
      <vt:lpstr>input_flt_vidb_system_user_alias</vt:lpstr>
      <vt:lpstr>input_flt_vidb_system_user_description</vt:lpstr>
      <vt:lpstr>input_flt_vidb_system_user_password</vt:lpstr>
      <vt:lpstr>input_flt_vidb_user_base_dn</vt:lpstr>
      <vt:lpstr>input_flt_vidb_user_name</vt:lpstr>
      <vt:lpstr>input_flt_vidb_user_principal_name</vt:lpstr>
      <vt:lpstr>input_flt_vidb_vcenter_fqdn</vt:lpstr>
      <vt:lpstr>input_flt_vidb_version</vt:lpstr>
      <vt:lpstr>input_flt_vidb_vip_fqdn</vt:lpstr>
      <vt:lpstr>input_flt_vidb_vip_ip</vt:lpstr>
      <vt:lpstr>input_gg_kub_admins_group</vt:lpstr>
      <vt:lpstr>input_gg_kub_readonly_group</vt:lpstr>
      <vt:lpstr>input_gg_nsx_auditors_group</vt:lpstr>
      <vt:lpstr>input_gg_nsx_enterprise_admins_group</vt:lpstr>
      <vt:lpstr>input_gg_nsx_network_admins_group</vt:lpstr>
      <vt:lpstr>input_gg_sso_admins_group</vt:lpstr>
      <vt:lpstr>input_gg_vc_admins_group</vt:lpstr>
      <vt:lpstr>input_gg_vc_read_only_group</vt:lpstr>
      <vt:lpstr>input_gg_vcf_admins_group</vt:lpstr>
      <vt:lpstr>input_gg_vcf_operators_group</vt:lpstr>
      <vt:lpstr>input_gg_vcf_viewers_group</vt:lpstr>
      <vt:lpstr>input_gg_vra_cloud_assembly_admins_group</vt:lpstr>
      <vt:lpstr>input_gg_vra_cloud_assembly_users_group</vt:lpstr>
      <vt:lpstr>input_gg_vra_cloud_assembly_viewers_group</vt:lpstr>
      <vt:lpstr>input_gg_vra_orchestrator_admins_group</vt:lpstr>
      <vt:lpstr>input_gg_vra_orchestrator_designers_group</vt:lpstr>
      <vt:lpstr>input_gg_vra_orchestrator_viewers_group</vt:lpstr>
      <vt:lpstr>input_gg_vra_org_owners_group</vt:lpstr>
      <vt:lpstr>input_gg_vra_project_admins_sample_group</vt:lpstr>
      <vt:lpstr>input_gg_vra_project_users_sample_group</vt:lpstr>
      <vt:lpstr>input_gg_vra_service_broker_admins_group</vt:lpstr>
      <vt:lpstr>input_gg_vra_service_broker_users_group</vt:lpstr>
      <vt:lpstr>input_gg_vra_service_broker_viewers_group</vt:lpstr>
      <vt:lpstr>input_gg_vrli_admins_group</vt:lpstr>
      <vt:lpstr>input_gg_vrli_users_group</vt:lpstr>
      <vt:lpstr>input_gg_vrli_viewers_group</vt:lpstr>
      <vt:lpstr>input_gg_vrni_admin_group</vt:lpstr>
      <vt:lpstr>input_gg_vrni_auditor_group</vt:lpstr>
      <vt:lpstr>input_gg_vrni_member_group</vt:lpstr>
      <vt:lpstr>input_gg_vrops_admins_group</vt:lpstr>
      <vt:lpstr>input_gg_vrops_content_admins_group</vt:lpstr>
      <vt:lpstr>input_gg_vrops_read_only_group</vt:lpstr>
      <vt:lpstr>input_gg_vrslcm_admins_group</vt:lpstr>
      <vt:lpstr>input_gg_vrslcm_content_developers_group</vt:lpstr>
      <vt:lpstr>input_gg_vrslcm_release_managers_group</vt:lpstr>
      <vt:lpstr>input_k8s_cluster_name</vt:lpstr>
      <vt:lpstr>input_k8s_ip_prefixlist</vt:lpstr>
      <vt:lpstr>input_k8s_ip_routemap</vt:lpstr>
      <vt:lpstr>input_k8s_kubectl_path</vt:lpstr>
      <vt:lpstr>input_k8s_mgmt_seg</vt:lpstr>
      <vt:lpstr>input_k8s_namepsace</vt:lpstr>
      <vt:lpstr>input_k8s_tanzu_k8s_cluster_pod_pool_cidr</vt:lpstr>
      <vt:lpstr>input_k8s_tanzu_k8s_cluster_service_pool_cidr</vt:lpstr>
      <vt:lpstr>input_k8s_vcenter_category</vt:lpstr>
      <vt:lpstr>input_k8s_vcenter_content_library</vt:lpstr>
      <vt:lpstr>input_k8s_vcenter_storage_policy</vt:lpstr>
      <vt:lpstr>input_k8s_vcenter_tag</vt:lpstr>
      <vt:lpstr>input_k8s_vm_class</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input_mgmt_az1_en1_mgmt_ip</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input_mgmt_az1_en2_mgmt_ip</vt:lpstr>
      <vt:lpstr>input_mgmt_az1_en2_uplink01_interface_cidr</vt:lpstr>
      <vt:lpstr>input_mgmt_az1_en2_uplink02_interface_cidr</vt:lpstr>
      <vt:lpstr>input_mgmt_az1_host_overlay_cidr</vt:lpstr>
      <vt:lpstr>input_mgmt_az1_host_overlay_gateway_ip</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input_mgmt_az1_mgmt_cidr</vt:lpstr>
      <vt:lpstr>input_mgmt_az1_mgmt_gateway_ip</vt:lpstr>
      <vt:lpstr>input_mgmt_az1_mgmt_mtu</vt:lpstr>
      <vt:lpstr>input_mgmt_az1_mgmt_vlan</vt:lpstr>
      <vt:lpstr>input_mgmt_az1_mgmt_vm_cidr</vt:lpstr>
      <vt:lpstr>input_mgmt_az1_mgmt_vm_gateway_ip</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input_mgmt_az1_secondary_storage_cidr</vt:lpstr>
      <vt:lpstr>input_mgmt_az1_secondary_storage_gateway_ip</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input_mgmt_az1_vmotion_cidr</vt:lpstr>
      <vt:lpstr>input_mgmt_az1_vmotion_gateway_ip</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input_mgmt_az1_vsan_cidr</vt:lpstr>
      <vt:lpstr>input_mgmt_az1_vsan_gateway_ip</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input_mgmt_cl01_az1_vcf_mgmt_pg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input_mgmt_cl01_vds01_lag_name</vt:lpstr>
      <vt:lpstr>input_mgmt_cl01_vds01_mtu</vt:lpstr>
      <vt:lpstr>input_mgmt_cl01_vds01_name</vt:lpstr>
      <vt:lpstr>input_mgmt_cl01_vds01_uplink_count</vt:lpstr>
      <vt:lpstr>input_mgmt_cl01_vds01_uplink1</vt:lpstr>
      <vt:lpstr>input_mgmt_cl01_vds01_uplink2</vt:lpstr>
      <vt:lpstr>input_mgmt_cl01_vds02_lag_name</vt:lpstr>
      <vt:lpstr>input_mgmt_cl01_vds02_mtu</vt:lpstr>
      <vt:lpstr>input_mgmt_cl01_vds02_name</vt:lpstr>
      <vt:lpstr>input_mgmt_cl01_vds02_uplink_count</vt:lpstr>
      <vt:lpstr>input_mgmt_cl01_vds02_uplink1</vt:lpstr>
      <vt:lpstr>input_mgmt_cl01_vds02_uplink2</vt:lpstr>
      <vt:lpstr>input_mgmt_cl01_vds03_lag_name</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input_mgmt_mgmt_rp</vt:lpstr>
      <vt:lpstr>input_mgmt_nsx_rp</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input_mgmt_nsxt_gm_vip_fqdn</vt:lpstr>
      <vt:lpstr>input_mgmt_nsxt_gm_vip_ip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input_mgmt_nsxt_vip_ip</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input_mgmt_tier0_name</vt:lpstr>
      <vt:lpstr>input_mgmt_tier1_name</vt:lpstr>
      <vt:lpstr>input_mgmt_user_edge_rp</vt:lpstr>
      <vt:lpstr>input_mgmt_user_vm_rp</vt:lpstr>
      <vt:lpstr>input_mgmt_vc_fqdn</vt:lpstr>
      <vt:lpstr>input_mgmt_vc_ip</vt:lpstr>
      <vt:lpstr>input_mgmt_vnaa_fqdn</vt:lpstr>
      <vt:lpstr>input_mgmt_vnaa_ip</vt:lpstr>
      <vt:lpstr>input_mgmt_vnab_fqdn</vt:lpstr>
      <vt:lpstr>input_mgmt_vnab_ip</vt:lpstr>
      <vt:lpstr>input_mgmt_vpc_ext_ip_blocks</vt:lpstr>
      <vt:lpstr>input_mgmt_vpc_transit_gateway_ip_blocks</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input_parent_ad_groups_ou</vt:lpstr>
      <vt:lpstr>input_parent_ad_users_ou</vt:lpstr>
      <vt:lpstr>input_parent_dns_zone</vt:lpstr>
      <vt:lpstr>input_parent_gg_wsa_admins_group</vt:lpstr>
      <vt:lpstr>input_parent_gg_wsa_directory_admins_group</vt:lpstr>
      <vt:lpstr>input_parent_gg_wsa_read_only_group</vt:lpstr>
      <vt:lpstr>input_region_ad_child_fqdn</vt:lpstr>
      <vt:lpstr>input_region_ad_child_netbios</vt:lpstr>
      <vt:lpstr>input_region_ad_parent_fqdn</vt:lpstr>
      <vt:lpstr>input_region_ad_parent_netbios</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input_svc_cbr_vcdr_vsphere_password</vt:lpstr>
      <vt:lpstr>input_svc_cbr_vcdr_vsphere_user</vt:lpstr>
      <vt:lpstr>input_svc_ccm_hcx_nsx_password</vt:lpstr>
      <vt:lpstr>input_svc_ccm_hcx_nsx_user</vt:lpstr>
      <vt:lpstr>input_svc_ccm_hcx_vsphere_password</vt:lpstr>
      <vt:lpstr>input_svc_ccm_hcx_vsphere_user</vt:lpstr>
      <vt:lpstr>input_svc_hrm_vrops_user</vt:lpstr>
      <vt:lpstr>input_svc_ila_ad_password</vt:lpstr>
      <vt:lpstr>input_svc_ila_ad_user</vt:lpstr>
      <vt:lpstr>input_svc_inv_ad_password</vt:lpstr>
      <vt:lpstr>input_svc_inv_ad_user</vt:lpstr>
      <vt:lpstr>input_svc_inv_vrops_password</vt:lpstr>
      <vt:lpstr>input_svc_inv_vrops_user</vt:lpstr>
      <vt:lpstr>input_svc_inv_vsphere_password</vt:lpstr>
      <vt:lpstr>input_svc_inv_vsphere_user</vt:lpstr>
      <vt:lpstr>input_svc_iom_vcf_password</vt:lpstr>
      <vt:lpstr>input_svc_iom_vcf_user</vt:lpstr>
      <vt:lpstr>input_svc_iom_vsphere_password</vt:lpstr>
      <vt:lpstr>input_svc_iom_vsphere_user</vt:lpstr>
      <vt:lpstr>input_svc_my_vmware_password</vt:lpstr>
      <vt:lpstr>input_svc_vcf_bck_password</vt:lpstr>
      <vt:lpstr>input_svc_vcf_bck_user</vt:lpstr>
      <vt:lpstr>input_svc_vcf_ca_vcf_password</vt:lpstr>
      <vt:lpstr>input_svc_vcf_ca_vcf_user</vt:lpstr>
      <vt:lpstr>input_svc_vra_nsx_password</vt:lpstr>
      <vt:lpstr>input_svc_vra_nsx_user</vt:lpstr>
      <vt:lpstr>input_svc_vra_vcf_password</vt:lpstr>
      <vt:lpstr>input_svc_vra_vcf_user</vt:lpstr>
      <vt:lpstr>input_svc_vra_vrops_password</vt:lpstr>
      <vt:lpstr>input_svc_vra_vrops_user</vt:lpstr>
      <vt:lpstr>input_svc_vra_vsphere_password</vt:lpstr>
      <vt:lpstr>input_svc_vra_vsphere_user</vt:lpstr>
      <vt:lpstr>input_svc_vro_vsphere_password</vt:lpstr>
      <vt:lpstr>input_svc_vro_vsphere_user</vt:lpstr>
      <vt:lpstr>input_svc_vrops_vra_password</vt:lpstr>
      <vt:lpstr>input_svc_vrops_vra_user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input_vcf_automation_folder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input_vcf_automation_nodee_ip</vt:lpstr>
      <vt:lpstr>input_vcf_automation_nodef_ip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input_vcf_automation_version</vt:lpstr>
      <vt:lpstr>input_vcf_automation_vip_fqdn</vt:lpstr>
      <vt:lpstr>input_vcf_automation_vip_ip</vt:lpstr>
      <vt:lpstr>input_vcf_installer_fqdn</vt:lpstr>
      <vt:lpstr>input_vcf_installer_ip</vt:lpstr>
      <vt:lpstr>input_vcf_instance_name</vt:lpstr>
      <vt:lpstr>input_vrslcm_admin_password</vt:lpstr>
      <vt:lpstr>input_vrslcm_root_password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input_vvs_dr_ntp1_server</vt:lpstr>
      <vt:lpstr>input_vvs_dr_parent_dns_zone</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input_wld_avilb_cluster_name</vt:lpstr>
      <vt:lpstr>input_wld_avilb_cluster_version</vt:lpstr>
      <vt:lpstr>input_wld_avilb_fqdn</vt:lpstr>
      <vt:lpstr>input_wld_avilb_ip</vt:lpstr>
      <vt:lpstr>input_wld_avilb_mgra_ip</vt:lpstr>
      <vt:lpstr>input_wld_avilb_mgrb_ip</vt:lpstr>
      <vt:lpstr>input_wld_avilb_mgrc_ip</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input_wld_az1_en1_mgmt_ip</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input_wld_az1_en2_mgmt_ip</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input_wld_az1_mgmt_cidr</vt:lpstr>
      <vt:lpstr>input_wld_az1_mgmt_gateway_ip</vt:lpstr>
      <vt:lpstr>input_wld_az1_mgmt_mtu</vt:lpstr>
      <vt:lpstr>input_wld_az1_mgmt_vlan</vt:lpstr>
      <vt:lpstr>input_wld_az1_mgmt_vm_cidr</vt:lpstr>
      <vt:lpstr>input_wld_az1_mgmt_vm_gateway_ip</vt:lpstr>
      <vt:lpstr>input_wld_az1_mgmt_vm_mtu</vt:lpstr>
      <vt:lpstr>input_wld_az1_mgmt_vm_vlan</vt:lpstr>
      <vt:lpstr>input_wld_az1_pool_name</vt:lpstr>
      <vt:lpstr>input_wld_az1_principal_storage_gateway_ip</vt:lpstr>
      <vt:lpstr>input_wld_az1_principal_storage_mask</vt:lpstr>
      <vt:lpstr>input_wld_az1_principal_storage_mtu</vt:lpstr>
      <vt:lpstr>input_wld_az1_principal_storage_network</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input_wld_az1_rack2_edge_overlay_gateway_ip</vt:lpstr>
      <vt:lpstr>input_wld_az1_rack2_edge_overlay_mask</vt:lpstr>
      <vt:lpstr>input_wld_az1_rack2_edge_overlay_mtu</vt:lpstr>
      <vt:lpstr>input_wld_az1_rack2_edge_overlay_network</vt:lpstr>
      <vt:lpstr>input_wld_az1_rack2_edge_overlay_network_pool_name</vt:lpstr>
      <vt:lpstr>input_wld_az1_rack2_edge_overlay_pool_end_ip</vt:lpstr>
      <vt:lpstr>input_wld_az1_rack2_edge_overlay_pool_start_ip</vt:lpstr>
      <vt:lpstr>input_wld_az1_rack2_edge_overlay_vlan</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input_wld_az1_rack2_tor1_peer_asn</vt:lpstr>
      <vt:lpstr>input_wld_az1_rack2_tor1_peer_bgp_password</vt:lpstr>
      <vt:lpstr>input_wld_az1_rack2_tor1_peer_ip</vt:lpstr>
      <vt:lpstr>input_wld_az1_rack2_tor2_peer_asn</vt:lpstr>
      <vt:lpstr>input_wld_az1_rack2_tor2_peer_bgp_password</vt:lpstr>
      <vt:lpstr>input_wld_az1_rack2_tor2_peer_ip</vt:lpstr>
      <vt:lpstr>input_wld_az1_rack2_uplink01_gateway_ip</vt:lpstr>
      <vt:lpstr>input_wld_az1_rack2_uplink01_mask</vt:lpstr>
      <vt:lpstr>input_wld_az1_rack2_uplink01_mtu</vt:lpstr>
      <vt:lpstr>input_wld_az1_rack2_uplink01_network</vt:lpstr>
      <vt:lpstr>input_wld_az1_rack2_uplink01_vlan</vt:lpstr>
      <vt:lpstr>input_wld_az1_rack2_uplink02_gateway_ip</vt:lpstr>
      <vt:lpstr>input_wld_az1_rack2_uplink02_mask</vt:lpstr>
      <vt:lpstr>input_wld_az1_rack2_uplink02_mtu</vt:lpstr>
      <vt:lpstr>input_wld_az1_rack2_uplink02_network</vt:lpstr>
      <vt:lpstr>input_wld_az1_rack2_uplink02_vlan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input_wld_az1_rack3_edge_overlay_gateway_ip</vt:lpstr>
      <vt:lpstr>input_wld_az1_rack3_edge_overlay_mask</vt:lpstr>
      <vt:lpstr>input_wld_az1_rack3_edge_overlay_mtu</vt:lpstr>
      <vt:lpstr>input_wld_az1_rack3_edge_overlay_network</vt:lpstr>
      <vt:lpstr>input_wld_az1_rack3_edge_overlay_network_pool_name</vt:lpstr>
      <vt:lpstr>input_wld_az1_rack3_edge_overlay_pool_end_ip</vt:lpstr>
      <vt:lpstr>input_wld_az1_rack3_edge_overlay_pool_start_ip</vt:lpstr>
      <vt:lpstr>input_wld_az1_rack3_edge_overlay_vlan</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input_wld_az1_rack3_tor1_peer_asn</vt:lpstr>
      <vt:lpstr>input_wld_az1_rack3_tor1_peer_bgp_password</vt:lpstr>
      <vt:lpstr>input_wld_az1_rack3_tor1_peer_ip</vt:lpstr>
      <vt:lpstr>input_wld_az1_rack3_tor2_peer_asn</vt:lpstr>
      <vt:lpstr>input_wld_az1_rack3_tor2_peer_bgp_password</vt:lpstr>
      <vt:lpstr>input_wld_az1_rack3_tor2_peer_ip</vt:lpstr>
      <vt:lpstr>input_wld_az1_rack3_uplink01_gateway_ip</vt:lpstr>
      <vt:lpstr>input_wld_az1_rack3_uplink01_mask</vt:lpstr>
      <vt:lpstr>input_wld_az1_rack3_uplink01_mtu</vt:lpstr>
      <vt:lpstr>input_wld_az1_rack3_uplink01_network</vt:lpstr>
      <vt:lpstr>input_wld_az1_rack3_uplink01_vlan</vt:lpstr>
      <vt:lpstr>input_wld_az1_rack3_uplink02_gateway_ip</vt:lpstr>
      <vt:lpstr>input_wld_az1_rack3_uplink02_mask</vt:lpstr>
      <vt:lpstr>input_wld_az1_rack3_uplink02_mtu</vt:lpstr>
      <vt:lpstr>input_wld_az1_rack3_uplink02_network</vt:lpstr>
      <vt:lpstr>input_wld_az1_rack3_uplink02_vlan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input_wld_az1_rack4_edge_overlay_gateway_ip</vt:lpstr>
      <vt:lpstr>input_wld_az1_rack4_edge_overlay_mask</vt:lpstr>
      <vt:lpstr>input_wld_az1_rack4_edge_overlay_mtu</vt:lpstr>
      <vt:lpstr>input_wld_az1_rack4_edge_overlay_network</vt:lpstr>
      <vt:lpstr>input_wld_az1_rack4_edge_overlay_network_pool_name</vt:lpstr>
      <vt:lpstr>input_wld_az1_rack4_edge_overlay_pool_end_ip</vt:lpstr>
      <vt:lpstr>input_wld_az1_rack4_edge_overlay_pool_start_ip</vt:lpstr>
      <vt:lpstr>input_wld_az1_rack4_edge_overlay_vlan</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input_wld_az1_rack4_tor1_peer_asn</vt:lpstr>
      <vt:lpstr>input_wld_az1_rack4_tor1_peer_bgp_password</vt:lpstr>
      <vt:lpstr>input_wld_az1_rack4_tor1_peer_ip</vt:lpstr>
      <vt:lpstr>input_wld_az1_rack4_tor2_peer_asn</vt:lpstr>
      <vt:lpstr>input_wld_az1_rack4_tor2_peer_bgp_password</vt:lpstr>
      <vt:lpstr>input_wld_az1_rack4_tor2_peer_ip</vt:lpstr>
      <vt:lpstr>input_wld_az1_rack4_uplink01_gateway_ip</vt:lpstr>
      <vt:lpstr>input_wld_az1_rack4_uplink01_mask</vt:lpstr>
      <vt:lpstr>input_wld_az1_rack4_uplink01_mtu</vt:lpstr>
      <vt:lpstr>input_wld_az1_rack4_uplink01_network</vt:lpstr>
      <vt:lpstr>input_wld_az1_rack4_uplink01_vlan</vt:lpstr>
      <vt:lpstr>input_wld_az1_rack4_uplink02_gateway_ip</vt:lpstr>
      <vt:lpstr>input_wld_az1_rack4_uplink02_mask</vt:lpstr>
      <vt:lpstr>input_wld_az1_rack4_uplink02_mtu</vt:lpstr>
      <vt:lpstr>input_wld_az1_rack4_uplink02_network</vt:lpstr>
      <vt:lpstr>input_wld_az1_rack4_uplink02_vlan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input_wld_az1_rack5_edge_overlay_gateway_ip</vt:lpstr>
      <vt:lpstr>input_wld_az1_rack5_edge_overlay_mask</vt:lpstr>
      <vt:lpstr>input_wld_az1_rack5_edge_overlay_mtu</vt:lpstr>
      <vt:lpstr>input_wld_az1_rack5_edge_overlay_network</vt:lpstr>
      <vt:lpstr>input_wld_az1_rack5_edge_overlay_network_pool_name</vt:lpstr>
      <vt:lpstr>input_wld_az1_rack5_edge_overlay_pool_end_ip</vt:lpstr>
      <vt:lpstr>input_wld_az1_rack5_edge_overlay_pool_start_ip</vt:lpstr>
      <vt:lpstr>input_wld_az1_rack5_edge_overlay_vlan</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input_wld_az1_rack5_tor1_peer_asn</vt:lpstr>
      <vt:lpstr>input_wld_az1_rack5_tor1_peer_bgp_password</vt:lpstr>
      <vt:lpstr>input_wld_az1_rack5_tor1_peer_ip</vt:lpstr>
      <vt:lpstr>input_wld_az1_rack5_tor2_peer_asn</vt:lpstr>
      <vt:lpstr>input_wld_az1_rack5_tor2_peer_bgp_password</vt:lpstr>
      <vt:lpstr>input_wld_az1_rack5_tor2_peer_ip</vt:lpstr>
      <vt:lpstr>input_wld_az1_rack5_uplink01_gateway_ip</vt:lpstr>
      <vt:lpstr>input_wld_az1_rack5_uplink01_mask</vt:lpstr>
      <vt:lpstr>input_wld_az1_rack5_uplink01_mtu</vt:lpstr>
      <vt:lpstr>input_wld_az1_rack5_uplink01_network</vt:lpstr>
      <vt:lpstr>input_wld_az1_rack5_uplink01_vlan</vt:lpstr>
      <vt:lpstr>input_wld_az1_rack5_uplink02_gateway_ip</vt:lpstr>
      <vt:lpstr>input_wld_az1_rack5_uplink02_mask</vt:lpstr>
      <vt:lpstr>input_wld_az1_rack5_uplink02_mtu</vt:lpstr>
      <vt:lpstr>input_wld_az1_rack5_uplink02_network</vt:lpstr>
      <vt:lpstr>input_wld_az1_rack5_uplink02_vlan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input_wld_az1_rack6_edge_overlay_gateway_ip</vt:lpstr>
      <vt:lpstr>input_wld_az1_rack6_edge_overlay_mask</vt:lpstr>
      <vt:lpstr>input_wld_az1_rack6_edge_overlay_mtu</vt:lpstr>
      <vt:lpstr>input_wld_az1_rack6_edge_overlay_network</vt:lpstr>
      <vt:lpstr>input_wld_az1_rack6_edge_overlay_network_pool_name</vt:lpstr>
      <vt:lpstr>input_wld_az1_rack6_edge_overlay_pool_end_ip</vt:lpstr>
      <vt:lpstr>input_wld_az1_rack6_edge_overlay_pool_start_ip</vt:lpstr>
      <vt:lpstr>input_wld_az1_rack6_edge_overlay_vlan</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input_wld_az1_rack6_tor1_peer_asn</vt:lpstr>
      <vt:lpstr>input_wld_az1_rack6_tor1_peer_bgp_password</vt:lpstr>
      <vt:lpstr>input_wld_az1_rack6_tor1_peer_ip</vt:lpstr>
      <vt:lpstr>input_wld_az1_rack6_tor2_peer_asn</vt:lpstr>
      <vt:lpstr>input_wld_az1_rack6_tor2_peer_bgp_password</vt:lpstr>
      <vt:lpstr>input_wld_az1_rack6_tor2_peer_ip</vt:lpstr>
      <vt:lpstr>input_wld_az1_rack6_uplink01_gateway_ip</vt:lpstr>
      <vt:lpstr>input_wld_az1_rack6_uplink01_mask</vt:lpstr>
      <vt:lpstr>input_wld_az1_rack6_uplink01_mtu</vt:lpstr>
      <vt:lpstr>input_wld_az1_rack6_uplink01_network</vt:lpstr>
      <vt:lpstr>input_wld_az1_rack6_uplink01_vlan</vt:lpstr>
      <vt:lpstr>input_wld_az1_rack6_uplink02_gateway_ip</vt:lpstr>
      <vt:lpstr>input_wld_az1_rack6_uplink02_mask</vt:lpstr>
      <vt:lpstr>input_wld_az1_rack6_uplink02_mtu</vt:lpstr>
      <vt:lpstr>input_wld_az1_rack6_uplink02_network</vt:lpstr>
      <vt:lpstr>input_wld_az1_rack6_uplink02_vlan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input_wld_az1_rack7_edge_overlay_gateway_ip</vt:lpstr>
      <vt:lpstr>input_wld_az1_rack7_edge_overlay_mask</vt:lpstr>
      <vt:lpstr>input_wld_az1_rack7_edge_overlay_mtu</vt:lpstr>
      <vt:lpstr>input_wld_az1_rack7_edge_overlay_network</vt:lpstr>
      <vt:lpstr>input_wld_az1_rack7_edge_overlay_network_pool_name</vt:lpstr>
      <vt:lpstr>input_wld_az1_rack7_edge_overlay_pool_end_ip</vt:lpstr>
      <vt:lpstr>input_wld_az1_rack7_edge_overlay_pool_start_ip</vt:lpstr>
      <vt:lpstr>input_wld_az1_rack7_edge_overlay_vlan</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input_wld_az1_rack7_tor1_peer_asn</vt:lpstr>
      <vt:lpstr>input_wld_az1_rack7_tor1_peer_bgp_password</vt:lpstr>
      <vt:lpstr>input_wld_az1_rack7_tor1_peer_ip</vt:lpstr>
      <vt:lpstr>input_wld_az1_rack7_tor2_peer_asn</vt:lpstr>
      <vt:lpstr>input_wld_az1_rack7_tor2_peer_bgp_password</vt:lpstr>
      <vt:lpstr>input_wld_az1_rack7_tor2_peer_ip</vt:lpstr>
      <vt:lpstr>input_wld_az1_rack7_uplink01_gateway_ip</vt:lpstr>
      <vt:lpstr>input_wld_az1_rack7_uplink01_mask</vt:lpstr>
      <vt:lpstr>input_wld_az1_rack7_uplink01_mtu</vt:lpstr>
      <vt:lpstr>input_wld_az1_rack7_uplink01_network</vt:lpstr>
      <vt:lpstr>input_wld_az1_rack7_uplink01_vlan</vt:lpstr>
      <vt:lpstr>input_wld_az1_rack7_uplink02_gateway_ip</vt:lpstr>
      <vt:lpstr>input_wld_az1_rack7_uplink02_mask</vt:lpstr>
      <vt:lpstr>input_wld_az1_rack7_uplink02_mtu</vt:lpstr>
      <vt:lpstr>input_wld_az1_rack7_uplink02_network</vt:lpstr>
      <vt:lpstr>input_wld_az1_rack7_uplink02_vlan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input_wld_az1_rack8_edge_overlay_gateway_ip</vt:lpstr>
      <vt:lpstr>input_wld_az1_rack8_edge_overlay_mask</vt:lpstr>
      <vt:lpstr>input_wld_az1_rack8_edge_overlay_mtu</vt:lpstr>
      <vt:lpstr>input_wld_az1_rack8_edge_overlay_network</vt:lpstr>
      <vt:lpstr>input_wld_az1_rack8_edge_overlay_network_pool_name</vt:lpstr>
      <vt:lpstr>input_wld_az1_rack8_edge_overlay_pool_end_ip</vt:lpstr>
      <vt:lpstr>input_wld_az1_rack8_edge_overlay_pool_start_ip</vt:lpstr>
      <vt:lpstr>input_wld_az1_rack8_edge_overlay_vlan</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input_wld_az1_rack8_tor1_peer_asn</vt:lpstr>
      <vt:lpstr>input_wld_az1_rack8_tor1_peer_bgp_password</vt:lpstr>
      <vt:lpstr>input_wld_az1_rack8_tor1_peer_ip</vt:lpstr>
      <vt:lpstr>input_wld_az1_rack8_tor2_peer_asn</vt:lpstr>
      <vt:lpstr>input_wld_az1_rack8_tor2_peer_bgp_password</vt:lpstr>
      <vt:lpstr>input_wld_az1_rack8_tor2_peer_ip</vt:lpstr>
      <vt:lpstr>input_wld_az1_rack8_uplink01_gateway_ip</vt:lpstr>
      <vt:lpstr>input_wld_az1_rack8_uplink01_mask</vt:lpstr>
      <vt:lpstr>input_wld_az1_rack8_uplink01_mtu</vt:lpstr>
      <vt:lpstr>input_wld_az1_rack8_uplink01_network</vt:lpstr>
      <vt:lpstr>input_wld_az1_rack8_uplink01_vlan</vt:lpstr>
      <vt:lpstr>input_wld_az1_rack8_uplink02_gateway_ip</vt:lpstr>
      <vt:lpstr>input_wld_az1_rack8_uplink02_mask</vt:lpstr>
      <vt:lpstr>input_wld_az1_rack8_uplink02_mtu</vt:lpstr>
      <vt:lpstr>input_wld_az1_rack8_uplink02_network</vt:lpstr>
      <vt:lpstr>input_wld_az1_rack8_uplink02_vlan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input_wld_az1_secondary_storage_gateway_ip</vt:lpstr>
      <vt:lpstr>input_wld_az1_secondary_storage_mask</vt:lpstr>
      <vt:lpstr>input_wld_az1_secondary_storage_mtu</vt:lpstr>
      <vt:lpstr>input_wld_az1_secondary_storage_network</vt:lpstr>
      <vt:lpstr>input_wld_az1_secondary_storage_pool_end_ip</vt:lpstr>
      <vt:lpstr>input_wld_az1_secondary_storage_pool_start_ip</vt:lpstr>
      <vt:lpstr>input_wld_az1_secondary_storage_vlan</vt:lpstr>
      <vt:lpstr>input_wld_az1_storage_cluster_gateway_ip</vt:lpstr>
      <vt:lpstr>input_wld_az1_storage_cluster_mask</vt:lpstr>
      <vt:lpstr>input_wld_az1_storage_cluster_mtu</vt:lpstr>
      <vt:lpstr>input_wld_az1_storage_cluster_network</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input_wld_az1_vmotion_gateway_ip</vt:lpstr>
      <vt:lpstr>input_wld_az1_vmotion_mask</vt:lpstr>
      <vt:lpstr>input_wld_az1_vmotion_mtu</vt:lpstr>
      <vt:lpstr>input_wld_az1_vmotion_network</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input_wld_cl01_supervisor_name</vt:lpstr>
      <vt:lpstr>input_wld_cl01_supervisor_nsx_project</vt:lpstr>
      <vt:lpstr>input_wld_cl01_supervisor_ntp</vt:lpstr>
      <vt:lpstr>input_wld_cl01_supervisor_private_cidr</vt:lpstr>
      <vt:lpstr>input_wld_cl01_supervisor_private_transit_gateway_cidr</vt:lpstr>
      <vt:lpstr>input_wld_cl01_supervisor_service_cidr</vt:lpstr>
      <vt:lpstr>input_wld_cl01_supervisor_vpc_profile</vt:lpstr>
      <vt:lpstr>input_wld_cl01_vds01_lag_name</vt:lpstr>
      <vt:lpstr>input_wld_cl01_vds01_mtu</vt:lpstr>
      <vt:lpstr>input_wld_cl01_vds01_name</vt:lpstr>
      <vt:lpstr>input_wld_cl01_vds01_pnics</vt:lpstr>
      <vt:lpstr>input_wld_cl01_vds01_uplink_count</vt:lpstr>
      <vt:lpstr>input_wld_cl01_vds02_lag_name</vt:lpstr>
      <vt:lpstr>input_wld_cl01_vds02_mtu</vt:lpstr>
      <vt:lpstr>input_wld_cl01_vds02_name</vt:lpstr>
      <vt:lpstr>input_wld_cl01_vds02_pnics</vt:lpstr>
      <vt:lpstr>input_wld_cl01_vds02_uplink_count</vt:lpstr>
      <vt:lpstr>input_wld_cl01_vds03_lag_name</vt:lpstr>
      <vt:lpstr>input_wld_cl01_vds03_mtu</vt:lpstr>
      <vt:lpstr>input_wld_cl01_vds03_name</vt:lpstr>
      <vt:lpstr>input_wld_cl01_vds03_pnics</vt:lpstr>
      <vt:lpstr>input_wld_cl01_vds03_uplink_count</vt:lpstr>
      <vt:lpstr>input_wld_cl01_vmfs_datastore_name</vt:lpstr>
      <vt:lpstr>input_wld_cl01_vsan_datastore</vt:lpstr>
      <vt:lpstr>input_wld_datacenter</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input_wld_nsxt_gm_root_password</vt:lpstr>
      <vt:lpstr>input_wld_nsxt_gm_vip_fqdn</vt:lpstr>
      <vt:lpstr>input_wld_nsxt_gm_vip_ip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input_wld_nsxt_vip_ip</vt:lpstr>
      <vt:lpstr>input_wld_nsxt_xreg_t1_name</vt:lpstr>
      <vt:lpstr>input_wld_rack2_en_asn</vt:lpstr>
      <vt:lpstr>input_wld_rack3_en_asn</vt:lpstr>
      <vt:lpstr>input_wld_rack4_en_asn</vt:lpstr>
      <vt:lpstr>input_wld_rack5_en_asn</vt:lpstr>
      <vt:lpstr>input_wld_rack6_en_asn</vt:lpstr>
      <vt:lpstr>input_wld_rack7_en_asn</vt:lpstr>
      <vt:lpstr>input_wld_rack8_en_asn</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input_wld_sso_domain_name</vt:lpstr>
      <vt:lpstr>input_wld_tier0_name</vt:lpstr>
      <vt:lpstr>input_wld_vc_fqdn</vt:lpstr>
      <vt:lpstr>input_wld_vc_ip</vt:lpstr>
      <vt:lpstr>input_wld_vcenter_root_password</vt:lpstr>
      <vt:lpstr>input_wld_vlr_hostname</vt:lpstr>
      <vt:lpstr>input_wld_vlr_replication_user</vt:lpstr>
      <vt:lpstr>input_wld_vnaa_fqdn</vt:lpstr>
      <vt:lpstr>input_wld_vnaa_ip</vt:lpstr>
      <vt:lpstr>input_wld_vnab_fqdn</vt:lpstr>
      <vt:lpstr>input_wld_vnab_ip</vt:lpstr>
      <vt:lpstr>input_wld_vpc_ext_ip_blocks</vt:lpstr>
      <vt:lpstr>input_wld_vpc_transit_gateway_ip_blocks</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input_wld_witnessaz_mgmt_mtu</vt:lpstr>
      <vt:lpstr>input_wld_witnessaz_mgmt_vlan</vt:lpstr>
      <vt:lpstr>input_xreg_vra_admin_password</vt:lpstr>
      <vt:lpstr>input_xreg_vra_node_pool_end_ip</vt:lpstr>
      <vt:lpstr>input_xreg_vra_node_pool_start_ip</vt:lpstr>
      <vt:lpstr>input_xreg_vra_nodea_ip</vt:lpstr>
      <vt:lpstr>input_xreg_vra_nodeb_ip</vt:lpstr>
      <vt:lpstr>input_xreg_vra_nodec_ip</vt:lpstr>
      <vt:lpstr>input_xreg_vra_noded_ip</vt:lpstr>
      <vt:lpstr>input_xreg_vra_nodee_ip</vt:lpstr>
      <vt:lpstr>input_xreg_vra_nodef_ip</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input_xreg_vrslcm_fqdn</vt:lpstr>
      <vt:lpstr>input_xreg_vrslcm_ip</vt:lpstr>
      <vt:lpstr>input_xregion_dns1_ip</vt:lpstr>
      <vt:lpstr>input_xregion_dns2_ip</vt:lpstr>
      <vt:lpstr>input_xregion_ntp1_server</vt:lpstr>
      <vt:lpstr>input_xregion_ntp2_server</vt:lpstr>
      <vt:lpstr>k8s_api_endpoint_fqdn</vt:lpstr>
      <vt:lpstr>k8s_cluster_endpoint_fqdn</vt:lpstr>
      <vt:lpstr>k8s_harbor_fqdn</vt:lpstr>
      <vt:lpstr>k8s_harbor_hostname</vt:lpstr>
      <vt:lpstr>k8s_harbor_ip</vt:lpstr>
      <vt:lpstr>k8s_ip_prefixlist</vt:lpstr>
      <vt:lpstr>k8s_ip_routemap</vt:lpstr>
      <vt:lpstr>k8s_kubectl_path</vt:lpstr>
      <vt:lpstr>k8s_mgmt_pool_start_ip</vt:lpstr>
      <vt:lpstr>k8s_mgmt_seg</vt:lpstr>
      <vt:lpstr>k8s_namepsace</vt:lpstr>
      <vt:lpstr>k8s_segment_gateway_ip</vt:lpstr>
      <vt:lpstr>k8s_segment_gateway_ip_cidr</vt:lpstr>
      <vt:lpstr>k8s_segment_mask</vt:lpstr>
      <vt:lpstr>k8s_segment_pg</vt:lpstr>
      <vt:lpstr>k8s_tanzu_k8s_cluster_pod_pool_cidr</vt:lpstr>
      <vt:lpstr>k8s_tanzu_k8s_cluster_service_pool_cidr</vt:lpstr>
      <vt:lpstr>k8s_vcenter_category</vt:lpstr>
      <vt:lpstr>k8s_vcenter_content_library</vt:lpstr>
      <vt:lpstr>k8s_vcenter_storage_policy</vt:lpstr>
      <vt:lpstr>k8s_vcenter_tag</vt:lpstr>
      <vt:lpstr>k8s_vm_class</vt:lpstr>
      <vt:lpstr>lag_load_balancing</vt:lpstr>
      <vt:lpstr>local_admin_password</vt:lpstr>
      <vt:lpstr>local_admin_password_alias</vt:lpstr>
      <vt:lpstr>local_admin_username</vt:lpstr>
      <vt:lpstr>local_configadmin_password</vt:lpstr>
      <vt:lpstr>local_configadmin_password_alias</vt:lpstr>
      <vt:lpstr>local_configadmin_username</vt:lpstr>
      <vt:lpstr>local_vcf_aware_wsa_root_password</vt:lpstr>
      <vt:lpstr>local_vcf_aware_wsa_root_password_alias</vt:lpstr>
      <vt:lpstr>local_vcf_aware_wsa_root_password_username</vt:lpstr>
      <vt:lpstr>mgmt_avi_loadbalancer_chosen</vt:lpstr>
      <vt:lpstr>mgmt_avi_loadbalancer_result</vt:lpstr>
      <vt:lpstr>mgmt_avilb_cluster_name</vt:lpstr>
      <vt:lpstr>mgmt_avilb_cluster_version</vt:lpstr>
      <vt:lpstr>mgmt_avilb_fqdn</vt:lpstr>
      <vt:lpstr>mgmt_avilb_hostname</vt:lpstr>
      <vt:lpstr>mgmt_avilb_ip</vt:lpstr>
      <vt:lpstr>mgmt_avilb_mgra_ip</vt:lpstr>
      <vt:lpstr>mgmt_avilb_mgrb_ip</vt:lpstr>
      <vt:lpstr>mgmt_avilb_mgrc_ip</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mgmt_az1_en1_mgmt_ip</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mgmt_az1_en2_mgmt_ip</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mgmt_az1_host_overlay_gateway_ip</vt:lpstr>
      <vt:lpstr>mgmt_az1_host_overlay_mask</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mgmt_az1_mgmt_gateway_ip</vt:lpstr>
      <vt:lpstr>mgmt_az1_mgmt_mask</vt:lpstr>
      <vt:lpstr>mgmt_az1_mgmt_mtu</vt:lpstr>
      <vt:lpstr>mgmt_az1_mgmt_network</vt:lpstr>
      <vt:lpstr>mgmt_az1_mgmt_vlan</vt:lpstr>
      <vt:lpstr>mgmt_az1_mgmt_vm_cidr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mgmt_az1_secondary_storage_gateway_ip</vt:lpstr>
      <vt:lpstr>mgmt_az1_secondary_storage_mask</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mgmt_az1_vm_cidr</vt:lpstr>
      <vt:lpstr>mgmt_az1_vm_gateway_ip</vt:lpstr>
      <vt:lpstr>mgmt_az1_vm_mtu</vt:lpstr>
      <vt:lpstr>mgmt_az1_vm_vlan</vt:lpstr>
      <vt:lpstr>mgmt_az1_vmotion_cidr</vt:lpstr>
      <vt:lpstr>mgmt_az1_vmotion_gateway_ip</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mgmt_az1_vrms_mtu</vt:lpstr>
      <vt:lpstr>mgmt_az1_vrms_network</vt:lpstr>
      <vt:lpstr>mgmt_az1_vrms_vlan</vt:lpstr>
      <vt:lpstr>mgmt_az1_vsan_cidr</vt:lpstr>
      <vt:lpstr>mgmt_az1_vsan_gateway_ip</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mgmt_az2_mgmt_mask</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mgmt_cl01_az1_vcf_mgmt_pg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mgmt_cl01_evc_mode_chosen</vt:lpstr>
      <vt:lpstr>mgmt_cl01_nfs_server_bound_to_vmknic_chosen</vt:lpstr>
      <vt:lpstr>mgmt_cl01_nfs_server_ip</vt:lpstr>
      <vt:lpstr>mgmt_cl01_nfs_share</vt:lpstr>
      <vt:lpstr>mgmt_cl01_vds_profile_chosen</vt:lpstr>
      <vt:lpstr>mgmt_cl01_vds01_lacp_mode_chosen</vt:lpstr>
      <vt:lpstr>mgmt_cl01_vds01_lacp_timeout_chosen</vt:lpstr>
      <vt:lpstr>mgmt_cl01_vds01_lag_lbt_chosen</vt:lpstr>
      <vt:lpstr>mgmt_cl01_vds01_lag_name</vt:lpstr>
      <vt:lpstr>mgmt_cl01_vds01_link_type_chosen</vt:lpstr>
      <vt:lpstr>mgmt_cl01_vds01_mtu</vt:lpstr>
      <vt:lpstr>mgmt_cl01_vds01_name</vt:lpstr>
      <vt:lpstr>mgmt_cl01_vds01_pnics</vt:lpstr>
      <vt:lpstr>mgmt_cl01_vds01_uplink_count</vt:lpstr>
      <vt:lpstr>mgmt_cl01_vds01_uplink1</vt:lpstr>
      <vt:lpstr>mgmt_cl01_vds01_uplink2</vt:lpstr>
      <vt:lpstr>mgmt_cl01_vds02_lacp_mode_chosen</vt:lpstr>
      <vt:lpstr>mgmt_cl01_vds02_lacp_timeout_chosen</vt:lpstr>
      <vt:lpstr>mgmt_cl01_vds02_lag_lbt_chosen</vt:lpstr>
      <vt:lpstr>mgmt_cl01_vds02_lag_name</vt:lpstr>
      <vt:lpstr>mgmt_cl01_vds02_link_type_chosen</vt:lpstr>
      <vt:lpstr>mgmt_cl01_vds02_mtu</vt:lpstr>
      <vt:lpstr>mgmt_cl01_vds02_name</vt:lpstr>
      <vt:lpstr>mgmt_cl01_vds02_pnics</vt:lpstr>
      <vt:lpstr>mgmt_cl01_vds02_uplink_count</vt:lpstr>
      <vt:lpstr>mgmt_cl01_vds02_uplink1</vt:lpstr>
      <vt:lpstr>mgmt_cl01_vds02_uplink2</vt:lpstr>
      <vt:lpstr>mgmt_cl01_vds03_lacp_mode_chosen</vt:lpstr>
      <vt:lpstr>mgmt_cl01_vds03_lacp_timeout_chosen</vt:lpstr>
      <vt:lpstr>mgmt_cl01_vds03_lag_lbt_chosen</vt:lpstr>
      <vt:lpstr>mgmt_cl01_vds03_lag_name</vt:lpstr>
      <vt:lpstr>mgmt_cl01_vds03_link_type_chosen</vt:lpstr>
      <vt:lpstr>mgmt_cl01_vds03_mtu</vt:lpstr>
      <vt:lpstr>mgmt_cl01_vds03_name</vt:lpstr>
      <vt:lpstr>mgmt_cl01_vds03_pnics</vt:lpstr>
      <vt:lpstr>mgmt_cl01_vds03_uplink_count</vt:lpstr>
      <vt:lpstr>mgmt_cl01_vds03_uplink1</vt:lpstr>
      <vt:lpstr>mgmt_cl01_vds03_uplink2</vt:lpstr>
      <vt:lpstr>mgmt_cl01_vsan_datastore</vt:lpstr>
      <vt:lpstr>mgmt_cl01_vsan_dedupe_compression_chosen</vt:lpstr>
      <vt:lpstr>mgmt_cl01_vsan_ftt_chosen</vt:lpstr>
      <vt:lpstr>mgmt_consolidated_result</vt:lpstr>
      <vt:lpstr>mgmt_datacenter</vt:lpstr>
      <vt:lpstr>mgmt_domain_chosen</vt:lpstr>
      <vt:lpstr>mgmt_domain_deployment_type_chosen</vt:lpstr>
      <vt:lpstr>mgmt_domain_deployment_type_result</vt:lpstr>
      <vt:lpstr>mgmt_domain_existing_nsx_manager_chosen</vt:lpstr>
      <vt:lpstr>mgmt_domain_existing_vcenter_chosen</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mgmt_dpg_reuse_chosen</vt:lpstr>
      <vt:lpstr>mgmt_dpg_reuse_result</vt:lpstr>
      <vt:lpstr>mgmt_ec_api_chosen</vt:lpstr>
      <vt:lpstr>mgmt_ec_gateway_type</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mgmt_gateway_routing_type_chosen</vt:lpstr>
      <vt:lpstr>mgmt_host_overlay_addressing_chosen</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mgmt_mgmt_rp</vt:lpstr>
      <vt:lpstr>mgmt_mgmt_vm_folder</vt:lpstr>
      <vt:lpstr>mgmt_nsx_default_operation_mode_chosen</vt:lpstr>
      <vt:lpstr>mgmt_nsx_operation_mode_chosen</vt:lpstr>
      <vt:lpstr>mgmt_nsx_rp</vt:lpstr>
      <vt:lpstr>mgmt_nsx_vm_folder</vt:lpstr>
      <vt:lpstr>mgmt_nsxt_appliance_size_chosen</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mgmt_nsxt_gm_vip_fqdn</vt:lpstr>
      <vt:lpstr>mgmt_nsxt_gm_vip_ip</vt:lpstr>
      <vt:lpstr>mgmt_nsxt_hostname</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mgmt_nsxt_vip_ip</vt:lpstr>
      <vt:lpstr>mgmt_nsxt_xreg_t1_name</vt:lpstr>
      <vt:lpstr>mgmt_offline_depot_chosen</vt:lpstr>
      <vt:lpstr>mgmt_offline_depot_fqdn</vt:lpstr>
      <vt:lpstr>mgmt_offline_depot_port</vt:lpstr>
      <vt:lpstr>mgmt_ops_collector_reuse_password_chosen</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mgmt_srm_logs_rp</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mgmt_srm_vm_size_chosen</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mgmt_tier0_ha_chosen</vt:lpstr>
      <vt:lpstr>mgmt_tier0_name</vt:lpstr>
      <vt:lpstr>mgmt_tier0_skip_chosen</vt:lpstr>
      <vt:lpstr>mgmt_tier1_name</vt:lpstr>
      <vt:lpstr>mgmt_user_edge_rp</vt:lpstr>
      <vt:lpstr>mgmt_user_vm_rp</vt:lpstr>
      <vt:lpstr>mgmt_vc_fqdn</vt:lpstr>
      <vt:lpstr>mgmt_vc_hostname</vt:lpstr>
      <vt:lpstr>mgmt_vc_ip</vt:lpstr>
      <vt:lpstr>mgmt_vc_size</vt:lpstr>
      <vt:lpstr>mgmt_vc_storage_size</vt:lpstr>
      <vt:lpstr>mgmt_vcenter_appliance_size_chosen</vt:lpstr>
      <vt:lpstr>mgmt_vcf_installer_location_chosen</vt:lpstr>
      <vt:lpstr>mgmt_vcf_management_network_chosen</vt:lpstr>
      <vt:lpstr>mgmt_vcfops_appliance_size_chosen</vt:lpstr>
      <vt:lpstr>mgmt_vnaa_fqdn</vt:lpstr>
      <vt:lpstr>mgmt_vnaa_ip</vt:lpstr>
      <vt:lpstr>mgmt_vnab_fqdn</vt:lpstr>
      <vt:lpstr>mgmt_vnab_ip</vt:lpstr>
      <vt:lpstr>mgmt_vns_chosen</vt:lpstr>
      <vt:lpstr>mgmt_vns_result</vt:lpstr>
      <vt:lpstr>mgmt_vpc_ext_ip_blocks</vt:lpstr>
      <vt:lpstr>mgmt_vpc_transit_gateway_ip_blocks</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mgmt_witness_az_mgmt_mask</vt:lpstr>
      <vt:lpstr>mgmt_witness_cluster</vt:lpstr>
      <vt:lpstr>mgmt_witness_dns1_ip</vt:lpstr>
      <vt:lpstr>mgmt_witness_dns2_ip</vt:lpstr>
      <vt:lpstr>mgmt_witness_fqdn</vt:lpstr>
      <vt:lpstr>mgmt_witness_hostname</vt:lpstr>
      <vt:lpstr>mgmt_witness_ip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mgmt_witnessaz_mgmt_mask</vt:lpstr>
      <vt:lpstr>mgmt_witnessaz_mgmt_mtu</vt:lpstr>
      <vt:lpstr>mgmt_witnessaz_mgmt_network</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navigation_configure_sftp_mgmt_domain</vt:lpstr>
      <vt:lpstr>navigation_mgmt_configure_auth</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navlink_input_ca_values</vt:lpstr>
      <vt:lpstr>non_first_domain_mgmt_only_viable</vt:lpstr>
      <vt:lpstr>non_first_domain_mgmt_vi_viable</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other_prefix_mgmt_stretched_cidr</vt:lpstr>
      <vt:lpstr>other_prefix_wld_stretched_cidr</vt:lpstr>
      <vt:lpstr>parent_ad_groups_ou</vt:lpstr>
      <vt:lpstr>parent_ad_users_ou</vt:lpstr>
      <vt:lpstr>parent_dns_zone</vt:lpstr>
      <vt:lpstr>pnp_version_history</vt:lpstr>
      <vt:lpstr>pnp_version_number</vt:lpstr>
      <vt:lpstr>prefix_flt_shared_cidr</vt:lpstr>
      <vt:lpstr>prefix_mgmt_az1_cidr</vt:lpstr>
      <vt:lpstr>prefix_mgmt_az1_vlan</vt:lpstr>
      <vt:lpstr>prefix_mgmt_az2_cidr</vt:lpstr>
      <vt:lpstr>prefix_mgmt_az2_vlan</vt:lpstr>
      <vt:lpstr>prefix_mgmt_stretched_cidr</vt:lpstr>
      <vt:lpstr>prefix_mgmt_stretched_vlan</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prefix_wld_stretched_cidr</vt:lpstr>
      <vt:lpstr>prefix_wld_stretched_vlan</vt:lpstr>
      <vt:lpstr>prefix_wld_tor_asn</vt:lpstr>
      <vt:lpstr>prefix_wld_witness_cidr</vt:lpstr>
      <vt:lpstr>prefix_wld_witness_vlan</vt:lpstr>
      <vt:lpstr>prefix_xreg_cidr</vt:lpstr>
      <vt:lpstr>protected_mgmt_result</vt:lpstr>
      <vt:lpstr>protected_wld_result</vt:lpstr>
      <vt:lpstr>recovery_mgmt_result</vt:lpstr>
      <vt:lpstr>reg_seg01_mask_overlay_backed</vt:lpstr>
      <vt:lpstr>region_ad_child_fqdn</vt:lpstr>
      <vt:lpstr>region_ad_child_netbios</vt:lpstr>
      <vt:lpstr>region_ad_parent_fqdn</vt:lpstr>
      <vt:lpstr>region_ad_parent_netbios</vt:lpstr>
      <vt:lpstr>region_dns1_ip</vt:lpstr>
      <vt:lpstr>region_dns2_ip</vt:lpstr>
      <vt:lpstr>region_ntp_servers_array</vt:lpstr>
      <vt:lpstr>region_ntp1_server</vt:lpstr>
      <vt:lpstr>region_ntp2_server</vt:lpstr>
      <vt:lpstr>region_vrli_nodea_fqdn</vt:lpstr>
      <vt:lpstr>region_vrli_nodea_hostname</vt:lpstr>
      <vt:lpstr>region_vrli_nodea_ip</vt:lpstr>
      <vt:lpstr>region_vrli_nodeb_fqdn</vt:lpstr>
      <vt:lpstr>region_vrli_nodeb_hostname</vt:lpstr>
      <vt:lpstr>region_vrli_nodeb_ip</vt:lpstr>
      <vt:lpstr>region_vrli_nodec_fqdn</vt:lpstr>
      <vt:lpstr>region_vrli_nodec_hostname</vt:lpstr>
      <vt:lpstr>region_vrli_nodec_ip</vt:lpstr>
      <vt:lpstr>region_vrli_virtual_fqdn</vt:lpstr>
      <vt:lpstr>region_vrli_virtual_hostname</vt:lpstr>
      <vt:lpstr>region_vrli_virtual_ip</vt:lpstr>
      <vt:lpstr>region_vrni_nodea_hostname</vt:lpstr>
      <vt:lpstr>region_vrni_nodea_ip</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sample_air_GPU_network_operator_namespace</vt:lpstr>
      <vt:lpstr>sample_air_GPU_operator_namespace</vt:lpstr>
      <vt:lpstr>sample_air_GPU_VM_class</vt:lpstr>
      <vt:lpstr>sample_air_license</vt:lpstr>
      <vt:lpstr>sample_avilb_root_password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sample_cbr_aria_logs_key</vt:lpstr>
      <vt:lpstr>sample_cbr_aria_logs_url</vt:lpstr>
      <vt:lpstr>sample_cbr_firewall_group</vt:lpstr>
      <vt:lpstr>sample_cbr_firewall_ip_addresses</vt:lpstr>
      <vt:lpstr>sample_cbr_firewall_rule_vcenter</vt:lpstr>
      <vt:lpstr>sample_cbr_recovery_host_count</vt:lpstr>
      <vt:lpstr>sample_cbr_recovery_host_type</vt:lpstr>
      <vt:lpstr>sample_cbr_recovery_management_subnet</vt:lpstr>
      <vt:lpstr>sample_cbr_recovery_region</vt:lpstr>
      <vt:lpstr>sample_cbr_recovery_sddc_name</vt:lpstr>
      <vt:lpstr>sample_cbr_recovery_subnet</vt:lpstr>
      <vt:lpstr>sample_cbr_recovery_vpc</vt:lpstr>
      <vt:lpstr>sample_cbr_vcdr_anti_affinity</vt:lpstr>
      <vt:lpstr>sample_cbr_vcdr_cdp1_hostname</vt:lpstr>
      <vt:lpstr>sample_cbr_vcdr_cdp1_ip</vt:lpstr>
      <vt:lpstr>sample_cbr_vcdr_cdp2_hostname</vt:lpstr>
      <vt:lpstr>sample_cbr_vcdr_cdp2_ip</vt:lpstr>
      <vt:lpstr>sample_cbr_vcdr_cloud_file_system</vt:lpstr>
      <vt:lpstr>sample_cbr_vcdr_email_recipient</vt:lpstr>
      <vt:lpstr>sample_cbr_vcdr_email_sender</vt:lpstr>
      <vt:lpstr>sample_cbr_vcdr_label</vt:lpstr>
      <vt:lpstr>sample_cbr_vcdr_orchestrator_fqdn</vt:lpstr>
      <vt:lpstr>sample_cbr_vcdr_ova</vt:lpstr>
      <vt:lpstr>sample_cbr_vcdr_passcode</vt:lpstr>
      <vt:lpstr>sample_cbr_vcdr_site_name</vt:lpstr>
      <vt:lpstr>sample_cbr_vcdr_timezone</vt:lpstr>
      <vt:lpstr>sample_cbr_vcdr_vsphere_role</vt:lpstr>
      <vt:lpstr>sample_cbr_vm_folder</vt:lpstr>
      <vt:lpstr>sample_cbw_hcx_cdp_fqdn</vt:lpstr>
      <vt:lpstr>sample_ccm_aws_admin_password</vt:lpstr>
      <vt:lpstr>sample_ccm_aws_admin_ssouser</vt:lpstr>
      <vt:lpstr>sample_ccm_aws_host_count</vt:lpstr>
      <vt:lpstr>sample_ccm_aws_host_type</vt:lpstr>
      <vt:lpstr>sample_ccm_aws_management_subnet</vt:lpstr>
      <vt:lpstr>sample_ccm_aws_region</vt:lpstr>
      <vt:lpstr>sample_ccm_aws_sddc_name</vt:lpstr>
      <vt:lpstr>sample_ccm_aws_subnet</vt:lpstr>
      <vt:lpstr>sample_ccm_aws_vpc</vt:lpstr>
      <vt:lpstr>sample_ccm_firewall_group</vt:lpstr>
      <vt:lpstr>sample_ccm_firewall_ip_addresses</vt:lpstr>
      <vt:lpstr>sample_ccm_firewall_rule_hcx</vt:lpstr>
      <vt:lpstr>sample_ccm_firewall_rule_vcenter</vt:lpstr>
      <vt:lpstr>sample_ccm_hcx_admin_password</vt:lpstr>
      <vt:lpstr>sample_ccm_hcx_cdp_hostname</vt:lpstr>
      <vt:lpstr>sample_ccm_hcx_cdp_ip</vt:lpstr>
      <vt:lpstr>sample_ccm_hcx_compute_profile</vt:lpstr>
      <vt:lpstr>sample_ccm_hcx_dc_location</vt:lpstr>
      <vt:lpstr>sample_ccm_hcx_license</vt:lpstr>
      <vt:lpstr>sample_ccm_hcx_mgmt_network_ip_range</vt:lpstr>
      <vt:lpstr>sample_ccm_hcx_remote_url</vt:lpstr>
      <vt:lpstr>sample_ccm_hcx_resource_pool</vt:lpstr>
      <vt:lpstr>sample_ccm_hcx_root_password</vt:lpstr>
      <vt:lpstr>sample_ccm_hcx_service_mesh</vt:lpstr>
      <vt:lpstr>sample_ccm_hcx_vm_folder</vt:lpstr>
      <vt:lpstr>sample_ccm_hcx_vmotion_network_ip_range</vt:lpstr>
      <vt:lpstr>sample_ccm_hcx_vsphere_role</vt:lpstr>
      <vt:lpstr>sample_ccm_vm_folder</vt:lpstr>
      <vt:lpstr>sample_certificate_authority_fqdn</vt:lpstr>
      <vt:lpstr>sample_certificate_authority_name</vt:lpstr>
      <vt:lpstr>sample_child_ad_groups_ou</vt:lpstr>
      <vt:lpstr>sample_child_ad_users_ou</vt:lpstr>
      <vt:lpstr>sample_child_dns_zone</vt:lpstr>
      <vt:lpstr>sample_child_svc_nsx_ad_password</vt:lpstr>
      <vt:lpstr>sample_child_svc_nsx_ad_user</vt:lpstr>
      <vt:lpstr>sample_child_svc_vsphere_ad_password</vt:lpstr>
      <vt:lpstr>sample_child_svc_vsphere_ad_user</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sample_cluster_az1_principal_storage_gateway_ip</vt:lpstr>
      <vt:lpstr>sample_cluster_az1_principal_storage_mask</vt:lpstr>
      <vt:lpstr>sample_cluster_az1_principal_storage_mtu</vt:lpstr>
      <vt:lpstr>sample_cluster_az1_principal_storage_network</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sample_cluster_az1_secondary_storage_gateway_ip</vt:lpstr>
      <vt:lpstr>sample_cluster_az1_secondary_storage_mask</vt:lpstr>
      <vt:lpstr>sample_cluster_az1_secondary_storage_mtu</vt:lpstr>
      <vt:lpstr>sample_cluster_az1_secondary_storage_network</vt:lpstr>
      <vt:lpstr>sample_cluster_az1_secondary_storage_pool_end_ip</vt:lpstr>
      <vt:lpstr>sample_cluster_az1_secondary_storage_pool_start_ip</vt:lpstr>
      <vt:lpstr>sample_cluster_az1_secondary_storage_vlan</vt:lpstr>
      <vt:lpstr>sample_cluster_az1_storage_cluster_gateway_ip</vt:lpstr>
      <vt:lpstr>sample_cluster_az1_storage_cluster_mask</vt:lpstr>
      <vt:lpstr>sample_cluster_az1_storage_cluster_mtu</vt:lpstr>
      <vt:lpstr>sample_cluster_az1_storage_cluster_network</vt:lpstr>
      <vt:lpstr>sample_cluster_az1_storage_cluster_pool_end_ip</vt:lpstr>
      <vt:lpstr>sample_cluster_az1_storage_cluster_pool_start_ip</vt:lpstr>
      <vt:lpstr>sample_cluster_az1_storage_cluster_vlan</vt:lpstr>
      <vt:lpstr>sample_cluster_az1_vmotion_gateway_ip</vt:lpstr>
      <vt:lpstr>sample_cluster_az1_vmotion_mask</vt:lpstr>
      <vt:lpstr>sample_cluster_az1_vmotion_mtu</vt:lpstr>
      <vt:lpstr>sample_cluster_az1_vmotion_network</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sample_cluster_vds01_lag_name</vt:lpstr>
      <vt:lpstr>sample_cluster_vds01_mtu</vt:lpstr>
      <vt:lpstr>sample_cluster_vds01_name</vt:lpstr>
      <vt:lpstr>sample_cluster_vds01_pnics</vt:lpstr>
      <vt:lpstr>sample_cluster_vds01_uplink_count</vt:lpstr>
      <vt:lpstr>sample_cluster_vds02_lag_name</vt:lpstr>
      <vt:lpstr>sample_cluster_vds02_mtu</vt:lpstr>
      <vt:lpstr>sample_cluster_vds02_name</vt:lpstr>
      <vt:lpstr>sample_cluster_vds02_pnics</vt:lpstr>
      <vt:lpstr>sample_cluster_vds02_uplink_count</vt:lpstr>
      <vt:lpstr>sample_cluster_vds03_lag_name</vt:lpstr>
      <vt:lpstr>sample_cluster_vds03_mtu</vt:lpstr>
      <vt:lpstr>sample_cluster_vds03_name</vt:lpstr>
      <vt:lpstr>sample_cluster_vds03_pnics</vt:lpstr>
      <vt:lpstr>sample_cluster_vds03_uplink_count</vt:lpstr>
      <vt:lpstr>sample_cluster_vmfs_datastore_name</vt:lpstr>
      <vt:lpstr>sample_cluster_vsan_datastore</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sample_domain_controller_hostname</vt:lpstr>
      <vt:lpstr>sample_esxi_root_password</vt:lpstr>
      <vt:lpstr>sample_flt_auto_node_pool_end_ip</vt:lpstr>
      <vt:lpstr>sample_flt_auto_node_pool_start_ip</vt:lpstr>
      <vt:lpstr>sample_flt_auto_sr_fqdn</vt:lpstr>
      <vt:lpstr>sample_flt_auto_sr_ip</vt:lpstr>
      <vt:lpstr>sample_flt_custom_network_auto_admin_password</vt:lpstr>
      <vt:lpstr>sample_flt_custom_network_auto_nodea_ip</vt:lpstr>
      <vt:lpstr>sample_flt_custom_network_auto_nodeb_ip</vt:lpstr>
      <vt:lpstr>sample_flt_custom_network_auto_nodec_ip</vt:lpstr>
      <vt:lpstr>sample_flt_custom_network_auto_noded_ip</vt:lpstr>
      <vt:lpstr>sample_flt_custom_network_auto_nodee_ip</vt:lpstr>
      <vt:lpstr>sample_flt_custom_network_auto_nodef_ip</vt:lpstr>
      <vt:lpstr>sample_flt_custom_network_auto_prefix</vt:lpstr>
      <vt:lpstr>sample_flt_custom_network_auto_vip_fqdn</vt:lpstr>
      <vt:lpstr>sample_flt_custom_network_auto_vip_ip</vt:lpstr>
      <vt:lpstr>sample_flt_custom_network_flt_admin_password</vt:lpstr>
      <vt:lpstr>sample_flt_custom_network_flt_fqdn</vt:lpstr>
      <vt:lpstr>sample_flt_custom_network_flt_ip</vt:lpstr>
      <vt:lpstr>sample_flt_custom_network_flt_root_password</vt:lpstr>
      <vt:lpstr>sample_flt_custom_network_local_reg_gateway_ip</vt:lpstr>
      <vt:lpstr>sample_flt_custom_network_local_reg_mask</vt:lpstr>
      <vt:lpstr>sample_flt_custom_network_local_reg_pg</vt:lpstr>
      <vt:lpstr>sample_flt_custom_network_ops_admin_password</vt:lpstr>
      <vt:lpstr>sample_flt_custom_network_ops_collector_fqdn</vt:lpstr>
      <vt:lpstr>sample_flt_custom_network_ops_collector_ip</vt:lpstr>
      <vt:lpstr>sample_flt_custom_network_ops_collector_root_password</vt:lpstr>
      <vt:lpstr>sample_flt_custom_network_ops_collector_version</vt:lpstr>
      <vt:lpstr>sample_flt_custom_network_ops_nodea_fqdn</vt:lpstr>
      <vt:lpstr>sample_flt_custom_network_ops_nodea_ip</vt:lpstr>
      <vt:lpstr>sample_flt_custom_network_ops_nodeb_fqdn</vt:lpstr>
      <vt:lpstr>sample_flt_custom_network_ops_nodeb_ip</vt:lpstr>
      <vt:lpstr>sample_flt_custom_network_ops_nodec_fqdn</vt:lpstr>
      <vt:lpstr>sample_flt_custom_network_ops_nodec_ip</vt:lpstr>
      <vt:lpstr>sample_flt_custom_network_ops_root_password</vt:lpstr>
      <vt:lpstr>sample_flt_custom_network_ops_vip_fqdn</vt:lpstr>
      <vt:lpstr>sample_flt_custom_network_ops_vip_ip</vt:lpstr>
      <vt:lpstr>sample_flt_custom_network_x_reg_gateway_ip</vt:lpstr>
      <vt:lpstr>sample_flt_custom_network_x_reg_mask</vt:lpstr>
      <vt:lpstr>sample_flt_custom_network_x_reg_pg</vt:lpstr>
      <vt:lpstr>sample_flt_fc_fqdn</vt:lpstr>
      <vt:lpstr>sample_flt_fc_ip</vt:lpstr>
      <vt:lpstr>sample_flt_ic_fqdn</vt:lpstr>
      <vt:lpstr>sample_flt_ic_ip</vt:lpstr>
      <vt:lpstr>sample_flt_lc_fqdn</vt:lpstr>
      <vt:lpstr>sample_flt_lc_ip</vt:lpstr>
      <vt:lpstr>sample_flt_logs_admin_email</vt:lpstr>
      <vt:lpstr>sample_flt_logs_admin_password</vt:lpstr>
      <vt:lpstr>sample_flt_logs_admin_password_alias</vt:lpstr>
      <vt:lpstr>sample_flt_logs_admin_password_description</vt:lpstr>
      <vt:lpstr>sample_flt_logs_admin_username</vt:lpstr>
      <vt:lpstr>sample_flt_logs_cert_alias</vt:lpstr>
      <vt:lpstr>sample_flt_logs_cert_country_code</vt:lpstr>
      <vt:lpstr>sample_flt_logs_cert_locality</vt:lpstr>
      <vt:lpstr>sample_flt_logs_cert_organisation</vt:lpstr>
      <vt:lpstr>sample_flt_logs_cert_state</vt:lpstr>
      <vt:lpstr>sample_flt_logs_cluster</vt:lpstr>
      <vt:lpstr>sample_flt_logs_common_name</vt:lpstr>
      <vt:lpstr>sample_flt_logs_datastore</vt:lpstr>
      <vt:lpstr>sample_flt_logs_folder</vt:lpstr>
      <vt:lpstr>sample_flt_logs_gateway_ip</vt:lpstr>
      <vt:lpstr>sample_flt_logs_mask</vt:lpstr>
      <vt:lpstr>sample_flt_logs_nodea_fqdn</vt:lpstr>
      <vt:lpstr>sample_flt_logs_nodea_hostname</vt:lpstr>
      <vt:lpstr>sample_flt_logs_nodea_ip</vt:lpstr>
      <vt:lpstr>sample_flt_logs_nodeb_fqdn</vt:lpstr>
      <vt:lpstr>sample_flt_logs_nodeb_hostname</vt:lpstr>
      <vt:lpstr>sample_flt_logs_nodeb_ip</vt:lpstr>
      <vt:lpstr>sample_flt_logs_nodec_fqdn</vt:lpstr>
      <vt:lpstr>sample_flt_logs_nodec_hostname</vt:lpstr>
      <vt:lpstr>sample_flt_logs_nodec_ip</vt:lpstr>
      <vt:lpstr>sample_flt_logs_ou_cert</vt:lpstr>
      <vt:lpstr>sample_flt_logs_portgroup</vt:lpstr>
      <vt:lpstr>sample_flt_logs_resource_pool</vt:lpstr>
      <vt:lpstr>sample_flt_logs_root_password</vt:lpstr>
      <vt:lpstr>sample_flt_logs_root_password_alias</vt:lpstr>
      <vt:lpstr>sample_flt_logs_root_password_description</vt:lpstr>
      <vt:lpstr>sample_flt_logs_root_username</vt:lpstr>
      <vt:lpstr>sample_flt_logs_vcenter_fqdn</vt:lpstr>
      <vt:lpstr>sample_flt_logs_vip_fqdn</vt:lpstr>
      <vt:lpstr>sample_flt_logs_vip_ip</vt:lpstr>
      <vt:lpstr>sample_flt_net_admin_password</vt:lpstr>
      <vt:lpstr>sample_flt_net_admin_password_alias</vt:lpstr>
      <vt:lpstr>sample_flt_net_admin_password_description</vt:lpstr>
      <vt:lpstr>sample_flt_net_admin_username</vt:lpstr>
      <vt:lpstr>sample_flt_net_cert_alias</vt:lpstr>
      <vt:lpstr>sample_flt_net_cert_country_code</vt:lpstr>
      <vt:lpstr>sample_flt_net_cert_locality</vt:lpstr>
      <vt:lpstr>sample_flt_net_cert_organisation</vt:lpstr>
      <vt:lpstr>sample_flt_net_cert_state</vt:lpstr>
      <vt:lpstr>sample_flt_net_cluster</vt:lpstr>
      <vt:lpstr>sample_flt_net_common_name</vt:lpstr>
      <vt:lpstr>sample_flt_net_console_password</vt:lpstr>
      <vt:lpstr>sample_flt_net_datastore</vt:lpstr>
      <vt:lpstr>sample_flt_net_folder</vt:lpstr>
      <vt:lpstr>sample_flt_net_node_gateway_ip</vt:lpstr>
      <vt:lpstr>sample_flt_net_node_mask</vt:lpstr>
      <vt:lpstr>sample_flt_net_node_portgroup</vt:lpstr>
      <vt:lpstr>sample_flt_net_nodea_fqdn</vt:lpstr>
      <vt:lpstr>sample_flt_net_nodea_ip</vt:lpstr>
      <vt:lpstr>sample_flt_net_nodeb_fqdn</vt:lpstr>
      <vt:lpstr>sample_flt_net_nodeb_ip</vt:lpstr>
      <vt:lpstr>sample_flt_net_nodec_fqdn</vt:lpstr>
      <vt:lpstr>sample_flt_net_nodec_ip</vt:lpstr>
      <vt:lpstr>sample_flt_net_ou_cert</vt:lpstr>
      <vt:lpstr>sample_flt_net_platform_password</vt:lpstr>
      <vt:lpstr>sample_flt_net_prxy_fqdn</vt:lpstr>
      <vt:lpstr>sample_flt_net_prxy_gateway_ip</vt:lpstr>
      <vt:lpstr>sample_flt_net_prxy_ip</vt:lpstr>
      <vt:lpstr>sample_flt_net_prxy_mask</vt:lpstr>
      <vt:lpstr>sample_flt_net_prxy_portgroup</vt:lpstr>
      <vt:lpstr>sample_flt_net_resource_pool</vt:lpstr>
      <vt:lpstr>sample_flt_net_support_password</vt:lpstr>
      <vt:lpstr>sample_flt_net_vcenter_fqdn</vt:lpstr>
      <vt:lpstr>sample_flt_net_vcenter_list</vt:lpstr>
      <vt:lpstr>sample_flt_sr_fqdn</vt:lpstr>
      <vt:lpstr>sample_flt_sr_ip</vt:lpstr>
      <vt:lpstr>sample_flt_vcfms_node_pool_end_ip</vt:lpstr>
      <vt:lpstr>sample_flt_vcfms_node_pool_start_ip</vt:lpstr>
      <vt:lpstr>sample_flt_vidb_additional_vips</vt:lpstr>
      <vt:lpstr>sample_flt_vidb_base_dn</vt:lpstr>
      <vt:lpstr>sample_flt_vidb_bind_password</vt:lpstr>
      <vt:lpstr>sample_flt_vidb_bind_username</vt:lpstr>
      <vt:lpstr>sample_flt_vidb_cert_alias</vt:lpstr>
      <vt:lpstr>sample_flt_vidb_cert_common_name</vt:lpstr>
      <vt:lpstr>sample_flt_vidb_cert_country_code</vt:lpstr>
      <vt:lpstr>sample_flt_vidb_cert_locality</vt:lpstr>
      <vt:lpstr>sample_flt_vidb_cert_organisation</vt:lpstr>
      <vt:lpstr>sample_flt_vidb_cert_state</vt:lpstr>
      <vt:lpstr>sample_flt_vidb_cluster</vt:lpstr>
      <vt:lpstr>sample_flt_vidb_datastore</vt:lpstr>
      <vt:lpstr>sample_flt_vidb_directory_name</vt:lpstr>
      <vt:lpstr>sample_flt_vidb_distinguished_name</vt:lpstr>
      <vt:lpstr>sample_flt_vidb_employeeID</vt:lpstr>
      <vt:lpstr>sample_flt_vidb_first_name</vt:lpstr>
      <vt:lpstr>sample_flt_vidb_folder</vt:lpstr>
      <vt:lpstr>sample_flt_vidb_gateway_ip</vt:lpstr>
      <vt:lpstr>sample_flt_vidb_group_base_dn</vt:lpstr>
      <vt:lpstr>sample_flt_vidb_last_name</vt:lpstr>
      <vt:lpstr>sample_flt_vidb_mail</vt:lpstr>
      <vt:lpstr>sample_flt_vidb_mask</vt:lpstr>
      <vt:lpstr>sample_flt_vidb_node_prefix</vt:lpstr>
      <vt:lpstr>sample_flt_vidb_nodea_ip</vt:lpstr>
      <vt:lpstr>sample_flt_vidb_nodeb_ip</vt:lpstr>
      <vt:lpstr>sample_flt_vidb_nodec_ip</vt:lpstr>
      <vt:lpstr>sample_flt_vidb_noded_ip</vt:lpstr>
      <vt:lpstr>sample_flt_vidb_ou_cert</vt:lpstr>
      <vt:lpstr>sample_flt_vidb_password</vt:lpstr>
      <vt:lpstr>sample_flt_vidb_password_alias</vt:lpstr>
      <vt:lpstr>sample_flt_vidb_password_description</vt:lpstr>
      <vt:lpstr>sample_flt_vidb_pg</vt:lpstr>
      <vt:lpstr>sample_flt_vidb_primary_domain_controller</vt:lpstr>
      <vt:lpstr>sample_flt_vidb_primary_domain_controller_port</vt:lpstr>
      <vt:lpstr>sample_flt_vidb_resource_pool</vt:lpstr>
      <vt:lpstr>sample_flt_vidb_root_username</vt:lpstr>
      <vt:lpstr>sample_flt_vidb_secondary_domain_controller</vt:lpstr>
      <vt:lpstr>sample_flt_vidb_secondary_domain_controller_port</vt:lpstr>
      <vt:lpstr>sample_flt_vidb_system_user_alias</vt:lpstr>
      <vt:lpstr>sample_flt_vidb_system_user_description</vt:lpstr>
      <vt:lpstr>sample_flt_vidb_system_user_password</vt:lpstr>
      <vt:lpstr>sample_flt_vidb_user_base_dn</vt:lpstr>
      <vt:lpstr>sample_flt_vidb_user_name</vt:lpstr>
      <vt:lpstr>sample_flt_vidb_user_principal_name</vt:lpstr>
      <vt:lpstr>sample_flt_vidb_vcenter_fqdn</vt:lpstr>
      <vt:lpstr>sample_flt_vidb_version</vt:lpstr>
      <vt:lpstr>sample_flt_vidb_vip_fqdn</vt:lpstr>
      <vt:lpstr>sample_flt_vidb_vip_ip</vt:lpstr>
      <vt:lpstr>sample_gg_kub_admins_group</vt:lpstr>
      <vt:lpstr>sample_gg_kub_readonly_group</vt:lpstr>
      <vt:lpstr>sample_gg_nsx_auditors_group</vt:lpstr>
      <vt:lpstr>sample_gg_nsx_enterprise_admins_group</vt:lpstr>
      <vt:lpstr>sample_gg_nsx_network_admins_group</vt:lpstr>
      <vt:lpstr>sample_gg_sso_admins_group</vt:lpstr>
      <vt:lpstr>sample_gg_vc_admins_group</vt:lpstr>
      <vt:lpstr>sample_gg_vc_read_only_group</vt:lpstr>
      <vt:lpstr>sample_gg_vcf_admins_group</vt:lpstr>
      <vt:lpstr>sample_gg_vcf_operators_group</vt:lpstr>
      <vt:lpstr>sample_gg_vcf_viewers_group</vt:lpstr>
      <vt:lpstr>sample_gg_vra_cloud_assembly_admins_group</vt:lpstr>
      <vt:lpstr>sample_gg_vra_cloud_assembly_users_group</vt:lpstr>
      <vt:lpstr>sample_gg_vra_cloud_assembly_viewers_group</vt:lpstr>
      <vt:lpstr>sample_gg_vra_orchestrator_admins_group</vt:lpstr>
      <vt:lpstr>sample_gg_vra_orchestrator_designers_group</vt:lpstr>
      <vt:lpstr>sample_gg_vra_orchestrator_viewers_group</vt:lpstr>
      <vt:lpstr>sample_gg_vra_org_owners_group</vt:lpstr>
      <vt:lpstr>sample_gg_vra_project_admins_sample_group</vt:lpstr>
      <vt:lpstr>sample_gg_vra_project_users_sample_group</vt:lpstr>
      <vt:lpstr>sample_gg_vra_service_broker_admins_group</vt:lpstr>
      <vt:lpstr>sample_gg_vra_service_broker_users_group</vt:lpstr>
      <vt:lpstr>sample_gg_vra_service_broker_viewers_group</vt:lpstr>
      <vt:lpstr>sample_gg_vrli_admins_group</vt:lpstr>
      <vt:lpstr>sample_gg_vrli_users_group</vt:lpstr>
      <vt:lpstr>sample_gg_vrli_viewers_group</vt:lpstr>
      <vt:lpstr>sample_gg_vrni_admin_group</vt:lpstr>
      <vt:lpstr>sample_gg_vrni_auditor_group</vt:lpstr>
      <vt:lpstr>sample_gg_vrni_member_group</vt:lpstr>
      <vt:lpstr>sample_gg_vrops_admins_group</vt:lpstr>
      <vt:lpstr>sample_gg_vrops_content_admins_group</vt:lpstr>
      <vt:lpstr>sample_gg_vrops_read_only_group</vt:lpstr>
      <vt:lpstr>sample_gg_vrslcm_admins_group</vt:lpstr>
      <vt:lpstr>sample_gg_vrslcm_content_developers_group</vt:lpstr>
      <vt:lpstr>sample_gg_vrslcm_release_managers_group</vt:lpstr>
      <vt:lpstr>sample_k8s_cluster_name</vt:lpstr>
      <vt:lpstr>sample_k8s_ip_prefixlist</vt:lpstr>
      <vt:lpstr>sample_k8s_ip_routemap</vt:lpstr>
      <vt:lpstr>sample_k8s_kubectl_path</vt:lpstr>
      <vt:lpstr>sample_k8s_mgmt_seg</vt:lpstr>
      <vt:lpstr>sample_k8s_namepsace</vt:lpstr>
      <vt:lpstr>sample_k8s_tanzu_k8s_cluster_pod_pool_cidr</vt:lpstr>
      <vt:lpstr>sample_k8s_tanzu_k8s_cluster_service_pool_cidr</vt:lpstr>
      <vt:lpstr>sample_k8s_vcenter_category</vt:lpstr>
      <vt:lpstr>sample_k8s_vcenter_content_library</vt:lpstr>
      <vt:lpstr>sample_k8s_vcenter_storage_policy</vt:lpstr>
      <vt:lpstr>sample_k8s_vcenter_tag</vt:lpstr>
      <vt:lpstr>sample_k8s_vm_class</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sample_mgmt_az1_en1_mgmt_ip</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sample_mgmt_az1_en2_mgmt_ip</vt:lpstr>
      <vt:lpstr>sample_mgmt_az1_en2_uplink01_interface_cidr</vt:lpstr>
      <vt:lpstr>sample_mgmt_az1_en2_uplink02_interface_cidr</vt:lpstr>
      <vt:lpstr>sample_mgmt_az1_host_overlay_cidr</vt:lpstr>
      <vt:lpstr>sample_mgmt_az1_host_overlay_gateway_ip</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sample_mgmt_az1_mgmt_cidr</vt:lpstr>
      <vt:lpstr>sample_mgmt_az1_mgmt_gateway_ip</vt:lpstr>
      <vt:lpstr>sample_mgmt_az1_mgmt_mtu</vt:lpstr>
      <vt:lpstr>sample_mgmt_az1_mgmt_vlan</vt:lpstr>
      <vt:lpstr>sample_mgmt_az1_mgmt_vm_cidr</vt:lpstr>
      <vt:lpstr>sample_mgmt_az1_mgmt_vm_gateway_ip</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sample_mgmt_az1_secondary_storage_cidr</vt:lpstr>
      <vt:lpstr>sample_mgmt_az1_secondary_storage_gateway_ip</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sample_mgmt_az1_vmotion_cidr</vt:lpstr>
      <vt:lpstr>sample_mgmt_az1_vmotion_gateway_ip</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sample_mgmt_az1_vsan_cidr</vt:lpstr>
      <vt:lpstr>sample_mgmt_az1_vsan_gateway_ip</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sample_mgmt_az2_vmotion_cidr</vt:lpstr>
      <vt:lpstr>sample_mgmt_az2_vmotion_gateway_ip</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sample_mgmt_cl01_az1_vcf_mgmt_pg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sample_mgmt_cl01_vds01_lag_name</vt:lpstr>
      <vt:lpstr>sample_mgmt_cl01_vds01_mtu</vt:lpstr>
      <vt:lpstr>sample_mgmt_cl01_vds01_name</vt:lpstr>
      <vt:lpstr>sample_mgmt_cl01_vds01_uplink_count</vt:lpstr>
      <vt:lpstr>sample_mgmt_cl01_vds01_uplink1</vt:lpstr>
      <vt:lpstr>sample_mgmt_cl01_vds01_uplink2</vt:lpstr>
      <vt:lpstr>sample_mgmt_cl01_vds02_lag_name</vt:lpstr>
      <vt:lpstr>sample_mgmt_cl01_vds02_mtu</vt:lpstr>
      <vt:lpstr>sample_mgmt_cl01_vds02_name</vt:lpstr>
      <vt:lpstr>sample_mgmt_cl01_vds02_uplink_count</vt:lpstr>
      <vt:lpstr>sample_mgmt_cl01_vds02_uplink1</vt:lpstr>
      <vt:lpstr>sample_mgmt_cl01_vds02_uplink2</vt:lpstr>
      <vt:lpstr>sample_mgmt_cl01_vds03_lag_name</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sample_mgmt_mgmt_rp</vt:lpstr>
      <vt:lpstr>sample_mgmt_nsx_rp</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sample_mgmt_nsxt_gm_vip_fqdn</vt:lpstr>
      <vt:lpstr>sample_mgmt_nsxt_gm_vip_ip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sample_mgmt_nsxt_vip_ip</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sample_mgmt_tier0_name</vt:lpstr>
      <vt:lpstr>sample_mgmt_tier1_name</vt:lpstr>
      <vt:lpstr>sample_mgmt_user_edge_rp</vt:lpstr>
      <vt:lpstr>sample_mgmt_user_vm_rp</vt:lpstr>
      <vt:lpstr>sample_mgmt_vc_fqdn</vt:lpstr>
      <vt:lpstr>sample_mgmt_vc_ip</vt:lpstr>
      <vt:lpstr>sample_mgmt_vnaa_fqdn</vt:lpstr>
      <vt:lpstr>sample_mgmt_vnaa_ip</vt:lpstr>
      <vt:lpstr>sample_mgmt_vnab_fqdn</vt:lpstr>
      <vt:lpstr>sample_mgmt_vnab_ip</vt:lpstr>
      <vt:lpstr>sample_mgmt_vpc_ext_ip_blocks</vt:lpstr>
      <vt:lpstr>sample_mgmt_vpc_transit_gateway_ip_blocks</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sample_parent_ad_groups_ou</vt:lpstr>
      <vt:lpstr>sample_parent_ad_users_ou</vt:lpstr>
      <vt:lpstr>sample_parent_dns_zone</vt:lpstr>
      <vt:lpstr>sample_parent_gg_wsa_admins_group</vt:lpstr>
      <vt:lpstr>sample_parent_gg_wsa_directory_admins_group</vt:lpstr>
      <vt:lpstr>sample_parent_gg_wsa_read_only_group</vt:lpstr>
      <vt:lpstr>sample_region_ad_child_fqdn</vt:lpstr>
      <vt:lpstr>sample_region_ad_child_netbios</vt:lpstr>
      <vt:lpstr>sample_region_ad_parent_fqdn</vt:lpstr>
      <vt:lpstr>sample_region_ad_parent_netbios</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sample_svc_cbr_vcdr_vsphere_password</vt:lpstr>
      <vt:lpstr>sample_svc_cbr_vcdr_vsphere_user</vt:lpstr>
      <vt:lpstr>sample_svc_ccm_hcx_nsx_password</vt:lpstr>
      <vt:lpstr>sample_svc_ccm_hcx_nsx_user</vt:lpstr>
      <vt:lpstr>sample_svc_ccm_hcx_vsphere_password</vt:lpstr>
      <vt:lpstr>sample_svc_ccm_hcx_vsphere_user</vt:lpstr>
      <vt:lpstr>sample_svc_hrm_vcf_password</vt:lpstr>
      <vt:lpstr>sample_svc_ila_ad_password</vt:lpstr>
      <vt:lpstr>sample_svc_ila_ad_user</vt:lpstr>
      <vt:lpstr>sample_svc_inv_ad_password</vt:lpstr>
      <vt:lpstr>sample_svc_inv_ad_user</vt:lpstr>
      <vt:lpstr>sample_svc_inv_vrops_password</vt:lpstr>
      <vt:lpstr>sample_svc_inv_vrops_user</vt:lpstr>
      <vt:lpstr>sample_svc_inv_vsphere_password</vt:lpstr>
      <vt:lpstr>sample_svc_inv_vsphere_user</vt:lpstr>
      <vt:lpstr>sample_svc_iom_vcf_password</vt:lpstr>
      <vt:lpstr>sample_svc_iom_vcf_user</vt:lpstr>
      <vt:lpstr>sample_svc_iom_vsphere_password</vt:lpstr>
      <vt:lpstr>sample_svc_iom_vsphere_user</vt:lpstr>
      <vt:lpstr>sample_svc_my_vmware_password</vt:lpstr>
      <vt:lpstr>sample_svc_vcf_bck_password</vt:lpstr>
      <vt:lpstr>sample_svc_vcf_bck_user</vt:lpstr>
      <vt:lpstr>sample_svc_vcf_ca_vcf_password</vt:lpstr>
      <vt:lpstr>sample_svc_vcf_ca_vcf_user</vt:lpstr>
      <vt:lpstr>sample_svc_vra_nsx_password</vt:lpstr>
      <vt:lpstr>sample_svc_vra_nsx_user</vt:lpstr>
      <vt:lpstr>sample_svc_vra_vcf_password</vt:lpstr>
      <vt:lpstr>sample_svc_vra_vcf_user</vt:lpstr>
      <vt:lpstr>sample_svc_vra_vrops_password</vt:lpstr>
      <vt:lpstr>sample_svc_vra_vrops_user</vt:lpstr>
      <vt:lpstr>sample_svc_vra_vsphere_password</vt:lpstr>
      <vt:lpstr>sample_svc_vra_vsphere_user</vt:lpstr>
      <vt:lpstr>sample_svc_vro_vsphere_password</vt:lpstr>
      <vt:lpstr>sample_svc_vro_vsphere_user</vt:lpstr>
      <vt:lpstr>sample_svc_vrops_vra_password</vt:lpstr>
      <vt:lpstr>sample_svc_vrops_vra_user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sample_vcf_automation_folder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sample_vcf_automation_nodee_ip</vt:lpstr>
      <vt:lpstr>sample_vcf_automation_nodef_ip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sample_vcf_automation_version</vt:lpstr>
      <vt:lpstr>sample_vcf_automation_vip_fqdn</vt:lpstr>
      <vt:lpstr>sample_vcf_automation_vip_ip</vt:lpstr>
      <vt:lpstr>sample_vcf_installer_fqdn</vt:lpstr>
      <vt:lpstr>sample_vcf_installer_ip</vt:lpstr>
      <vt:lpstr>sample_vcf_instance_name</vt:lpstr>
      <vt:lpstr>sample_vrslcm_admin_password</vt:lpstr>
      <vt:lpstr>sample_vrslcm_root_password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sample_vvs_dr_ntp1_server</vt:lpstr>
      <vt:lpstr>sample_vvs_dr_parent_dns_zone</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sample_wld_avilb_cluster_name</vt:lpstr>
      <vt:lpstr>sample_wld_avilb_cluster_version</vt:lpstr>
      <vt:lpstr>sample_wld_avilb_fqdn</vt:lpstr>
      <vt:lpstr>sample_wld_avilb_ip</vt:lpstr>
      <vt:lpstr>sample_wld_avilb_mgra_ip</vt:lpstr>
      <vt:lpstr>sample_wld_avilb_mgrb_ip</vt:lpstr>
      <vt:lpstr>sample_wld_avilb_mgrc_ip</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sample_wld_az1_en1_mgmt_ip</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sample_wld_az1_en2_mgmt_ip</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sample_wld_az1_mgmt_cidr</vt:lpstr>
      <vt:lpstr>sample_wld_az1_mgmt_gateway_ip</vt:lpstr>
      <vt:lpstr>sample_wld_az1_mgmt_mtu</vt:lpstr>
      <vt:lpstr>sample_wld_az1_mgmt_vlan</vt:lpstr>
      <vt:lpstr>sample_wld_az1_mgmt_vm_cidr</vt:lpstr>
      <vt:lpstr>sample_wld_az1_mgmt_vm_gateway_ip</vt:lpstr>
      <vt:lpstr>sample_wld_az1_mgmt_vm_mtu</vt:lpstr>
      <vt:lpstr>sample_wld_az1_mgmt_vm_vlan</vt:lpstr>
      <vt:lpstr>sample_wld_az1_pool_name</vt:lpstr>
      <vt:lpstr>sample_wld_az1_principal_storage_cidr</vt:lpstr>
      <vt:lpstr>sample_wld_az1_principal_storage_gateway_ip</vt:lpstr>
      <vt:lpstr>sample_wld_az1_principal_storage_mask</vt:lpstr>
      <vt:lpstr>sample_wld_az1_principal_storage_mtu</vt:lpstr>
      <vt:lpstr>sample_wld_az1_principal_storage_network</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sample_wld_az1_rack2_edge_overlay_gateway_ip</vt:lpstr>
      <vt:lpstr>sample_wld_az1_rack2_edge_overlay_mask</vt:lpstr>
      <vt:lpstr>sample_wld_az1_rack2_edge_overlay_mtu</vt:lpstr>
      <vt:lpstr>sample_wld_az1_rack2_edge_overlay_network</vt:lpstr>
      <vt:lpstr>sample_wld_az1_rack2_edge_overlay_network_pool_name</vt:lpstr>
      <vt:lpstr>sample_wld_az1_rack2_edge_overlay_pool_end_ip</vt:lpstr>
      <vt:lpstr>sample_wld_az1_rack2_edge_overlay_pool_start_ip</vt:lpstr>
      <vt:lpstr>sample_wld_az1_rack2_edge_overlay_vlan</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sample_wld_az1_rack2_tor1_peer_asn</vt:lpstr>
      <vt:lpstr>sample_wld_az1_rack2_tor1_peer_bgp_password</vt:lpstr>
      <vt:lpstr>sample_wld_az1_rack2_tor1_peer_ip</vt:lpstr>
      <vt:lpstr>sample_wld_az1_rack2_tor2_peer_asn</vt:lpstr>
      <vt:lpstr>sample_wld_az1_rack2_tor2_peer_bgp_password</vt:lpstr>
      <vt:lpstr>sample_wld_az1_rack2_tor2_peer_ip</vt:lpstr>
      <vt:lpstr>sample_wld_az1_rack2_uplink01_gateway_ip</vt:lpstr>
      <vt:lpstr>sample_wld_az1_rack2_uplink01_mask</vt:lpstr>
      <vt:lpstr>sample_wld_az1_rack2_uplink01_mtu</vt:lpstr>
      <vt:lpstr>sample_wld_az1_rack2_uplink01_network</vt:lpstr>
      <vt:lpstr>sample_wld_az1_rack2_uplink01_vlan</vt:lpstr>
      <vt:lpstr>sample_wld_az1_rack2_uplink02_gateway_ip</vt:lpstr>
      <vt:lpstr>sample_wld_az1_rack2_uplink02_mask</vt:lpstr>
      <vt:lpstr>sample_wld_az1_rack2_uplink02_mtu</vt:lpstr>
      <vt:lpstr>sample_wld_az1_rack2_uplink02_network</vt:lpstr>
      <vt:lpstr>sample_wld_az1_rack2_uplink02_vlan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sample_wld_az1_rack3_edge_overlay_gateway_ip</vt:lpstr>
      <vt:lpstr>sample_wld_az1_rack3_edge_overlay_mask</vt:lpstr>
      <vt:lpstr>sample_wld_az1_rack3_edge_overlay_mtu</vt:lpstr>
      <vt:lpstr>sample_wld_az1_rack3_edge_overlay_network</vt:lpstr>
      <vt:lpstr>sample_wld_az1_rack3_edge_overlay_network_pool_name</vt:lpstr>
      <vt:lpstr>sample_wld_az1_rack3_edge_overlay_pool_end_ip</vt:lpstr>
      <vt:lpstr>sample_wld_az1_rack3_edge_overlay_pool_start_ip</vt:lpstr>
      <vt:lpstr>sample_wld_az1_rack3_edge_overlay_vlan</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sample_wld_az1_rack3_tor1_peer_asn</vt:lpstr>
      <vt:lpstr>sample_wld_az1_rack3_tor1_peer_bgp_password</vt:lpstr>
      <vt:lpstr>sample_wld_az1_rack3_tor1_peer_ip</vt:lpstr>
      <vt:lpstr>sample_wld_az1_rack3_tor2_peer_asn</vt:lpstr>
      <vt:lpstr>sample_wld_az1_rack3_tor2_peer_bgp_password</vt:lpstr>
      <vt:lpstr>sample_wld_az1_rack3_tor2_peer_ip</vt:lpstr>
      <vt:lpstr>sample_wld_az1_rack3_uplink01_gateway_ip</vt:lpstr>
      <vt:lpstr>sample_wld_az1_rack3_uplink01_mask</vt:lpstr>
      <vt:lpstr>sample_wld_az1_rack3_uplink01_mtu</vt:lpstr>
      <vt:lpstr>sample_wld_az1_rack3_uplink01_network</vt:lpstr>
      <vt:lpstr>sample_wld_az1_rack3_uplink01_vlan</vt:lpstr>
      <vt:lpstr>sample_wld_az1_rack3_uplink02_gateway_ip</vt:lpstr>
      <vt:lpstr>sample_wld_az1_rack3_uplink02_mask</vt:lpstr>
      <vt:lpstr>sample_wld_az1_rack3_uplink02_mtu</vt:lpstr>
      <vt:lpstr>sample_wld_az1_rack3_uplink02_network</vt:lpstr>
      <vt:lpstr>sample_wld_az1_rack3_uplink02_vlan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sample_wld_az1_rack4_edge_overlay_gateway_ip</vt:lpstr>
      <vt:lpstr>sample_wld_az1_rack4_edge_overlay_mask</vt:lpstr>
      <vt:lpstr>sample_wld_az1_rack4_edge_overlay_mtu</vt:lpstr>
      <vt:lpstr>sample_wld_az1_rack4_edge_overlay_network</vt:lpstr>
      <vt:lpstr>sample_wld_az1_rack4_edge_overlay_network_pool_name</vt:lpstr>
      <vt:lpstr>sample_wld_az1_rack4_edge_overlay_pool_end_ip</vt:lpstr>
      <vt:lpstr>sample_wld_az1_rack4_edge_overlay_pool_start_ip</vt:lpstr>
      <vt:lpstr>sample_wld_az1_rack4_edge_overlay_vlan</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sample_wld_az1_rack4_tor1_peer_asn</vt:lpstr>
      <vt:lpstr>sample_wld_az1_rack4_tor1_peer_bgp_password</vt:lpstr>
      <vt:lpstr>sample_wld_az1_rack4_tor1_peer_ip</vt:lpstr>
      <vt:lpstr>sample_wld_az1_rack4_tor2_peer_asn</vt:lpstr>
      <vt:lpstr>sample_wld_az1_rack4_tor2_peer_bgp_password</vt:lpstr>
      <vt:lpstr>sample_wld_az1_rack4_tor2_peer_ip</vt:lpstr>
      <vt:lpstr>sample_wld_az1_rack4_uplink01_gateway_ip</vt:lpstr>
      <vt:lpstr>sample_wld_az1_rack4_uplink01_mask</vt:lpstr>
      <vt:lpstr>sample_wld_az1_rack4_uplink01_mtu</vt:lpstr>
      <vt:lpstr>sample_wld_az1_rack4_uplink01_network</vt:lpstr>
      <vt:lpstr>sample_wld_az1_rack4_uplink01_vlan</vt:lpstr>
      <vt:lpstr>sample_wld_az1_rack4_uplink02_gateway_ip</vt:lpstr>
      <vt:lpstr>sample_wld_az1_rack4_uplink02_mask</vt:lpstr>
      <vt:lpstr>sample_wld_az1_rack4_uplink02_mtu</vt:lpstr>
      <vt:lpstr>sample_wld_az1_rack4_uplink02_network</vt:lpstr>
      <vt:lpstr>sample_wld_az1_rack4_uplink02_vlan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sample_wld_az1_rack5_edge_overlay_gateway_ip</vt:lpstr>
      <vt:lpstr>sample_wld_az1_rack5_edge_overlay_mask</vt:lpstr>
      <vt:lpstr>sample_wld_az1_rack5_edge_overlay_mtu</vt:lpstr>
      <vt:lpstr>sample_wld_az1_rack5_edge_overlay_network</vt:lpstr>
      <vt:lpstr>sample_wld_az1_rack5_edge_overlay_network_pool_name</vt:lpstr>
      <vt:lpstr>sample_wld_az1_rack5_edge_overlay_pool_end_ip</vt:lpstr>
      <vt:lpstr>sample_wld_az1_rack5_edge_overlay_pool_start_ip</vt:lpstr>
      <vt:lpstr>sample_wld_az1_rack5_edge_overlay_vlan</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sample_wld_az1_rack5_tor1_peer_asn</vt:lpstr>
      <vt:lpstr>sample_wld_az1_rack5_tor1_peer_bgp_password</vt:lpstr>
      <vt:lpstr>sample_wld_az1_rack5_tor1_peer_ip</vt:lpstr>
      <vt:lpstr>sample_wld_az1_rack5_tor2_peer_asn</vt:lpstr>
      <vt:lpstr>sample_wld_az1_rack5_tor2_peer_bgp_password</vt:lpstr>
      <vt:lpstr>sample_wld_az1_rack5_tor2_peer_ip</vt:lpstr>
      <vt:lpstr>sample_wld_az1_rack5_uplink01_gateway_ip</vt:lpstr>
      <vt:lpstr>sample_wld_az1_rack5_uplink01_mask</vt:lpstr>
      <vt:lpstr>sample_wld_az1_rack5_uplink01_mtu</vt:lpstr>
      <vt:lpstr>sample_wld_az1_rack5_uplink01_network</vt:lpstr>
      <vt:lpstr>sample_wld_az1_rack5_uplink01_vlan</vt:lpstr>
      <vt:lpstr>sample_wld_az1_rack5_uplink02_gateway_ip</vt:lpstr>
      <vt:lpstr>sample_wld_az1_rack5_uplink02_mask</vt:lpstr>
      <vt:lpstr>sample_wld_az1_rack5_uplink02_mtu</vt:lpstr>
      <vt:lpstr>sample_wld_az1_rack5_uplink02_network</vt:lpstr>
      <vt:lpstr>sample_wld_az1_rack5_uplink02_vlan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sample_wld_az1_rack6_edge_overlay_gateway_ip</vt:lpstr>
      <vt:lpstr>sample_wld_az1_rack6_edge_overlay_mask</vt:lpstr>
      <vt:lpstr>sample_wld_az1_rack6_edge_overlay_mtu</vt:lpstr>
      <vt:lpstr>sample_wld_az1_rack6_edge_overlay_network</vt:lpstr>
      <vt:lpstr>sample_wld_az1_rack6_edge_overlay_network_pool_name</vt:lpstr>
      <vt:lpstr>sample_wld_az1_rack6_edge_overlay_pool_end_ip</vt:lpstr>
      <vt:lpstr>sample_wld_az1_rack6_edge_overlay_pool_start_ip</vt:lpstr>
      <vt:lpstr>sample_wld_az1_rack6_edge_overlay_vlan</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sample_wld_az1_rack6_tor1_peer_asn</vt:lpstr>
      <vt:lpstr>sample_wld_az1_rack6_tor1_peer_bgp_password</vt:lpstr>
      <vt:lpstr>sample_wld_az1_rack6_tor1_peer_ip</vt:lpstr>
      <vt:lpstr>sample_wld_az1_rack6_tor2_peer_asn</vt:lpstr>
      <vt:lpstr>sample_wld_az1_rack6_tor2_peer_bgp_password</vt:lpstr>
      <vt:lpstr>sample_wld_az1_rack6_tor2_peer_ip</vt:lpstr>
      <vt:lpstr>sample_wld_az1_rack6_uplink01_gateway_ip</vt:lpstr>
      <vt:lpstr>sample_wld_az1_rack6_uplink01_mask</vt:lpstr>
      <vt:lpstr>sample_wld_az1_rack6_uplink01_mtu</vt:lpstr>
      <vt:lpstr>sample_wld_az1_rack6_uplink01_network</vt:lpstr>
      <vt:lpstr>sample_wld_az1_rack6_uplink01_vlan</vt:lpstr>
      <vt:lpstr>sample_wld_az1_rack6_uplink02_gateway_ip</vt:lpstr>
      <vt:lpstr>sample_wld_az1_rack6_uplink02_mask</vt:lpstr>
      <vt:lpstr>sample_wld_az1_rack6_uplink02_mtu</vt:lpstr>
      <vt:lpstr>sample_wld_az1_rack6_uplink02_network</vt:lpstr>
      <vt:lpstr>sample_wld_az1_rack6_uplink02_vlan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sample_wld_az1_rack7_edge_overlay_gateway_ip</vt:lpstr>
      <vt:lpstr>sample_wld_az1_rack7_edge_overlay_mask</vt:lpstr>
      <vt:lpstr>sample_wld_az1_rack7_edge_overlay_mtu</vt:lpstr>
      <vt:lpstr>sample_wld_az1_rack7_edge_overlay_network</vt:lpstr>
      <vt:lpstr>sample_wld_az1_rack7_edge_overlay_network_pool_name</vt:lpstr>
      <vt:lpstr>sample_wld_az1_rack7_edge_overlay_pool_end_ip</vt:lpstr>
      <vt:lpstr>sample_wld_az1_rack7_edge_overlay_pool_start_ip</vt:lpstr>
      <vt:lpstr>sample_wld_az1_rack7_edge_overlay_vlan</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sample_wld_az1_rack7_tor1_peer_asn</vt:lpstr>
      <vt:lpstr>sample_wld_az1_rack7_tor1_peer_bgp_password</vt:lpstr>
      <vt:lpstr>sample_wld_az1_rack7_tor1_peer_ip</vt:lpstr>
      <vt:lpstr>sample_wld_az1_rack7_tor2_peer_asn</vt:lpstr>
      <vt:lpstr>sample_wld_az1_rack7_tor2_peer_bgp_password</vt:lpstr>
      <vt:lpstr>sample_wld_az1_rack7_tor2_peer_ip</vt:lpstr>
      <vt:lpstr>sample_wld_az1_rack7_uplink01_gateway_ip</vt:lpstr>
      <vt:lpstr>sample_wld_az1_rack7_uplink01_mask</vt:lpstr>
      <vt:lpstr>sample_wld_az1_rack7_uplink01_mtu</vt:lpstr>
      <vt:lpstr>sample_wld_az1_rack7_uplink01_network</vt:lpstr>
      <vt:lpstr>sample_wld_az1_rack7_uplink01_vlan</vt:lpstr>
      <vt:lpstr>sample_wld_az1_rack7_uplink02_gateway_ip</vt:lpstr>
      <vt:lpstr>sample_wld_az1_rack7_uplink02_mask</vt:lpstr>
      <vt:lpstr>sample_wld_az1_rack7_uplink02_mtu</vt:lpstr>
      <vt:lpstr>sample_wld_az1_rack7_uplink02_network</vt:lpstr>
      <vt:lpstr>sample_wld_az1_rack7_uplink02_vlan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sample_wld_az1_rack8_edge_overlay_gateway_ip</vt:lpstr>
      <vt:lpstr>sample_wld_az1_rack8_edge_overlay_mask</vt:lpstr>
      <vt:lpstr>sample_wld_az1_rack8_edge_overlay_mtu</vt:lpstr>
      <vt:lpstr>sample_wld_az1_rack8_edge_overlay_network</vt:lpstr>
      <vt:lpstr>sample_wld_az1_rack8_edge_overlay_network_pool_name</vt:lpstr>
      <vt:lpstr>sample_wld_az1_rack8_edge_overlay_pool_end_ip</vt:lpstr>
      <vt:lpstr>sample_wld_az1_rack8_edge_overlay_pool_start_ip</vt:lpstr>
      <vt:lpstr>sample_wld_az1_rack8_edge_overlay_vlan</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sample_wld_az1_rack8_tor1_peer_asn</vt:lpstr>
      <vt:lpstr>sample_wld_az1_rack8_tor1_peer_bgp_password</vt:lpstr>
      <vt:lpstr>sample_wld_az1_rack8_tor1_peer_ip</vt:lpstr>
      <vt:lpstr>sample_wld_az1_rack8_tor2_peer_asn</vt:lpstr>
      <vt:lpstr>sample_wld_az1_rack8_tor2_peer_bgp_password</vt:lpstr>
      <vt:lpstr>sample_wld_az1_rack8_tor2_peer_ip</vt:lpstr>
      <vt:lpstr>sample_wld_az1_rack8_uplink01_gateway_ip</vt:lpstr>
      <vt:lpstr>sample_wld_az1_rack8_uplink01_mask</vt:lpstr>
      <vt:lpstr>sample_wld_az1_rack8_uplink01_mtu</vt:lpstr>
      <vt:lpstr>sample_wld_az1_rack8_uplink01_network</vt:lpstr>
      <vt:lpstr>sample_wld_az1_rack8_uplink01_vlan</vt:lpstr>
      <vt:lpstr>sample_wld_az1_rack8_uplink02_gateway_ip</vt:lpstr>
      <vt:lpstr>sample_wld_az1_rack8_uplink02_mask</vt:lpstr>
      <vt:lpstr>sample_wld_az1_rack8_uplink02_mtu</vt:lpstr>
      <vt:lpstr>sample_wld_az1_rack8_uplink02_network</vt:lpstr>
      <vt:lpstr>sample_wld_az1_rack8_uplink02_vlan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sample_wld_az1_secondary_storage_gateway_ip</vt:lpstr>
      <vt:lpstr>sample_wld_az1_secondary_storage_mask</vt:lpstr>
      <vt:lpstr>sample_wld_az1_secondary_storage_mtu</vt:lpstr>
      <vt:lpstr>sample_wld_az1_secondary_storage_network</vt:lpstr>
      <vt:lpstr>sample_wld_az1_secondary_storage_pool_end_ip</vt:lpstr>
      <vt:lpstr>sample_wld_az1_secondary_storage_pool_start_ip</vt:lpstr>
      <vt:lpstr>sample_wld_az1_secondary_storage_vlan</vt:lpstr>
      <vt:lpstr>sample_wld_az1_storage_cluster_gateway_ip</vt:lpstr>
      <vt:lpstr>sample_wld_az1_storage_cluster_mask</vt:lpstr>
      <vt:lpstr>sample_wld_az1_storage_cluster_mtu</vt:lpstr>
      <vt:lpstr>sample_wld_az1_storage_cluster_network</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sample_wld_az1_vmotion_cidr</vt:lpstr>
      <vt:lpstr>sample_wld_az1_vmotion_gateway_ip</vt:lpstr>
      <vt:lpstr>sample_wld_az1_vmotion_mask</vt:lpstr>
      <vt:lpstr>sample_wld_az1_vmotion_mtu</vt:lpstr>
      <vt:lpstr>sample_wld_az1_vmotion_network</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sample_wld_cl01_supervisor_name</vt:lpstr>
      <vt:lpstr>sample_wld_cl01_supervisor_nsx_project</vt:lpstr>
      <vt:lpstr>sample_wld_cl01_supervisor_ntp</vt:lpstr>
      <vt:lpstr>sample_wld_cl01_supervisor_private_cidr</vt:lpstr>
      <vt:lpstr>sample_wld_cl01_supervisor_private_transit_gateway_cidr</vt:lpstr>
      <vt:lpstr>sample_wld_cl01_supervisor_service_cidr</vt:lpstr>
      <vt:lpstr>sample_wld_cl01_supervisor_vpc_profile</vt:lpstr>
      <vt:lpstr>sample_wld_cl01_vds01_lag_name</vt:lpstr>
      <vt:lpstr>sample_wld_cl01_vds01_mtu</vt:lpstr>
      <vt:lpstr>sample_wld_cl01_vds01_name</vt:lpstr>
      <vt:lpstr>sample_wld_cl01_vds01_pnics</vt:lpstr>
      <vt:lpstr>sample_wld_cl01_vds01_uplink_count</vt:lpstr>
      <vt:lpstr>sample_wld_cl01_vds02_lag_name</vt:lpstr>
      <vt:lpstr>sample_wld_cl01_vds02_mtu</vt:lpstr>
      <vt:lpstr>sample_wld_cl01_vds02_name</vt:lpstr>
      <vt:lpstr>sample_wld_cl01_vds02_pnics</vt:lpstr>
      <vt:lpstr>sample_wld_cl01_vds02_uplink_count</vt:lpstr>
      <vt:lpstr>sample_wld_cl01_vds03_lag_name</vt:lpstr>
      <vt:lpstr>sample_wld_cl01_vds03_mtu</vt:lpstr>
      <vt:lpstr>sample_wld_cl01_vds03_name</vt:lpstr>
      <vt:lpstr>sample_wld_cl01_vds03_pnics</vt:lpstr>
      <vt:lpstr>sample_wld_cl01_vds03_uplink_count</vt:lpstr>
      <vt:lpstr>sample_wld_cl01_vmfs_datastore_name</vt:lpstr>
      <vt:lpstr>sample_wld_cl01_vsan_datastore</vt:lpstr>
      <vt:lpstr>sample_wld_datacenter</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sample_wld_nsxt_gm_root_password</vt:lpstr>
      <vt:lpstr>sample_wld_nsxt_gm_vip_fqdn</vt:lpstr>
      <vt:lpstr>sample_wld_nsxt_gm_vip_ip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sample_wld_nsxt_vip_ip</vt:lpstr>
      <vt:lpstr>sample_wld_nsxt_xreg_t1_name</vt:lpstr>
      <vt:lpstr>sample_wld_rack2_en_asn</vt:lpstr>
      <vt:lpstr>sample_wld_rack3_en_asn</vt:lpstr>
      <vt:lpstr>sample_wld_rack4_en_asn</vt:lpstr>
      <vt:lpstr>sample_wld_rack5_en_asn</vt:lpstr>
      <vt:lpstr>sample_wld_rack6_en_asn</vt:lpstr>
      <vt:lpstr>sample_wld_rack7_en_asn</vt:lpstr>
      <vt:lpstr>sample_wld_rack8_en_asn</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sample_wld_vnaa_fqdn</vt:lpstr>
      <vt:lpstr>sample_wld_vnaa_ip</vt:lpstr>
      <vt:lpstr>sample_wld_vnab_fqdn</vt:lpstr>
      <vt:lpstr>sample_wld_vnab_ip</vt:lpstr>
      <vt:lpstr>sample_wld_vpc_ext_ip_blocks</vt:lpstr>
      <vt:lpstr>sample_wld_vpc_transit_gateway_ip_blocks</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sample_wld_witnessaz_mgmt_mtu</vt:lpstr>
      <vt:lpstr>sample_wld_witnessaz_mgmt_vlan</vt:lpstr>
      <vt:lpstr>sample_xreg_seg01_name</vt:lpstr>
      <vt:lpstr>sample_xreg_vra_admin_password</vt:lpstr>
      <vt:lpstr>sample_xreg_vra_node_pool_end_ip</vt:lpstr>
      <vt:lpstr>sample_xreg_vra_node_pool_start_ip</vt:lpstr>
      <vt:lpstr>sample_xreg_vra_nodea_ip</vt:lpstr>
      <vt:lpstr>sample_xreg_vra_nodeb_ip</vt:lpstr>
      <vt:lpstr>sample_xreg_vra_nodec_ip</vt:lpstr>
      <vt:lpstr>sample_xreg_vra_noded_ip</vt:lpstr>
      <vt:lpstr>sample_xreg_vra_nodee_ip</vt:lpstr>
      <vt:lpstr>sample_xreg_vra_nodef_ip</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sample_xreg_vrslcm_fqdn</vt:lpstr>
      <vt:lpstr>sample_xreg_vrslcm_ip</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sizing_inv_disk</vt:lpstr>
      <vt:lpstr>sizing_inv_platform_node_cpu</vt:lpstr>
      <vt:lpstr>sizing_inv_platform_node_disk</vt:lpstr>
      <vt:lpstr>sizing_inv_platform_node_ram</vt:lpstr>
      <vt:lpstr>sizing_inv_ram</vt:lpstr>
      <vt:lpstr>sizing_m01_included</vt:lpstr>
      <vt:lpstr>sizing_m01_nsxt_appliance_size</vt:lpstr>
      <vt:lpstr>sizing_m01_nsxt_edge_size</vt:lpstr>
      <vt:lpstr>sizing_m01_nsxt_gm_appliance_size</vt:lpstr>
      <vt:lpstr>sizing_m01_nsxt_gm_appliance_size_chosen</vt:lpstr>
      <vt:lpstr>sizing_m01_ssp_chosen</vt:lpstr>
      <vt:lpstr>sizing_m01_vcenter_storage_size_chosen</vt:lpstr>
      <vt:lpstr>sizing_mgmt_avi_lb_appliance_size</vt:lpstr>
      <vt:lpstr>sizing_mgmt_avilb_cluster_chosen</vt:lpstr>
      <vt:lpstr>sizing_mgmt_cluster_host_core_count</vt:lpstr>
      <vt:lpstr>sizing_mgmt_cluster_host_ram_count</vt:lpstr>
      <vt:lpstr>sizing_mgmt_ec_formfactor_chosen</vt:lpstr>
      <vt:lpstr>sizing_mgmt_nsxt_global_appliance_chosen</vt:lpstr>
      <vt:lpstr>sizing_nsxt_edge_sizing_list</vt:lpstr>
      <vt:lpstr>sizing_nsxt_manager_size_list</vt:lpstr>
      <vt:lpstr>sizing_ram_oversubscription</vt:lpstr>
      <vt:lpstr>sizing_sddc_manager_cpu</vt:lpstr>
      <vt:lpstr>sizing_sddc_manager_disk</vt:lpstr>
      <vt:lpstr>sizing_sddc_manager_ram</vt:lpstr>
      <vt:lpstr>sizing_storage_type</vt:lpstr>
      <vt:lpstr>sizing_vcenter_appliance_size_list</vt:lpstr>
      <vt:lpstr>sizing_vcenter_storage_size_list</vt:lpstr>
      <vt:lpstr>sizing_vcfauto_chosen</vt:lpstr>
      <vt:lpstr>sizing_vcffm_cpu</vt:lpstr>
      <vt:lpstr>sizing_vcffm_disk</vt:lpstr>
      <vt:lpstr>sizing_vcffm_ram</vt:lpstr>
      <vt:lpstr>sizing_vcfops_collector_chosen</vt:lpstr>
      <vt:lpstr>sizing_vcfops_deployment_model_chosen</vt:lpstr>
      <vt:lpstr>sizing_vcfops_ha_chosen</vt:lpstr>
      <vt:lpstr>sizing_vcfops_logs_chosen</vt:lpstr>
      <vt:lpstr>sizing_vcfops_net_chosen</vt:lpstr>
      <vt:lpstr>sizing_vcfops_net_collector_chosen</vt:lpstr>
      <vt:lpstr>sizing_vcfvidb_chosen</vt:lpstr>
      <vt:lpstr>sizing_vcls_cpu</vt:lpstr>
      <vt:lpstr>sizing_vcls_disk</vt:lpstr>
      <vt:lpstr>sizing_vcls_ram</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sizing_wld_avilb_cluster_formfactor_chosen</vt:lpstr>
      <vt:lpstr>sizing_wld_nsxt_gm_appliance_size_chosen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svc_cbr_vcdr_vsphere_password</vt:lpstr>
      <vt:lpstr>svc_cbr_vcdr_vsphere_user</vt:lpstr>
      <vt:lpstr>svc_my_vmware_password</vt:lpstr>
      <vt:lpstr>svc_vcf_bck_password</vt:lpstr>
      <vt:lpstr>svc_vra_nsx_password</vt:lpstr>
      <vt:lpstr>svc_vra_vcf_password</vt:lpstr>
      <vt:lpstr>svc_vra_vrops_password</vt:lpstr>
      <vt:lpstr>svc_vra_vsphere_password</vt:lpstr>
      <vt:lpstr>svc_vrli_vrops_password</vt:lpstr>
      <vt:lpstr>svc_vro_vsphere_password</vt:lpstr>
      <vt:lpstr>svc_vrops_nsx_password</vt:lpstr>
      <vt:lpstr>svc_vrops_vra_password</vt:lpstr>
      <vt:lpstr>svc_vrops_vsan_password</vt:lpstr>
      <vt:lpstr>svc_vrops_vsphere_password</vt:lpstr>
      <vt:lpstr>table_avi_lb_cpu</vt:lpstr>
      <vt:lpstr>table_avi_lb_disk</vt:lpstr>
      <vt:lpstr>table_avi_lb_ram</vt:lpstr>
      <vt:lpstr>table_cidr_to_mask</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table_srm_cpu</vt:lpstr>
      <vt:lpstr>table_srm_disk</vt:lpstr>
      <vt:lpstr>table_srm_ram</vt:lpstr>
      <vt:lpstr>table_ssp_cpu</vt:lpstr>
      <vt:lpstr>table_ssp_disk</vt:lpstr>
      <vt:lpstr>table_ssp_ram</vt:lpstr>
      <vt:lpstr>table_ssp_sizes</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table_vrli_appliance_cpu</vt:lpstr>
      <vt:lpstr>table_vrli_appliance_disk</vt:lpstr>
      <vt:lpstr>table_vrli_appliance_ram</vt:lpstr>
      <vt:lpstr>table_vrms_cpu</vt:lpstr>
      <vt:lpstr>table_vrms_disk</vt:lpstr>
      <vt:lpstr>table_vrms_ram</vt:lpstr>
      <vt:lpstr>table_wsa_appliance_cpu</vt:lpstr>
      <vt:lpstr>table_wsa_appliance_disk</vt:lpstr>
      <vt:lpstr>table_wsa_appliance_ram</vt:lpstr>
      <vt:lpstr>this_instance</vt:lpstr>
      <vt:lpstr>user_svc_vcf_bck</vt:lpstr>
      <vt:lpstr>user_svc_vcf_ca_vcf</vt:lpstr>
      <vt:lpstr>user_svc_vra_nsx</vt:lpstr>
      <vt:lpstr>user_svc_vra_vcf</vt:lpstr>
      <vt:lpstr>user_svc_vra_vrops</vt:lpstr>
      <vt:lpstr>user_svc_vra_vsphere</vt:lpstr>
      <vt:lpstr>user_svc_vrli_vrops</vt:lpstr>
      <vt:lpstr>user_svc_vrli_wsa</vt:lpstr>
      <vt:lpstr>user_svc_vro_vsphere</vt:lpstr>
      <vt:lpstr>user_svc_vrops_nsx</vt:lpstr>
      <vt:lpstr>user_svc_vrops_vra</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vcf_automation_folder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vcf_automation_nodee_ip</vt:lpstr>
      <vt:lpstr>vcf_automation_nodef_ip</vt:lpstr>
      <vt:lpstr>vcf_automation_ou_cert</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vcf_automation_size_chosen</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vcf_version</vt:lpstr>
      <vt:lpstr>vcf_version_chosen</vt:lpstr>
      <vt:lpstr>vcf_version_result</vt:lpstr>
      <vt:lpstr>vcf_vi_isolated_domain_count</vt:lpstr>
      <vt:lpstr>vcf_vi_wld_domain_count</vt:lpstr>
      <vt:lpstr>vi_only_viable</vt:lpstr>
      <vt:lpstr>VMware_Cloud_Foundation</vt:lpstr>
      <vt:lpstr>VMware_vSphere_Foundation</vt:lpstr>
      <vt:lpstr>vrms_appliance_size</vt:lpstr>
      <vt:lpstr>vrslcm_admin_password</vt:lpstr>
      <vt:lpstr>vrslcm_root_password</vt:lpstr>
      <vt:lpstr>vrslcm_xreg_content_library</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vvs_dr_mgmt_cl01_cluster</vt:lpstr>
      <vt:lpstr>vvs_dr_mgmt_cl01_datastore</vt:lpstr>
      <vt:lpstr>vvs_dr_mgmt_vc_fqdn</vt:lpstr>
      <vt:lpstr>vvs_dr_ntp1_server</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wld_avilb_cluster_name</vt:lpstr>
      <vt:lpstr>wld_avilb_cluster_version</vt:lpstr>
      <vt:lpstr>wld_avilb_fqdn</vt:lpstr>
      <vt:lpstr>wld_avilb_hostname</vt:lpstr>
      <vt:lpstr>wld_avilb_ip</vt:lpstr>
      <vt:lpstr>wld_avilb_mgra_ip</vt:lpstr>
      <vt:lpstr>wld_avilb_mgrb_ip</vt:lpstr>
      <vt:lpstr>wld_avilb_mgrc_ip</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wld_az1_en1_mgmt_ip</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wld_az1_en2_mgmt_ip</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wld_az1_mgmt_gateway_ip</vt:lpstr>
      <vt:lpstr>wld_az1_mgmt_mask</vt:lpstr>
      <vt:lpstr>wld_az1_mgmt_mtu</vt:lpstr>
      <vt:lpstr>wld_az1_mgmt_network</vt:lpstr>
      <vt:lpstr>wld_az1_mgmt_vlan</vt:lpstr>
      <vt:lpstr>wld_az1_mgmt_vm_cidr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wld_az1_principal_storage_gateway_ip</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wld_az1_rack2_edge_overlay_cidr</vt:lpstr>
      <vt:lpstr>wld_az1_rack2_edge_overlay_gateway_ip</vt:lpstr>
      <vt:lpstr>wld_az1_rack2_edge_overlay_mask</vt:lpstr>
      <vt:lpstr>wld_az1_rack2_edge_overlay_mtu</vt:lpstr>
      <vt:lpstr>wld_az1_rack2_edge_overlay_network</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wld_az1_rack2_uplink01_gateway_ip</vt:lpstr>
      <vt:lpstr>wld_az1_rack2_uplink01_mask</vt:lpstr>
      <vt:lpstr>wld_az1_rack2_uplink01_mtu</vt:lpstr>
      <vt:lpstr>wld_az1_rack2_uplink01_network</vt:lpstr>
      <vt:lpstr>wld_az1_rack2_uplink01_pg</vt:lpstr>
      <vt:lpstr>wld_az1_rack2_uplink01_vlan</vt:lpstr>
      <vt:lpstr>wld_az1_rack2_uplink02_cidr</vt:lpstr>
      <vt:lpstr>wld_az1_rack2_uplink02_gateway_ip</vt:lpstr>
      <vt:lpstr>wld_az1_rack2_uplink02_mask</vt:lpstr>
      <vt:lpstr>wld_az1_rack2_uplink02_mtu</vt:lpstr>
      <vt:lpstr>wld_az1_rack2_uplink02_network</vt:lpstr>
      <vt:lpstr>wld_az1_rack2_uplink02_pg</vt:lpstr>
      <vt:lpstr>wld_az1_rack2_uplink02_vlan</vt:lpstr>
      <vt:lpstr>wld_az1_rack2_vmotion_cidr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wld_az1_rack3_edge_overlay_cidr</vt:lpstr>
      <vt:lpstr>wld_az1_rack3_edge_overlay_gateway_ip</vt:lpstr>
      <vt:lpstr>wld_az1_rack3_edge_overlay_mask</vt:lpstr>
      <vt:lpstr>wld_az1_rack3_edge_overlay_mtu</vt:lpstr>
      <vt:lpstr>wld_az1_rack3_edge_overlay_network</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wld_az1_rack3_uplink01_gateway_ip</vt:lpstr>
      <vt:lpstr>wld_az1_rack3_uplink01_mask</vt:lpstr>
      <vt:lpstr>wld_az1_rack3_uplink01_mtu</vt:lpstr>
      <vt:lpstr>wld_az1_rack3_uplink01_network</vt:lpstr>
      <vt:lpstr>wld_az1_rack3_uplink01_pg</vt:lpstr>
      <vt:lpstr>wld_az1_rack3_uplink01_vlan</vt:lpstr>
      <vt:lpstr>wld_az1_rack3_uplink02_cidr</vt:lpstr>
      <vt:lpstr>wld_az1_rack3_uplink02_gateway_ip</vt:lpstr>
      <vt:lpstr>wld_az1_rack3_uplink02_mask</vt:lpstr>
      <vt:lpstr>wld_az1_rack3_uplink02_mtu</vt:lpstr>
      <vt:lpstr>wld_az1_rack3_uplink02_network</vt:lpstr>
      <vt:lpstr>wld_az1_rack3_uplink02_pg</vt:lpstr>
      <vt:lpstr>wld_az1_rack3_uplink02_vlan</vt:lpstr>
      <vt:lpstr>wld_az1_rack3_vmotion_cidr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wld_az1_rack4_edge_overlay_cidr</vt:lpstr>
      <vt:lpstr>wld_az1_rack4_edge_overlay_gateway_ip</vt:lpstr>
      <vt:lpstr>wld_az1_rack4_edge_overlay_mask</vt:lpstr>
      <vt:lpstr>wld_az1_rack4_edge_overlay_mtu</vt:lpstr>
      <vt:lpstr>wld_az1_rack4_edge_overlay_network</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wld_az1_rack4_uplink01_gateway_ip</vt:lpstr>
      <vt:lpstr>wld_az1_rack4_uplink01_mask</vt:lpstr>
      <vt:lpstr>wld_az1_rack4_uplink01_mtu</vt:lpstr>
      <vt:lpstr>wld_az1_rack4_uplink01_network</vt:lpstr>
      <vt:lpstr>wld_az1_rack4_uplink01_pg</vt:lpstr>
      <vt:lpstr>wld_az1_rack4_uplink01_vlan</vt:lpstr>
      <vt:lpstr>wld_az1_rack4_uplink02_cidr</vt:lpstr>
      <vt:lpstr>wld_az1_rack4_uplink02_gateway_ip</vt:lpstr>
      <vt:lpstr>wld_az1_rack4_uplink02_mask</vt:lpstr>
      <vt:lpstr>wld_az1_rack4_uplink02_mtu</vt:lpstr>
      <vt:lpstr>wld_az1_rack4_uplink02_network</vt:lpstr>
      <vt:lpstr>wld_az1_rack4_uplink02_pg</vt:lpstr>
      <vt:lpstr>wld_az1_rack4_uplink02_vlan</vt:lpstr>
      <vt:lpstr>wld_az1_rack4_vmotion_cidr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wld_az1_rack5_edge_overlay_cidr</vt:lpstr>
      <vt:lpstr>wld_az1_rack5_edge_overlay_gateway_ip</vt:lpstr>
      <vt:lpstr>wld_az1_rack5_edge_overlay_mask</vt:lpstr>
      <vt:lpstr>wld_az1_rack5_edge_overlay_mtu</vt:lpstr>
      <vt:lpstr>wld_az1_rack5_edge_overlay_network</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wld_az1_rack5_uplink01_gateway_ip</vt:lpstr>
      <vt:lpstr>wld_az1_rack5_uplink01_mask</vt:lpstr>
      <vt:lpstr>wld_az1_rack5_uplink01_mtu</vt:lpstr>
      <vt:lpstr>wld_az1_rack5_uplink01_network</vt:lpstr>
      <vt:lpstr>wld_az1_rack5_uplink01_pg</vt:lpstr>
      <vt:lpstr>wld_az1_rack5_uplink01_vlan</vt:lpstr>
      <vt:lpstr>wld_az1_rack5_uplink02_cidr</vt:lpstr>
      <vt:lpstr>wld_az1_rack5_uplink02_gateway_ip</vt:lpstr>
      <vt:lpstr>wld_az1_rack5_uplink02_mask</vt:lpstr>
      <vt:lpstr>wld_az1_rack5_uplink02_mtu</vt:lpstr>
      <vt:lpstr>wld_az1_rack5_uplink02_network</vt:lpstr>
      <vt:lpstr>wld_az1_rack5_uplink02_pg</vt:lpstr>
      <vt:lpstr>wld_az1_rack5_uplink02_vlan</vt:lpstr>
      <vt:lpstr>wld_az1_rack5_vmotion_cidr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wld_az1_rack6_edge_overlay_cidr</vt:lpstr>
      <vt:lpstr>wld_az1_rack6_edge_overlay_gateway_ip</vt:lpstr>
      <vt:lpstr>wld_az1_rack6_edge_overlay_mask</vt:lpstr>
      <vt:lpstr>wld_az1_rack6_edge_overlay_mtu</vt:lpstr>
      <vt:lpstr>wld_az1_rack6_edge_overlay_network</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wld_az1_rack6_uplink01_gateway_ip</vt:lpstr>
      <vt:lpstr>wld_az1_rack6_uplink01_mask</vt:lpstr>
      <vt:lpstr>wld_az1_rack6_uplink01_mtu</vt:lpstr>
      <vt:lpstr>wld_az1_rack6_uplink01_network</vt:lpstr>
      <vt:lpstr>wld_az1_rack6_uplink01_pg</vt:lpstr>
      <vt:lpstr>wld_az1_rack6_uplink01_vlan</vt:lpstr>
      <vt:lpstr>wld_az1_rack6_uplink02_cidr</vt:lpstr>
      <vt:lpstr>wld_az1_rack6_uplink02_gateway_ip</vt:lpstr>
      <vt:lpstr>wld_az1_rack6_uplink02_mask</vt:lpstr>
      <vt:lpstr>wld_az1_rack6_uplink02_mtu</vt:lpstr>
      <vt:lpstr>wld_az1_rack6_uplink02_network</vt:lpstr>
      <vt:lpstr>wld_az1_rack6_uplink02_pg</vt:lpstr>
      <vt:lpstr>wld_az1_rack6_uplink02_vlan</vt:lpstr>
      <vt:lpstr>wld_az1_rack6_vmotion_cidr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wld_az1_rack7_edge_overlay_cidr</vt:lpstr>
      <vt:lpstr>wld_az1_rack7_edge_overlay_gateway_ip</vt:lpstr>
      <vt:lpstr>wld_az1_rack7_edge_overlay_mask</vt:lpstr>
      <vt:lpstr>wld_az1_rack7_edge_overlay_mtu</vt:lpstr>
      <vt:lpstr>wld_az1_rack7_edge_overlay_network</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wld_az1_rack7_uplink01_gateway_ip</vt:lpstr>
      <vt:lpstr>wld_az1_rack7_uplink01_mask</vt:lpstr>
      <vt:lpstr>wld_az1_rack7_uplink01_mtu</vt:lpstr>
      <vt:lpstr>wld_az1_rack7_uplink01_network</vt:lpstr>
      <vt:lpstr>wld_az1_rack7_uplink01_pg</vt:lpstr>
      <vt:lpstr>wld_az1_rack7_uplink01_vlan</vt:lpstr>
      <vt:lpstr>wld_az1_rack7_uplink02_cidr</vt:lpstr>
      <vt:lpstr>wld_az1_rack7_uplink02_gateway_ip</vt:lpstr>
      <vt:lpstr>wld_az1_rack7_uplink02_mask</vt:lpstr>
      <vt:lpstr>wld_az1_rack7_uplink02_mtu</vt:lpstr>
      <vt:lpstr>wld_az1_rack7_uplink02_network</vt:lpstr>
      <vt:lpstr>wld_az1_rack7_uplink02_pg</vt:lpstr>
      <vt:lpstr>wld_az1_rack7_uplink02_vlan</vt:lpstr>
      <vt:lpstr>wld_az1_rack7_vmotion_cidr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wld_az1_rack8_edge_overlay_cidr</vt:lpstr>
      <vt:lpstr>wld_az1_rack8_edge_overlay_gateway_ip</vt:lpstr>
      <vt:lpstr>wld_az1_rack8_edge_overlay_mask</vt:lpstr>
      <vt:lpstr>wld_az1_rack8_edge_overlay_mtu</vt:lpstr>
      <vt:lpstr>wld_az1_rack8_edge_overlay_network</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wld_az1_rack8_uplink01_gateway_ip</vt:lpstr>
      <vt:lpstr>wld_az1_rack8_uplink01_mask</vt:lpstr>
      <vt:lpstr>wld_az1_rack8_uplink01_mtu</vt:lpstr>
      <vt:lpstr>wld_az1_rack8_uplink01_network</vt:lpstr>
      <vt:lpstr>wld_az1_rack8_uplink01_pg</vt:lpstr>
      <vt:lpstr>wld_az1_rack8_uplink01_vlan</vt:lpstr>
      <vt:lpstr>wld_az1_rack8_uplink02_cidr</vt:lpstr>
      <vt:lpstr>wld_az1_rack8_uplink02_gateway_ip</vt:lpstr>
      <vt:lpstr>wld_az1_rack8_uplink02_mask</vt:lpstr>
      <vt:lpstr>wld_az1_rack8_uplink02_mtu</vt:lpstr>
      <vt:lpstr>wld_az1_rack8_uplink02_network</vt:lpstr>
      <vt:lpstr>wld_az1_rack8_uplink02_pg</vt:lpstr>
      <vt:lpstr>wld_az1_rack8_uplink02_vlan</vt:lpstr>
      <vt:lpstr>wld_az1_rack8_vmotion_cidr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wld_az1_secondary_storage_gateway_ip</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wld_az1_storage_cluster_gateway_ip</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wld_az1_vmotion_gateway_ip</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wld_az2_mgmt_mask</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wld_az2_storage_cluster_cidr</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wld_cl01_supervisor_control_plane_ip_range</vt:lpstr>
      <vt:lpstr>wld_cl01_supervisor_dns</vt:lpstr>
      <vt:lpstr>wld_cl01_supervisor_name</vt:lpstr>
      <vt:lpstr>wld_cl01_supervisor_nsx_project</vt:lpstr>
      <vt:lpstr>wld_cl01_supervisor_ntp</vt:lpstr>
      <vt:lpstr>wld_cl01_supervisor_private_cidr</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wld_cl01_vds01_lacp_mode_chosen</vt:lpstr>
      <vt:lpstr>wld_cl01_vds01_lacp_timeout_chosen</vt:lpstr>
      <vt:lpstr>wld_cl01_vds01_lag_lbt_chosen</vt:lpstr>
      <vt:lpstr>wld_cl01_vds01_lag_name</vt:lpstr>
      <vt:lpstr>wld_cl01_vds01_link_type_chosen</vt:lpstr>
      <vt:lpstr>wld_cl01_vds01_mtu</vt:lpstr>
      <vt:lpstr>wld_cl01_vds01_name</vt:lpstr>
      <vt:lpstr>wld_cl01_vds01_pnics</vt:lpstr>
      <vt:lpstr>wld_cl01_vds01_traffic_type</vt:lpstr>
      <vt:lpstr>wld_cl01_vds01_uplink_count</vt:lpstr>
      <vt:lpstr>wld_cl01_vds02_lacp_mode_chosen</vt:lpstr>
      <vt:lpstr>wld_cl01_vds02_lacp_timeout_chosen</vt:lpstr>
      <vt:lpstr>wld_cl01_vds02_lag_lbt_chosen</vt:lpstr>
      <vt:lpstr>wld_cl01_vds02_lag_name</vt:lpstr>
      <vt:lpstr>wld_cl01_vds02_link_type_chosen</vt:lpstr>
      <vt:lpstr>wld_cl01_vds02_mtu</vt:lpstr>
      <vt:lpstr>wld_cl01_vds02_name</vt:lpstr>
      <vt:lpstr>wld_cl01_vds02_pnics</vt:lpstr>
      <vt:lpstr>wld_cl01_vds02_traffic_type</vt:lpstr>
      <vt:lpstr>wld_cl01_vds02_uplink_count</vt:lpstr>
      <vt:lpstr>wld_cl01_vds03_lacp_mode_chosen</vt:lpstr>
      <vt:lpstr>wld_cl01_vds03_lacp_timeout_chosen</vt:lpstr>
      <vt:lpstr>wld_cl01_vds03_lag_lbt_chosen</vt:lpstr>
      <vt:lpstr>wld_cl01_vds03_lag_name</vt:lpstr>
      <vt:lpstr>wld_cl01_vds03_link_type_chosen</vt:lpstr>
      <vt:lpstr>wld_cl01_vds03_mtu</vt:lpstr>
      <vt:lpstr>wld_cl01_vds03_name</vt:lpstr>
      <vt:lpstr>wld_cl01_vds03_pnics</vt:lpstr>
      <vt:lpstr>wld_cl01_vds03_traffic_type</vt:lpstr>
      <vt:lpstr>wld_cl01_vds03_uplink_count</vt:lpstr>
      <vt:lpstr>wld_cl01_vmfs_datastore_name</vt:lpstr>
      <vt:lpstr>wld_cl01_vsan_client_network</vt:lpstr>
      <vt:lpstr>wld_cl01_vsan_datastore</vt:lpstr>
      <vt:lpstr>wld_cl01_vsan_dedupe_compression_chosen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wld_dedicated_edge_cluster_chosen_exclude</vt:lpstr>
      <vt:lpstr>wld_dedicated_edge_cluster_chosen_include</vt:lpstr>
      <vt:lpstr>wld_domain_chosen</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wld_multirack_calc</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wld_nsxt_appliance_size_chosen</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wld_nsxt_gm_root_password</vt:lpstr>
      <vt:lpstr>wld_nsxt_gm_vip_fqdn</vt:lpstr>
      <vt:lpstr>wld_nsxt_gm_vip_ip</vt:lpstr>
      <vt:lpstr>wld_nsxt_hostname</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wld_nsxt_vip_ip</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wld_sddc_org</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wld_srm_vm_size_chosen</vt:lpstr>
      <vt:lpstr>wld_sso_domain_administrator</vt:lpstr>
      <vt:lpstr>wld_sso_domain_administrator_password</vt:lpstr>
      <vt:lpstr>wld_sso_domain_name</vt:lpstr>
      <vt:lpstr>wld_stretched_cluster_chosen</vt:lpstr>
      <vt:lpstr>wld_stretched_cluster_result</vt:lpstr>
      <vt:lpstr>wld_tier0_ha_chosen</vt:lpstr>
      <vt:lpstr>wld_tier0_name</vt:lpstr>
      <vt:lpstr>wld_tier0_skip_chosen</vt:lpstr>
      <vt:lpstr>wld_vc_fqdn</vt:lpstr>
      <vt:lpstr>wld_vc_hostname</vt:lpstr>
      <vt:lpstr>wld_vc_ip</vt:lpstr>
      <vt:lpstr>wld_vcenter_root_password</vt:lpstr>
      <vt:lpstr>wld_vlr_fqdn</vt:lpstr>
      <vt:lpstr>wld_vlr_hostname</vt:lpstr>
      <vt:lpstr>wld_vlr_replication_user</vt:lpstr>
      <vt:lpstr>wld_vnaa_fqdn</vt:lpstr>
      <vt:lpstr>wld_vnaa_ip</vt:lpstr>
      <vt:lpstr>wld_vnab_fqdn</vt:lpstr>
      <vt:lpstr>wld_vnab_ip</vt:lpstr>
      <vt:lpstr>wld_vpc_ext_ip_blocks</vt:lpstr>
      <vt:lpstr>wld_vpc_transit_gateway_ip_blocks</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wld_witnessaz_mgmt_mask</vt:lpstr>
      <vt:lpstr>wld_witnessaz_mgmt_mtu</vt:lpstr>
      <vt:lpstr>wld_witnessaz_mgmt_network</vt:lpstr>
      <vt:lpstr>wld_witnessaz_mgmt_vlan</vt:lpstr>
      <vt:lpstr>workload_descriptor</vt:lpstr>
      <vt:lpstr>xreg_seg01_mask</vt:lpstr>
      <vt:lpstr>xreg_vra_admin_password</vt:lpstr>
      <vt:lpstr>xreg_vra_k8s_cluster_cidr_chosen</vt:lpstr>
      <vt:lpstr>xreg_vra_node_pool_end_ip</vt:lpstr>
      <vt:lpstr>xreg_vra_node_pool_start_ip</vt:lpstr>
      <vt:lpstr>xreg_vra_nodea_ip</vt:lpstr>
      <vt:lpstr>xreg_vra_nodeb_ip</vt:lpstr>
      <vt:lpstr>xreg_vra_nodec_ip</vt:lpstr>
      <vt:lpstr>xreg_vra_noded_ip</vt:lpstr>
      <vt:lpstr>xreg_vra_nodee_ip</vt:lpstr>
      <vt:lpstr>xreg_vra_nodef_ip</vt:lpstr>
      <vt:lpstr>xreg_vra_prefix</vt:lpstr>
      <vt:lpstr>xreg_vra_size_chosen</vt:lpstr>
      <vt:lpstr>xreg_vra_virtual_fqdn</vt:lpstr>
      <vt:lpstr>xreg_vra_virtual_hostname</vt:lpstr>
      <vt:lpstr>xreg_vra_virtual_ip</vt:lpstr>
      <vt:lpstr>xreg_vra_vm_folder</vt:lpstr>
      <vt:lpstr>xreg_vrni_nodea_hostname</vt:lpstr>
      <vt:lpstr>xreg_vrni_nodea_ip</vt:lpstr>
      <vt:lpstr>xreg_vrops_admin_password</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xreg_vrslcm_fqdn</vt:lpstr>
      <vt:lpstr>xreg_vrslcm_hostname</vt:lpstr>
      <vt:lpstr>xreg_vrslcm_ip</vt:lpstr>
      <vt:lpstr>xreg_wsa_cert_name</vt:lpstr>
      <vt:lpstr>xreg_wsa_vm_folder</vt:lpstr>
      <vt:lpstr>xregion_dns1_ip</vt:lpstr>
      <vt:lpstr>xregion_dns2_ip</vt:lpstr>
      <vt:lpstr>xregion_ntp1_server</vt:lpstr>
      <vt:lpstr>xregion_ntp2_server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Cliff Cahill</cp:lastModifiedBy>
  <cp:revision/>
  <dcterms:created xsi:type="dcterms:W3CDTF">2020-01-21T13:51:29Z</dcterms:created>
  <dcterms:modified xsi:type="dcterms:W3CDTF">2026-02-20T12:52:57Z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0x010100A82EF44E0227C24E85294C0D2197735E</vt:lpwstr>
  </property>
  <property fmtid="{D5CDD505-2E9C-101B-9397-08002B2CF9AE}" pid="3" name="MediaServiceImageTags">
    <vt:lpwstr/>
  </property>
</Properties>
</file>